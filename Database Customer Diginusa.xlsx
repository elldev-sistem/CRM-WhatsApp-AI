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ivotTables/pivotTable5.xml" ContentType="application/vnd.openxmlformats-officedocument.spreadsheetml.pivotTable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priyo/Downloads/"/>
    </mc:Choice>
  </mc:AlternateContent>
  <xr:revisionPtr revIDLastSave="0" documentId="13_ncr:1_{01D5835D-0AFA-7C48-811F-3F64DB7B0208}" xr6:coauthVersionLast="47" xr6:coauthVersionMax="47" xr10:uidLastSave="{00000000-0000-0000-0000-000000000000}"/>
  <bookViews>
    <workbookView xWindow="0" yWindow="600" windowWidth="28800" windowHeight="16240" activeTab="10" xr2:uid="{00000000-000D-0000-FFFF-FFFF00000000}"/>
  </bookViews>
  <sheets>
    <sheet name="Pivot - Cust Retention" sheetId="2" state="hidden" r:id="rId1"/>
    <sheet name="Pivot - Cust Existing" sheetId="3" state="hidden" r:id="rId2"/>
    <sheet name="Pivot - PIC" sheetId="4" state="hidden" r:id="rId3"/>
    <sheet name="Dashboard" sheetId="5" state="hidden" r:id="rId4"/>
    <sheet name="Data New Cust TAB 2324" sheetId="6" state="hidden" r:id="rId5"/>
    <sheet name="Pivot Table 5" sheetId="8" state="hidden" r:id="rId6"/>
    <sheet name="Copy of Data Master Pelanggan" sheetId="9" state="hidden" r:id="rId7"/>
    <sheet name="Data Pelanggan 2019" sheetId="10" state="hidden" r:id="rId8"/>
    <sheet name=" Data Pelanggan 2020" sheetId="11" state="hidden" r:id="rId9"/>
    <sheet name="Data Pelanggan 2026" sheetId="17" r:id="rId10"/>
    <sheet name="Struktur Organisasi" sheetId="29" r:id="rId11"/>
    <sheet name="Data Guru BSW" sheetId="24" state="hidden" r:id="rId12"/>
    <sheet name="Pivot Table 4" sheetId="25" state="hidden" r:id="rId13"/>
    <sheet name="Copy of Data Customer Prioritas" sheetId="28" state="hidden" r:id="rId14"/>
  </sheets>
  <definedNames>
    <definedName name="_xlnm._FilterDatabase" localSheetId="9" hidden="1">'Data Pelanggan 2026'!$A$2:$Y$472</definedName>
    <definedName name="_xlnm._FilterDatabase" localSheetId="12" hidden="1">'Pivot Table 4'!$A$1:$C$1</definedName>
  </definedNames>
  <calcPr calcId="191029"/>
  <pivotCaches>
    <pivotCache cacheId="9" r:id="rId15"/>
    <pivotCache cacheId="14" r:id="rId16"/>
    <pivotCache cacheId="22" r:id="rId1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4" i="28" l="1"/>
  <c r="E182" i="28"/>
  <c r="E181" i="28"/>
  <c r="E180" i="28"/>
  <c r="E177" i="28"/>
  <c r="E174" i="28"/>
  <c r="E170" i="28"/>
  <c r="E168" i="28"/>
  <c r="E166" i="28"/>
  <c r="E161" i="28"/>
  <c r="E159" i="28"/>
  <c r="E156" i="28"/>
  <c r="E152" i="28"/>
  <c r="E147" i="28"/>
  <c r="E143" i="28"/>
  <c r="E139" i="28"/>
  <c r="E138" i="28"/>
  <c r="E133" i="28"/>
  <c r="E125" i="28"/>
  <c r="E122" i="28"/>
  <c r="E119" i="28"/>
  <c r="E117" i="28"/>
  <c r="E113" i="28"/>
  <c r="E111" i="28"/>
  <c r="E109" i="28"/>
  <c r="E107" i="28"/>
  <c r="E105" i="28"/>
  <c r="E104" i="28"/>
  <c r="E100" i="28"/>
  <c r="E93" i="28"/>
  <c r="E91" i="28"/>
  <c r="E87" i="28"/>
  <c r="E84" i="28"/>
  <c r="E82" i="28"/>
  <c r="E76" i="28"/>
  <c r="E72" i="28"/>
  <c r="E67" i="28"/>
  <c r="E63" i="28"/>
  <c r="E57" i="28"/>
  <c r="E51" i="28"/>
  <c r="E49" i="28"/>
  <c r="E47" i="28"/>
  <c r="E41" i="28"/>
  <c r="E39" i="28"/>
  <c r="E36" i="28"/>
  <c r="E27" i="28"/>
  <c r="E24" i="28"/>
  <c r="E19" i="28"/>
  <c r="E16" i="28"/>
  <c r="E10" i="28"/>
  <c r="P299" i="17"/>
  <c r="P297" i="17"/>
  <c r="P295" i="17"/>
  <c r="P293" i="17"/>
  <c r="P291" i="17"/>
  <c r="P289" i="17"/>
  <c r="P287" i="17"/>
  <c r="P283" i="17"/>
  <c r="P281" i="17"/>
  <c r="P279" i="17"/>
  <c r="P275" i="17"/>
  <c r="P274" i="17"/>
  <c r="P273" i="17"/>
  <c r="P272" i="17"/>
  <c r="P271" i="17"/>
  <c r="P270" i="17"/>
  <c r="P269" i="17"/>
  <c r="P265" i="17"/>
  <c r="P264" i="17"/>
  <c r="P262" i="17"/>
  <c r="P260" i="17"/>
  <c r="P254" i="17"/>
  <c r="P253" i="17"/>
  <c r="P252" i="17"/>
  <c r="P251" i="17"/>
  <c r="P250" i="17"/>
  <c r="P249" i="17"/>
  <c r="O248" i="17"/>
  <c r="P248" i="17" s="1"/>
  <c r="O247" i="17"/>
  <c r="P247" i="17" s="1"/>
  <c r="P245" i="17"/>
  <c r="P244" i="17"/>
  <c r="P243" i="17"/>
  <c r="P242" i="17"/>
  <c r="O241" i="17"/>
  <c r="P241" i="17" s="1"/>
  <c r="O240" i="17"/>
  <c r="P240" i="17" s="1"/>
  <c r="P238" i="17"/>
  <c r="P237" i="17"/>
  <c r="P236" i="17"/>
  <c r="P234" i="17"/>
  <c r="P233" i="17"/>
  <c r="P232" i="17"/>
  <c r="P230" i="17"/>
  <c r="P229" i="17"/>
  <c r="P228" i="17"/>
  <c r="P227" i="17"/>
  <c r="P225" i="17"/>
  <c r="P224" i="17"/>
  <c r="P220" i="17"/>
  <c r="P219" i="17"/>
  <c r="P218" i="17"/>
  <c r="P217" i="17"/>
  <c r="P216" i="17"/>
  <c r="P215" i="17"/>
  <c r="P214" i="17"/>
  <c r="P213" i="17"/>
  <c r="P210" i="17"/>
  <c r="P205" i="17"/>
  <c r="P199" i="17"/>
  <c r="P198" i="17"/>
  <c r="P197" i="17"/>
  <c r="P196" i="17"/>
  <c r="P195" i="17"/>
  <c r="P194" i="17"/>
  <c r="P185" i="17"/>
  <c r="P184" i="17"/>
  <c r="P182" i="17"/>
  <c r="P181" i="17"/>
  <c r="P180" i="17"/>
  <c r="P179" i="17"/>
  <c r="P178" i="17"/>
  <c r="P177" i="17"/>
  <c r="P170" i="17"/>
  <c r="P164" i="17"/>
  <c r="P163" i="17"/>
  <c r="P162" i="17"/>
  <c r="P160" i="17"/>
  <c r="P159" i="17"/>
  <c r="P158" i="17"/>
  <c r="P157" i="17"/>
  <c r="P156" i="17"/>
  <c r="P155" i="17"/>
  <c r="P154" i="17"/>
  <c r="P153" i="17"/>
  <c r="P152" i="17"/>
  <c r="P151" i="17"/>
  <c r="P150" i="17"/>
  <c r="P149" i="17"/>
  <c r="P148" i="17"/>
  <c r="P147" i="17"/>
  <c r="P146" i="17"/>
  <c r="P145" i="17"/>
  <c r="P144" i="17"/>
  <c r="P142" i="17"/>
  <c r="P140" i="17"/>
  <c r="O140" i="17"/>
  <c r="O139" i="17"/>
  <c r="P139" i="17" s="1"/>
  <c r="P135" i="17"/>
  <c r="P134" i="17"/>
  <c r="P133" i="17"/>
  <c r="P132" i="17"/>
  <c r="P130" i="17"/>
  <c r="P128" i="17"/>
  <c r="P126" i="17"/>
  <c r="P125" i="17"/>
  <c r="P124" i="17"/>
  <c r="P123" i="17"/>
  <c r="P118" i="17"/>
  <c r="P117" i="17"/>
  <c r="P115" i="17"/>
  <c r="P114" i="17"/>
  <c r="P112" i="17"/>
  <c r="P109" i="17"/>
  <c r="P107" i="17"/>
  <c r="P103" i="17"/>
  <c r="P102" i="17"/>
  <c r="P100" i="17"/>
  <c r="P98" i="17"/>
  <c r="O98" i="17"/>
  <c r="O97" i="17"/>
  <c r="P97" i="17" s="1"/>
  <c r="O96" i="17"/>
  <c r="P96" i="17" s="1"/>
  <c r="O95" i="17"/>
  <c r="P95" i="17" s="1"/>
  <c r="P93" i="17"/>
  <c r="P91" i="17"/>
  <c r="P90" i="17"/>
  <c r="P89" i="17"/>
  <c r="P86" i="17"/>
  <c r="P82" i="17"/>
  <c r="P74" i="17"/>
  <c r="P68" i="17"/>
  <c r="P64" i="17"/>
  <c r="P60" i="17"/>
  <c r="P59" i="17"/>
  <c r="O57" i="17"/>
  <c r="O56" i="17"/>
  <c r="O55" i="17"/>
  <c r="O54" i="17"/>
  <c r="O53" i="17"/>
  <c r="O52" i="17"/>
  <c r="P51" i="17"/>
  <c r="P45" i="17"/>
  <c r="P23" i="17"/>
  <c r="O22" i="17"/>
  <c r="P22" i="17" s="1"/>
  <c r="O21" i="17"/>
  <c r="P21" i="17" s="1"/>
  <c r="P20" i="17"/>
  <c r="O19" i="17"/>
  <c r="P19" i="17" s="1"/>
  <c r="P13" i="17"/>
  <c r="P12" i="17"/>
  <c r="P8" i="17"/>
  <c r="P5" i="17"/>
  <c r="P3" i="17"/>
  <c r="J284" i="9"/>
  <c r="G284" i="9"/>
  <c r="J283" i="9"/>
  <c r="G283" i="9"/>
  <c r="J282" i="9"/>
  <c r="G282" i="9"/>
  <c r="J281" i="9"/>
  <c r="G281" i="9"/>
  <c r="J279" i="9"/>
  <c r="G279" i="9"/>
  <c r="J277" i="9"/>
  <c r="G277" i="9"/>
  <c r="J276" i="9"/>
  <c r="G276" i="9"/>
  <c r="J275" i="9"/>
  <c r="G275" i="9"/>
  <c r="J274" i="9"/>
  <c r="G274" i="9"/>
  <c r="J273" i="9"/>
  <c r="G273" i="9"/>
  <c r="J272" i="9"/>
  <c r="G272" i="9"/>
  <c r="J271" i="9"/>
  <c r="G271" i="9"/>
  <c r="J270" i="9"/>
  <c r="G270" i="9"/>
  <c r="J269" i="9"/>
  <c r="G269" i="9"/>
  <c r="J268" i="9"/>
  <c r="G268" i="9"/>
  <c r="J267" i="9"/>
  <c r="G267" i="9"/>
  <c r="J266" i="9"/>
  <c r="G266" i="9"/>
  <c r="J265" i="9"/>
  <c r="G265" i="9"/>
  <c r="J264" i="9"/>
  <c r="G264" i="9"/>
  <c r="J263" i="9"/>
  <c r="G263" i="9"/>
  <c r="J262" i="9"/>
  <c r="G262" i="9"/>
  <c r="J261" i="9"/>
  <c r="G261" i="9"/>
  <c r="J260" i="9"/>
  <c r="G260" i="9"/>
  <c r="J259" i="9"/>
  <c r="G259" i="9"/>
  <c r="J257" i="9"/>
  <c r="G257" i="9"/>
  <c r="J256" i="9"/>
  <c r="G256" i="9"/>
  <c r="J255" i="9"/>
  <c r="G255" i="9"/>
  <c r="J254" i="9"/>
  <c r="G254" i="9"/>
  <c r="J253" i="9"/>
  <c r="G253" i="9"/>
  <c r="J252" i="9"/>
  <c r="G252" i="9"/>
  <c r="J251" i="9"/>
  <c r="G251" i="9"/>
  <c r="J250" i="9"/>
  <c r="G250" i="9"/>
  <c r="J247" i="9"/>
  <c r="G247" i="9"/>
  <c r="J246" i="9"/>
  <c r="G246" i="9"/>
  <c r="J245" i="9"/>
  <c r="G245" i="9"/>
  <c r="J244" i="9"/>
  <c r="G244" i="9"/>
  <c r="J243" i="9"/>
  <c r="G243" i="9"/>
  <c r="J242" i="9"/>
  <c r="G242" i="9"/>
  <c r="J241" i="9"/>
  <c r="G241" i="9"/>
  <c r="J240" i="9"/>
  <c r="G240" i="9"/>
  <c r="J239" i="9"/>
  <c r="G239" i="9"/>
  <c r="J238" i="9"/>
  <c r="G238" i="9"/>
  <c r="J237" i="9"/>
  <c r="G237" i="9"/>
  <c r="J236" i="9"/>
  <c r="G236" i="9"/>
  <c r="J235" i="9"/>
  <c r="G235" i="9"/>
  <c r="J234" i="9"/>
  <c r="G234" i="9"/>
  <c r="J233" i="9"/>
  <c r="G233" i="9"/>
  <c r="J232" i="9"/>
  <c r="G232" i="9"/>
  <c r="J231" i="9"/>
  <c r="G231" i="9"/>
  <c r="J230" i="9"/>
  <c r="G230" i="9"/>
  <c r="J229" i="9"/>
  <c r="G229" i="9"/>
  <c r="J228" i="9"/>
  <c r="G228" i="9"/>
  <c r="J227" i="9"/>
  <c r="G227" i="9"/>
  <c r="J226" i="9"/>
  <c r="G226" i="9"/>
  <c r="J225" i="9"/>
  <c r="G225" i="9"/>
  <c r="J224" i="9"/>
  <c r="G224" i="9"/>
  <c r="J223" i="9"/>
  <c r="G223" i="9"/>
  <c r="J222" i="9"/>
  <c r="G222" i="9"/>
  <c r="J221" i="9"/>
  <c r="G221" i="9"/>
  <c r="J220" i="9"/>
  <c r="G220" i="9"/>
  <c r="J219" i="9"/>
  <c r="G219" i="9"/>
  <c r="J218" i="9"/>
  <c r="G218" i="9"/>
  <c r="J217" i="9"/>
  <c r="G217" i="9"/>
  <c r="J215" i="9"/>
  <c r="G215" i="9"/>
  <c r="J213" i="9"/>
  <c r="G213" i="9"/>
  <c r="J211" i="9"/>
  <c r="G211" i="9"/>
  <c r="J209" i="9"/>
  <c r="G209" i="9"/>
  <c r="J207" i="9"/>
  <c r="G207" i="9"/>
  <c r="J205" i="9"/>
  <c r="G205" i="9"/>
  <c r="J204" i="9"/>
  <c r="G204" i="9"/>
  <c r="J203" i="9"/>
  <c r="G203" i="9"/>
  <c r="J202" i="9"/>
  <c r="G202" i="9"/>
  <c r="J201" i="9"/>
  <c r="G201" i="9"/>
  <c r="J200" i="9"/>
  <c r="G200" i="9"/>
  <c r="J198" i="9"/>
  <c r="G198" i="9"/>
  <c r="J196" i="9"/>
  <c r="G196" i="9"/>
  <c r="J195" i="9"/>
  <c r="G195" i="9"/>
  <c r="J194" i="9"/>
  <c r="G194" i="9"/>
  <c r="J193" i="9"/>
  <c r="G193" i="9"/>
  <c r="J192" i="9"/>
  <c r="G192" i="9"/>
  <c r="J191" i="9"/>
  <c r="G191" i="9"/>
  <c r="J190" i="9"/>
  <c r="G190" i="9"/>
  <c r="J189" i="9"/>
  <c r="G189" i="9"/>
  <c r="J188" i="9"/>
  <c r="G188" i="9"/>
  <c r="J187" i="9"/>
  <c r="G187" i="9"/>
  <c r="J186" i="9"/>
  <c r="G186" i="9"/>
  <c r="J185" i="9"/>
  <c r="G185" i="9"/>
  <c r="J184" i="9"/>
  <c r="G184" i="9"/>
  <c r="J183" i="9"/>
  <c r="G183" i="9"/>
  <c r="J182" i="9"/>
  <c r="G182" i="9"/>
  <c r="J181" i="9"/>
  <c r="G181" i="9"/>
  <c r="J180" i="9"/>
  <c r="G180" i="9"/>
  <c r="J179" i="9"/>
  <c r="G179" i="9"/>
  <c r="J178" i="9"/>
  <c r="G178" i="9"/>
  <c r="J177" i="9"/>
  <c r="G177" i="9"/>
  <c r="J176" i="9"/>
  <c r="G176" i="9"/>
  <c r="J175" i="9"/>
  <c r="G175" i="9"/>
  <c r="J174" i="9"/>
  <c r="G174" i="9"/>
  <c r="J173" i="9"/>
  <c r="G173" i="9"/>
  <c r="J172" i="9"/>
  <c r="G172" i="9"/>
  <c r="J171" i="9"/>
  <c r="G171" i="9"/>
  <c r="J170" i="9"/>
  <c r="G170" i="9"/>
  <c r="J169" i="9"/>
  <c r="G169" i="9"/>
  <c r="J168" i="9"/>
  <c r="G168" i="9"/>
  <c r="J167" i="9"/>
  <c r="G167" i="9"/>
  <c r="J166" i="9"/>
  <c r="G166" i="9"/>
  <c r="J165" i="9"/>
  <c r="G165" i="9"/>
  <c r="J164" i="9"/>
  <c r="G164" i="9"/>
  <c r="J163" i="9"/>
  <c r="G163" i="9"/>
  <c r="J162" i="9"/>
  <c r="G162" i="9"/>
  <c r="J161" i="9"/>
  <c r="G161" i="9"/>
  <c r="J160" i="9"/>
  <c r="G160" i="9"/>
  <c r="J159" i="9"/>
  <c r="G159" i="9"/>
  <c r="J158" i="9"/>
  <c r="G158" i="9"/>
  <c r="J157" i="9"/>
  <c r="G157" i="9"/>
  <c r="J156" i="9"/>
  <c r="G156" i="9"/>
  <c r="J155" i="9"/>
  <c r="G155" i="9"/>
  <c r="J154" i="9"/>
  <c r="G154" i="9"/>
  <c r="J153" i="9"/>
  <c r="G153" i="9"/>
  <c r="J152" i="9"/>
  <c r="G152" i="9"/>
  <c r="J151" i="9"/>
  <c r="G151" i="9"/>
  <c r="J150" i="9"/>
  <c r="G150" i="9"/>
  <c r="J149" i="9"/>
  <c r="G149" i="9"/>
  <c r="J148" i="9"/>
  <c r="G148" i="9"/>
  <c r="J147" i="9"/>
  <c r="G147" i="9"/>
  <c r="J146" i="9"/>
  <c r="G146" i="9"/>
  <c r="J145" i="9"/>
  <c r="G145" i="9"/>
  <c r="J144" i="9"/>
  <c r="G144" i="9"/>
  <c r="J143" i="9"/>
  <c r="G143" i="9"/>
  <c r="J142" i="9"/>
  <c r="G142" i="9"/>
  <c r="J141" i="9"/>
  <c r="J140" i="9"/>
  <c r="G140" i="9"/>
  <c r="J139" i="9"/>
  <c r="G139" i="9"/>
  <c r="J138" i="9"/>
  <c r="G138" i="9"/>
  <c r="J137" i="9"/>
  <c r="G137" i="9"/>
  <c r="J136" i="9"/>
  <c r="G136" i="9"/>
  <c r="J135" i="9"/>
  <c r="G135" i="9"/>
  <c r="J134" i="9"/>
  <c r="G134" i="9"/>
  <c r="J133" i="9"/>
  <c r="G133" i="9"/>
  <c r="J132" i="9"/>
  <c r="G132" i="9"/>
  <c r="J131" i="9"/>
  <c r="G131" i="9"/>
  <c r="J130" i="9"/>
  <c r="G130" i="9"/>
  <c r="J129" i="9"/>
  <c r="G129" i="9"/>
  <c r="J128" i="9"/>
  <c r="G128" i="9"/>
  <c r="J127" i="9"/>
  <c r="G127" i="9"/>
  <c r="J126" i="9"/>
  <c r="G126" i="9"/>
  <c r="J125" i="9"/>
  <c r="G125" i="9"/>
  <c r="J124" i="9"/>
  <c r="G124" i="9"/>
  <c r="J123" i="9"/>
  <c r="G123" i="9"/>
  <c r="J122" i="9"/>
  <c r="G122" i="9"/>
  <c r="J121" i="9"/>
  <c r="G121" i="9"/>
  <c r="J120" i="9"/>
  <c r="G120" i="9"/>
  <c r="J119" i="9"/>
  <c r="G119" i="9"/>
  <c r="J118" i="9"/>
  <c r="G118" i="9"/>
  <c r="J117" i="9"/>
  <c r="G117" i="9"/>
  <c r="J116" i="9"/>
  <c r="G116" i="9"/>
  <c r="J115" i="9"/>
  <c r="G115" i="9"/>
  <c r="J114" i="9"/>
  <c r="G114" i="9"/>
  <c r="J113" i="9"/>
  <c r="G113" i="9"/>
  <c r="J112" i="9"/>
  <c r="G112" i="9"/>
  <c r="J111" i="9"/>
  <c r="G111" i="9"/>
  <c r="J110" i="9"/>
  <c r="G110" i="9"/>
  <c r="J109" i="9"/>
  <c r="G109" i="9"/>
  <c r="J108" i="9"/>
  <c r="G108" i="9"/>
  <c r="J107" i="9"/>
  <c r="G107" i="9"/>
  <c r="J106" i="9"/>
  <c r="G106" i="9"/>
  <c r="J105" i="9"/>
  <c r="G105" i="9"/>
  <c r="J104" i="9"/>
  <c r="G104" i="9"/>
  <c r="J103" i="9"/>
  <c r="G103" i="9"/>
  <c r="J102" i="9"/>
  <c r="G102" i="9"/>
  <c r="J101" i="9"/>
  <c r="G101" i="9"/>
  <c r="J100" i="9"/>
  <c r="G100" i="9"/>
  <c r="J99" i="9"/>
  <c r="G99" i="9"/>
  <c r="J98" i="9"/>
  <c r="G98" i="9"/>
  <c r="J97" i="9"/>
  <c r="G97" i="9"/>
  <c r="J96" i="9"/>
  <c r="G96" i="9"/>
  <c r="J95" i="9"/>
  <c r="G95" i="9"/>
  <c r="J94" i="9"/>
  <c r="G94" i="9"/>
  <c r="J93" i="9"/>
  <c r="G93" i="9"/>
  <c r="J92" i="9"/>
  <c r="G92" i="9"/>
  <c r="J91" i="9"/>
  <c r="G91" i="9"/>
  <c r="J90" i="9"/>
  <c r="G90" i="9"/>
  <c r="J89" i="9"/>
  <c r="G89" i="9"/>
  <c r="J88" i="9"/>
  <c r="G88" i="9"/>
  <c r="J87" i="9"/>
  <c r="G87" i="9"/>
  <c r="J86" i="9"/>
  <c r="G86" i="9"/>
  <c r="J85" i="9"/>
  <c r="G85" i="9"/>
  <c r="J84" i="9"/>
  <c r="G84" i="9"/>
  <c r="J83" i="9"/>
  <c r="G83" i="9"/>
  <c r="J82" i="9"/>
  <c r="G82" i="9"/>
  <c r="J81" i="9"/>
  <c r="G81" i="9"/>
  <c r="J80" i="9"/>
  <c r="G80" i="9"/>
  <c r="J79" i="9"/>
  <c r="G79" i="9"/>
  <c r="J78" i="9"/>
  <c r="G78" i="9"/>
  <c r="J77" i="9"/>
  <c r="G77" i="9"/>
  <c r="J76" i="9"/>
  <c r="G76" i="9"/>
  <c r="J75" i="9"/>
  <c r="G75" i="9"/>
  <c r="J74" i="9"/>
  <c r="G74" i="9"/>
  <c r="J73" i="9"/>
  <c r="G73" i="9"/>
  <c r="J72" i="9"/>
  <c r="G72" i="9"/>
  <c r="J70" i="9"/>
  <c r="G70" i="9"/>
  <c r="J68" i="9"/>
  <c r="G68" i="9"/>
  <c r="J66" i="9"/>
  <c r="G66" i="9"/>
  <c r="J64" i="9"/>
  <c r="G64" i="9"/>
  <c r="J62" i="9"/>
  <c r="G62" i="9"/>
  <c r="J60" i="9"/>
  <c r="G60" i="9"/>
  <c r="J58" i="9"/>
  <c r="G58" i="9"/>
  <c r="J56" i="9"/>
  <c r="G56" i="9"/>
  <c r="J55" i="9"/>
  <c r="G55" i="9"/>
  <c r="J54" i="9"/>
  <c r="G54" i="9"/>
  <c r="J53" i="9"/>
  <c r="G53" i="9"/>
  <c r="J52" i="9"/>
  <c r="G52" i="9"/>
  <c r="J51" i="9"/>
  <c r="G51" i="9"/>
  <c r="J50" i="9"/>
  <c r="G50" i="9"/>
  <c r="J49" i="9"/>
  <c r="G49" i="9"/>
  <c r="J48" i="9"/>
  <c r="G48" i="9"/>
  <c r="J47" i="9"/>
  <c r="G47" i="9"/>
  <c r="J46" i="9"/>
  <c r="G46" i="9"/>
  <c r="J45" i="9"/>
  <c r="G45" i="9"/>
  <c r="J44" i="9"/>
  <c r="G44" i="9"/>
  <c r="J43" i="9"/>
  <c r="G43" i="9"/>
  <c r="J42" i="9"/>
  <c r="G42" i="9"/>
  <c r="J41" i="9"/>
  <c r="G41" i="9"/>
  <c r="J40" i="9"/>
  <c r="G40" i="9"/>
  <c r="J39" i="9"/>
  <c r="G39" i="9"/>
  <c r="J38" i="9"/>
  <c r="G38" i="9"/>
  <c r="J37" i="9"/>
  <c r="G37" i="9"/>
  <c r="J36" i="9"/>
  <c r="G36" i="9"/>
  <c r="J35" i="9"/>
  <c r="G35" i="9"/>
  <c r="J34" i="9"/>
  <c r="G34" i="9"/>
  <c r="J33" i="9"/>
  <c r="G33" i="9"/>
  <c r="J31" i="9"/>
  <c r="G31" i="9"/>
  <c r="J29" i="9"/>
  <c r="G29" i="9"/>
  <c r="J28" i="9"/>
  <c r="G28" i="9"/>
  <c r="J26" i="9"/>
  <c r="G26" i="9"/>
  <c r="G25" i="9"/>
  <c r="J24" i="9"/>
  <c r="G24" i="9"/>
  <c r="J23" i="9"/>
  <c r="G23" i="9"/>
  <c r="J22" i="9"/>
  <c r="G22" i="9"/>
  <c r="J21" i="9"/>
  <c r="G21" i="9"/>
  <c r="G20" i="9"/>
  <c r="J19" i="9"/>
  <c r="G19" i="9"/>
  <c r="G18" i="9"/>
  <c r="J17" i="9"/>
  <c r="G17" i="9"/>
  <c r="J16" i="9"/>
  <c r="G16" i="9"/>
  <c r="J15" i="9"/>
  <c r="G15" i="9"/>
  <c r="J14" i="9"/>
  <c r="G14" i="9"/>
  <c r="J13" i="9"/>
  <c r="G13" i="9"/>
  <c r="J12" i="9"/>
  <c r="G12" i="9"/>
  <c r="J11" i="9"/>
  <c r="G11" i="9"/>
  <c r="J10" i="9"/>
  <c r="G10" i="9"/>
  <c r="J9" i="9"/>
  <c r="G9" i="9"/>
  <c r="J8" i="9"/>
  <c r="G8" i="9"/>
  <c r="J7" i="9"/>
  <c r="G7" i="9"/>
  <c r="J6" i="9"/>
  <c r="G6" i="9"/>
  <c r="J5" i="9"/>
  <c r="G5" i="9"/>
  <c r="J4" i="9"/>
  <c r="G4" i="9"/>
  <c r="J3" i="9"/>
  <c r="G3" i="9"/>
  <c r="J2" i="9"/>
  <c r="G2" i="9"/>
</calcChain>
</file>

<file path=xl/sharedStrings.xml><?xml version="1.0" encoding="utf-8"?>
<sst xmlns="http://schemas.openxmlformats.org/spreadsheetml/2006/main" count="15501" uniqueCount="3901">
  <si>
    <t>Sekolah</t>
  </si>
  <si>
    <t>SD Carolus</t>
  </si>
  <si>
    <t>SD Permai Inter</t>
  </si>
  <si>
    <t>SD Regina Pacis Bogor</t>
  </si>
  <si>
    <t>SD St Ignatius Medan</t>
  </si>
  <si>
    <t>SD St Yoseph Sidikalang</t>
  </si>
  <si>
    <t>SMA Ignatius Medan</t>
  </si>
  <si>
    <t>SD Anak Bangsa</t>
  </si>
  <si>
    <t>SD Kartini</t>
  </si>
  <si>
    <t>SD Margie</t>
  </si>
  <si>
    <t>SD Permai</t>
  </si>
  <si>
    <t>SD Xaverius 2 Jambi</t>
  </si>
  <si>
    <t>SDK Sang Timur Batu</t>
  </si>
  <si>
    <t>SMA Methodist 6 Medan</t>
  </si>
  <si>
    <t>SMP Anak Bangsa</t>
  </si>
  <si>
    <t>SMP BHK Grogol</t>
  </si>
  <si>
    <t>SMP Methodist 6 Medan</t>
  </si>
  <si>
    <t>Status Kerja Sama</t>
  </si>
  <si>
    <t>Nama Sekolah</t>
  </si>
  <si>
    <t>Existing</t>
  </si>
  <si>
    <t>SD 1 Charitas - Blitang</t>
  </si>
  <si>
    <t>SD 2 Charitas - Blitang</t>
  </si>
  <si>
    <t>SD Abdi Siswa Tmn.Aries</t>
  </si>
  <si>
    <t>SD Agatha Palembang</t>
  </si>
  <si>
    <t>SD Al Izhar</t>
  </si>
  <si>
    <t>SD Al Masih</t>
  </si>
  <si>
    <t>SD Alodia</t>
  </si>
  <si>
    <t>SD Anugerah Abadi</t>
  </si>
  <si>
    <t>SD Baptis Elim</t>
  </si>
  <si>
    <t>SD Bethel - Petamburan</t>
  </si>
  <si>
    <t>SD BETHEL JAKARTA</t>
  </si>
  <si>
    <t>SD Bhakti</t>
  </si>
  <si>
    <t>SD Bhakti Tugas</t>
  </si>
  <si>
    <t>SD BPK Penabur Bogor</t>
  </si>
  <si>
    <t>SD BPK Penabur Metro</t>
  </si>
  <si>
    <t>SD Bunga Bangsa - Surabaya</t>
  </si>
  <si>
    <t>SD Cahaya Nur</t>
  </si>
  <si>
    <t>SD Charitas Jkt</t>
  </si>
  <si>
    <t>SD Cor Jesu Malang</t>
  </si>
  <si>
    <t>SD Dewi Kunti</t>
  </si>
  <si>
    <t>SD Fransiskus III Kayu Putih</t>
  </si>
  <si>
    <t>SD Galatia Bekasi</t>
  </si>
  <si>
    <t>SD Galatia Cengkareng</t>
  </si>
  <si>
    <t>SD Galatia Jelambar</t>
  </si>
  <si>
    <t>SD HFS</t>
  </si>
  <si>
    <t>SD Immanuel Jelambar</t>
  </si>
  <si>
    <t>SD Islam Az Zahro - Gresik</t>
  </si>
  <si>
    <t>SD Jaya Monthessori</t>
  </si>
  <si>
    <t>SD Joanes Bosco Yogya</t>
  </si>
  <si>
    <t>SD Kalam Kudus Ambon</t>
  </si>
  <si>
    <t>SD Kebon Dalem</t>
  </si>
  <si>
    <t>SD Kebon Dalem 2</t>
  </si>
  <si>
    <t>SD Kristen Tunas Harapan - Bogor</t>
  </si>
  <si>
    <t>SD Mahatma Gading</t>
  </si>
  <si>
    <t>SD Mahatma Gading Internasional</t>
  </si>
  <si>
    <t>SD Maria Bintang Laut</t>
  </si>
  <si>
    <t>SD Marsudi Utami</t>
  </si>
  <si>
    <t>SD Marsudirini - Yogyakarta</t>
  </si>
  <si>
    <t>SD Marsudirini BSB</t>
  </si>
  <si>
    <t>SD Marsudirini Cor Jesu - Semarang</t>
  </si>
  <si>
    <t>SD Marsudirini Pemuda - Semarang</t>
  </si>
  <si>
    <t>SD Marsudirini Yogya</t>
  </si>
  <si>
    <t>SD Metodhist 6 Medan</t>
  </si>
  <si>
    <t>SD MY Cianjur</t>
  </si>
  <si>
    <t>SD MY Depok</t>
  </si>
  <si>
    <t>SD MY Rangkasbitung</t>
  </si>
  <si>
    <t>SD MY Serang</t>
  </si>
  <si>
    <t>SD Pangudi Utami</t>
  </si>
  <si>
    <t>SD Patria Dharma</t>
  </si>
  <si>
    <t>SD PERMATA MONIKA BEKASI</t>
  </si>
  <si>
    <t>SD Pius - Pekalongan</t>
  </si>
  <si>
    <t>SD Providentia</t>
  </si>
  <si>
    <t>SD PUSAKA ABADI JAKARTA</t>
  </si>
  <si>
    <t>SD Regina Pacis - Bogor</t>
  </si>
  <si>
    <t>SD Sang Timur Cakung</t>
  </si>
  <si>
    <t>SD Sang Timur Ciledug</t>
  </si>
  <si>
    <t>SD Santo Paulus - Sunter</t>
  </si>
  <si>
    <t>SD Santo Yoseph</t>
  </si>
  <si>
    <t>SD Santo Yoseph - Jakarta</t>
  </si>
  <si>
    <t>SD Seraphine</t>
  </si>
  <si>
    <t>SD Singa School</t>
  </si>
  <si>
    <t>SD St Antonius Medan</t>
  </si>
  <si>
    <t xml:space="preserve">SD St. Carolus - Surabaya </t>
  </si>
  <si>
    <t>SD St. Yosef - Surabaya</t>
  </si>
  <si>
    <t>SD Stella Maris - Gading Serpong</t>
  </si>
  <si>
    <t>SD Stella Maris GS</t>
  </si>
  <si>
    <t>SD Taruna Bangsa</t>
  </si>
  <si>
    <t>SD Trinitas</t>
  </si>
  <si>
    <t>SD Xaverius 1 - Palembang</t>
  </si>
  <si>
    <t>SD Xaverius 1 Jambi</t>
  </si>
  <si>
    <t>SD Xaverius Kuala Tungkal</t>
  </si>
  <si>
    <t>SDK Sang Timur Tomang</t>
  </si>
  <si>
    <t>SDK Santa Maria - Tulungagung</t>
  </si>
  <si>
    <t>SDK Santa Maria Tlg</t>
  </si>
  <si>
    <t>SDK St. Antonius - Cakranegara</t>
  </si>
  <si>
    <t>SLTP Bethel - Petamburan</t>
  </si>
  <si>
    <t>SMA 1 Barunawati - Jakarta Barat</t>
  </si>
  <si>
    <t>SMA Abdi Siswa Bintaro</t>
  </si>
  <si>
    <t>SMA Abdi Siswa Patra</t>
  </si>
  <si>
    <t>SMA Al Izhar</t>
  </si>
  <si>
    <t>SMA Al Masih</t>
  </si>
  <si>
    <t>SMA BETHEL JAKARTA</t>
  </si>
  <si>
    <t>SMA Bunda Kandung</t>
  </si>
  <si>
    <t>SMA Cahaya</t>
  </si>
  <si>
    <t>SMA Charitas Jkt</t>
  </si>
  <si>
    <t>SMA Galatia Bekasi</t>
  </si>
  <si>
    <t>SMA Galatia Cengkareng</t>
  </si>
  <si>
    <t>SMA Immanuel Jelambar</t>
  </si>
  <si>
    <t>SMA Kalam Kudus Ambon</t>
  </si>
  <si>
    <t>SMA Kebon Dalem</t>
  </si>
  <si>
    <t>SMA Kristen Tunas Harapan - Bogor</t>
  </si>
  <si>
    <t>SMA Mahatma Gading</t>
  </si>
  <si>
    <t>SMA MY Bogor</t>
  </si>
  <si>
    <t>SMA MY Depok</t>
  </si>
  <si>
    <t>SMA Permai</t>
  </si>
  <si>
    <t>SMA Providentia - Jakarta Barat</t>
  </si>
  <si>
    <t>SMA Pusaka Abadi</t>
  </si>
  <si>
    <t>SMA Regina Pacis - Bogor</t>
  </si>
  <si>
    <t>SMA Regina Pacis Bogor</t>
  </si>
  <si>
    <t>SMA Semen Gresik</t>
  </si>
  <si>
    <t>SMA Sint Lui Semarang</t>
  </si>
  <si>
    <t>SMA St Petrus Sidikalang</t>
  </si>
  <si>
    <t>SMA St. Maria PKU</t>
  </si>
  <si>
    <t>SMA St. Yosep Duri</t>
  </si>
  <si>
    <t>SMA St.. Carolus - Surabaya</t>
  </si>
  <si>
    <t>SMA Stella Maris GS</t>
  </si>
  <si>
    <t>SMA Trinitas</t>
  </si>
  <si>
    <t>SMA Yadika I - Jakarta Barat</t>
  </si>
  <si>
    <t>SMK Bethel - Petamburan</t>
  </si>
  <si>
    <t>SMK BETHEL JAKARTA</t>
  </si>
  <si>
    <t>SMK IPT Karangpanas - Semarang</t>
  </si>
  <si>
    <t>SMK Tarakanita Lab 1</t>
  </si>
  <si>
    <t>SMP 1 Charitas - Blitang</t>
  </si>
  <si>
    <t>SMP 2 Charitas - Blitang</t>
  </si>
  <si>
    <t>SMP Abdi Siswa Bintaro</t>
  </si>
  <si>
    <t>SMP Abdi Siswa Patra</t>
  </si>
  <si>
    <t>SMP Abdi Siswa Tmn.Aries</t>
  </si>
  <si>
    <t>SMP Al Izhar</t>
  </si>
  <si>
    <t>SMP Al Masih</t>
  </si>
  <si>
    <t>SMP Alodia</t>
  </si>
  <si>
    <t>SMP Anugerah Abadi</t>
  </si>
  <si>
    <t>SMP Baptis Elim</t>
  </si>
  <si>
    <t>SMP BETHEL JAKARTA</t>
  </si>
  <si>
    <t>SMP BPK Penabur - Sentul</t>
  </si>
  <si>
    <t>SMP BPK Penabur Bogor</t>
  </si>
  <si>
    <t>SMP BPK Penabur Metro</t>
  </si>
  <si>
    <t>SMP Bunda Kandung</t>
  </si>
  <si>
    <t>SMP Cahaya</t>
  </si>
  <si>
    <t>SMP Charitas Jkt</t>
  </si>
  <si>
    <t>SMP Dewi Kunti</t>
  </si>
  <si>
    <t>SMP Galatia 2 - Jelambar</t>
  </si>
  <si>
    <t>SMP Galatia Bekasi</t>
  </si>
  <si>
    <t>SMP Galatia Cengkareng</t>
  </si>
  <si>
    <t>SMP HFS</t>
  </si>
  <si>
    <t>SMP Ignatius Medan</t>
  </si>
  <si>
    <t>SMP Immanuel Jelambar</t>
  </si>
  <si>
    <t>SMP Kalam Kudus Ambon</t>
  </si>
  <si>
    <t>SMP Kebon Dalem</t>
  </si>
  <si>
    <t>SMP Kristen Tunas Harapan - Bogor</t>
  </si>
  <si>
    <t>SMP Mahatma Gading</t>
  </si>
  <si>
    <t>SMP Marsudi Utami</t>
  </si>
  <si>
    <t>SMP MY Bogor</t>
  </si>
  <si>
    <t>SMP MY Cipanas</t>
  </si>
  <si>
    <t>SMP MY Depok</t>
  </si>
  <si>
    <t>SMP MY Rangkasbitung</t>
  </si>
  <si>
    <t>SMP Permai</t>
  </si>
  <si>
    <t>SMP Pius - Pekalongan</t>
  </si>
  <si>
    <t>SMP Providentia - Jakarta Barat</t>
  </si>
  <si>
    <t>SMP Pusaka Abadi</t>
  </si>
  <si>
    <t>SMP Regina Pacis - Bogor</t>
  </si>
  <si>
    <t>SMP Regina Pacis Bogor</t>
  </si>
  <si>
    <t>SMP Sang Timur Ciledug</t>
  </si>
  <si>
    <t>SMP Santo Paulus - Sunter</t>
  </si>
  <si>
    <t>SMP Santo Yoseph</t>
  </si>
  <si>
    <t>SMP Seraphine</t>
  </si>
  <si>
    <t>SMP St Paulus Sidikalang</t>
  </si>
  <si>
    <t>SMP St. Carolus - Surabaya</t>
  </si>
  <si>
    <t>SMP St. Maria PKU</t>
  </si>
  <si>
    <t>SMP St. Yosef - Surabaya</t>
  </si>
  <si>
    <t>SMP St. Yosep Duri</t>
  </si>
  <si>
    <t>SMP Stella Maris GS</t>
  </si>
  <si>
    <t>SMP Waringin</t>
  </si>
  <si>
    <t>SMP Yoannes XIII Semarang</t>
  </si>
  <si>
    <t xml:space="preserve">SMPK Santa Maria - Tulungagung </t>
  </si>
  <si>
    <t>SMU Bethel - Petamburan</t>
  </si>
  <si>
    <t>TK Abdi Siswa Tmn.Aries</t>
  </si>
  <si>
    <t>TK Al Izhar</t>
  </si>
  <si>
    <t>TK Al Masih</t>
  </si>
  <si>
    <t>TK Anugerah Abadi</t>
  </si>
  <si>
    <t>TK Baptis Elim</t>
  </si>
  <si>
    <t>TK Bethel - Petamburan</t>
  </si>
  <si>
    <t>TK Bethel Jakarta</t>
  </si>
  <si>
    <t>TK BPK Penabur - Sentul</t>
  </si>
  <si>
    <t>TK BPK Penabur Bogor</t>
  </si>
  <si>
    <t>TK Cahaya Nur</t>
  </si>
  <si>
    <t>TK Charitas Jkt</t>
  </si>
  <si>
    <t>TK Cor Jesu</t>
  </si>
  <si>
    <t>TK Galatia Bekasi</t>
  </si>
  <si>
    <t>TK Galatia Cengkareng</t>
  </si>
  <si>
    <t>TK Immanuel Jelambar</t>
  </si>
  <si>
    <t>TK Kalam Kudus Ambon</t>
  </si>
  <si>
    <t>TK Katolik Bunda Hati Kudus - Grogol</t>
  </si>
  <si>
    <t>TK Kebon Dalem 2</t>
  </si>
  <si>
    <t>TK Kristen Tunas Harapan - Bogor</t>
  </si>
  <si>
    <t>TK Mahatma Gading</t>
  </si>
  <si>
    <t>TK Mahatma Gading Internasional</t>
  </si>
  <si>
    <t>TK Maria Bintang Laut</t>
  </si>
  <si>
    <t>TK Marsudi Utami - Semarang</t>
  </si>
  <si>
    <t>TK Marsudirini Cor Jesu - Semarang</t>
  </si>
  <si>
    <t>TK Methodist 6 Medan</t>
  </si>
  <si>
    <t>TK Miriam</t>
  </si>
  <si>
    <t>TK MY Cianjur</t>
  </si>
  <si>
    <t>TK MY Cibadak</t>
  </si>
  <si>
    <t>TK MY Cicurug</t>
  </si>
  <si>
    <t>TK MY Cilegon</t>
  </si>
  <si>
    <t>TK MY Rangkasbitung</t>
  </si>
  <si>
    <t>TK MY Serang</t>
  </si>
  <si>
    <t>TK Patria Dharma</t>
  </si>
  <si>
    <t>TK Paulus Sunter</t>
  </si>
  <si>
    <t>TK Permai</t>
  </si>
  <si>
    <t>TK PERMATA MONIKA BEKASI</t>
  </si>
  <si>
    <t>TK Providentia</t>
  </si>
  <si>
    <t>TK PUSAKA ABADI JAKARTA</t>
  </si>
  <si>
    <t>TK Regina Pacis - Bogor</t>
  </si>
  <si>
    <t>TK Regina Pacis Bogor</t>
  </si>
  <si>
    <t>TK Rigatrik</t>
  </si>
  <si>
    <t>TK Sang Timur Ciledug</t>
  </si>
  <si>
    <t>TK Santo Fransiskus III Kayu Putih</t>
  </si>
  <si>
    <t>TK Santo Yoseph</t>
  </si>
  <si>
    <t>TK Santo Yoseph - Jakarta</t>
  </si>
  <si>
    <t>TK Sinar Matahari</t>
  </si>
  <si>
    <t>TK Singa School</t>
  </si>
  <si>
    <t>TK St. Agatha - Palembang</t>
  </si>
  <si>
    <t>TK Taruna Bangsa</t>
  </si>
  <si>
    <t>TK Trinitas</t>
  </si>
  <si>
    <t>TK Xaverius Ambon</t>
  </si>
  <si>
    <t>YPAK - SD Aloysius</t>
  </si>
  <si>
    <t xml:space="preserve">YPAK - TK Miryam </t>
  </si>
  <si>
    <t>New Customer TAB 23/24</t>
  </si>
  <si>
    <t>No</t>
  </si>
  <si>
    <t>Jenis Kerjasama</t>
  </si>
  <si>
    <t xml:space="preserve">Produk </t>
  </si>
  <si>
    <t>Kebutuhan Komputer</t>
  </si>
  <si>
    <t>Guru</t>
  </si>
  <si>
    <t>Sewa Beli</t>
  </si>
  <si>
    <t>Informatika Kurmer</t>
  </si>
  <si>
    <t>Laptop</t>
  </si>
  <si>
    <t>Paket Kurikulum</t>
  </si>
  <si>
    <t>Lisensi</t>
  </si>
  <si>
    <t>-</t>
  </si>
  <si>
    <t>Informatika Kurmer Berbasis ITPreneur</t>
  </si>
  <si>
    <t>SMK Tarakanita</t>
  </si>
  <si>
    <t>DKV Animasi + Informatik Kurmer</t>
  </si>
  <si>
    <t>Kontrak Pengajaran</t>
  </si>
  <si>
    <t>SmartTK</t>
  </si>
  <si>
    <t>TK Stella Maris GS</t>
  </si>
  <si>
    <t>SmartKids with Education.com</t>
  </si>
  <si>
    <t>SMA YPHB Bogor</t>
  </si>
  <si>
    <t>SD Charitas Blitang</t>
  </si>
  <si>
    <t>SMP Charitas Blitang</t>
  </si>
  <si>
    <t>TK Santa Theresia Cimahi</t>
  </si>
  <si>
    <t>SD Mardi Yuana Labuan</t>
  </si>
  <si>
    <t>SD Bunga Bangsa</t>
  </si>
  <si>
    <t>No Perjanjian</t>
  </si>
  <si>
    <t>Grade</t>
  </si>
  <si>
    <t>Kepala Sekolah</t>
  </si>
  <si>
    <t>Email</t>
  </si>
  <si>
    <t>Masa Kerja Sama</t>
  </si>
  <si>
    <t>Awal Kerja Sama</t>
  </si>
  <si>
    <t>Akhir Kerja Sama</t>
  </si>
  <si>
    <t>Jenis Kerja Sama</t>
  </si>
  <si>
    <t>Produk TIK</t>
  </si>
  <si>
    <t>Iuran Siswa/ Bulan</t>
  </si>
  <si>
    <t>Omzet Perbulan</t>
  </si>
  <si>
    <t>Harga Jual LKS</t>
  </si>
  <si>
    <t>Teknisi</t>
  </si>
  <si>
    <t>Sales</t>
  </si>
  <si>
    <t>Akademik</t>
  </si>
  <si>
    <t>Min. Jumlah Siswa</t>
  </si>
  <si>
    <t>Yayasan Regina Pacis FMM</t>
  </si>
  <si>
    <t>Sr. Christina Sri Murni, FMM</t>
  </si>
  <si>
    <t>A</t>
  </si>
  <si>
    <t xml:space="preserve">Margaret Eti Sulastri </t>
  </si>
  <si>
    <t>Sewa Pinjam</t>
  </si>
  <si>
    <t>Wahyu Piki Julianto</t>
  </si>
  <si>
    <t>Henry</t>
  </si>
  <si>
    <t>Yusuf</t>
  </si>
  <si>
    <t xml:space="preserve">Lousiana Cicih Sunarsih </t>
  </si>
  <si>
    <t xml:space="preserve">Agnes Atik Susilawati </t>
  </si>
  <si>
    <t xml:space="preserve">C. Retno Widayanti </t>
  </si>
  <si>
    <t>Yayasan Anakku</t>
  </si>
  <si>
    <t>Arnie Arifin</t>
  </si>
  <si>
    <t xml:space="preserve">Dra. Naily TAnjung </t>
  </si>
  <si>
    <t xml:space="preserve">Dwi </t>
  </si>
  <si>
    <t>Idy</t>
  </si>
  <si>
    <t>Joko</t>
  </si>
  <si>
    <t xml:space="preserve">Lulu </t>
  </si>
  <si>
    <t>SmartExplorer</t>
  </si>
  <si>
    <t xml:space="preserve">Gugum Prayoga </t>
  </si>
  <si>
    <t>Dwi</t>
  </si>
  <si>
    <t xml:space="preserve">Muh Ridwan </t>
  </si>
  <si>
    <t>Yayasan Pendidikan Permai</t>
  </si>
  <si>
    <t>William Chandra</t>
  </si>
  <si>
    <t>Heffy</t>
  </si>
  <si>
    <t>SEIS</t>
  </si>
  <si>
    <t>Calon</t>
  </si>
  <si>
    <t>Pami</t>
  </si>
  <si>
    <t>Doni</t>
  </si>
  <si>
    <t>SMP Permai Inter</t>
  </si>
  <si>
    <t xml:space="preserve">ITPreneur Inter </t>
  </si>
  <si>
    <t>Djoko Wihardjo</t>
  </si>
  <si>
    <t>Syukur kurnia indahwati, M.psi</t>
  </si>
  <si>
    <t>Syahrul Mubaroq</t>
  </si>
  <si>
    <t>Ibu Julita Johana</t>
  </si>
  <si>
    <t xml:space="preserve">Anne Maria </t>
  </si>
  <si>
    <t>ITPreneur</t>
  </si>
  <si>
    <t>Drs Robertus Kusnandar</t>
  </si>
  <si>
    <t>Yayasan Seri Amal</t>
  </si>
  <si>
    <t>Sr. Gaudensia Sihaloho, KSSY</t>
  </si>
  <si>
    <t>Tarcisia</t>
  </si>
  <si>
    <t>SmartProgram</t>
  </si>
  <si>
    <t>Jenderi Nadeak</t>
  </si>
  <si>
    <t>Danu</t>
  </si>
  <si>
    <t xml:space="preserve">Manotas Situmorang </t>
  </si>
  <si>
    <t>Seravina Gultom</t>
  </si>
  <si>
    <t>TK Fajar Medan</t>
  </si>
  <si>
    <t>Martha</t>
  </si>
  <si>
    <t>TK Ignatius Medan</t>
  </si>
  <si>
    <t>Virginia</t>
  </si>
  <si>
    <t>Pak Zega</t>
  </si>
  <si>
    <t>Malemta Lydia Pinem</t>
  </si>
  <si>
    <t>Prakarya SMP</t>
  </si>
  <si>
    <t>Nuriati Sapta Zega SP</t>
  </si>
  <si>
    <t xml:space="preserve">Rudi Simarmata </t>
  </si>
  <si>
    <t>S. Romana Pane</t>
  </si>
  <si>
    <t>Liston Sinurat</t>
  </si>
  <si>
    <t>Yayasan Tarakanita Surabaya</t>
  </si>
  <si>
    <t>Sr. Yudith M Maryani, CB, M.Pd. (Kepala Kantor)</t>
  </si>
  <si>
    <t>SMA St. Carolus - Surabaya</t>
  </si>
  <si>
    <t>B</t>
  </si>
  <si>
    <t>Yosianarti Poegoeh, M.Pd.</t>
  </si>
  <si>
    <t>Herlangga</t>
  </si>
  <si>
    <t>Bayu</t>
  </si>
  <si>
    <t>Unggul</t>
  </si>
  <si>
    <t>Novi Tribawanti, S.Pd.</t>
  </si>
  <si>
    <t>SD St. Carolus - Surabaya</t>
  </si>
  <si>
    <t>Anastasia Sulastri, S.Pd.</t>
  </si>
  <si>
    <t>Margareta Fitri Agustina, S.Si.</t>
  </si>
  <si>
    <t>Y. Joko Winarto, M.Pd.</t>
  </si>
  <si>
    <t>SDK R.A Kartini - Surabaya</t>
  </si>
  <si>
    <t>RRC. Retno Dewi T.H., S.Pd.</t>
  </si>
  <si>
    <t>Yayasan Prayoga Riau</t>
  </si>
  <si>
    <t>Leonardy Bancin</t>
  </si>
  <si>
    <t>Dodi Kusumo Adi</t>
  </si>
  <si>
    <t>Sapar</t>
  </si>
  <si>
    <t>Ch, Mulyani Agus Kurniati</t>
  </si>
  <si>
    <t>Theresia Sugiarti</t>
  </si>
  <si>
    <t>Sarinah Hutahaian</t>
  </si>
  <si>
    <t>Yayasan Karya Sang Timur Jakarta</t>
  </si>
  <si>
    <t>Sr. Hedwig, PIJ</t>
  </si>
  <si>
    <t>Sr Brigitta Pij</t>
  </si>
  <si>
    <t>Abdul Rohman</t>
  </si>
  <si>
    <t>Prapto</t>
  </si>
  <si>
    <t>Sr Klarisa Pij</t>
  </si>
  <si>
    <t>Sr Mariska Pij</t>
  </si>
  <si>
    <t>Sr Ursula Pij</t>
  </si>
  <si>
    <t>Mulyadi</t>
  </si>
  <si>
    <t>TK Sang Timur Cakung</t>
  </si>
  <si>
    <t>Sr Gertrudis Pij</t>
  </si>
  <si>
    <t>Zainla Mutaqin</t>
  </si>
  <si>
    <t>Sr Theresiana Pij</t>
  </si>
  <si>
    <t>Yayasan Abdi Siswa</t>
  </si>
  <si>
    <t>Jusuf Iskandar</t>
  </si>
  <si>
    <t>Agustina Retno Indriastuti</t>
  </si>
  <si>
    <t xml:space="preserve">Prakarya SMA </t>
  </si>
  <si>
    <t>Fani</t>
  </si>
  <si>
    <t>Santa Rita Dwi Astarini</t>
  </si>
  <si>
    <t>Maria Siwi Karyati</t>
  </si>
  <si>
    <t>Anastasia Martini</t>
  </si>
  <si>
    <t>Fransisca Budi Lestari</t>
  </si>
  <si>
    <t>E.T RISTRI NARYANTI .S.pd</t>
  </si>
  <si>
    <t>Drs. Antonius Mardiyono, MM.</t>
  </si>
  <si>
    <t>017/BSW-DIGINUSA/MOU/III/2020</t>
  </si>
  <si>
    <t>Yayasan Tarakanita Magelang</t>
  </si>
  <si>
    <t>Sr. Rosiana Susilo Astuti, CB</t>
  </si>
  <si>
    <t>SD Tarakanita Magelang</t>
  </si>
  <si>
    <t>C</t>
  </si>
  <si>
    <t>Bu Sri Sujanti</t>
  </si>
  <si>
    <t>M Nurfi Karim</t>
  </si>
  <si>
    <t>Wijaya</t>
  </si>
  <si>
    <t>Vita</t>
  </si>
  <si>
    <t>SMP Tarakanita Magelang</t>
  </si>
  <si>
    <t>Bu Rahayu</t>
  </si>
  <si>
    <t>SMA Tarakanita Magelang</t>
  </si>
  <si>
    <t>Pak Edi Purwono</t>
  </si>
  <si>
    <t>SMK X Pius Magelang</t>
  </si>
  <si>
    <t>Sr Antari Naning Yulianti CB</t>
  </si>
  <si>
    <t>SD Tarakanita Solo Baru</t>
  </si>
  <si>
    <t>Bu Sri Maryati</t>
  </si>
  <si>
    <t>SMP Tarakanita Solo Baru</t>
  </si>
  <si>
    <t>Joko Wiharjo, S.Pd.,M.Pd.</t>
  </si>
  <si>
    <t>TK Tarakanita Solo Baru</t>
  </si>
  <si>
    <t>Rosa Indah Kurnianingsih</t>
  </si>
  <si>
    <t>SMP Tarakanita Pendowo Ngablak</t>
  </si>
  <si>
    <t>Antonius Yulianus Budi Utomo</t>
  </si>
  <si>
    <t>Y. Suhermawan</t>
  </si>
  <si>
    <t>Yayasan Penyelengaraan Illahi</t>
  </si>
  <si>
    <t>Sr. Cendra Tan, PI</t>
  </si>
  <si>
    <t>Maria Natalina Rahmatingsih</t>
  </si>
  <si>
    <t>Angga</t>
  </si>
  <si>
    <t>Maria Dwi Nurwaningsih</t>
  </si>
  <si>
    <t>Edmandus Hari Pawarta</t>
  </si>
  <si>
    <t>Veronica Maria Sri Widyastuti</t>
  </si>
  <si>
    <t>Yustina Susilawati</t>
  </si>
  <si>
    <t>Sr. Yulianti PI, S.Pd, M.Ed</t>
  </si>
  <si>
    <t>Nanik Doso Arum Indah Lestari</t>
  </si>
  <si>
    <t>Maria Hiacinta Mulyani</t>
  </si>
  <si>
    <t>free</t>
  </si>
  <si>
    <t>Dra. Mc. Sri Lestari</t>
  </si>
  <si>
    <t>Cisilia Maria Dwi Yuanita</t>
  </si>
  <si>
    <t>Heny Widayanti</t>
  </si>
  <si>
    <t>Theresia Juliati Mulyaningrum</t>
  </si>
  <si>
    <t>Ana Emifiarsih</t>
  </si>
  <si>
    <t>Ibu Deetje Sontana</t>
  </si>
  <si>
    <t>Sr. Susana, P.I</t>
  </si>
  <si>
    <t>Pak Sapar</t>
  </si>
  <si>
    <t>Yohana Suharti</t>
  </si>
  <si>
    <t>Drs. Simeon Suhatna</t>
  </si>
  <si>
    <t>Anastasia Handayani</t>
  </si>
  <si>
    <t>Sr. Veronika, SDP</t>
  </si>
  <si>
    <t>Trisia</t>
  </si>
  <si>
    <t>Rp30.000 (angsuran komputer)</t>
  </si>
  <si>
    <t>Jeri</t>
  </si>
  <si>
    <t>Yayasan Mardi Yuana</t>
  </si>
  <si>
    <t>RD. Stefanus Sri Haryono Putro, S.S.</t>
  </si>
  <si>
    <t>Ibu. Maria Margaretha Reny Indriastuti</t>
  </si>
  <si>
    <t>010/BSW-DIGINUSA/MOU/V/2020</t>
  </si>
  <si>
    <t>RD. Ignatius Irwan S., M.Hum</t>
  </si>
  <si>
    <t>SD MY Cilegon</t>
  </si>
  <si>
    <t>Bp. D. Kartono</t>
  </si>
  <si>
    <t>SMP MY Cilegon</t>
  </si>
  <si>
    <t>Bp. Romanus Setyo Irwanto</t>
  </si>
  <si>
    <t>TK MY Depok</t>
  </si>
  <si>
    <t>Ibu, Stefani Wahyu</t>
  </si>
  <si>
    <t>Bp. Bernardinus Supriyana</t>
  </si>
  <si>
    <t>Ibu. Maria Yuliana Sulastri, M.pd.</t>
  </si>
  <si>
    <t>Ibu. Dra. Agnes Maria E. P</t>
  </si>
  <si>
    <t>SD MY Bogor</t>
  </si>
  <si>
    <t>Ibu. Juliana Siswodwirahaju</t>
  </si>
  <si>
    <t>Bp. Martinus Doro Wulon</t>
  </si>
  <si>
    <t>Ibu. Restituta Indwardanti</t>
  </si>
  <si>
    <t>Ibu. Fl. Wuryanti</t>
  </si>
  <si>
    <t>Asep Suryana</t>
  </si>
  <si>
    <t>SD MY Cicurug</t>
  </si>
  <si>
    <t>Bp. Yohanes Rajum</t>
  </si>
  <si>
    <t>Ibu. Indun Priyati</t>
  </si>
  <si>
    <t>Ibu. Eli Nurhartati</t>
  </si>
  <si>
    <t>Bp. Satrio</t>
  </si>
  <si>
    <t>Ibu. Cyrilla Eka Okta Setyawati</t>
  </si>
  <si>
    <t>SD MY Cibadak</t>
  </si>
  <si>
    <t>Sr. Maria Kristina Kolo</t>
  </si>
  <si>
    <t>Ibu. Dewi</t>
  </si>
  <si>
    <t>Dwi Susanto</t>
  </si>
  <si>
    <t>Bp. Tri Mugi</t>
  </si>
  <si>
    <t>011/BSW-DIGINUSA/MOU/V/2020</t>
  </si>
  <si>
    <t>SMP MY Serang</t>
  </si>
  <si>
    <t>Bp. Leo Agung Sugimin, M.Pd.</t>
  </si>
  <si>
    <t>SMA MY Serang</t>
  </si>
  <si>
    <t>Bp. Fransiskus Widarto, S. Pd.</t>
  </si>
  <si>
    <t>Bp. Fr. Sumarno</t>
  </si>
  <si>
    <t>Toto Nurbertus</t>
  </si>
  <si>
    <t>Yayasan Kesejahteraan Karyawan Pajak</t>
  </si>
  <si>
    <t>Ny. Santi Gina Hariati Rizal Atmaedy</t>
  </si>
  <si>
    <t>Pak Purwanto Bambang</t>
  </si>
  <si>
    <t>Ayu</t>
  </si>
  <si>
    <t>Yayasan Providentia</t>
  </si>
  <si>
    <t>Ibu Yani</t>
  </si>
  <si>
    <t>Desi</t>
  </si>
  <si>
    <t>Yayasan Mahatma Gading</t>
  </si>
  <si>
    <t>Wawan Santoso SH, LL.M</t>
  </si>
  <si>
    <t>Zainal Mutaqin</t>
  </si>
  <si>
    <t>Mis Anjeni</t>
  </si>
  <si>
    <t>Mis Okky Olivia</t>
  </si>
  <si>
    <t>Mis Erni</t>
  </si>
  <si>
    <t>Pak Suwito</t>
  </si>
  <si>
    <t>Pak Denis</t>
  </si>
  <si>
    <t>Yayasan Asti Dharma Cab. Cibubur</t>
  </si>
  <si>
    <t>TK BHK Cibubur</t>
  </si>
  <si>
    <t>Sr Agusta HK</t>
  </si>
  <si>
    <t>SD BHK Cibubur</t>
  </si>
  <si>
    <t>Sr Valen HK</t>
  </si>
  <si>
    <t xml:space="preserve">Yayasan Asti Dharma Cab. Grogol </t>
  </si>
  <si>
    <t>TK BHK Grogol</t>
  </si>
  <si>
    <t>Sr M Godeliva HK</t>
  </si>
  <si>
    <t>SD BHK Grogol</t>
  </si>
  <si>
    <t xml:space="preserve">Yayasan Pendidikan Penabur Bogor </t>
  </si>
  <si>
    <t>Aryawan</t>
  </si>
  <si>
    <t>Ibu. Valentine Kirana Herhayuningtyas, S.Si</t>
  </si>
  <si>
    <t>Burhan</t>
  </si>
  <si>
    <t>Ibu. Wiwit Ayu Fajar Riyanti</t>
  </si>
  <si>
    <t>Yayasan Pendidikan Penabur Bogor</t>
  </si>
  <si>
    <t>Bp. Andi Supriyana</t>
  </si>
  <si>
    <t>Yayasan Pendidikan Penabur Cianjur</t>
  </si>
  <si>
    <t>Edwin Sembiring, S.P.</t>
  </si>
  <si>
    <t>TK BPK Penabur Cianjur</t>
  </si>
  <si>
    <t>Ibu. Candra Maya</t>
  </si>
  <si>
    <t>Yayasan Pendidikan Penabur  Cianjur</t>
  </si>
  <si>
    <t>SD BPK Penabur Cianjur</t>
  </si>
  <si>
    <t>Ibu. Melly Widyawati</t>
  </si>
  <si>
    <t>SMP BPK Penabur Cianjur</t>
  </si>
  <si>
    <t>Ibu. Yuni Hafsari</t>
  </si>
  <si>
    <t>SMA BPK Penabur Cianjur</t>
  </si>
  <si>
    <t>Ibu. Andar Widayanti</t>
  </si>
  <si>
    <t>Yayasan St. Fransiskus</t>
  </si>
  <si>
    <t>Romo Matheus Batubara, OFM</t>
  </si>
  <si>
    <t>TK St.Fransiskus Kramat</t>
  </si>
  <si>
    <t>D</t>
  </si>
  <si>
    <t>Sr M. Mariana</t>
  </si>
  <si>
    <t>SD St.Fransiskus Kramat</t>
  </si>
  <si>
    <t>Pak Thomas</t>
  </si>
  <si>
    <t>SMP St.Fransiskus Kramat</t>
  </si>
  <si>
    <t>Bruder Triyono</t>
  </si>
  <si>
    <t>SMA St. Fransiskus Kramat</t>
  </si>
  <si>
    <t>Romo John</t>
  </si>
  <si>
    <t>SMK St.Fransiskus Kramat</t>
  </si>
  <si>
    <t>Pak Gunawan</t>
  </si>
  <si>
    <t>SMA St. Fransiskus Kp. Ambon</t>
  </si>
  <si>
    <t>Bu Mian</t>
  </si>
  <si>
    <t>SMK St. Fransiskus Kp. Ambon</t>
  </si>
  <si>
    <t>Bruder Rachmat</t>
  </si>
  <si>
    <t>Yayasan Dwi Bhakti</t>
  </si>
  <si>
    <t>Yuliana Retno Dwi W</t>
  </si>
  <si>
    <t>Yayasan Charitas Jakarta</t>
  </si>
  <si>
    <t>Sr. Immaculata, Fch</t>
  </si>
  <si>
    <t>Sr Amanda</t>
  </si>
  <si>
    <t>Sr Simonia</t>
  </si>
  <si>
    <t>Sr. M. Beatrix. Fch</t>
  </si>
  <si>
    <t>Yayasan Galatia</t>
  </si>
  <si>
    <t>Dra. Henny Sulaiman</t>
  </si>
  <si>
    <t>Bu Ani</t>
  </si>
  <si>
    <t>Nadia</t>
  </si>
  <si>
    <t>Bu Vera</t>
  </si>
  <si>
    <t>Pak Wasis</t>
  </si>
  <si>
    <t>Bu Jannet</t>
  </si>
  <si>
    <t>Puji Rahayu</t>
  </si>
  <si>
    <t>Emerita Hestu Maranani</t>
  </si>
  <si>
    <t>Sondang Hartati. S</t>
  </si>
  <si>
    <t>Drs. A. Hary Subagio</t>
  </si>
  <si>
    <t>Bu Sri Rejekiningsih</t>
  </si>
  <si>
    <t>Yayasan Pendidikan Gereja Methodist Medan</t>
  </si>
  <si>
    <t>Sahara, S.S., M.Pd</t>
  </si>
  <si>
    <t xml:space="preserve">Rolita Foryani Sinaga </t>
  </si>
  <si>
    <t>Jendri Nadeak</t>
  </si>
  <si>
    <t xml:space="preserve">Rossiani </t>
  </si>
  <si>
    <t>Lisa</t>
  </si>
  <si>
    <t>060/BSW-DIGINUSA/MOU/VIII/2019</t>
  </si>
  <si>
    <t>Yayasan Pantekosta Jelambar</t>
  </si>
  <si>
    <t>Julius P. Candra</t>
  </si>
  <si>
    <t>Sahara,s.s., M.pd.</t>
  </si>
  <si>
    <t>Louis Natalia Tanza</t>
  </si>
  <si>
    <t>Pak Hartono</t>
  </si>
  <si>
    <t>Pak Joko Mandono</t>
  </si>
  <si>
    <t>Yayasan Kartika</t>
  </si>
  <si>
    <t>SD Kartika Pesanggrahan</t>
  </si>
  <si>
    <t>Lisawati Pinem</t>
  </si>
  <si>
    <t>033/BSW-DIGINUSA/MOU/VII/2020</t>
  </si>
  <si>
    <t>Yayasan Syuradikara</t>
  </si>
  <si>
    <t>TK Amore</t>
  </si>
  <si>
    <t>Achmad Sjaefudin</t>
  </si>
  <si>
    <t>Threesna</t>
  </si>
  <si>
    <t>Wisnu</t>
  </si>
  <si>
    <t>SD Amore</t>
  </si>
  <si>
    <t>Elita Sari Girsang</t>
  </si>
  <si>
    <t>SMP Amore</t>
  </si>
  <si>
    <t>B Dwianto Edi Prakasa</t>
  </si>
  <si>
    <t>SMA Amore</t>
  </si>
  <si>
    <t>Edirondelino Manas</t>
  </si>
  <si>
    <t>Yayasan Pendidikan Pusaka Abadi</t>
  </si>
  <si>
    <t>Tinawati Sutjiawan</t>
  </si>
  <si>
    <t>Bu Yulika</t>
  </si>
  <si>
    <t>Pak Wui Yung</t>
  </si>
  <si>
    <t>Bu Azizah</t>
  </si>
  <si>
    <t>Yay. Pend. &amp; Kesejahteraan PT PLN</t>
  </si>
  <si>
    <t>Dra. Zubaedah</t>
  </si>
  <si>
    <t>Yayasan Suaka Insan Suster-Suster Santo Paulus dari Chartes</t>
  </si>
  <si>
    <t>Sr. Lucia Munde, SPC</t>
  </si>
  <si>
    <t>Ibu Chirstina</t>
  </si>
  <si>
    <t>Sr. Anna Maria, SPC</t>
  </si>
  <si>
    <t>SD St.Paulus Sunter</t>
  </si>
  <si>
    <t>BPk Kris</t>
  </si>
  <si>
    <t>SMP St.Paulus Sunter</t>
  </si>
  <si>
    <t>BPk Eddy</t>
  </si>
  <si>
    <t>Yayasan Santo Dominikus</t>
  </si>
  <si>
    <t>Bpk Tri</t>
  </si>
  <si>
    <t>Pendidikan Umum Bethel</t>
  </si>
  <si>
    <t>Isna Lasmaria</t>
  </si>
  <si>
    <t>Mery</t>
  </si>
  <si>
    <t>Ong Erlyana Natadipraja, S.Pd</t>
  </si>
  <si>
    <t>Roswita Sitorus</t>
  </si>
  <si>
    <t>FuturePro</t>
  </si>
  <si>
    <t>Ong Lyanna Natadipraja</t>
  </si>
  <si>
    <t>Ruspinus</t>
  </si>
  <si>
    <t>Yayasan Kesejahteraan Bhakti</t>
  </si>
  <si>
    <t>Umi Ambarwati</t>
  </si>
  <si>
    <t>Ibu Yuli</t>
  </si>
  <si>
    <t>Yayasan Asti Dharma Maluku Cab. Ambon</t>
  </si>
  <si>
    <t>Sr. M. Christella Hayon, PBHK</t>
  </si>
  <si>
    <t>Johanna Wulur</t>
  </si>
  <si>
    <t>Yayasan Pendidikan Sekolah Permata Monika</t>
  </si>
  <si>
    <t>Yeroham Febrianto</t>
  </si>
  <si>
    <t>Retno Pancasilawati</t>
  </si>
  <si>
    <t>Adam</t>
  </si>
  <si>
    <t>Martini</t>
  </si>
  <si>
    <t>Yayasan Harapan Tritunggal</t>
  </si>
  <si>
    <t>Frida Lusia Kumambong</t>
  </si>
  <si>
    <t>Budi Hartini</t>
  </si>
  <si>
    <t>Yayasan Nurul Falah Islamic Education Center</t>
  </si>
  <si>
    <t>Hj. Mutia Lismar, S.Pd</t>
  </si>
  <si>
    <t>TK NURUL FALAH ISLAMIC EDUCATION</t>
  </si>
  <si>
    <t>Sabenih</t>
  </si>
  <si>
    <t>Yayasan Paskalis Jakarta</t>
  </si>
  <si>
    <t>Rm. Thomas Ferry Suharto, OFM</t>
  </si>
  <si>
    <t>SD Paskalis</t>
  </si>
  <si>
    <t>Maria Rosalina</t>
  </si>
  <si>
    <t>SD Mikael</t>
  </si>
  <si>
    <t>Maria Dwi Lestari</t>
  </si>
  <si>
    <t>Yayasan Pendidikan Wisandya</t>
  </si>
  <si>
    <t>Petrus Widyatmoko</t>
  </si>
  <si>
    <t xml:space="preserve">Ibu Nuriti, S.Pd,.   </t>
  </si>
  <si>
    <t>Drs. Sutriyadi, SH, MM</t>
  </si>
  <si>
    <t>Spring Garden School</t>
  </si>
  <si>
    <t>SD Spring Garden</t>
  </si>
  <si>
    <t>Linda Tedjo Rachmawati</t>
  </si>
  <si>
    <t>SMP Spring Garden</t>
  </si>
  <si>
    <t>Nelly Betaria Manurung</t>
  </si>
  <si>
    <t>Yayasan Fioretti</t>
  </si>
  <si>
    <t>Sr. Alfonsa Simbolon, SFD</t>
  </si>
  <si>
    <t>SD Fioreti Tigaraksa</t>
  </si>
  <si>
    <t>Lubertus Agung S.Fil</t>
  </si>
  <si>
    <t>SMP Fioreti Tigaraksa</t>
  </si>
  <si>
    <t>Linoris Silalahi</t>
  </si>
  <si>
    <t>Yayasan Pendidikan Santo Bellarminus</t>
  </si>
  <si>
    <t>SD St.Bellarminus Bekasi</t>
  </si>
  <si>
    <t>Damasus Nowo Krist Prasetyo</t>
  </si>
  <si>
    <t>SMP St.Bellarminus Bekasi</t>
  </si>
  <si>
    <t>FX. Riyadi</t>
  </si>
  <si>
    <t>SMA St.Bellarminus Bekasi</t>
  </si>
  <si>
    <t>Petrus Yuli Susanto</t>
  </si>
  <si>
    <t>039/BSW-DIGINUSA/MOU/V/2019</t>
  </si>
  <si>
    <t>Yayasan Lembaga Miryam</t>
  </si>
  <si>
    <t>Sr. Elisa, HK</t>
  </si>
  <si>
    <t>SMP Xaverius teluk betung</t>
  </si>
  <si>
    <t xml:space="preserve">Paustinus Edi Kristanto </t>
  </si>
  <si>
    <t>Sudarmono</t>
  </si>
  <si>
    <t>Yayasan Panti Asuhan Katolik</t>
  </si>
  <si>
    <t>Veronica Tri Hartini, S.E., M.M.</t>
  </si>
  <si>
    <t>Raymundus Nonnatus Muklis Wiratmo</t>
  </si>
  <si>
    <t>Endarwati, S.pd, M.pd</t>
  </si>
  <si>
    <t>002/BSW-DIGINUSA/MOU/I/2020</t>
  </si>
  <si>
    <t>Vincentius Suroto</t>
  </si>
  <si>
    <t>Herybertus Priya Sulistya</t>
  </si>
  <si>
    <t>003/BSW-DIGINUSA/MOU/I/2020</t>
  </si>
  <si>
    <t>Yayasan Pendidikan Semeru Soemadhiharga</t>
  </si>
  <si>
    <t>R.E. Sugiandhina</t>
  </si>
  <si>
    <t>Sri Suryati</t>
  </si>
  <si>
    <t>Betsy Vernoleta</t>
  </si>
  <si>
    <t>Yayasan Baptis Elim</t>
  </si>
  <si>
    <t>Yusuf Suryo Darmanto</t>
  </si>
  <si>
    <t>Diana Kurniawati</t>
  </si>
  <si>
    <t>Nunuk Tri Lestari</t>
  </si>
  <si>
    <t>Sri Wahyuningsih</t>
  </si>
  <si>
    <t>Almasih Christian School</t>
  </si>
  <si>
    <t>Ibu Grace</t>
  </si>
  <si>
    <t>Yayasan Sakyamuni</t>
  </si>
  <si>
    <t xml:space="preserve">Marmimi </t>
  </si>
  <si>
    <t>Tusin</t>
  </si>
  <si>
    <t>Yayasan BPK Penabur Metro</t>
  </si>
  <si>
    <t xml:space="preserve">Yohana Kalvarita </t>
  </si>
  <si>
    <t>Vincentia Hariyati</t>
  </si>
  <si>
    <t>FX Oktaf Laudensius</t>
  </si>
  <si>
    <t>Yayasan St. Agatha</t>
  </si>
  <si>
    <t>K.S. Tjeni (Bendahara Yayasan)</t>
  </si>
  <si>
    <t>Andri Widi Susanti</t>
  </si>
  <si>
    <t>Informatika</t>
  </si>
  <si>
    <t>Yayasan Melania Jkt</t>
  </si>
  <si>
    <t>Suhartini S W, S.E.</t>
  </si>
  <si>
    <t>TK Melania Percetakan Negara</t>
  </si>
  <si>
    <t>Ferianty Elizabeth T</t>
  </si>
  <si>
    <t>SD Melania Percetakan Negara</t>
  </si>
  <si>
    <t>Flora Masta Sinaga</t>
  </si>
  <si>
    <t>SMP Melania Percetakan Negara</t>
  </si>
  <si>
    <t>Pak Ari</t>
  </si>
  <si>
    <t>TK Melania Mangga Besar</t>
  </si>
  <si>
    <t>Ibu Ceacilia</t>
  </si>
  <si>
    <t>SD Melania Mangga Besar</t>
  </si>
  <si>
    <t>Pak Nandus</t>
  </si>
  <si>
    <t>SMP Melania Mangga Besar</t>
  </si>
  <si>
    <t xml:space="preserve">Ayu Pebrina Dewi Setyorini </t>
  </si>
  <si>
    <t>Yayasan Widya Maria</t>
  </si>
  <si>
    <t>Drs. H. Y. Dite Haryoko</t>
  </si>
  <si>
    <t>TK St.Maria Prabumulih</t>
  </si>
  <si>
    <t>Antonia Tumijah</t>
  </si>
  <si>
    <t>SD St.Maria Prabumulih</t>
  </si>
  <si>
    <t>Laurensia Abong</t>
  </si>
  <si>
    <t>SMP St.Maria Prabumulih</t>
  </si>
  <si>
    <t>Eva Rimna Sinulingga</t>
  </si>
  <si>
    <t>PT Bina Cahaya Abadi</t>
  </si>
  <si>
    <t>Bu Dra Sriyati</t>
  </si>
  <si>
    <t>SD Xaverius 1 Palembang</t>
  </si>
  <si>
    <t>Sr. Modesta, HK</t>
  </si>
  <si>
    <t>Stefanus Sudarmono</t>
  </si>
  <si>
    <t>SMP Xaverius 6 Palembang</t>
  </si>
  <si>
    <t>Sr. Marcella Sumarsih, HK. S.Pd.</t>
  </si>
  <si>
    <t>Sekolah Taruna Bangsa</t>
  </si>
  <si>
    <t>Ling Ling Dewi Muniarti, S.E.</t>
  </si>
  <si>
    <t>Nur Aliyah, S.Pd.SD</t>
  </si>
  <si>
    <t xml:space="preserve">Ephi Sutisna </t>
  </si>
  <si>
    <t>Yayasan Kasih Abadi</t>
  </si>
  <si>
    <t>Michel Sanjaya</t>
  </si>
  <si>
    <t xml:space="preserve">Linda </t>
  </si>
  <si>
    <t>Ms. Nina Francesca Fuentes-Genardo</t>
  </si>
  <si>
    <t>Yayasan Xaverius Palembang</t>
  </si>
  <si>
    <t>C. Mujito, S.Pd (Kepala Kantor Perwakilan  YXP)</t>
  </si>
  <si>
    <t xml:space="preserve">Maryanti </t>
  </si>
  <si>
    <t>Rika</t>
  </si>
  <si>
    <t xml:space="preserve">Thomas Klimin </t>
  </si>
  <si>
    <t>Yayasan Pendidikan Regina Pacis FMM Cab. Jambi</t>
  </si>
  <si>
    <t>YPK Anugerah Abadi</t>
  </si>
  <si>
    <t>Caroline Grace Marlyn, SE</t>
  </si>
  <si>
    <t>Fransiskus Pranoto</t>
  </si>
  <si>
    <t>Partono</t>
  </si>
  <si>
    <t>Yayasan Pendidikan Nitya Bhakti</t>
  </si>
  <si>
    <t>Sr. Hilda Sri Purwaningsih, OSU</t>
  </si>
  <si>
    <t>SD St.Maria Juanda</t>
  </si>
  <si>
    <t xml:space="preserve">Juliati sofia </t>
  </si>
  <si>
    <t>Yayasan Salib Suci Bandung</t>
  </si>
  <si>
    <t>Pst. Dr. Fransiskus Samong, OSC</t>
  </si>
  <si>
    <t>SD Ign. Slamet Riyadi Karawang</t>
  </si>
  <si>
    <t xml:space="preserve">Gaudentia Nina Suhastuti </t>
  </si>
  <si>
    <t>Yulis</t>
  </si>
  <si>
    <t>Yayasan Taruna Bakti</t>
  </si>
  <si>
    <t>Ibramsyah Amir, S.E., M.B.A. Tech.</t>
  </si>
  <si>
    <t>SD Taruna Bakti Bandung</t>
  </si>
  <si>
    <t>Irma Meirani</t>
  </si>
  <si>
    <t>Elias Lake</t>
  </si>
  <si>
    <t>Sr. Feliciana, OSF</t>
  </si>
  <si>
    <t>Yayasan Karya Sang Timur</t>
  </si>
  <si>
    <t>Elisabeth Murniati, S.Pd.</t>
  </si>
  <si>
    <t>Yayasan Yohanes Gabriel</t>
  </si>
  <si>
    <t>RD. Antonius Iwan Setyabudi</t>
  </si>
  <si>
    <t>SMAK St.Tomas Aquino Tulungagung</t>
  </si>
  <si>
    <t>Bernardus Didik Sumarsono</t>
  </si>
  <si>
    <t>Fauzi</t>
  </si>
  <si>
    <t>Yayasan Kalam Kudus  Indonesia Cabang  Surabaya (YKKI)</t>
  </si>
  <si>
    <t>Sieto Nini Bachry</t>
  </si>
  <si>
    <t xml:space="preserve">Augie Constanta Pentury </t>
  </si>
  <si>
    <t>Diana Taniwel</t>
  </si>
  <si>
    <t>Siintia Alberthina Nanuru</t>
  </si>
  <si>
    <t>Herlin Pattipeilohy</t>
  </si>
  <si>
    <t>Choirul Fauzi, M.Pd.I</t>
  </si>
  <si>
    <t>Yayasan Anak Bangsa</t>
  </si>
  <si>
    <t>SMA Anak Bangsa</t>
  </si>
  <si>
    <t>Yayasan Margie</t>
  </si>
  <si>
    <t>Listiyani Hadiwidjaja, S.E., M.Fin.</t>
  </si>
  <si>
    <t>TK Margie</t>
  </si>
  <si>
    <t>Siti Aisa</t>
  </si>
  <si>
    <t>Sri Edawati</t>
  </si>
  <si>
    <t>SMP Margie</t>
  </si>
  <si>
    <t>Dini Hapsari</t>
  </si>
  <si>
    <t>SMA Margie</t>
  </si>
  <si>
    <t>PLT - Dini Hapsari</t>
  </si>
  <si>
    <t>Yayasan Happy Family School</t>
  </si>
  <si>
    <t>Eddy Soeprapto</t>
  </si>
  <si>
    <t>Ms. Irene Fransisca Caturtiasih, S.H.,M.M.</t>
  </si>
  <si>
    <t>Ms. Fifi Trisnawati, S.T., M.M.</t>
  </si>
  <si>
    <t>PT. Masa Depan Cemerlang</t>
  </si>
  <si>
    <t>Inge Tenggara</t>
  </si>
  <si>
    <t>TK Luveta</t>
  </si>
  <si>
    <t>PLT - Yosi Eka Mulyaningsih</t>
  </si>
  <si>
    <t>SD Luveta</t>
  </si>
  <si>
    <t>Yosi Eka Mulyaningsih</t>
  </si>
  <si>
    <t>Yayasan Paratha Bhakti</t>
  </si>
  <si>
    <t>SD St. Maria - Surabaya</t>
  </si>
  <si>
    <t>Yunitha Ike Christyowati, S.Pd</t>
  </si>
  <si>
    <t>Drs. Madhari</t>
  </si>
  <si>
    <t>Yayasan Abdi Karya</t>
  </si>
  <si>
    <t>SMA Yadika 1</t>
  </si>
  <si>
    <t>Dra. Luky Mardiana</t>
  </si>
  <si>
    <t>Yuliana Astarina M S.Pd.</t>
  </si>
  <si>
    <t>Intra</t>
  </si>
  <si>
    <t>Robotik</t>
  </si>
  <si>
    <t>Fauzy</t>
  </si>
  <si>
    <t>Yayasan Pelita Kasih Abadi</t>
  </si>
  <si>
    <t>Elsje Tjandinegara</t>
  </si>
  <si>
    <t>SD Santo Antonius dari Padua - Tangerang</t>
  </si>
  <si>
    <t>Margriet Utami Taher</t>
  </si>
  <si>
    <t>Yoni</t>
  </si>
  <si>
    <t>SDIT Ar Rayyan - Surabaya</t>
  </si>
  <si>
    <t>Muhammad Farid Ma'ruf, M.Pd.</t>
  </si>
  <si>
    <t>Ekskul</t>
  </si>
  <si>
    <t xml:space="preserve">John Paul's Primary School - Bekasi </t>
  </si>
  <si>
    <t>Mario Naulibasa Tamba</t>
  </si>
  <si>
    <t>Yayasan Salib Suci</t>
  </si>
  <si>
    <t>SD Ignatius Slamet Riyadi - Karawang</t>
  </si>
  <si>
    <t>Goudentia Nina Suhasti</t>
  </si>
  <si>
    <t>SMP Ignatius Slamet Riyadi - Karawang</t>
  </si>
  <si>
    <t>Fransisca Dwi Sariasmara, S.T.</t>
  </si>
  <si>
    <t>Sr. M. Agnesita Pujiati, OSF</t>
  </si>
  <si>
    <t>SD Xaverius 1 - Jambi</t>
  </si>
  <si>
    <t>Sr. Emiliana Surajinah, FMM, S.Pd., M.Pd.</t>
  </si>
  <si>
    <t>Yayasan Dhira Bhakti</t>
  </si>
  <si>
    <t>SMP Tarakanita 2 - Pluit</t>
  </si>
  <si>
    <t>Yayasan Tunas Harapan</t>
  </si>
  <si>
    <t>SD St Maria Juanda</t>
  </si>
  <si>
    <t>Yayasan Sekar Laut Pelni</t>
  </si>
  <si>
    <t>Dra. Tri Ujiati, M.Pd</t>
  </si>
  <si>
    <t>TK Cahaya Sakti - Jatinegara</t>
  </si>
  <si>
    <t>SD Cahaya Sakti - Jatinegara</t>
  </si>
  <si>
    <t>SMP Xaverius 1 - Bandar Lampung</t>
  </si>
  <si>
    <t>Herlangga Satriyanto</t>
  </si>
  <si>
    <t>Yayasan BPK Penabur Bogor</t>
  </si>
  <si>
    <t>Yayasan Bina Murni</t>
  </si>
  <si>
    <t xml:space="preserve">Dodi Kusuma Adi </t>
  </si>
  <si>
    <t>Robologee</t>
  </si>
  <si>
    <t>Reza</t>
  </si>
  <si>
    <t>SD BHK - Grogol</t>
  </si>
  <si>
    <t>Santo Paulus - Sunter</t>
  </si>
  <si>
    <t>SMKS Yadika 3 - Jakarta</t>
  </si>
  <si>
    <t>Suroto</t>
  </si>
  <si>
    <t>SMKS Yadika 6 - Bekasi</t>
  </si>
  <si>
    <t>SMAS Yadika 4 - Bekasi</t>
  </si>
  <si>
    <t>SMA YPHB - Bogor</t>
  </si>
  <si>
    <t>Joko Pitoyo, S.Pd., M.M.</t>
  </si>
  <si>
    <t>4 bulan</t>
  </si>
  <si>
    <t>New</t>
  </si>
  <si>
    <t>TK BHK - Grogol</t>
  </si>
  <si>
    <t>TK Ignatius Slamet Riyadi - Karawang</t>
  </si>
  <si>
    <t>Abdul Latief</t>
  </si>
  <si>
    <t>SD St. Theresia - Jakarta</t>
  </si>
  <si>
    <t>SMA Yadika 1 - Jakarta Barat</t>
  </si>
  <si>
    <t>SMK Yadika 2 - Jakarta Barat</t>
  </si>
  <si>
    <t>SMA Yadika 5 - Jakarta Barat</t>
  </si>
  <si>
    <t>SMK Yadika 10 - Tangerang</t>
  </si>
  <si>
    <t>Santo Markus - Kramat Jati</t>
  </si>
  <si>
    <t>Yayasan Tarakanita Jakarta</t>
  </si>
  <si>
    <t>SMA Tarakanita 2 - Pluit</t>
  </si>
  <si>
    <t>Sekolah Permai</t>
  </si>
  <si>
    <t>Xaverius Tanjung Karang</t>
  </si>
  <si>
    <t>SD Xaverius Panjang</t>
  </si>
  <si>
    <t>SD Xaverius 1 Teluk Betung</t>
  </si>
  <si>
    <t>SMP Santo Paulus - Sidikalang</t>
  </si>
  <si>
    <t>SD Barunawati</t>
  </si>
  <si>
    <t>SD Santo Paulus - Sidikalang</t>
  </si>
  <si>
    <t>SD Xaverius Way Halim - Bandar Lampung</t>
  </si>
  <si>
    <t xml:space="preserve">SD Marsudirini BSB - Semarang </t>
  </si>
  <si>
    <t>TK St. Theresia - Cimahi</t>
  </si>
  <si>
    <t>SD BHK - Cibubur</t>
  </si>
  <si>
    <t>Sr. M. Valentine A. Pawarrangan, PBHK</t>
  </si>
  <si>
    <t>TK Stella Maris - BSD</t>
  </si>
  <si>
    <t>Free</t>
  </si>
  <si>
    <t>SD Stella Maris - BSD</t>
  </si>
  <si>
    <t>SMP Stella Maris - BSD</t>
  </si>
  <si>
    <t>SMA Stella Maris - BSD</t>
  </si>
  <si>
    <t>TK Santo Yosep - Pekalongan</t>
  </si>
  <si>
    <t>SD Nurul Falah Islamic Education Center - Bekasi</t>
  </si>
  <si>
    <t>LKS Smart Program Rp25.000</t>
  </si>
  <si>
    <t>Yayasan Widya Maria - Prabumulih</t>
  </si>
  <si>
    <t>TK Stella Maris - Gading Serpong</t>
  </si>
  <si>
    <t>SD Pondok Pesantren Al-Qur'an Tansyitul Mutak'allimin - Citayem</t>
  </si>
  <si>
    <t>SDK Sang Timur - Tomang</t>
  </si>
  <si>
    <t>SMA Kebon Dalem - Semarang</t>
  </si>
  <si>
    <t>SD Kebon Dalem 2 - Semarang</t>
  </si>
  <si>
    <t>SD Pangudi Utami - Temanggung</t>
  </si>
  <si>
    <t>Yayasan Xaverius Tanjung Karang</t>
  </si>
  <si>
    <t xml:space="preserve">Angga </t>
  </si>
  <si>
    <t>SMKS Yadika Soreang Bandung</t>
  </si>
  <si>
    <t>SMA Ignatius - Medan</t>
  </si>
  <si>
    <t>SMA St. Petrus - Sidikalang</t>
  </si>
  <si>
    <t>SD Ignatius - Medan</t>
  </si>
  <si>
    <t>SD Tarakanita 1 - Barito</t>
  </si>
  <si>
    <t>SMP Stella Matutina - Salatiga</t>
  </si>
  <si>
    <t>Sekolah SD Abdi Wacana - Bogor</t>
  </si>
  <si>
    <t>Smart Explorer</t>
  </si>
  <si>
    <t>TK Mater Dei Marsudirini</t>
  </si>
  <si>
    <t>Smart TK</t>
  </si>
  <si>
    <t>TK Taruna Bakti</t>
  </si>
  <si>
    <t>4 tahun</t>
  </si>
  <si>
    <t>30 Juni 2027</t>
  </si>
  <si>
    <t>Asep</t>
  </si>
  <si>
    <t>Future Pro</t>
  </si>
  <si>
    <t>SD Candle Tree School</t>
  </si>
  <si>
    <t>1 tahun</t>
  </si>
  <si>
    <t>flat</t>
  </si>
  <si>
    <t>Dodi</t>
  </si>
  <si>
    <t>SMA Candle Tree School</t>
  </si>
  <si>
    <t>3 tahun</t>
  </si>
  <si>
    <t>SD YPPK St. Sisilia - Manokwari</t>
  </si>
  <si>
    <t>2 tahun</t>
  </si>
  <si>
    <t>Yayasan Tarakanita Wilayah Surabaya</t>
  </si>
  <si>
    <t>TK Sang Timur - Cakung</t>
  </si>
  <si>
    <t>Fadhil</t>
  </si>
  <si>
    <t>31 Mei 2026</t>
  </si>
  <si>
    <t>Nurfi</t>
  </si>
  <si>
    <t>SD Katolik Bunda Hati Kudus - Grogol</t>
  </si>
  <si>
    <t>TK BPK Penabur - Cianjur</t>
  </si>
  <si>
    <t>SD BPK Penabur - Cianjur</t>
  </si>
  <si>
    <t>SMP BPK Penabur - Cianjur</t>
  </si>
  <si>
    <t>SMA BPK Penabur - Cianjur</t>
  </si>
  <si>
    <t>SD Telkom - Batam</t>
  </si>
  <si>
    <t>31 Mei 2027</t>
  </si>
  <si>
    <t>Latief</t>
  </si>
  <si>
    <t>TK Nurul Falah</t>
  </si>
  <si>
    <t>SD Nurul Falah</t>
  </si>
  <si>
    <t>Sudar</t>
  </si>
  <si>
    <t>Yayasan Seri Amal Medan</t>
  </si>
  <si>
    <t>SMP Xaverius 6 - Palembang</t>
  </si>
  <si>
    <t>Yayasan Penyelenggara Ilahi Indonesia</t>
  </si>
  <si>
    <t>SMP St. Yoseph - Jakarta</t>
  </si>
  <si>
    <t>Elias</t>
  </si>
  <si>
    <t>TK BHK Kota Wisata - Cibubur</t>
  </si>
  <si>
    <t>SMK Tarakanita - Jakarta</t>
  </si>
  <si>
    <t>SD St. Antonius dari Padua</t>
  </si>
  <si>
    <t>TK Margie - Surabaya</t>
  </si>
  <si>
    <t>SD Margie - Surabaya</t>
  </si>
  <si>
    <t>SMP Margie - Surabaya</t>
  </si>
  <si>
    <t>SMA Margie - Surabaya</t>
  </si>
  <si>
    <t>SD Paskalis Tanah Tinggi</t>
  </si>
  <si>
    <t>SD Michael</t>
  </si>
  <si>
    <t>SD Permai Internasional - Pluit</t>
  </si>
  <si>
    <t>SMP Permai Internasional - Pluit</t>
  </si>
  <si>
    <t>SMA Permai Internasional - Pluit</t>
  </si>
  <si>
    <t>SD Xaverius 2 - Jambi</t>
  </si>
  <si>
    <t>TK Al Masih - Jakarta Barat</t>
  </si>
  <si>
    <t>SD Al Masih - Jakarta Barat</t>
  </si>
  <si>
    <t>SMP Al Masih - Jakarta Barat</t>
  </si>
  <si>
    <t>SMA Al Masih - Jakarta Barat</t>
  </si>
  <si>
    <t>TK Miryam - Semarang</t>
  </si>
  <si>
    <t>SD St. Aloysius - Semarang</t>
  </si>
  <si>
    <t>SMP Yoannes XXIII - Semarang</t>
  </si>
  <si>
    <t>SMA St.  Louis - Semarang</t>
  </si>
  <si>
    <t>Retention</t>
  </si>
  <si>
    <t>Yayasan</t>
  </si>
  <si>
    <t>Ketua Yayasan</t>
  </si>
  <si>
    <t>(90% Rp51.000 &amp; 10% Rp22.500)</t>
  </si>
  <si>
    <t>(90% Rp56.000 &amp; 10% Rp32.500)</t>
  </si>
  <si>
    <t>Michael Tjung</t>
  </si>
  <si>
    <t xml:space="preserve"> Tavip</t>
  </si>
  <si>
    <t>Tavip</t>
  </si>
  <si>
    <t>Sr. Gerarda Sinaga, KSSY</t>
  </si>
  <si>
    <t xml:space="preserve">Vita </t>
  </si>
  <si>
    <t>SMA Carolus</t>
  </si>
  <si>
    <t>SMP Carolus</t>
  </si>
  <si>
    <t>SMP Yosef</t>
  </si>
  <si>
    <t>SD Yosef</t>
  </si>
  <si>
    <t>Maria Supriati</t>
  </si>
  <si>
    <t>Pak Ade (Vita)</t>
  </si>
  <si>
    <t xml:space="preserve">Pak Supri </t>
  </si>
  <si>
    <t xml:space="preserve">Unggul </t>
  </si>
  <si>
    <t>Pak Supri</t>
  </si>
  <si>
    <t>Pak Tavip</t>
  </si>
  <si>
    <t>Pak Ade</t>
  </si>
  <si>
    <t>Sr Winanda HK</t>
  </si>
  <si>
    <t>Sr Patrisiana HK</t>
  </si>
  <si>
    <t>Ny. Gustina Anjar Winarni</t>
  </si>
  <si>
    <t>Mas Doni</t>
  </si>
  <si>
    <t>Ibu Ima</t>
  </si>
  <si>
    <t xml:space="preserve">Pak Tavip </t>
  </si>
  <si>
    <t>Dra. Erna Karundeng, MA</t>
  </si>
  <si>
    <t>Merry</t>
  </si>
  <si>
    <t>Singa School</t>
  </si>
  <si>
    <t>Mas Yusuf</t>
  </si>
  <si>
    <t xml:space="preserve">Doni </t>
  </si>
  <si>
    <r>
      <t xml:space="preserve">dr. Alexander K Ruslim, </t>
    </r>
    <r>
      <rPr>
        <u/>
        <sz val="10"/>
        <color rgb="FF1155CC"/>
        <rFont val="Arial"/>
        <family val="2"/>
      </rPr>
      <t>Sp.PK</t>
    </r>
  </si>
  <si>
    <r>
      <t xml:space="preserve">dr. Alexander K Ruslim, </t>
    </r>
    <r>
      <rPr>
        <u/>
        <sz val="10"/>
        <color rgb="FF1155CC"/>
        <rFont val="Arial"/>
        <family val="2"/>
      </rPr>
      <t>Sp.PK</t>
    </r>
  </si>
  <si>
    <r>
      <t xml:space="preserve">Tini, </t>
    </r>
    <r>
      <rPr>
        <u/>
        <sz val="10"/>
        <color rgb="FF1155CC"/>
        <rFont val="Arial"/>
        <family val="2"/>
      </rPr>
      <t>S.Si</t>
    </r>
    <r>
      <rPr>
        <sz val="10"/>
        <color rgb="FF000000"/>
        <rFont val="Arial"/>
        <scheme val="minor"/>
      </rPr>
      <t>, APt</t>
    </r>
  </si>
  <si>
    <t>Sr. Modesta HK</t>
  </si>
  <si>
    <t>Matheus Haryanto, S. Pd</t>
  </si>
  <si>
    <t>Cornelius Surata, S.Pd</t>
  </si>
  <si>
    <t>Yohana Suciningtyas, S.Pd</t>
  </si>
  <si>
    <t>SMA St.Tomas Aquino Tulungagung</t>
  </si>
  <si>
    <r>
      <t xml:space="preserve">Simeon Sulistyo, S.Psi., </t>
    </r>
    <r>
      <rPr>
        <u/>
        <sz val="10"/>
        <color rgb="FF1155CC"/>
        <rFont val="Arial"/>
        <family val="2"/>
      </rPr>
      <t>M.Sc</t>
    </r>
    <r>
      <rPr>
        <sz val="10"/>
        <color rgb="FF000000"/>
        <rFont val="Arial"/>
        <scheme val="minor"/>
      </rPr>
      <t>., M.Pd. (HRD)</t>
    </r>
  </si>
  <si>
    <r>
      <t xml:space="preserve">Simeon Sulistyo, S.Psi., </t>
    </r>
    <r>
      <rPr>
        <u/>
        <sz val="10"/>
        <color rgb="FF1155CC"/>
        <rFont val="Arial"/>
        <family val="2"/>
      </rPr>
      <t>M.Sc</t>
    </r>
    <r>
      <rPr>
        <sz val="10"/>
        <color rgb="FF000000"/>
        <rFont val="Arial"/>
        <scheme val="minor"/>
      </rPr>
      <t>., M.Pd. (HRD)</t>
    </r>
  </si>
  <si>
    <r>
      <t xml:space="preserve">Simeon Sulistyo, S.Psi., </t>
    </r>
    <r>
      <rPr>
        <u/>
        <sz val="10"/>
        <color rgb="FF1155CC"/>
        <rFont val="Arial"/>
        <family val="2"/>
      </rPr>
      <t>M.Sc</t>
    </r>
    <r>
      <rPr>
        <sz val="10"/>
        <color rgb="FF000000"/>
        <rFont val="Arial"/>
        <scheme val="minor"/>
      </rPr>
      <t>., M.Pd. (HRD)</t>
    </r>
  </si>
  <si>
    <t>SD Santa Maria Surabaya</t>
  </si>
  <si>
    <t>Koordinator Sekolah</t>
  </si>
  <si>
    <t xml:space="preserve">Tanggal Pembayaran </t>
  </si>
  <si>
    <t>Jumlah Guru</t>
  </si>
  <si>
    <t>Status Guru</t>
  </si>
  <si>
    <t>Nama Guru</t>
  </si>
  <si>
    <t>Petugas Teknisi</t>
  </si>
  <si>
    <t>001/BSW-DIGINUSA/MOU/I/2019</t>
  </si>
  <si>
    <t>SMA 1 Barunawati - Petamburan</t>
  </si>
  <si>
    <t>1 Juli 2019</t>
  </si>
  <si>
    <t>30 Juni 2022</t>
  </si>
  <si>
    <t>Idy Setiady</t>
  </si>
  <si>
    <t>002/BSW-DIGINUSA/MOU/I/2019</t>
  </si>
  <si>
    <t>Yayasan Pendidikan Ignatius Slamet Riyadi</t>
  </si>
  <si>
    <t>SMA Ignatius Slamet Riyadi - Jakarta</t>
  </si>
  <si>
    <t>Dra. MB. Nina Dwi Esti Prabandari</t>
  </si>
  <si>
    <t>7 Januari 2019</t>
  </si>
  <si>
    <t>30 Juni 2021</t>
  </si>
  <si>
    <t>Zainal Muttaqin</t>
  </si>
  <si>
    <t>Hariyanto</t>
  </si>
  <si>
    <t>003/BSW-DIGINUSA/MOU/I/2019</t>
  </si>
  <si>
    <t>Yayasan Pendidikan Islam Terpadu "Bani Saleh"</t>
  </si>
  <si>
    <t>SD Bani Saleh</t>
  </si>
  <si>
    <t>Mulyana</t>
  </si>
  <si>
    <t>Smart Program</t>
  </si>
  <si>
    <t>Sahry</t>
  </si>
  <si>
    <t>SMP Bani Saleh</t>
  </si>
  <si>
    <t>004/BSW-DIGINUSA/SK/VIII/2019</t>
  </si>
  <si>
    <t>Yayasan Pendidikan Perwakilan Tuminting</t>
  </si>
  <si>
    <t>Pastor Benediktus Pangkey, MSC</t>
  </si>
  <si>
    <t>TK Santa Lucia Tuminting</t>
  </si>
  <si>
    <t>SD Katolik 9 Hati Kudus Yesus Tuminting</t>
  </si>
  <si>
    <t>TK Katolik Fransiskus Xaverius Sindulang</t>
  </si>
  <si>
    <t>SD Katolik 05 Theodorus Moors Sindulang</t>
  </si>
  <si>
    <t>TK Fransiskus Xaverius Kairagi</t>
  </si>
  <si>
    <t>SD Katolik 7 Fransiskus Xaverius Kairagi</t>
  </si>
  <si>
    <t>005/BSW-DIGINUSA/MOU/I/2019</t>
  </si>
  <si>
    <t>SMP Sang Timur - Ciledug</t>
  </si>
  <si>
    <t>Sr. Melani, PIJ</t>
  </si>
  <si>
    <t>Aplikasi Laboratorium Bahasa</t>
  </si>
  <si>
    <t>006/BSW-DIGINUSA/MOU/I/2019</t>
  </si>
  <si>
    <t>Yayasan Yuwakti Bhakti</t>
  </si>
  <si>
    <t>Sr. Elisabet Sri Utami, OSU</t>
  </si>
  <si>
    <t>SMP Yuwakti Bhakti - Sukabumi</t>
  </si>
  <si>
    <t>007/BSW-DIGINUSA/MOU/II/2019</t>
  </si>
  <si>
    <t>SMP Negeri 1 Boyolangu - Tulungagung</t>
  </si>
  <si>
    <t>Nugroho Agus, SE</t>
  </si>
  <si>
    <t>Pembelian Komputer</t>
  </si>
  <si>
    <t>008/BSW-DIGINUSA/SK/II/2019</t>
  </si>
  <si>
    <t>SD Santo Antonius - Medan</t>
  </si>
  <si>
    <t>009/BSW-DIGINUSA/MOU/II/2019</t>
  </si>
  <si>
    <t>1 Januari 2019</t>
  </si>
  <si>
    <t>Lisensi + Guru</t>
  </si>
  <si>
    <t>4 orang</t>
  </si>
  <si>
    <t>Diginusa</t>
  </si>
  <si>
    <t>Robi Astriadi Frahaman</t>
  </si>
  <si>
    <t>Endrik Tius Danu Yuhana</t>
  </si>
  <si>
    <t>010/BSW-DIGINUSA/SK/II/2019</t>
  </si>
  <si>
    <t>SMP Cahaya - Medan</t>
  </si>
  <si>
    <t>SMA Cahaya - Medan</t>
  </si>
  <si>
    <t>011/BSW-DIGINUSA/MOU/II/2019</t>
  </si>
  <si>
    <t>3 orang</t>
  </si>
  <si>
    <t>2 orang</t>
  </si>
  <si>
    <t>012/BSW-DIGINUSA/KNT-SER/II/2019</t>
  </si>
  <si>
    <t xml:space="preserve">Yayasan Bakti Utama </t>
  </si>
  <si>
    <t>Klinik Pratama Santa Maria - Jakarta Barat</t>
  </si>
  <si>
    <t>Sr. Yuliana Leli, FMM</t>
  </si>
  <si>
    <t>1 Maret 2019</t>
  </si>
  <si>
    <t>Perawatan dan Perbaikan Komputer</t>
  </si>
  <si>
    <t>013/BSW-DIGINUSA/MOU/II/2019</t>
  </si>
  <si>
    <t>TIDAK ADA MOU</t>
  </si>
  <si>
    <t>014/BSW-DIGINUSA/MOU/II/2019</t>
  </si>
  <si>
    <t>SMA Mardi Yuana - Sukabumi</t>
  </si>
  <si>
    <t>30 Juni 2020</t>
  </si>
  <si>
    <t>TK Mardi Yuana - Depok</t>
  </si>
  <si>
    <t>1 orang</t>
  </si>
  <si>
    <t>SD Mardi Yuana - Depok</t>
  </si>
  <si>
    <t>TK Mardi Yuana - Cilegon</t>
  </si>
  <si>
    <t xml:space="preserve">1 orang </t>
  </si>
  <si>
    <t>SD Mardi Yuana - Cilegon</t>
  </si>
  <si>
    <t>SMP Mardi Yuana - Cilegon</t>
  </si>
  <si>
    <t>TK Mardi Yuana - Cianjur</t>
  </si>
  <si>
    <t>SD Mardi Yuana - Cianjur</t>
  </si>
  <si>
    <t>SMP Mardi Yuana - Cianjur</t>
  </si>
  <si>
    <t>SMA Mardi Yuana - Cianjur</t>
  </si>
  <si>
    <t>SMK Mardi Yuana - Cianjur</t>
  </si>
  <si>
    <t>TK Mardi Yuana - Cicurug</t>
  </si>
  <si>
    <t>SD Mardi Yuana - Cicurug</t>
  </si>
  <si>
    <t>TK Mardi Yuana - Bogor</t>
  </si>
  <si>
    <t>SD Mardi Yuana - Bogor</t>
  </si>
  <si>
    <t>SMP Mardi Yuana - Cipanas</t>
  </si>
  <si>
    <t>SMP Mardi Yuana - Cikembar</t>
  </si>
  <si>
    <t>SMK Mardi Yuana - Cikembar</t>
  </si>
  <si>
    <t>TK Mardi Yuana - Cibadak</t>
  </si>
  <si>
    <t>SD Mardi Yuana - Cibadak</t>
  </si>
  <si>
    <t>SMP Mardi Yuana - Cibadak</t>
  </si>
  <si>
    <t>TK Mardi Yuana - Serang</t>
  </si>
  <si>
    <t>SD Mardi Yuana - Serang</t>
  </si>
  <si>
    <t>SMP Mardi Yuana - Bojong Lopang</t>
  </si>
  <si>
    <t>SD Mardi Yuana - Rangkas Bitung</t>
  </si>
  <si>
    <t>SMP Mardi Yuana - Rangkas Bitung</t>
  </si>
  <si>
    <t>015/BSW-DIGINUSA/MOU/II/2019</t>
  </si>
  <si>
    <t>SMP Mardi Yuana - Depok</t>
  </si>
  <si>
    <t>SMA Mardi Yuana - Depok</t>
  </si>
  <si>
    <t>SMP Mardi Yuana - Bogor</t>
  </si>
  <si>
    <t>SMA Mardi Yuana - Bogor</t>
  </si>
  <si>
    <t>SMP Mardi Yuana - Serang</t>
  </si>
  <si>
    <t>SMA Mardi Yuana - Serang</t>
  </si>
  <si>
    <t>016/BSW-DIGINUSA/MOU/III/2019</t>
  </si>
  <si>
    <t>Yayasan Perwakilan Kembes YPK Keuskupan Manado</t>
  </si>
  <si>
    <t>Pastor Fransiskus M Lolok, MSC</t>
  </si>
  <si>
    <t>TK Katolik St. Monica Kembes</t>
  </si>
  <si>
    <t>Mery Jeane Tairas</t>
  </si>
  <si>
    <t>SD Katolik St. Paulus Kembes</t>
  </si>
  <si>
    <t>SMP Katolik St. Bernadeth Kembes</t>
  </si>
  <si>
    <t>TK Katolik St. Paulus Tombuluan</t>
  </si>
  <si>
    <t>SD Katolik St. Paulus Tombuluan</t>
  </si>
  <si>
    <t>TK Katolik Indriyasana Koka</t>
  </si>
  <si>
    <t>SD Katolik St. Fransiskus Koka</t>
  </si>
  <si>
    <t>SD Katolik St. Petrus Koka</t>
  </si>
  <si>
    <t>TK Katolik Indriyasana Kamangta</t>
  </si>
  <si>
    <t>SD Katolik St. Maria Kamangta</t>
  </si>
  <si>
    <t>SD Katolik St. Yoseph Sawangan</t>
  </si>
  <si>
    <t>017/BSW-DIGINUSA/MOU/III/2019</t>
  </si>
  <si>
    <t>Yayasan Kesejahteraan Karyawan Pajak (YKKP)</t>
  </si>
  <si>
    <t>SD Bhakti Nasional</t>
  </si>
  <si>
    <t>Yohanes Pamilarto</t>
  </si>
  <si>
    <t>SD Bhakti Internasional</t>
  </si>
  <si>
    <t>Smart Explorer For Internasional</t>
  </si>
  <si>
    <t>018/BSW-DIGINUSA/MOU/III/2019</t>
  </si>
  <si>
    <t>SD Kartika IV - 8 - Surabaya</t>
  </si>
  <si>
    <t>Tolik Hadi Christanto, ST</t>
  </si>
  <si>
    <t>019/BSW-DIGINUSA/MOU/III/2019</t>
  </si>
  <si>
    <t>TK Taruna Bangsa - Bogor</t>
  </si>
  <si>
    <t>Wahyu</t>
  </si>
  <si>
    <t>SD Taruna Bangsa - Bogor</t>
  </si>
  <si>
    <t>SMP Taruna Bangsa - Bogor</t>
  </si>
  <si>
    <t>SMA Taruna Bangsa - Bogor</t>
  </si>
  <si>
    <t>Future Pro &amp; ITPreneur</t>
  </si>
  <si>
    <t>020/BSW-DIGINUSA/MOU/III/2019</t>
  </si>
  <si>
    <t>SMK Tanada - Sidoarjo</t>
  </si>
  <si>
    <t>Hammam Labib Surya Putra, S.Kom</t>
  </si>
  <si>
    <t>12 Oktober 2020</t>
  </si>
  <si>
    <t>Server Synologi (Aplikasi Pembayaran &amp; Aplikasi Absensi)</t>
  </si>
  <si>
    <t>021/BSW-DIGINUSA/MOU/III/2019</t>
  </si>
  <si>
    <t>Yayasan Prasama Bhakti</t>
  </si>
  <si>
    <t>Sr. Maria Goretti Neu, OSU</t>
  </si>
  <si>
    <t>TK Santa Ursula - Bandung</t>
  </si>
  <si>
    <t>Yanyan</t>
  </si>
  <si>
    <t>SMP Santa Ursula - Bandung</t>
  </si>
  <si>
    <t>001/BSW-DIGINUSA/MOU/I/2020</t>
  </si>
  <si>
    <t>Dra. Virginia Maria Theresia, M.Pd.</t>
  </si>
  <si>
    <t>SMP Santo Antonius Nabire - Papua</t>
  </si>
  <si>
    <t>3 tahun 6 bulan</t>
  </si>
  <si>
    <t>1 Januari 2020</t>
  </si>
  <si>
    <t>30 Juni 2023</t>
  </si>
  <si>
    <t>022/BSW-DIGINUSA/MOU/V/2019</t>
  </si>
  <si>
    <t>SMP Tarakanita 1 - Jakarta</t>
  </si>
  <si>
    <t>ITPreneur &amp; Future Pro</t>
  </si>
  <si>
    <t>Ray Orlando</t>
  </si>
  <si>
    <t>023/BSW-DIGINUSA/MOU/III/2019</t>
  </si>
  <si>
    <t>SD Yuwakti Bhakti - Sukabumi</t>
  </si>
  <si>
    <t xml:space="preserve">1 tahun </t>
  </si>
  <si>
    <t>Asep Supriatna</t>
  </si>
  <si>
    <t>Wijaya Wardhana</t>
  </si>
  <si>
    <t>024/BSW-DIGINUSA/MOU/III/2019</t>
  </si>
  <si>
    <t>025/BSW-DIGINUSA/MOU/III/2019</t>
  </si>
  <si>
    <t xml:space="preserve">Yayasan Yohanes Paulus </t>
  </si>
  <si>
    <t>SD Santa Theresia - Depok</t>
  </si>
  <si>
    <t>1 Agustus 2019</t>
  </si>
  <si>
    <t>31 Juli 2020</t>
  </si>
  <si>
    <t>Veronica Tri Hartini</t>
  </si>
  <si>
    <t>Joko Sumarsono</t>
  </si>
  <si>
    <t>31 Desember 2022</t>
  </si>
  <si>
    <t>Sri Hariyanto</t>
  </si>
  <si>
    <t>026/BSW-DIGINUSA/MOU/IV/2019</t>
  </si>
  <si>
    <t>SMA Hang Tuah 2</t>
  </si>
  <si>
    <t>Hj. Siti Aisyah, M.Pd.</t>
  </si>
  <si>
    <t>10 bulan</t>
  </si>
  <si>
    <t>Januari 2020</t>
  </si>
  <si>
    <t>Pembuatan Website</t>
  </si>
  <si>
    <t>SMA Sint Louis - Semarang</t>
  </si>
  <si>
    <t>027/BSW-DIGINUSA/MOU/IV/2019</t>
  </si>
  <si>
    <t>CV Mitra Teknologi Sejati</t>
  </si>
  <si>
    <t>Nanang Arif Setiawan, S.T.</t>
  </si>
  <si>
    <t>Pendidikan Komputer, Bahasa, dan Robotic</t>
  </si>
  <si>
    <t>028/BSW-DIGINUSA/MOU/IV/2019</t>
  </si>
  <si>
    <t>SD Dewi Kunti - Banten</t>
  </si>
  <si>
    <t>1 Januari 220</t>
  </si>
  <si>
    <t>Laudry Alfrits</t>
  </si>
  <si>
    <t>SMP Dewi Kunti - Banten</t>
  </si>
  <si>
    <t>004/BSW-DIGINUSA/MOU/II/2020</t>
  </si>
  <si>
    <t>029/BSW-DIGINUSA/MOU/IV/2019</t>
  </si>
  <si>
    <t>Yayasan Kalam Kudus Indonesia Cabang Surabaya (YKKI)</t>
  </si>
  <si>
    <t>Andy Ongkowijoyo, S.E</t>
  </si>
  <si>
    <t>KB/TK Kristen Kalam Kudus - Surabaya</t>
  </si>
  <si>
    <t>TKK St. Carolus Boromeus - Surabaya</t>
  </si>
  <si>
    <t>1 Agustus 2020</t>
  </si>
  <si>
    <t>31 Mei 2023</t>
  </si>
  <si>
    <t>SD Kristen Kalam Kudus - Surabaya</t>
  </si>
  <si>
    <t>Tri Bayu Riatmadi</t>
  </si>
  <si>
    <t>SDK St. Carolus Boromeus - Surabaya</t>
  </si>
  <si>
    <t>SMP Kristen Kalam Kudus - Surabaya</t>
  </si>
  <si>
    <t>SMPK St. Carolus Boromeus - Surabaya</t>
  </si>
  <si>
    <t>SMA Kristen Kalam Kudus - Surabaya</t>
  </si>
  <si>
    <t>SMAK St. Carolus Boroeus - Surabaya</t>
  </si>
  <si>
    <t>030/BSW-DIGINUSA/MOU/IV/2019</t>
  </si>
  <si>
    <t>Tunas Gading School</t>
  </si>
  <si>
    <t>Leoni Agustina</t>
  </si>
  <si>
    <t>TK Tunas Gading School</t>
  </si>
  <si>
    <t>Juli 2019</t>
  </si>
  <si>
    <t>SDK St. Yosef - Surabaya</t>
  </si>
  <si>
    <t>SD Tunas Gading School</t>
  </si>
  <si>
    <t>SMPK St. Yosef - Surabaya</t>
  </si>
  <si>
    <t>SMP Tunas Gading School</t>
  </si>
  <si>
    <t>SMA Tunas Gading School</t>
  </si>
  <si>
    <t>TKK R.A. Kartini - Surabaya</t>
  </si>
  <si>
    <t>031/BSW-DIGINUSA/MOU/IV/2019</t>
  </si>
  <si>
    <t>Yayasan Kesejahteraan Bhakti Tugas</t>
  </si>
  <si>
    <t>Ny. Srie Soemaryati Koesoemo Haryo</t>
  </si>
  <si>
    <t>SD Bhakti Tugas - Jakarta Selatan</t>
  </si>
  <si>
    <t>31 Juli 2022</t>
  </si>
  <si>
    <t>SDK R.A. Kartini - Surabaya</t>
  </si>
  <si>
    <t>032/BSW-DIGINUSA/MOU/IV/2019</t>
  </si>
  <si>
    <t>Yayasan Mardi Waluya</t>
  </si>
  <si>
    <t>Sr. M Cllementen, SFS</t>
  </si>
  <si>
    <t>TK Mardi Waluya - Cipanas</t>
  </si>
  <si>
    <t>31 Mei 2022</t>
  </si>
  <si>
    <t>005/BSW-DIGINUSA/MOU/III/2020</t>
  </si>
  <si>
    <t xml:space="preserve">Unika Musi Charitas </t>
  </si>
  <si>
    <t>SD Mardi Waluya - Cipanas</t>
  </si>
  <si>
    <t>Maria Nuraeni, S.K.M., M.Kes. (Dekan)</t>
  </si>
  <si>
    <t>Fakultas Ilmu Kesehatan Unika Musi Charitas - Palembang</t>
  </si>
  <si>
    <t>Pembelian Hardware</t>
  </si>
  <si>
    <t>033/BSW-DIGINUSA/MOU/IV/2019</t>
  </si>
  <si>
    <t>SD Permai School - Jakarta Utara</t>
  </si>
  <si>
    <t>006/BSW-DIGINUSA/MOU/III/2020</t>
  </si>
  <si>
    <t>Yayasan Sekolah Anak Bangsa</t>
  </si>
  <si>
    <t>SD Anak Bangsa - Surabaya</t>
  </si>
  <si>
    <r>
      <t xml:space="preserve">Simeon Sulistyo, S.Psi., </t>
    </r>
    <r>
      <rPr>
        <u/>
        <sz val="10"/>
        <color rgb="FF1155CC"/>
        <rFont val="Arial"/>
        <family val="2"/>
      </rPr>
      <t>M.Sc</t>
    </r>
    <r>
      <rPr>
        <sz val="10"/>
        <color rgb="FF000000"/>
        <rFont val="Arial"/>
        <scheme val="minor"/>
      </rPr>
      <t>., M.Pd. (HRD)</t>
    </r>
  </si>
  <si>
    <t>SMP Permai School - Jakarta UTara</t>
  </si>
  <si>
    <t>034/BSW-DIGINUSA/MOU/2019</t>
  </si>
  <si>
    <t>Sekolah Kristen Yusuf</t>
  </si>
  <si>
    <t>TK Kristen Yusuf - Jakarta Utara</t>
  </si>
  <si>
    <t>Jasmin Lantang</t>
  </si>
  <si>
    <t>31 Juli 2023</t>
  </si>
  <si>
    <t xml:space="preserve">Smart Explorer </t>
  </si>
  <si>
    <t>SD Kristen Yusuf - Jakarta Utara</t>
  </si>
  <si>
    <t>M Fauzino</t>
  </si>
  <si>
    <t>SMP Anak Bangsa - Surabaya</t>
  </si>
  <si>
    <r>
      <t xml:space="preserve">Simeon Sulistyo, S.Psi., </t>
    </r>
    <r>
      <rPr>
        <u/>
        <sz val="10"/>
        <color rgb="FF1155CC"/>
        <rFont val="Arial"/>
        <family val="2"/>
      </rPr>
      <t>M.Sc</t>
    </r>
    <r>
      <rPr>
        <sz val="10"/>
        <color rgb="FF000000"/>
        <rFont val="Arial"/>
        <scheme val="minor"/>
      </rPr>
      <t>., M.Pd. (HRD)</t>
    </r>
  </si>
  <si>
    <t>SMP Kristen Yusuf - Jakarta Utara</t>
  </si>
  <si>
    <t>1 orang (part time)</t>
  </si>
  <si>
    <t>SMA Kristen Yusuf - Jakarta Utara</t>
  </si>
  <si>
    <t>SMA Anak Bangsa - Surabaya</t>
  </si>
  <si>
    <r>
      <t xml:space="preserve">Simeon Sulistyo, S.Psi., </t>
    </r>
    <r>
      <rPr>
        <u/>
        <sz val="10"/>
        <color rgb="FF1155CC"/>
        <rFont val="Arial"/>
        <family val="2"/>
      </rPr>
      <t>M.Sc</t>
    </r>
    <r>
      <rPr>
        <sz val="10"/>
        <color rgb="FF000000"/>
        <rFont val="Arial"/>
        <scheme val="minor"/>
      </rPr>
      <t>., M.Pd. (HRD)</t>
    </r>
  </si>
  <si>
    <t>035/BSW-DIGINUSA/MOU/V/2019</t>
  </si>
  <si>
    <t>Ign. Sodik Boediman</t>
  </si>
  <si>
    <t>TK Permata Monika - Bekasi</t>
  </si>
  <si>
    <t>007/BSW-DIGINUSA/MOU/III/2020</t>
  </si>
  <si>
    <t>SD Permata Monika - Bekasi</t>
  </si>
  <si>
    <t>Yayasan Yuwati Bhakti</t>
  </si>
  <si>
    <t>Sr. Elisabeth Sri Utami, OSU</t>
  </si>
  <si>
    <t>SD Yuwati Bhakti - Sukabumi</t>
  </si>
  <si>
    <t>1 Juli 2020</t>
  </si>
  <si>
    <t>036/BSW-DIGINUSA/MOU/V/2019</t>
  </si>
  <si>
    <t>TK Singa School - Jakarta Utara</t>
  </si>
  <si>
    <t>31 Agustus 2022</t>
  </si>
  <si>
    <t>008/BSW-DIGINUSA/MOU/III/2020</t>
  </si>
  <si>
    <t>SMP Yuwati Bhakti - Sukabumi</t>
  </si>
  <si>
    <t>SD Singa School - Jakarta Utara</t>
  </si>
  <si>
    <t>037/BSW-DIGINUSA/MOU/V/2019</t>
  </si>
  <si>
    <t>Wawan Santoso SH, LL.M,</t>
  </si>
  <si>
    <t>TK Mahatma Gading Nasional - Jakarta Utara</t>
  </si>
  <si>
    <t>Suprapto</t>
  </si>
  <si>
    <t>009/BSW-DIGINUSA/MOU/III/2020</t>
  </si>
  <si>
    <t>SD Mahatma Gading Nasional - Jakarta Utara</t>
  </si>
  <si>
    <t>TK Sang Timur Karang Tengah - Ciledug</t>
  </si>
  <si>
    <t>SMP Mahatma Gadng Nasional - Jakarta Utara</t>
  </si>
  <si>
    <t>SD Sang Timur Karang Tengah - Ciledug</t>
  </si>
  <si>
    <t>SMA Mahatma Gading Nasional - Jakarta Utara</t>
  </si>
  <si>
    <t>SMP Sang Timur Karang Tengah - Ciledug</t>
  </si>
  <si>
    <t>TK Mahatma Gading Intercultural School Internasional - Jakarta Utara</t>
  </si>
  <si>
    <t>SD Mahatma Gading Intercultural School Internasional - Jakarta Utara</t>
  </si>
  <si>
    <t>038/BSW-DIGINUSA/MOU/V/2019</t>
  </si>
  <si>
    <t>SD Xaverius Teluk Betung -  Bandar Lampung</t>
  </si>
  <si>
    <t>Priyo Hardian Nugroho</t>
  </si>
  <si>
    <t>SD Xaverius Metro - Bandar Lampung</t>
  </si>
  <si>
    <t>SMP Xaverius Teluk Betung - Bandar Lampung</t>
  </si>
  <si>
    <t>040/BSW-DIGINUSA/MOU/IV/2019</t>
  </si>
  <si>
    <t>TK BPK Penabur - Bogor</t>
  </si>
  <si>
    <t>SD BPK Penabur - Bogor</t>
  </si>
  <si>
    <t>SMP BPK Penabur - Bogor</t>
  </si>
  <si>
    <t>041/BSW-DIGINUSA/MOU/V/2019</t>
  </si>
  <si>
    <t>Michel Senjaya</t>
  </si>
  <si>
    <t>SMP Stella Maris Gading Serpong - Tangerang</t>
  </si>
  <si>
    <t>Henry Wibowo</t>
  </si>
  <si>
    <t>SMA Stella Maris Gading Serpong - Tangerang</t>
  </si>
  <si>
    <t>042/BSW-DIGINUSA/MOU/V/2019</t>
  </si>
  <si>
    <t>RD. Andreas Sutrisno</t>
  </si>
  <si>
    <t>TK Xaverius Way Halim - Bandar Lampung</t>
  </si>
  <si>
    <t>TK Xaverius Panjang - Bandar Lampung</t>
  </si>
  <si>
    <t>043/BSW-DIGINUSA/MOU/V/2019</t>
  </si>
  <si>
    <t>Smart Program &amp; Smart Explorer</t>
  </si>
  <si>
    <t>SD Xaverius 2 Panjang - Bandar Lampung</t>
  </si>
  <si>
    <t>SD Xaverius Kotabumi Selatan - Lampung Utara</t>
  </si>
  <si>
    <t>044/BSW-DIGINUSA/MOU/V/2019</t>
  </si>
  <si>
    <t>Bruder Steph Sumardi, SCJ</t>
  </si>
  <si>
    <t xml:space="preserve">SD Xaverius Kuala Tungkal </t>
  </si>
  <si>
    <t>045/BSW-DIGINUSA/MOU/V/2019</t>
  </si>
  <si>
    <t>Yayasan Dwi Bakti</t>
  </si>
  <si>
    <t>SD St. Fransiskus III Kampung Ambon - Jakarta Timur</t>
  </si>
  <si>
    <t>Sr. M Hedwigis, FSGM</t>
  </si>
  <si>
    <t>31 Mei 2020</t>
  </si>
  <si>
    <t>046/BSW-DIGINUSA/MOU/V/2019</t>
  </si>
  <si>
    <t>Tinawati</t>
  </si>
  <si>
    <t>TK Pusaka Abadi - Jakarta Utara</t>
  </si>
  <si>
    <t>Desi Kartika Sari</t>
  </si>
  <si>
    <t>SD Pusaka Abadi - Jakarta Utara</t>
  </si>
  <si>
    <t>SMP Pusaka Abadi - Jakarta Utara</t>
  </si>
  <si>
    <t>SMA Pusaka Abadi - Jakarta Utara</t>
  </si>
  <si>
    <t>047/BSW-DIGINUSA/MOU/V/2019</t>
  </si>
  <si>
    <t>Yayasan Pendidikan Charitas</t>
  </si>
  <si>
    <t>Sr. Damiana, FCH</t>
  </si>
  <si>
    <t>TK Charitas - Batam</t>
  </si>
  <si>
    <t>012/BSW-DIGINUSA/MOU/III/2020</t>
  </si>
  <si>
    <t>SDK Sang Timur Batu - Malang</t>
  </si>
  <si>
    <t>SD Charitas - Batam</t>
  </si>
  <si>
    <t>SMP Charitas - Batam</t>
  </si>
  <si>
    <t xml:space="preserve">Herlangga </t>
  </si>
  <si>
    <t>048/BSW-DIGINUSA/MOU/V/2019</t>
  </si>
  <si>
    <t>SMA Xaverius 1 - Jambi</t>
  </si>
  <si>
    <t>013/BSW-DIGINUSA/MOU/III/2020</t>
  </si>
  <si>
    <t>BATAL</t>
  </si>
  <si>
    <t>SMP Xaverius Kuala Tungkal</t>
  </si>
  <si>
    <t>049/BSW-DIGINUSA/MOU/V/2019</t>
  </si>
  <si>
    <t>SD Integritas Bangsa - Medan</t>
  </si>
  <si>
    <t>Monika</t>
  </si>
  <si>
    <t>Smart Explorer for Internasional</t>
  </si>
  <si>
    <t>Fahrul Riza Effendi</t>
  </si>
  <si>
    <t>014/BSW-DIGINUSA/MOU/III/2020</t>
  </si>
  <si>
    <t>Yayasan Pendidikan Katolik Santo Yohanes</t>
  </si>
  <si>
    <t>Ladislaus Naisaban</t>
  </si>
  <si>
    <t>SD Saint John's Catholic School - BSD Serpong</t>
  </si>
  <si>
    <t>050/BSW-DIGINUSA/MOU/V/2019</t>
  </si>
  <si>
    <t>TK Stella Maris Gading Serpong - Tangerang</t>
  </si>
  <si>
    <t>Smart Kids/Education.com</t>
  </si>
  <si>
    <t>SD Stella Maris Gading Serpong - Tangerang</t>
  </si>
  <si>
    <t xml:space="preserve">Smart Explorer for Internasional </t>
  </si>
  <si>
    <t>016/BSW-DIGINUSA/MOU/III/2020</t>
  </si>
  <si>
    <t>051/BSW-DIGINUSA/MOU/V/2019</t>
  </si>
  <si>
    <t>TK St. Fransiskus Kampung Ambon - Jakarta Timur</t>
  </si>
  <si>
    <t>Sr. M Stefana, FSGM</t>
  </si>
  <si>
    <t>1 Tahun</t>
  </si>
  <si>
    <t>052/BSW-DIGINUSA/MOU/V/2019</t>
  </si>
  <si>
    <t>Yayasan Tarakanita Wilayah Jawa Tengah</t>
  </si>
  <si>
    <t>TK Tunas Muda IKKT Slipi - Jakarta Barat</t>
  </si>
  <si>
    <t>Hj. Sutiah, S.Pd.I</t>
  </si>
  <si>
    <t>TK Tarakanita - Magelang</t>
  </si>
  <si>
    <t>SD Tarakanita - Magelang</t>
  </si>
  <si>
    <t>053/BSW-DIGINUSA/MOU/V/2019</t>
  </si>
  <si>
    <t>Yayasan St. Agatha Palembang</t>
  </si>
  <si>
    <t>SMP Tarakanita - Magelang</t>
  </si>
  <si>
    <t>SD St. Agatha - Palembang</t>
  </si>
  <si>
    <t>SMA Tarakanita - Magelang</t>
  </si>
  <si>
    <t>054/BSW-DIGINUSA/MOU/V/2019</t>
  </si>
  <si>
    <t>Paulus Pontoh</t>
  </si>
  <si>
    <t>SD Saint John's - Meruya</t>
  </si>
  <si>
    <t>SMK Pius X - Magelang</t>
  </si>
  <si>
    <t>055/BSW-DIGINUSA/SK/V/2019</t>
  </si>
  <si>
    <t>Perguruan Kristen Methodist Indonesia 6 Medan</t>
  </si>
  <si>
    <t>TK Methodist 6 - Medan</t>
  </si>
  <si>
    <t>SMP Pandowo - Ngablak</t>
  </si>
  <si>
    <t>SD Methodist 6 - Medan</t>
  </si>
  <si>
    <t>TK Tarakanita - Solo Baru</t>
  </si>
  <si>
    <t>SMP Methodist 6 - Medan</t>
  </si>
  <si>
    <t>SD Tarakanita - Solo Baru</t>
  </si>
  <si>
    <t>056/BSW-DIGINUSA/MOU/V/2019</t>
  </si>
  <si>
    <t>SMP Tarakanita - Solo Baru</t>
  </si>
  <si>
    <t>057/BSW-DIGINUSA/MOU/V/2019</t>
  </si>
  <si>
    <t>018/BSW-DIGINUSA/MOU/VI/2020</t>
  </si>
  <si>
    <t>Yayasan Kristen Kalam Kudus Ambon</t>
  </si>
  <si>
    <t>Tony Lauwis</t>
  </si>
  <si>
    <t>TK Kalam Kudus - Ambon</t>
  </si>
  <si>
    <t xml:space="preserve">3 tahun </t>
  </si>
  <si>
    <t>Unggul Anor Lenggono</t>
  </si>
  <si>
    <t>Tri Bayu</t>
  </si>
  <si>
    <t>058/BSW-DIGINUSA/MOU/V/2019</t>
  </si>
  <si>
    <t>SD Kalam Kudus - Ambon</t>
  </si>
  <si>
    <t>SMA Methodist 6 - Medan</t>
  </si>
  <si>
    <t>SMP Kalam Kudus - Ambon</t>
  </si>
  <si>
    <t>059/BSW-DIGINUSA/MOU/V/2019</t>
  </si>
  <si>
    <t>Yayasan Daya Pelita Kasih</t>
  </si>
  <si>
    <t>Katharina Lita Wewengkang</t>
  </si>
  <si>
    <t>SLB Daya Pelita Kasih - Pasar Minggu</t>
  </si>
  <si>
    <t xml:space="preserve">1 Juli 2019 </t>
  </si>
  <si>
    <t>Smart Program &amp; ITPreneur</t>
  </si>
  <si>
    <t>SMA Kalam Kudus - Ambon</t>
  </si>
  <si>
    <t>Yayasan Pantekosta</t>
  </si>
  <si>
    <t>TK Kristen Immanuel Jelambar - Jakarta Barat</t>
  </si>
  <si>
    <t>31 Juli 2021</t>
  </si>
  <si>
    <t>019/BSW-DIGINUSA/MOU/VI/2020</t>
  </si>
  <si>
    <t>SD Charitas</t>
  </si>
  <si>
    <t>SD Kristen Immanuel Jelambar - Jakarta Barat</t>
  </si>
  <si>
    <t>SLTP Kristen Immanuel Jelambar - Jakarta Barat</t>
  </si>
  <si>
    <t>SMP Charitas</t>
  </si>
  <si>
    <t>SMU Kristen Immanuel Jelambar - Jakarta Barat</t>
  </si>
  <si>
    <t>SMA Charitas</t>
  </si>
  <si>
    <t>061/BSW-DIGINUSA/MOU/V/2019</t>
  </si>
  <si>
    <t>Yayasan Penyelenggaraan Ilahi Indonesia</t>
  </si>
  <si>
    <t>Sr. Teresa Nani Agustina, PI</t>
  </si>
  <si>
    <t>TK Sinar Matahari - Semarang</t>
  </si>
  <si>
    <t>020/BSW-DIGINUSA/MOU/VII/2020</t>
  </si>
  <si>
    <t>Yayasan Pendidikan dan Pengajaran Margie Surabaya</t>
  </si>
  <si>
    <t>Petrus J. Martono</t>
  </si>
  <si>
    <t>SD Kebon Dalem - Semarang</t>
  </si>
  <si>
    <t>SMP Kebon Dalem - Semarang</t>
  </si>
  <si>
    <t>021/BSW-DIGINUSA/MOU/VII/2020</t>
  </si>
  <si>
    <t>Yayasan Kasih Abdi</t>
  </si>
  <si>
    <t>TK Kebon Dalem 2 - Semarang</t>
  </si>
  <si>
    <t>Smart Explorer National</t>
  </si>
  <si>
    <t>TK Cahaya Nur - Semarang</t>
  </si>
  <si>
    <t>022/BSW-DIGINUSA/MOU/VII/2020</t>
  </si>
  <si>
    <t>Yayasan Mitra Stema Kemayoran</t>
  </si>
  <si>
    <t>Anna Indarwati</t>
  </si>
  <si>
    <t>Sunnyville Preschool and Daycare</t>
  </si>
  <si>
    <t>SD Cahaya Nur - Semarang</t>
  </si>
  <si>
    <t>SD Marsudi Utami - Semarang</t>
  </si>
  <si>
    <t>SMP Marsudi Utami - Semarang</t>
  </si>
  <si>
    <t>023/BSW-DIGINUSA/MOU/VII/2020</t>
  </si>
  <si>
    <t>Yayasan Mitra Stema Cikupa</t>
  </si>
  <si>
    <t>TK Stella Maris - Cikupa</t>
  </si>
  <si>
    <t>TK Cor Jesu - Semarang</t>
  </si>
  <si>
    <t>SD Pangudi Utami - Semarang</t>
  </si>
  <si>
    <t>024/BSW-DIGINUSA/MOU/VII/2020</t>
  </si>
  <si>
    <t>Yayasan Mitra Stema Karawaci</t>
  </si>
  <si>
    <t>TK Stella Maris - Karawaci</t>
  </si>
  <si>
    <t>TK Maria Bintang Laut - Bandung</t>
  </si>
  <si>
    <t>SD Maria Bintang Laut - Bandung</t>
  </si>
  <si>
    <t>025/BSW-DIGINUSA/MOU/VII/2020</t>
  </si>
  <si>
    <t>Yayasan Mitra Stema Pontianak</t>
  </si>
  <si>
    <t>TK Stella Maris - Pontianak</t>
  </si>
  <si>
    <t>026/BSW-DIGINUSA/MOU/VII/2020</t>
  </si>
  <si>
    <t xml:space="preserve">Yayasan Karya Sang Timur </t>
  </si>
  <si>
    <t>SD Sang Timur - Tomang</t>
  </si>
  <si>
    <t>SMP Santi Yoseph - Jakarta</t>
  </si>
  <si>
    <t>Sr. Yohana Baptista, PIJ</t>
  </si>
  <si>
    <t>TK Miriam - Kalimantan</t>
  </si>
  <si>
    <t>Priyo Hardian</t>
  </si>
  <si>
    <t>TK Trinitas - Kalimantan</t>
  </si>
  <si>
    <t>027/BSW-DIGINUSA/MOU/VII/2020</t>
  </si>
  <si>
    <t>Sr. Laurentina Setyasminarti, CB</t>
  </si>
  <si>
    <t>SD Trinitas - Kalimantan</t>
  </si>
  <si>
    <t>Pendidikan Komputer Informatika dengan Pembelajaran Jarak Jauh (PJJ)</t>
  </si>
  <si>
    <t>Dodi Kusuma Adi</t>
  </si>
  <si>
    <t>062/BSW-DIGINUSA/MOU/V/2019</t>
  </si>
  <si>
    <t>Kristen Nasional Anglo</t>
  </si>
  <si>
    <t>028/BSW-DIGINUSA/MOU/VII/2020</t>
  </si>
  <si>
    <t>KB - TK Kristen Nasional Anglo - Bekasi</t>
  </si>
  <si>
    <t>Yayasan Melania</t>
  </si>
  <si>
    <t>Rr. Zifora V.H., SE</t>
  </si>
  <si>
    <r>
      <t xml:space="preserve">Dr. T. I. Pudiyanto Suradibroto, </t>
    </r>
    <r>
      <rPr>
        <u/>
        <sz val="10"/>
        <color rgb="FF1155CC"/>
        <rFont val="Arial"/>
        <family val="2"/>
      </rPr>
      <t>M.Sc</t>
    </r>
  </si>
  <si>
    <t>Smart Program &amp; Smart explorer</t>
  </si>
  <si>
    <t>TK Katolik Melania 2 Percetakan Negara</t>
  </si>
  <si>
    <t>063/BSW-DIGINUSA/SK/V/2019</t>
  </si>
  <si>
    <r>
      <t xml:space="preserve">Dr. T. I. Pudiyanto Suradibroto, </t>
    </r>
    <r>
      <rPr>
        <u/>
        <sz val="10"/>
        <color rgb="FF1155CC"/>
        <rFont val="Arial"/>
        <family val="2"/>
      </rPr>
      <t>M.Sc</t>
    </r>
  </si>
  <si>
    <t>SD Katolik Melania 2 Percetakan Negara</t>
  </si>
  <si>
    <t>064/BSW-DIGINUSA/MOU/V/2019</t>
  </si>
  <si>
    <t>Yayasan BPK Penabur Bandar Lampung</t>
  </si>
  <si>
    <t>Ir. Rico Simanjuntak</t>
  </si>
  <si>
    <t>SMKK BPK Penabur - Bandar Lampung</t>
  </si>
  <si>
    <r>
      <t xml:space="preserve">Dr. T. I. Pudiyanto Suradibroto, </t>
    </r>
    <r>
      <rPr>
        <u/>
        <sz val="10"/>
        <color rgb="FF1155CC"/>
        <rFont val="Arial"/>
        <family val="2"/>
      </rPr>
      <t>M.Sc</t>
    </r>
  </si>
  <si>
    <t>SMP Katolik Melania 2 Percetakan Negara</t>
  </si>
  <si>
    <t>065/BSW-DIGINUSA/MOU/V/2019</t>
  </si>
  <si>
    <t>SD Kristen Nasional Anglo - Bekasi</t>
  </si>
  <si>
    <r>
      <t xml:space="preserve">Dr. T. I. Pudiyanto Suradibroto, </t>
    </r>
    <r>
      <rPr>
        <u/>
        <sz val="10"/>
        <color rgb="FF1155CC"/>
        <rFont val="Arial"/>
        <family val="2"/>
      </rPr>
      <t>M.Sc</t>
    </r>
  </si>
  <si>
    <t>TK Katolik Melania 1 Mangga Besar VI Selatan</t>
  </si>
  <si>
    <t>066/BSW-DIGINUSA/MOU/V/2019</t>
  </si>
  <si>
    <t>SD Nasional Amanah Bangsa - Bekasi</t>
  </si>
  <si>
    <r>
      <t xml:space="preserve">Dr. T. I. Pudiyanto Suradibroto, </t>
    </r>
    <r>
      <rPr>
        <u/>
        <sz val="10"/>
        <color rgb="FF1155CC"/>
        <rFont val="Arial"/>
        <family val="2"/>
      </rPr>
      <t>M.Sc</t>
    </r>
  </si>
  <si>
    <t>Novilia Hasan</t>
  </si>
  <si>
    <t>SD Katolik Melania 1 Mangga Besar VI Selatan</t>
  </si>
  <si>
    <r>
      <t xml:space="preserve">Dr. T. I. Pudiyanto Suradibroto, </t>
    </r>
    <r>
      <rPr>
        <u/>
        <sz val="10"/>
        <color rgb="FF1155CC"/>
        <rFont val="Arial"/>
        <family val="2"/>
      </rPr>
      <t>M.Sc</t>
    </r>
  </si>
  <si>
    <t>SMP Katolik Melania 1 Mangga Besar VI Selatan</t>
  </si>
  <si>
    <t>067/BSW-DIGINUSA/MOU/V/2019</t>
  </si>
  <si>
    <t>Yayasan Asti Dharma</t>
  </si>
  <si>
    <t>Sr. M Albertine, PBHK</t>
  </si>
  <si>
    <t>SMP Bunda Hati Kudus - Kota Wisata Bogor</t>
  </si>
  <si>
    <t>Philipus Sujianto, S.Pd., M.M</t>
  </si>
  <si>
    <t>029/BSW-DIGINUSA/MOU/VII/2020</t>
  </si>
  <si>
    <t>SD St. Fransiskus III - Jakarta Timur</t>
  </si>
  <si>
    <t>068/BSW-DIGINUSA/MOU/V/2019</t>
  </si>
  <si>
    <t>030/BSW-DIGINUSA/MOU/VII/2020</t>
  </si>
  <si>
    <t>069/BSW-DIGINUSA/SK/V/2019</t>
  </si>
  <si>
    <t>070/MK-BSW/MOU/IV/2019</t>
  </si>
  <si>
    <t>Yayasan Pendidikan dan Pengajaran Margie</t>
  </si>
  <si>
    <t>031/BSW-DIGINUSA/MOU/VII/2020</t>
  </si>
  <si>
    <t>032/BSW-DIGINUSA/MOU/VII/2020</t>
  </si>
  <si>
    <t>071/BSW-DIGINUSA/MOU/V/2019</t>
  </si>
  <si>
    <t>Yayasan Santo Dominikus Cab. Cirebon</t>
  </si>
  <si>
    <t>Sr. M Albertine, OP</t>
  </si>
  <si>
    <t>dominicfoundation_cirebon@yahoo.com</t>
  </si>
  <si>
    <t>Aplikasi e-Perpus</t>
  </si>
  <si>
    <t>Tjin Yasinta Suryanto</t>
  </si>
  <si>
    <t>072/BSW-DIGINUSA/MOU/VII/2019</t>
  </si>
  <si>
    <t>TK Amore Prime School - Karang Tengah</t>
  </si>
  <si>
    <t>SD Little Sun School - Surabaya</t>
  </si>
  <si>
    <t>Dr. Maria N Ratnawati, M.Pd.</t>
  </si>
  <si>
    <t>13 Juli 2020</t>
  </si>
  <si>
    <t>SD Amore Prime School - Karang Tengah</t>
  </si>
  <si>
    <t>073/BSW-DIGINUSA/MOU/VII/2019</t>
  </si>
  <si>
    <t>SMP Amore Prime School - Karang Tengah</t>
  </si>
  <si>
    <t>SMA Amore School - Karang Tengah</t>
  </si>
  <si>
    <t>074/BSW-DIGINUSA/MOU/VI/2019</t>
  </si>
  <si>
    <t>Yayasan Asti Darma Cabang Grogol</t>
  </si>
  <si>
    <t>SDK Bunda Hati Kudus Grogol - Jakarta Barat</t>
  </si>
  <si>
    <t>Sr. M Veronica, PBHK</t>
  </si>
  <si>
    <t>15000 &amp; 20000</t>
  </si>
  <si>
    <t>034/BSW-DIGINUSA/KNT-SER/VIII/2020</t>
  </si>
  <si>
    <t>SD Katolik Sang Timur - Cakung</t>
  </si>
  <si>
    <t>Theresia Pratiwiningsih, S.Pd., M.Fil.</t>
  </si>
  <si>
    <t>4 Agustus 2020</t>
  </si>
  <si>
    <t>30 Juli 2021</t>
  </si>
  <si>
    <t>Perawatan &amp; Perbaikan Komputer</t>
  </si>
  <si>
    <t>075/BSW-DIGINUSA/MOU/VI/2019</t>
  </si>
  <si>
    <t>Sr. Thereseta Emi Suwastini, CB</t>
  </si>
  <si>
    <t>Unggul A. Lenggono</t>
  </si>
  <si>
    <t>035/BSW-DIGINUSA/MOU/IX/2020</t>
  </si>
  <si>
    <t>Yayasan Pendidikan dan Kesejahteraan PT PLN (Persero)</t>
  </si>
  <si>
    <t>TK Rigatrik YPK - PLN Jakarta Selatan</t>
  </si>
  <si>
    <t>Ratna Hayati</t>
  </si>
  <si>
    <t>076/BSW-DIGINUSA/ADD/VI/2019</t>
  </si>
  <si>
    <t>31 Agustus 2023</t>
  </si>
  <si>
    <t>Idy Setiadi</t>
  </si>
  <si>
    <t>036/BSW-DIGINUSA/MOU/IX/2020</t>
  </si>
  <si>
    <t>037/BSW-DIGINUSA/MOU/IX/2020</t>
  </si>
  <si>
    <t>SMPK Seraphine Bakti Utama</t>
  </si>
  <si>
    <t>Aloysius Gonzaga Partono</t>
  </si>
  <si>
    <t>tonogonsaga@gmail.com</t>
  </si>
  <si>
    <t>077/BSW-DIGINUSA/MOU/VI/2019</t>
  </si>
  <si>
    <t>038/BSW-DIGINUSA/ADD/IX/2020</t>
  </si>
  <si>
    <r>
      <t xml:space="preserve">Tini </t>
    </r>
    <r>
      <rPr>
        <u/>
        <sz val="10"/>
        <color rgb="FF1155CC"/>
        <rFont val="Arial"/>
        <family val="2"/>
      </rPr>
      <t>S.Si</t>
    </r>
    <r>
      <rPr>
        <sz val="10"/>
        <color rgb="FF000000"/>
        <rFont val="Arial"/>
        <scheme val="minor"/>
      </rPr>
      <t>, Apt</t>
    </r>
  </si>
  <si>
    <t>078/BSW-DIGINUSA/MOU/VI/2019</t>
  </si>
  <si>
    <t>SD Alodia - Bekasi</t>
  </si>
  <si>
    <t>SMP Alodia - Bekasi</t>
  </si>
  <si>
    <t>TK Jaya Plus Montessori School</t>
  </si>
  <si>
    <t>1 Juli 2018</t>
  </si>
  <si>
    <t>SMK Alodia - Bekasi</t>
  </si>
  <si>
    <r>
      <t xml:space="preserve">Tini </t>
    </r>
    <r>
      <rPr>
        <u/>
        <sz val="10"/>
        <color rgb="FF1155CC"/>
        <rFont val="Arial"/>
        <family val="2"/>
      </rPr>
      <t>S.Si</t>
    </r>
    <r>
      <rPr>
        <sz val="10"/>
        <color rgb="FF000000"/>
        <rFont val="Arial"/>
        <scheme val="minor"/>
      </rPr>
      <t>, Apt</t>
    </r>
  </si>
  <si>
    <t>SD Jaya Plus Montessori School</t>
  </si>
  <si>
    <t>079/BSW-DIGINUSA/MOU/VII/2019</t>
  </si>
  <si>
    <t>SD Kristen Cita Insan - Sidoarjo</t>
  </si>
  <si>
    <t>Loni Safariana</t>
  </si>
  <si>
    <t>Pengadaan Komputer &amp; LKS</t>
  </si>
  <si>
    <r>
      <t xml:space="preserve">Tini </t>
    </r>
    <r>
      <rPr>
        <u/>
        <sz val="10"/>
        <color rgb="FF1155CC"/>
        <rFont val="Arial"/>
        <family val="2"/>
      </rPr>
      <t>S.Si</t>
    </r>
    <r>
      <rPr>
        <sz val="10"/>
        <color rgb="FF000000"/>
        <rFont val="Arial"/>
        <scheme val="minor"/>
      </rPr>
      <t>, Apt</t>
    </r>
  </si>
  <si>
    <t>RB Yuwono</t>
  </si>
  <si>
    <t>SMP Jaya Plus Montessori School</t>
  </si>
  <si>
    <t>080/BSW-DIGINUSA/MOU/VII/2019</t>
  </si>
  <si>
    <t>Yayasan Pendidkan Katolik Keuskupan Amboina Ambon</t>
  </si>
  <si>
    <t>RD. Agustinus Arbol, PR, SS</t>
  </si>
  <si>
    <t>SD Xaverius A1 (Reguler) - Ambon</t>
  </si>
  <si>
    <r>
      <t xml:space="preserve">Tini </t>
    </r>
    <r>
      <rPr>
        <u/>
        <sz val="10"/>
        <color rgb="FF1155CC"/>
        <rFont val="Arial"/>
        <family val="2"/>
      </rPr>
      <t>S.Si</t>
    </r>
    <r>
      <rPr>
        <sz val="10"/>
        <color rgb="FF000000"/>
        <rFont val="Arial"/>
        <scheme val="minor"/>
      </rPr>
      <t>, Apt</t>
    </r>
  </si>
  <si>
    <t>SMA Jaya Plus Montessori School</t>
  </si>
  <si>
    <t>SD Xaverius C (Plus) - Ambon</t>
  </si>
  <si>
    <t>081/BSW-DIGINUSA/MOU/VII/2019</t>
  </si>
  <si>
    <t>039/BSW-DIGINUSA/MOU/VII/2020</t>
  </si>
  <si>
    <r>
      <t xml:space="preserve">Dr. T. I. Pudiyanto Suradibroto, </t>
    </r>
    <r>
      <rPr>
        <u/>
        <sz val="10"/>
        <color rgb="FF1155CC"/>
        <rFont val="Arial"/>
        <family val="2"/>
      </rPr>
      <t>M.Sc</t>
    </r>
  </si>
  <si>
    <t>TK Islam Al-Izhar Pondok Labu</t>
  </si>
  <si>
    <t>Oo Harsono</t>
  </si>
  <si>
    <t>oo.harsono@alizhar.sch.id</t>
  </si>
  <si>
    <t>3 tahun 1 bulan</t>
  </si>
  <si>
    <t>TK Katolik Melania 2 Percetakan Negara - Jakarta Pusat</t>
  </si>
  <si>
    <t>SD Islam Al-Izhar Pondok Labu</t>
  </si>
  <si>
    <t>Smart Explorer dan Ekstrakulikuler Robotik</t>
  </si>
  <si>
    <r>
      <t xml:space="preserve">Dr. T. I. Pudiyanto Suradibroto, </t>
    </r>
    <r>
      <rPr>
        <u/>
        <sz val="10"/>
        <color rgb="FF1155CC"/>
        <rFont val="Arial"/>
        <family val="2"/>
      </rPr>
      <t>M.Sc</t>
    </r>
  </si>
  <si>
    <t>SMP Islam Al-Izhar Pondok Labu</t>
  </si>
  <si>
    <t>SD Katolik Melania 2 Percetakan Negara - Jakarta Pusat</t>
  </si>
  <si>
    <r>
      <t xml:space="preserve">Dr. T. I. Pudiyanto Suradibroto, </t>
    </r>
    <r>
      <rPr>
        <u/>
        <sz val="10"/>
        <color rgb="FF1155CC"/>
        <rFont val="Arial"/>
        <family val="2"/>
      </rPr>
      <t>M.Sc</t>
    </r>
  </si>
  <si>
    <t>SMP Katolik Melania 2 Percetakan Negara - Jakarta Pusat</t>
  </si>
  <si>
    <t>SMA Islam Al-Izhar Pondok Labu</t>
  </si>
  <si>
    <r>
      <t xml:space="preserve">Dr. T. I. Pudiyanto Suradibroto, </t>
    </r>
    <r>
      <rPr>
        <u/>
        <sz val="10"/>
        <color rgb="FF1155CC"/>
        <rFont val="Arial"/>
        <family val="2"/>
      </rPr>
      <t>M.Sc</t>
    </r>
  </si>
  <si>
    <t>TK Katolik Melania 1 Mangga Besar VI Selatan - Jakarta Barat</t>
  </si>
  <si>
    <r>
      <t xml:space="preserve">Dr. T. I. Pudiyanto Suradibroto, </t>
    </r>
    <r>
      <rPr>
        <u/>
        <sz val="10"/>
        <color rgb="FF1155CC"/>
        <rFont val="Arial"/>
        <family val="2"/>
      </rPr>
      <t>M.Sc</t>
    </r>
  </si>
  <si>
    <t>040/BSW-DIGINUSA/SK/X/2020</t>
  </si>
  <si>
    <t>Yayasan Global Indonesia Sukses</t>
  </si>
  <si>
    <t>Wijaya Tanoto</t>
  </si>
  <si>
    <t>SD Katolik Melania 1 Mangga Besar VI Selatan - Jakarta Barat</t>
  </si>
  <si>
    <t>SMP Global Indonesia School</t>
  </si>
  <si>
    <t>Aplikasi e-Learning Katalis</t>
  </si>
  <si>
    <r>
      <t xml:space="preserve">Dr. T. I. Pudiyanto Suradibroto, </t>
    </r>
    <r>
      <rPr>
        <u/>
        <sz val="10"/>
        <color rgb="FF1155CC"/>
        <rFont val="Arial"/>
        <family val="2"/>
      </rPr>
      <t>M.Sc</t>
    </r>
  </si>
  <si>
    <t>SMP Katolik Melania 1 Mangga Besar VI Selatan - Jakarta Barat</t>
  </si>
  <si>
    <t>SMA Global Indonesia School</t>
  </si>
  <si>
    <t>082/MK-BSW/MOU/VII/2019</t>
  </si>
  <si>
    <t xml:space="preserve">Happy Family School </t>
  </si>
  <si>
    <t>SD Happy Family School - Surabaya</t>
  </si>
  <si>
    <t>Dra. Vivi Funtiara (Bendahara)</t>
  </si>
  <si>
    <t>SMP Happy Family School - Surabaya</t>
  </si>
  <si>
    <t>083/BSW-DIGINUSA/MOU/V/2019</t>
  </si>
  <si>
    <t>MI Unggulan Assaádah - Surabaya</t>
  </si>
  <si>
    <t>Yunia Najachatul Husna, S.Pd.</t>
  </si>
  <si>
    <t>1 Juni 2019</t>
  </si>
  <si>
    <t>31 Mei 2021</t>
  </si>
  <si>
    <t>Pengadaan Finger Print &amp; Server Synology</t>
  </si>
  <si>
    <t>084/BSW-DIGINUSA/MOU/VII/2019</t>
  </si>
  <si>
    <t>Yayasan Yohanes Paulus</t>
  </si>
  <si>
    <t>Semara Duran Antonius</t>
  </si>
  <si>
    <t>SMP Santa Theresia - Depok</t>
  </si>
  <si>
    <t>Aplikasi Lab. Bahasa</t>
  </si>
  <si>
    <t>085/BSW-DIGINUSA/MOU/VIII/2019</t>
  </si>
  <si>
    <t>Yayasan Bunga Bakung Hybrida</t>
  </si>
  <si>
    <t>TK Mawar Saron Kelapa Gading - Jakarta Utara</t>
  </si>
  <si>
    <t>SD Mawar Saron Kelapa Gading - Jakarta Utara</t>
  </si>
  <si>
    <t>Smart Explorer &amp; Ekskul SD</t>
  </si>
  <si>
    <t>35.000 &amp; 20.000</t>
  </si>
  <si>
    <t>SMP Mawar Saron Kelapa Gading - Jakarta Utara</t>
  </si>
  <si>
    <t>Non Formal Mawar Saron Kelapa Gading - Jakarta Utara</t>
  </si>
  <si>
    <t>Design Graphic &amp; Programming</t>
  </si>
  <si>
    <t>086/BSW-DIGINUSA/MOU/VII/2019</t>
  </si>
  <si>
    <t>SD Joannes Bosco - Yogyakarta</t>
  </si>
  <si>
    <t>Tarcisius Tri Indartanta, S.Sos</t>
  </si>
  <si>
    <t>087/BSW-DIGINUSA/MOU/VII/2019</t>
  </si>
  <si>
    <t>Yayasan Perguruan ST. Bellarminus</t>
  </si>
  <si>
    <t>Iffan Darmawan</t>
  </si>
  <si>
    <t>SMP St. Bellarminus Menteng - Jakarta Pusat</t>
  </si>
  <si>
    <t>Laudri Alfrits</t>
  </si>
  <si>
    <t>SMA St. Bellarminus Menteng - Jakarta Pusat</t>
  </si>
  <si>
    <t>088/BSW-DIGINUSA/MOU/VII/2019</t>
  </si>
  <si>
    <t>089/BSW-DIGINUSA/MOU/VII/2019</t>
  </si>
  <si>
    <t>Pst. Dr. Fransiskus Samong, OSC (Direktur)</t>
  </si>
  <si>
    <t>TK Ign. Slamet Riyadi Resinda - Karawang</t>
  </si>
  <si>
    <t>1 Oktober 2019</t>
  </si>
  <si>
    <t>SD Ign. Slamet Riyadi Resinda - Karawang</t>
  </si>
  <si>
    <t>090/BSW-DIGINUSA/MOU/VII/2019</t>
  </si>
  <si>
    <t>SMP Global Indonesia School - Serang</t>
  </si>
  <si>
    <t>SMA Global Indonesia School - Serang</t>
  </si>
  <si>
    <t>091/BSW-DIGINUSA/MOU/VII/2019</t>
  </si>
  <si>
    <t>SMPK Abdi Siswa Patra - Tomang</t>
  </si>
  <si>
    <t>SMAK Abdi Siswa Patra - Tomang</t>
  </si>
  <si>
    <t>TKK Abdi Siswa Taman Aries - Kembangan</t>
  </si>
  <si>
    <t>SDK Abdi Siswa Taman Aries - Kembangan</t>
  </si>
  <si>
    <t>SMPK Abdi Siswa Taman Aries - Kembangan</t>
  </si>
  <si>
    <t>SMPK Abdi Siswa Graha Raya - Bintaro</t>
  </si>
  <si>
    <t>SMAK Abdi Siswa Graha Raya - Bintaro</t>
  </si>
  <si>
    <t>092/BSW-DIGINUSA/MOU/VII/2019</t>
  </si>
  <si>
    <t>SMP Bunda Kandung - Jakarta Selatan</t>
  </si>
  <si>
    <t>SMA Bunda Kandung - Jakarta Selatan</t>
  </si>
  <si>
    <t>093/BSW-DIGINUSA/MOU/VII/2019</t>
  </si>
  <si>
    <t>SMA Antartika - Sidoarjo</t>
  </si>
  <si>
    <t>Drs. Sukarno, M.Pd.</t>
  </si>
  <si>
    <t>1 Desember 2019</t>
  </si>
  <si>
    <t>31 November 2021</t>
  </si>
  <si>
    <t>Server Synologi</t>
  </si>
  <si>
    <t>094/BSW-DIGINUSA/MOU/VII/2019</t>
  </si>
  <si>
    <t>Pendidikan Robotik</t>
  </si>
  <si>
    <t>095/BSW-DIGINUSA/ADD/VIII/2019</t>
  </si>
  <si>
    <t>Yayasan Suluhiman</t>
  </si>
  <si>
    <t>Jeanny Atmadja</t>
  </si>
  <si>
    <t>SD Kusuma Harapan - Bekasi</t>
  </si>
  <si>
    <t>096/BSW-DIGINUSA/ADD/VIII/2019</t>
  </si>
  <si>
    <t>Agustus 2019</t>
  </si>
  <si>
    <t>Mei 2022</t>
  </si>
  <si>
    <t>097/BSW-DIGINUSA/MOU/VIII/2019</t>
  </si>
  <si>
    <t>098/BSW-DIGINUSA/MOU/VIII/2019</t>
  </si>
  <si>
    <t>Unggul A Lenggono</t>
  </si>
  <si>
    <t>099/BSW-DIGINUSA/MOU/VII/2019</t>
  </si>
  <si>
    <t>SMP Santa Maria - Pekanbaru</t>
  </si>
  <si>
    <t>SMA Santa Maria - Pekanbaru</t>
  </si>
  <si>
    <t>SMP Santo Yosef Duri - Riau</t>
  </si>
  <si>
    <t>SMA Santo Yosef Duri - Riau</t>
  </si>
  <si>
    <t>100/BSW-DIGINUSA/ADD/VIII/2019</t>
  </si>
  <si>
    <t>Tjhin Yasinta Suryanto</t>
  </si>
  <si>
    <t>101/BSW-DIGINUSA/MOU/VIII/2019</t>
  </si>
  <si>
    <t>Yayasan Hang Tuah Cabang Jakarta</t>
  </si>
  <si>
    <t>Kolonel Laut (Purn) is Sumiati</t>
  </si>
  <si>
    <t>TK Hang Tuah 7 - Jakarta Selatan</t>
  </si>
  <si>
    <t>102/BSW-DIGINUSA/MOU/VIII/2019</t>
  </si>
  <si>
    <t>SMP Saint John's Catholic School - BSD</t>
  </si>
  <si>
    <t>Alvina Gunadi</t>
  </si>
  <si>
    <t>Alvina@saintjohn.sch.id</t>
  </si>
  <si>
    <t>103/BSW-DIGINUSA/MOU/IX/2019</t>
  </si>
  <si>
    <t>Kristina Winarti, M.Pd.</t>
  </si>
  <si>
    <t>smptarakanita2@gmail.com</t>
  </si>
  <si>
    <t>Smart Library</t>
  </si>
  <si>
    <t>104/BSW-DIGINUSA/MOU/IX/2019</t>
  </si>
  <si>
    <t>Tri Suharnowo</t>
  </si>
  <si>
    <t>1 bulan</t>
  </si>
  <si>
    <t>5 orang</t>
  </si>
  <si>
    <t>105/BSW-DIGINUSA/MOU/IX/2019</t>
  </si>
  <si>
    <t>106/BSW-DIGINUSA/MOU/XI/2019</t>
  </si>
  <si>
    <t>Elti Gramedia - Yogyakarta</t>
  </si>
  <si>
    <t>Chatarina Dyah Murtiningsih (Asisten Manager)</t>
  </si>
  <si>
    <t>Perangkat Hardware</t>
  </si>
  <si>
    <t>107/BSW-DIGINUSA/SK/VII/2019</t>
  </si>
  <si>
    <r>
      <t xml:space="preserve">Dr. Alexander K Ruslim, </t>
    </r>
    <r>
      <rPr>
        <u/>
        <sz val="10"/>
        <color rgb="FF1155CC"/>
        <rFont val="Arial"/>
        <family val="2"/>
      </rPr>
      <t>Sp.PK</t>
    </r>
  </si>
  <si>
    <t>108/BSW-DIGINUSA/MOU/VIII/2019</t>
  </si>
  <si>
    <t xml:space="preserve">Yayasan BPK Penabur Metro </t>
  </si>
  <si>
    <r>
      <t xml:space="preserve">Dr. Alexander K Ruslim, </t>
    </r>
    <r>
      <rPr>
        <u/>
        <sz val="10"/>
        <color rgb="FF1155CC"/>
        <rFont val="Arial"/>
        <family val="2"/>
      </rPr>
      <t>Sp.PK</t>
    </r>
  </si>
  <si>
    <t>TK BPK Penabur Metro - Lampung Tengah</t>
  </si>
  <si>
    <t>PT Gramedia Asri Media</t>
  </si>
  <si>
    <r>
      <t xml:space="preserve">Dr. Alexander K Ruslim, </t>
    </r>
    <r>
      <rPr>
        <u/>
        <sz val="10"/>
        <color rgb="FF1155CC"/>
        <rFont val="Arial"/>
        <family val="2"/>
      </rPr>
      <t>Sp.PK</t>
    </r>
  </si>
  <si>
    <t>SD BPK Penabur Metro - Lampung Tengah</t>
  </si>
  <si>
    <r>
      <t xml:space="preserve">Dr. Alexander K Ruslim, </t>
    </r>
    <r>
      <rPr>
        <u/>
        <sz val="10"/>
        <color rgb="FF1155CC"/>
        <rFont val="Arial"/>
        <family val="2"/>
      </rPr>
      <t>Sp.PK</t>
    </r>
  </si>
  <si>
    <t>SMP BPK Penabur Metro - Lampung Tengah</t>
  </si>
  <si>
    <t>TK Fajar - Medan</t>
  </si>
  <si>
    <t>TK Santo Ignatius - Medan</t>
  </si>
  <si>
    <t>SD Santo Ignatius - Medan</t>
  </si>
  <si>
    <t>SMP Santo Ignatius - Medan</t>
  </si>
  <si>
    <t>SMA Santo Ignatius - Medan</t>
  </si>
  <si>
    <t>SD Katolik Cor Jesu - Malang</t>
  </si>
  <si>
    <t>SMA Santo Petrus - Sidikalang</t>
  </si>
  <si>
    <t>1 Agustus 2022</t>
  </si>
  <si>
    <t>Pendidikan Informatika</t>
  </si>
  <si>
    <t>Sara Yolanda</t>
  </si>
  <si>
    <t>Rumondang Verawati</t>
  </si>
  <si>
    <t>6 orang</t>
  </si>
  <si>
    <t>Riani Christina Tarigan</t>
  </si>
  <si>
    <t>Agusmawati Zandroto</t>
  </si>
  <si>
    <t>SD Taruna Bakti - Bandung</t>
  </si>
  <si>
    <t>Dewi Hariyanti</t>
  </si>
  <si>
    <t>Yayasan Asti Dharma Cabang Bogor</t>
  </si>
  <si>
    <t>SD Bunda Hati Kudus - Cibubur</t>
  </si>
  <si>
    <t>Yoni Tri Kushendarto</t>
  </si>
  <si>
    <t>Riana Hutapea</t>
  </si>
  <si>
    <t>Roy Martin</t>
  </si>
  <si>
    <t>Frederica Indrawati</t>
  </si>
  <si>
    <t>Olyverus Paebesi</t>
  </si>
  <si>
    <t>Dini Moviani</t>
  </si>
  <si>
    <t>Sr. M. Agusta, PBHK</t>
  </si>
  <si>
    <t>Fachrudin</t>
  </si>
  <si>
    <t>Afendi</t>
  </si>
  <si>
    <t>Threesna Setyady</t>
  </si>
  <si>
    <t>Muchammad Fauzi</t>
  </si>
  <si>
    <t>Wisnu Dewa Adji Maryadi</t>
  </si>
  <si>
    <t>SMP Waringin - Bandung</t>
  </si>
  <si>
    <t>SMA Trinitas - Bandung</t>
  </si>
  <si>
    <t>TK Katolik Sang Timur - Cakung</t>
  </si>
  <si>
    <t>Sr. Gertrudis Ester Dhana, PIJ</t>
  </si>
  <si>
    <t>Alamat Sekolah</t>
  </si>
  <si>
    <t>Tagihan dikirimkan ke</t>
  </si>
  <si>
    <t>No. Handphone</t>
  </si>
  <si>
    <t>Jumlah Pembayaran</t>
  </si>
  <si>
    <t>Threesna Setyadi</t>
  </si>
  <si>
    <t>TK Katolik Sang Timur - Karang Tengah</t>
  </si>
  <si>
    <t>SD Katolik Sang Timur - Karang Tengah</t>
  </si>
  <si>
    <t>TK Katolik Melania 2 - Percetakan Negara</t>
  </si>
  <si>
    <t>SD Katolik Melania 2 - Percetakan Negara</t>
  </si>
  <si>
    <t>SMP Katolik Melania 2 - Percetakan Negara</t>
  </si>
  <si>
    <t>TK Katolik Melania 1 - Mangga Besar VI Selatan</t>
  </si>
  <si>
    <t>SD Katolik Melania 1 - Mangga Besar VI Selatan</t>
  </si>
  <si>
    <t>SMP Katolik Melania 1 - Mangga Besar VI Selatan</t>
  </si>
  <si>
    <t>Yusuf Unggul Budiman</t>
  </si>
  <si>
    <t>Yulistian Nurul Kusumah</t>
  </si>
  <si>
    <t>1 Agustus 2018</t>
  </si>
  <si>
    <t>Nadia Azka Fikria</t>
  </si>
  <si>
    <t>SD Mardi Yuana - Rangkasbitung</t>
  </si>
  <si>
    <t>SMP Mardi Yuana - Rangkasbitung</t>
  </si>
  <si>
    <t>17 Juli 2023</t>
  </si>
  <si>
    <t>Custom</t>
  </si>
  <si>
    <t>Flat</t>
  </si>
  <si>
    <t>Jl. Jemur Andayani XXI No. 9 Surabaya</t>
  </si>
  <si>
    <t>Make sure jumlah siswa</t>
  </si>
  <si>
    <t>Valentino Wahyu Christiadi</t>
  </si>
  <si>
    <t>081235917142</t>
  </si>
  <si>
    <t>Muhammad Rafif Fadhil</t>
  </si>
  <si>
    <t>Moh. Nurfi Karim</t>
  </si>
  <si>
    <t>Jl. Rahayu No. 22 Jelambar Grogol Jakarta Barat</t>
  </si>
  <si>
    <t>Sr. M. Anselline Bernadeta Kanut, PBHK</t>
  </si>
  <si>
    <t>081317680003</t>
  </si>
  <si>
    <t>081912285888</t>
  </si>
  <si>
    <t>Angga Nur Handika</t>
  </si>
  <si>
    <t>SMP St. Maria Pekanbaru</t>
  </si>
  <si>
    <t>SMP St. Yosef Duri</t>
  </si>
  <si>
    <t>30 Juni 2028</t>
  </si>
  <si>
    <t>Jl. Aiptu K.S. Tubun No. 67 Palembang</t>
  </si>
  <si>
    <t>Jl. Hayam Wuruk 11 Medan 20153</t>
  </si>
  <si>
    <t>081327154489</t>
  </si>
  <si>
    <t>082332342519</t>
  </si>
  <si>
    <t>Jl. Cluster Vatican Sektor 8A Gading Serpong Tangerang</t>
  </si>
  <si>
    <t>085890555229</t>
  </si>
  <si>
    <t>081386690297</t>
  </si>
  <si>
    <t>SD Marsudirini Yogyakarta</t>
  </si>
  <si>
    <t>Suparyono, M.Pd.</t>
  </si>
  <si>
    <t>Ibu Rina</t>
  </si>
  <si>
    <t>083877764253</t>
  </si>
  <si>
    <t>1 Juli 2025</t>
  </si>
  <si>
    <t xml:space="preserve">Informatika berbasis IT Preneur </t>
  </si>
  <si>
    <t>Doni Abdillah Siregar</t>
  </si>
  <si>
    <t>Fani Muhzani</t>
  </si>
  <si>
    <t>SD Permai - Pluit</t>
  </si>
  <si>
    <t>Sry Rahayu</t>
  </si>
  <si>
    <t>Adam Kurniadi</t>
  </si>
  <si>
    <t>Yayasan Asti Dharma Pusat</t>
  </si>
  <si>
    <t>Informatika Kurmer Berbasis Programming</t>
  </si>
  <si>
    <t>089627051027</t>
  </si>
  <si>
    <t>Yayasan Adi Bhakti</t>
  </si>
  <si>
    <t>SD Santo Vincentius - Jakarta</t>
  </si>
  <si>
    <t>08984966776</t>
  </si>
  <si>
    <t>Jl. Pandawa Perum Resinda Desa Purwadana Kec. Telukjambe Timur Kab. Karawang Jawa Barat 41361</t>
  </si>
  <si>
    <t>081295759124</t>
  </si>
  <si>
    <t>Jl. Pajajaran No. 234 Kota Bogor</t>
  </si>
  <si>
    <t>SMP Xaverius 1 Teluk Betung - Bandar Lampung</t>
  </si>
  <si>
    <t>Jl. Hasanudin No. 25 Teluk Betung Bandar Lampung</t>
  </si>
  <si>
    <t>Sr. Lucilla Ngadisih, HK</t>
  </si>
  <si>
    <t>TU : Marcell</t>
  </si>
  <si>
    <t>085766835574</t>
  </si>
  <si>
    <t>Informatika Berbasis Robotik</t>
  </si>
  <si>
    <t>081318133520</t>
  </si>
  <si>
    <t>08567716010</t>
  </si>
  <si>
    <t>Smart School</t>
  </si>
  <si>
    <t>Jl. Patra Tomang Raya 1 Duri Kepa Kebon Jeruk Jakarta Barat</t>
  </si>
  <si>
    <t>TK Taruna Bakti - Bandung</t>
  </si>
  <si>
    <t>Hermawan</t>
  </si>
  <si>
    <t>Jl. Kosambi Selatan Raya No.1 Duri Kosambi Cengkareng Jakarta Barat</t>
  </si>
  <si>
    <t>TKK Sang Timur - Pasuruan</t>
  </si>
  <si>
    <t>Jl. Hayam Wuruk No. 20 Purworejo Kota Pasuruan Jawa Timur 67115</t>
  </si>
  <si>
    <t>Laurencia Agustina, S.Pd.</t>
  </si>
  <si>
    <t>085230501330</t>
  </si>
  <si>
    <t>Ekskul Koding</t>
  </si>
  <si>
    <t>Triana Kusumaningtyas</t>
  </si>
  <si>
    <t>082147404855</t>
  </si>
  <si>
    <t>Agustus</t>
  </si>
  <si>
    <t>085227127274</t>
  </si>
  <si>
    <t>085643491717</t>
  </si>
  <si>
    <t>081212238650</t>
  </si>
  <si>
    <t>Mei 2027</t>
  </si>
  <si>
    <t>Yayasan Taruni Bhakti</t>
  </si>
  <si>
    <t>Sr. Angela Yayah Rodiah, OSU</t>
  </si>
  <si>
    <t>Jl. A. Yani No. 7 RT 019 RW 007 Kel. Pangongangan Kec. Manguharjo Kota Madiun</t>
  </si>
  <si>
    <t>Bendahara Yayasan: Sr. Maria Laetitia Yektiningsih, OSU</t>
  </si>
  <si>
    <t>08156749013</t>
  </si>
  <si>
    <t>Monica Heni Kristina</t>
  </si>
  <si>
    <t>002/BSW-DIGINUSA/MOU/I/2026</t>
  </si>
  <si>
    <t>Bent Tree School</t>
  </si>
  <si>
    <t>SMP Bent Tree School - Jakarta Utara</t>
  </si>
  <si>
    <t>Jl. Danau Bisma Blok C No. 16 Jakarta Utara</t>
  </si>
  <si>
    <t>Willbin Louis</t>
  </si>
  <si>
    <t>08988386065</t>
  </si>
  <si>
    <t>5 bulan</t>
  </si>
  <si>
    <t>2 Januari 2026</t>
  </si>
  <si>
    <t>30 Juni 2029</t>
  </si>
  <si>
    <r>
      <rPr>
        <b/>
        <sz val="10"/>
        <color theme="1"/>
        <rFont val="Arial"/>
        <family val="2"/>
      </rPr>
      <t xml:space="preserve">5x pembayaran </t>
    </r>
    <r>
      <rPr>
        <sz val="10"/>
        <color theme="1"/>
        <rFont val="Arial"/>
        <family val="2"/>
      </rPr>
      <t xml:space="preserve">
(Jan, Feb, Mar, Apr, Mei)</t>
    </r>
  </si>
  <si>
    <t>perangkat robotik: 16.224.000</t>
  </si>
  <si>
    <t>003/BSW-DIGINUSA/MOU/I/2026</t>
  </si>
  <si>
    <t>Yayasan Pendidikan Bunda Kandung</t>
  </si>
  <si>
    <t>SMP Bunda Kandung - Pasar Minggu</t>
  </si>
  <si>
    <t>Jl. Poltangan Raya No.41 Pasar Minggu Jakarta Selatan</t>
  </si>
  <si>
    <t>Drw. H. Madhari</t>
  </si>
  <si>
    <t>Bendahara: Ibu Reni</t>
  </si>
  <si>
    <t>082165620505</t>
  </si>
  <si>
    <t>1 Januari 2026</t>
  </si>
  <si>
    <t>31 Desember 2028</t>
  </si>
  <si>
    <r>
      <rPr>
        <b/>
        <sz val="10"/>
        <color theme="1"/>
        <rFont val="Arial"/>
        <family val="2"/>
      </rPr>
      <t xml:space="preserve">11x Pembayaran
</t>
    </r>
    <r>
      <rPr>
        <sz val="10"/>
        <color theme="1"/>
        <rFont val="Arial"/>
        <family val="2"/>
      </rPr>
      <t>(Jan, Feb, Mar, Apr, Mei, Jun,Agust, Sept, Okt, Nov, Des)</t>
    </r>
  </si>
  <si>
    <t>Informatika Kurmer berbasis Multimedia ITPreneur dan Koding</t>
  </si>
  <si>
    <t>SMA Bunda Kandung - Pasar Minggu</t>
  </si>
  <si>
    <t>004/BSW-DIGINUSA/MOU/II/2026</t>
  </si>
  <si>
    <t>TK Rigatrik - Jakarta Selatan</t>
  </si>
  <si>
    <t>Jl. Sigura-gura No. 3B Komplek Duren Tiga Jakarta Selatan</t>
  </si>
  <si>
    <t>Syipa Adawiyah</t>
  </si>
  <si>
    <t>081808038228</t>
  </si>
  <si>
    <t>31 Agustus 2029</t>
  </si>
  <si>
    <r>
      <rPr>
        <b/>
        <sz val="10"/>
        <color theme="1"/>
        <rFont val="Arial"/>
        <family val="2"/>
      </rPr>
      <t xml:space="preserve">12x Pembayaran
</t>
    </r>
    <r>
      <rPr>
        <sz val="10"/>
        <color theme="1"/>
        <rFont val="Arial"/>
        <family val="2"/>
      </rPr>
      <t>(Sept, Okt, Nov, Des, Jan, Feb, Mar, Apr, Mei, Juni, Juli, Agust)</t>
    </r>
  </si>
  <si>
    <t>005/BSW-DIGINUSA/MOU/I/2026</t>
  </si>
  <si>
    <t>081230209897</t>
  </si>
  <si>
    <t>006/BSW-DIGINUSA/MOU/I/2026</t>
  </si>
  <si>
    <t>TK  Pandu Puruhita - Depok</t>
  </si>
  <si>
    <t>Bukit Sawangan Indah Jl. Anggrek Raya Blok C1 No. 1-5 Kelurahan Duren Mekar Kec. Bojongsari Kota Depok</t>
  </si>
  <si>
    <t>Veronika Dyah Khristantri Siwi, S.I.A, S.Pd.</t>
  </si>
  <si>
    <t>Bendahara: Florentina Dyah Widhiastuti</t>
  </si>
  <si>
    <t>08128304328</t>
  </si>
  <si>
    <t>1 Februari 2026</t>
  </si>
  <si>
    <t>9 orang</t>
  </si>
  <si>
    <r>
      <rPr>
        <b/>
        <sz val="10"/>
        <color theme="1"/>
        <rFont val="Arial"/>
        <family val="2"/>
      </rPr>
      <t xml:space="preserve">15x pembayaran </t>
    </r>
    <r>
      <rPr>
        <sz val="10"/>
        <color theme="1"/>
        <rFont val="Arial"/>
        <family val="2"/>
      </rPr>
      <t xml:space="preserve">
(Feb, Mar, Apr, Mei, Juni, Agust, Sept, Okt, Nov, Des, Jan, Feb, Mar, Apr, Mei)</t>
    </r>
  </si>
  <si>
    <t>Lorentina Rebecca</t>
  </si>
  <si>
    <t>SD Putra Bangsa - Depok</t>
  </si>
  <si>
    <t>08128304329</t>
  </si>
  <si>
    <t>007/BSW-DIGINUSA/MOU/I/2026</t>
  </si>
  <si>
    <t>Yola Putryanie S.</t>
  </si>
  <si>
    <t>PT Gramedia Pustaka Utama</t>
  </si>
  <si>
    <t>Jl. Palmerah Barat No. 29 - 37 Jakarta 10270</t>
  </si>
  <si>
    <t>2 Februari 2026</t>
  </si>
  <si>
    <t>31 Januari 2028</t>
  </si>
  <si>
    <t>Jl. Joyoboyo 19 Surabaya</t>
  </si>
  <si>
    <t>Sewa Laptop/PC</t>
  </si>
  <si>
    <t>Jl. Siliwangi No. 50 Bogor 16131</t>
  </si>
  <si>
    <t>008/BSW-DIGINUSA/MOU/I/2026</t>
  </si>
  <si>
    <t>Sugiarto</t>
  </si>
  <si>
    <t>Jl. Raya Cipanas Sindanglaya Pacet 43253</t>
  </si>
  <si>
    <t>009/BSW-DIGINUSA/MOU/II/2026</t>
  </si>
  <si>
    <t>Yayasan Santo Dominikus Kantor Cabang Purwokerto</t>
  </si>
  <si>
    <t>Sr. M. Karina Widiastuti, OP. M.Pd.</t>
  </si>
  <si>
    <t>TK Santo Yosef - Purwokerto</t>
  </si>
  <si>
    <t>Jl. Gatot Subroto No. 44 Purwokerto</t>
  </si>
  <si>
    <t>Bendahara: Lisa Boediningrum</t>
  </si>
  <si>
    <t>085228019255</t>
  </si>
  <si>
    <t>Juli 2026</t>
  </si>
  <si>
    <t>Sr. Cendrayani Tan, SDP</t>
  </si>
  <si>
    <t>YPII Semarang</t>
  </si>
  <si>
    <r>
      <rPr>
        <b/>
        <sz val="10"/>
        <color theme="1"/>
        <rFont val="Arial"/>
        <family val="2"/>
      </rPr>
      <t xml:space="preserve">11x Pembayaran
</t>
    </r>
    <r>
      <rPr>
        <sz val="10"/>
        <color theme="1"/>
        <rFont val="Arial"/>
        <family val="2"/>
      </rPr>
      <t>(Agust, Sept, Okt, Nov, Des, Jan, Feb, Mar, Apr, Mei, Juni)</t>
    </r>
  </si>
  <si>
    <t>TK Santa Maria - Purwokerto</t>
  </si>
  <si>
    <t>Jl. Gang Pinggir No. 44 Kel Kranggan, Kec. Semarang Tengah, Kota Semarang, Prov. Jawa Tengah 50137</t>
  </si>
  <si>
    <r>
      <rPr>
        <b/>
        <sz val="10"/>
        <color theme="1"/>
        <rFont val="Arial"/>
        <family val="2"/>
      </rPr>
      <t xml:space="preserve">11x Pembayaran
</t>
    </r>
    <r>
      <rPr>
        <sz val="10"/>
        <color theme="1"/>
        <rFont val="Arial"/>
        <family val="2"/>
      </rPr>
      <t>(Agust, Sept, Okt, Nov, Des, Jan, Feb, Mar, Apr, Mei, Juni)</t>
    </r>
  </si>
  <si>
    <t>Bendahara: Novita Mega Melati</t>
  </si>
  <si>
    <t>08988108434</t>
  </si>
  <si>
    <t>SD Santo Yosep - Purwokerto</t>
  </si>
  <si>
    <r>
      <rPr>
        <b/>
        <sz val="10"/>
        <color theme="1"/>
        <rFont val="Arial"/>
        <family val="2"/>
      </rPr>
      <t xml:space="preserve">11x Pembayaran
</t>
    </r>
    <r>
      <rPr>
        <sz val="10"/>
        <color theme="1"/>
        <rFont val="Arial"/>
        <family val="2"/>
      </rPr>
      <t>(Agust, Sept, Okt, Nov, Des, Jan, Feb, Mar, Apr, Mei, Juni)</t>
    </r>
  </si>
  <si>
    <t>Informatika Berbasis Robotik &amp; Koding</t>
  </si>
  <si>
    <t>SD Santa Maria - Purwokerto</t>
  </si>
  <si>
    <r>
      <rPr>
        <b/>
        <sz val="10"/>
        <color theme="1"/>
        <rFont val="Arial"/>
        <family val="2"/>
      </rPr>
      <t xml:space="preserve">11x Pembayaran
</t>
    </r>
    <r>
      <rPr>
        <sz val="10"/>
        <color theme="1"/>
        <rFont val="Arial"/>
        <family val="2"/>
      </rPr>
      <t>(Agust, Sept, Okt, Nov, Des, Jan, Feb, Mar, Apr, Mei, Juni)</t>
    </r>
  </si>
  <si>
    <t>Jl.Gang Pinggir No. 62, Kel Jagalan, Kec. Semarang Tengah, Kota Semarang, Prov. Jawa Tengah 50137</t>
  </si>
  <si>
    <t>SMP Susteran - Purwokerto</t>
  </si>
  <si>
    <r>
      <rPr>
        <b/>
        <sz val="10"/>
        <color theme="1"/>
        <rFont val="Arial"/>
        <family val="2"/>
      </rPr>
      <t xml:space="preserve">11x Pembayaran
</t>
    </r>
    <r>
      <rPr>
        <sz val="10"/>
        <color theme="1"/>
        <rFont val="Arial"/>
        <family val="2"/>
      </rPr>
      <t>(Agust, Sept, Okt, Nov, Des, Jan, Feb, Mar, Apr, Mei, Juni)</t>
    </r>
  </si>
  <si>
    <t>September: 15.000</t>
  </si>
  <si>
    <t>010/BSW/DIGINUSA/MOU/II/2026</t>
  </si>
  <si>
    <t>Laurentius Adhiyaksa Ekatama</t>
  </si>
  <si>
    <t>PT Gramedia Widiasarana Indonesia - Grasindo</t>
  </si>
  <si>
    <t>September: 20.000</t>
  </si>
  <si>
    <t>Jl. Wotgandul Barat No. 31, Kel. Kranggan, Kec. Semarang Tengah, Kota Semarang, Prov. Jawa Tengah 50137</t>
  </si>
  <si>
    <t>011/BSW-DIGINUSA/MOU/II/2026</t>
  </si>
  <si>
    <r>
      <t xml:space="preserve">Aulia Febriani, </t>
    </r>
    <r>
      <rPr>
        <u/>
        <sz val="10"/>
        <color rgb="FF1155CC"/>
        <rFont val="Arial"/>
        <family val="2"/>
      </rPr>
      <t>S.Sn</t>
    </r>
    <r>
      <rPr>
        <sz val="10"/>
        <color rgb="FF000000"/>
        <rFont val="Arial"/>
        <scheme val="minor"/>
      </rPr>
      <t>.</t>
    </r>
  </si>
  <si>
    <t>Jl. Arum Sari, Kel. Sambiroto, Kec. Tembalang, Kota Semarang, Prov. Jawa Tengah 50276</t>
  </si>
  <si>
    <t>TK Qolbu - Androkidz Tangerang</t>
  </si>
  <si>
    <t>Perumahan Legok Permai Blok G1 No. C12 Desa Legok Kec. Legok Kab. Tangerang</t>
  </si>
  <si>
    <r>
      <rPr>
        <sz val="10"/>
        <color rgb="FF000000"/>
        <rFont val="Arial, sans-serif"/>
      </rPr>
      <t xml:space="preserve">Aulia Febriani, </t>
    </r>
    <r>
      <rPr>
        <u/>
        <sz val="10"/>
        <color rgb="FF1155CC"/>
        <rFont val="Arial, sans-serif"/>
      </rPr>
      <t>S.Sn</t>
    </r>
    <r>
      <rPr>
        <sz val="10"/>
        <color rgb="FF000000"/>
        <rFont val="Arial, sans-serif"/>
      </rPr>
      <t>.</t>
    </r>
  </si>
  <si>
    <t>082211402112</t>
  </si>
  <si>
    <t>31 Januari 2027</t>
  </si>
  <si>
    <r>
      <rPr>
        <b/>
        <sz val="10"/>
        <color theme="1"/>
        <rFont val="Arial"/>
        <family val="2"/>
      </rPr>
      <t xml:space="preserve">9x Pembayaran
</t>
    </r>
    <r>
      <rPr>
        <sz val="10"/>
        <color theme="1"/>
        <rFont val="Arial"/>
        <family val="2"/>
      </rPr>
      <t>(Mar, Apr, Mei, Agust, Sept, Okt, Nov, Des, Jan 2027)</t>
    </r>
  </si>
  <si>
    <t>Jl. Jend. Sudirman No. 54 Kel. Barongan, Kec. Kota Kudus, Kab. Kudus, prov. Jawa Tengah 59312</t>
  </si>
  <si>
    <t>012/BSW-DIGINUSA/MOU/II/2026</t>
  </si>
  <si>
    <t>SMP Xaverius 1 Palembang</t>
  </si>
  <si>
    <t>Jl. Mayangsari Selatan I/5, Kel. Kalipancur, Kec. Ngaliyan, Kota Semarang, Prov. Jawa Tengah 50183</t>
  </si>
  <si>
    <t>013/BSW-DIGINUSA/MOU/II/2026</t>
  </si>
  <si>
    <t>PT Elex Media Komputindo</t>
  </si>
  <si>
    <t>26 Februari 2026</t>
  </si>
  <si>
    <t>25 Februari 2028</t>
  </si>
  <si>
    <t>Jl. Untung Surapati No.9 Kel. Manyaran, Kec. Semarang Barat, Kota Semarang, Prov. Jawa Tengah 50147</t>
  </si>
  <si>
    <t>014/BSW-DIGINUSA/MOU/</t>
  </si>
  <si>
    <t>PT Radio Sonora</t>
  </si>
  <si>
    <t>Jl. Jend. Sudirman No. 53, Kel. Kertosari, Kec. Temanggung, Kab. Temanggung, Prov. Jawa Tengah 56217</t>
  </si>
  <si>
    <t>015/BSW-DIGINUSA/MOU/IV/2026</t>
  </si>
  <si>
    <t>SD Marsudirini 2 - Bekasi</t>
  </si>
  <si>
    <t>Jl. Raya Narogong No. 202 Kemang Pratama Jakarta Selatan</t>
  </si>
  <si>
    <t>Christina Susanti, S.Pd.</t>
  </si>
  <si>
    <t>087886836298</t>
  </si>
  <si>
    <t>1 Juli 2026</t>
  </si>
  <si>
    <r>
      <rPr>
        <b/>
        <sz val="10"/>
        <color theme="1"/>
        <rFont val="Arial"/>
        <family val="2"/>
      </rPr>
      <t xml:space="preserve">2x Pembayaran
</t>
    </r>
    <r>
      <rPr>
        <sz val="10"/>
        <color theme="1"/>
        <rFont val="Arial"/>
        <family val="2"/>
      </rPr>
      <t>(Agust 2026 dan Januari 2027)</t>
    </r>
  </si>
  <si>
    <t>Helen Kristanti</t>
  </si>
  <si>
    <t>016/BSW-DIGINUSA/DIGINUSA/SK/IV/2026</t>
  </si>
  <si>
    <t>Yohanes Gabriel Surabaya</t>
  </si>
  <si>
    <t>YPII Bandung</t>
  </si>
  <si>
    <t>Jl. Kebon Jati 209, Bandung, Kel. Ciroyom, Kec. Andir, Kota Bandung, Prov. Jawa Barat 40182</t>
  </si>
  <si>
    <t>017/BSW-DIGINUSA/MOU/IV/2026</t>
  </si>
  <si>
    <t>Direktur SDM &amp; Hukum: V.A.G. Sandrajanti</t>
  </si>
  <si>
    <t>SD Al-Izhar - Pondok Labu</t>
  </si>
  <si>
    <t>Jl. RS. Fatmawati Kav. 49, Pondok Labu, Jakarta Selatan</t>
  </si>
  <si>
    <t>1 Agustus 2026</t>
  </si>
  <si>
    <t>31 Juli 2029</t>
  </si>
  <si>
    <r>
      <rPr>
        <b/>
        <sz val="10"/>
        <color theme="1"/>
        <rFont val="Arial"/>
        <family val="2"/>
      </rPr>
      <t xml:space="preserve">11x Pembayaran
</t>
    </r>
    <r>
      <rPr>
        <sz val="10"/>
        <color theme="1"/>
        <rFont val="Arial"/>
        <family val="2"/>
      </rPr>
      <t>(Agust, Sept, Okt, Nov, Des, Jan, Feb, Mar, Apr, Mei, Juni, Juli)</t>
    </r>
  </si>
  <si>
    <t>SMP Al-Izhar - Pondok Labu</t>
  </si>
  <si>
    <t>SMA Al-Izhar - Pondok Labu</t>
  </si>
  <si>
    <t>YPII Jakarta</t>
  </si>
  <si>
    <t>018/BSW-DIGINUSA/MOU/</t>
  </si>
  <si>
    <t xml:space="preserve">PT Gramedia Asri Media </t>
  </si>
  <si>
    <t>Jl. Dwi Warna Raya No. 1-3 Kel. Kartini, Kec. Sawah Besar, Jakarta Pusat 10750</t>
  </si>
  <si>
    <t>019/BSW-DIGINUSA/MOU/IV/2026</t>
  </si>
  <si>
    <t>Sri Sumarsih</t>
  </si>
  <si>
    <t>SMP Katolik Sang Timur - Karang Timur</t>
  </si>
  <si>
    <t>Jl. Barata Pahala No. 37 Karang Tengah Tangerang Banten</t>
  </si>
  <si>
    <t>Antonia Maria Pusparini, M.Pd.</t>
  </si>
  <si>
    <t>081334033302</t>
  </si>
  <si>
    <r>
      <rPr>
        <b/>
        <sz val="10"/>
        <color theme="1"/>
        <rFont val="Arial"/>
        <family val="2"/>
      </rPr>
      <t xml:space="preserve">11x Pembayaran
</t>
    </r>
    <r>
      <rPr>
        <sz val="10"/>
        <color theme="1"/>
        <rFont val="Arial"/>
        <family val="2"/>
      </rPr>
      <t>(Agust, Sept, Okt, Nov, Des, Jan, Feb, Mar, Apr, Mei, Juni)</t>
    </r>
  </si>
  <si>
    <t>SMP Santo Yoseph - Jakarta</t>
  </si>
  <si>
    <t>1 Orang</t>
  </si>
  <si>
    <t>020/BSW-DIGINUSA/MOU/V/2026</t>
  </si>
  <si>
    <t>Koordinator : Yani, S.Pd., M.M.</t>
  </si>
  <si>
    <t>SD Mutiara Bangsa 7 - Banten</t>
  </si>
  <si>
    <t>Perumahan Citra Maja Raya 2 Sektor 6.2 Pasir Kemban, Maja Kab. Lebak Banten</t>
  </si>
  <si>
    <t>Bendahara: Dina Anastasya</t>
  </si>
  <si>
    <t>YPII Kalimantan</t>
  </si>
  <si>
    <t>082216123186</t>
  </si>
  <si>
    <t>550
(untuk detailnya nanti akan diinfo dari Mba Rika)</t>
  </si>
  <si>
    <t>Jl. Veteran Sungai Bilu 156 Melayu, Kec. Banjarmasing Tengah, Kota Banjarmasin, Kalimantan Selatan 70122</t>
  </si>
  <si>
    <r>
      <rPr>
        <b/>
        <sz val="10"/>
        <color theme="1"/>
        <rFont val="Arial"/>
        <family val="2"/>
      </rPr>
      <t xml:space="preserve">11x Pembayaran
</t>
    </r>
    <r>
      <rPr>
        <sz val="10"/>
        <color theme="1"/>
        <rFont val="Arial"/>
        <family val="2"/>
      </rPr>
      <t>(Juli, Agust, Sept, Okt, Nov, Des, Jan, Feb, Mar, Apr, Mei)</t>
    </r>
  </si>
  <si>
    <t>SMP Mutiara Bangsa 7 - Banten</t>
  </si>
  <si>
    <t>Rosalina Simamora, M.Pd.,</t>
  </si>
  <si>
    <t>Jl. Pramuka No. 4A, Tamiang Layang, Kel. Tamiang Layang, Kec. Dusun Timur, Kab. Barito Timur, Prov. Kalimantan</t>
  </si>
  <si>
    <t>SMA Mutiara Bangsa 7 - Banten</t>
  </si>
  <si>
    <t>SD Trinitias - Kalimantan</t>
  </si>
  <si>
    <t>Informatika di semester 1 
Informatika Berbasis Robotik di semester 2</t>
  </si>
  <si>
    <t>SMK Mutiara Bangsa 7 - Banten</t>
  </si>
  <si>
    <t>021/BSW-DIGINUSA/MOU/V/2026</t>
  </si>
  <si>
    <t>Yayasan Santa Cicilia</t>
  </si>
  <si>
    <t>Pengurus Yayasan : Lannywati Anwar</t>
  </si>
  <si>
    <t>TK Santa Cicilia - Pademangan</t>
  </si>
  <si>
    <t>Jl. Pademangan 2 Gang 21 Jakarta Utara</t>
  </si>
  <si>
    <t>Ibu Ing</t>
  </si>
  <si>
    <t>08121313972</t>
  </si>
  <si>
    <r>
      <rPr>
        <b/>
        <sz val="10"/>
        <color theme="1"/>
        <rFont val="Arial"/>
        <family val="2"/>
      </rPr>
      <t xml:space="preserve">1x Pembayaran
</t>
    </r>
    <r>
      <rPr>
        <sz val="10"/>
        <color theme="1"/>
        <rFont val="Arial"/>
        <family val="2"/>
      </rPr>
      <t>(Agust 2026)</t>
    </r>
  </si>
  <si>
    <t>SD Santa Cicilia - Pademangan</t>
  </si>
  <si>
    <t>Wong Lie Tjia</t>
  </si>
  <si>
    <t>SMP Santa Cicilia - Pademangan</t>
  </si>
  <si>
    <t>Informatika Berbasis ITPreneur</t>
  </si>
  <si>
    <t>TK Santa Cicilia - Ancol</t>
  </si>
  <si>
    <t>Jl. Ancol Selatan II No. 17 Jakarta Utara</t>
  </si>
  <si>
    <t>SD Santa Cicilia - Ancol</t>
  </si>
  <si>
    <t>SMP Santa Cicilia - Ancol</t>
  </si>
  <si>
    <t>Informatika Berbasis Koding</t>
  </si>
  <si>
    <t>PPPK Petra Surabaya</t>
  </si>
  <si>
    <t>022/BSW-DIGINUSA/MOU/V/2026</t>
  </si>
  <si>
    <t>Yayasan Pendidikan Kristen Cemerlang Kasih Bangsa</t>
  </si>
  <si>
    <t>Maria Wahju</t>
  </si>
  <si>
    <t>SD Kristen Haleluyah - Jakarta</t>
  </si>
  <si>
    <t>Jl. Industri I No. 34 - 35 Jakarta</t>
  </si>
  <si>
    <t>Ibu Sri Lestari</t>
  </si>
  <si>
    <t>082112526024</t>
  </si>
  <si>
    <r>
      <rPr>
        <b/>
        <sz val="10"/>
        <color theme="1"/>
        <rFont val="Arial"/>
        <family val="2"/>
      </rPr>
      <t xml:space="preserve">10x Pembayaran
</t>
    </r>
    <r>
      <rPr>
        <sz val="10"/>
        <color theme="1"/>
        <rFont val="Arial"/>
        <family val="2"/>
      </rPr>
      <t>(Agust, Sept, Okt, Nov, Des, Jan, Feb, Mar, Apr, Mei)</t>
    </r>
  </si>
  <si>
    <t>Informatika Berbasis Programming</t>
  </si>
  <si>
    <t>SMP Kristen Haleluyah - Jakarta</t>
  </si>
  <si>
    <t>Bapak Omry</t>
  </si>
  <si>
    <t>081295398019</t>
  </si>
  <si>
    <r>
      <rPr>
        <b/>
        <sz val="10"/>
        <color theme="1"/>
        <rFont val="Arial"/>
        <family val="2"/>
      </rPr>
      <t xml:space="preserve">10x Pembayaran
</t>
    </r>
    <r>
      <rPr>
        <sz val="10"/>
        <color theme="1"/>
        <rFont val="Arial"/>
        <family val="2"/>
      </rPr>
      <t>(Agust, Sept, Okt, Nov, Des, Jan, Feb, Mar, Apr, Mei)</t>
    </r>
  </si>
  <si>
    <t>023/BSW-DIGINUSA/MOU/VENDOR/V/2026</t>
  </si>
  <si>
    <t>Direktur: Husin Tjandera</t>
  </si>
  <si>
    <t>PT Pasific City Retailindo</t>
  </si>
  <si>
    <t>Komplek Mangga Dua Square Blok F No. 6 Jl. Gunung Sahari Raya No. 1 Pademangan Jakarta 14420</t>
  </si>
  <si>
    <t>024/BSW-DIGINUSA/MOU/V/2026</t>
  </si>
  <si>
    <t>SMP Katolik Sang Timur - Tomang</t>
  </si>
  <si>
    <t>Jl. Karmel Raya No.2 Kebon Jeruk Jakarta Barat</t>
  </si>
  <si>
    <t>Bendahara: Ibu Erna Yudiyastuti</t>
  </si>
  <si>
    <t>085710104227</t>
  </si>
  <si>
    <r>
      <rPr>
        <b/>
        <sz val="10"/>
        <color theme="1"/>
        <rFont val="Arial"/>
        <family val="2"/>
      </rPr>
      <t xml:space="preserve">11x Pembayaran
</t>
    </r>
    <r>
      <rPr>
        <sz val="10"/>
        <color theme="1"/>
        <rFont val="Arial"/>
        <family val="2"/>
      </rPr>
      <t>(Agust, Sept, Okt, Nov, Des, Jan, Feb, Mar, Apr, Mei, Juni)</t>
    </r>
  </si>
  <si>
    <t>025/BSW-DIGINUSA/SK/V/2026</t>
  </si>
  <si>
    <t>Yayasan Pendidikan Umum St. Lukas</t>
  </si>
  <si>
    <t>026/BSW-DIGINUSA/MOU/V/2026</t>
  </si>
  <si>
    <t>Jl. Edelweis I Blok E.1 No.9 Taman Modern Cakung Jakarta Timur</t>
  </si>
  <si>
    <t>Petronela Samoa Rusae, S.Pd. (Sr. Ernesta M, PIJ)</t>
  </si>
  <si>
    <r>
      <rPr>
        <b/>
        <sz val="10"/>
        <color theme="1"/>
        <rFont val="Arial"/>
        <family val="2"/>
      </rPr>
      <t xml:space="preserve">11x Pembayaran
</t>
    </r>
    <r>
      <rPr>
        <sz val="10"/>
        <color theme="1"/>
        <rFont val="Arial"/>
        <family val="2"/>
      </rPr>
      <t>(Agust, Sept, Okt, Nov, Des, Jan, Feb, Mar, Apr, Mei)</t>
    </r>
  </si>
  <si>
    <t>027/BSW-DIGINUSA/MOU/V/2026</t>
  </si>
  <si>
    <t>SD Katolik Sang Timur - Kebon Jeruk</t>
  </si>
  <si>
    <t>028/BSW-DIGINUSA/MOU/V/2026</t>
  </si>
  <si>
    <t>029/BSW-DIGINUSA/MOU/V/2026</t>
  </si>
  <si>
    <t>Jl. Barata Pahala No.37 Karang Tengah Tangerang Banten</t>
  </si>
  <si>
    <t>Istiyah</t>
  </si>
  <si>
    <t>Bendahara: Christina Purwanti</t>
  </si>
  <si>
    <t>081333128434</t>
  </si>
  <si>
    <r>
      <rPr>
        <b/>
        <sz val="10"/>
        <color theme="1"/>
        <rFont val="Arial"/>
        <family val="2"/>
      </rPr>
      <t xml:space="preserve">11x Pembayaran
</t>
    </r>
    <r>
      <rPr>
        <sz val="10"/>
        <color theme="1"/>
        <rFont val="Arial"/>
        <family val="2"/>
      </rPr>
      <t>(Agust, Sept, Okt, Nov, Des, Jan, Feb, Mar, Apr, Mei, Juni)</t>
    </r>
  </si>
  <si>
    <t>030/BSW-DIGINUSA/MOU/VI/2026</t>
  </si>
  <si>
    <t>Kepala Kantor: Sr. Imelda Nadeak, CB. M.Pd.</t>
  </si>
  <si>
    <t>Kabag Keuangan: Ibu Anna Dyah Respitasari, SE</t>
  </si>
  <si>
    <r>
      <rPr>
        <b/>
        <sz val="10"/>
        <color theme="1"/>
        <rFont val="Arial"/>
        <family val="2"/>
      </rPr>
      <t xml:space="preserve">10x Pembayaran
</t>
    </r>
    <r>
      <rPr>
        <sz val="10"/>
        <color theme="1"/>
        <rFont val="Arial"/>
        <family val="2"/>
      </rPr>
      <t>(Agust, Sept, Okt, Nov, Des, Jan, Feb, Mar, Apr, Mei)</t>
    </r>
  </si>
  <si>
    <t>Informatika terintegrasi dengan KKA</t>
  </si>
  <si>
    <t>Poppy Hendraswari, Eka Supriyati</t>
  </si>
  <si>
    <t>Jonathan Wibisono</t>
  </si>
  <si>
    <r>
      <rPr>
        <b/>
        <sz val="10"/>
        <color theme="1"/>
        <rFont val="Arial"/>
        <family val="2"/>
      </rPr>
      <t xml:space="preserve">10x Pembayaran
</t>
    </r>
    <r>
      <rPr>
        <sz val="10"/>
        <color theme="1"/>
        <rFont val="Arial"/>
        <family val="2"/>
      </rPr>
      <t>(Agust, Sept, Okt, Nov, Des, Jan, Feb, Mar, Apr, Mei)</t>
    </r>
  </si>
  <si>
    <t>Informatika Berbasis ITPreneur terintegrasi dengan KKA</t>
  </si>
  <si>
    <t>M. Fahmi Rizal, Novita Sari</t>
  </si>
  <si>
    <r>
      <rPr>
        <b/>
        <sz val="10"/>
        <color theme="1"/>
        <rFont val="Arial"/>
        <family val="2"/>
      </rPr>
      <t xml:space="preserve">10x Pembayaran
</t>
    </r>
    <r>
      <rPr>
        <sz val="10"/>
        <color theme="1"/>
        <rFont val="Arial"/>
        <family val="2"/>
      </rPr>
      <t>(Agust, Sept, Okt, Nov, Des, Jan, Feb, Mar, Apr, Mei)</t>
    </r>
  </si>
  <si>
    <t>Informatika Berbasis ITPreneur &amp; Arduino (Smart Home/Car) terintegrasi dengan KKA</t>
  </si>
  <si>
    <t>Aji Yoga Pratama, Luluk Umi Habibah</t>
  </si>
  <si>
    <r>
      <rPr>
        <b/>
        <sz val="10"/>
        <color theme="1"/>
        <rFont val="Arial"/>
        <family val="2"/>
      </rPr>
      <t xml:space="preserve">10x Pembayaran
</t>
    </r>
    <r>
      <rPr>
        <sz val="10"/>
        <color theme="1"/>
        <rFont val="Arial"/>
        <family val="2"/>
      </rPr>
      <t>(Agust, Sept, Okt, Nov, Des, Jan, Feb, Mar, Apr, Mei)</t>
    </r>
  </si>
  <si>
    <t>Intan Ayu Permata, Suryandari</t>
  </si>
  <si>
    <r>
      <rPr>
        <b/>
        <sz val="10"/>
        <color theme="1"/>
        <rFont val="Arial"/>
        <family val="2"/>
      </rPr>
      <t xml:space="preserve">10x Pembayaran
</t>
    </r>
    <r>
      <rPr>
        <sz val="10"/>
        <color theme="1"/>
        <rFont val="Arial"/>
        <family val="2"/>
      </rPr>
      <t>(Agust, Sept, Okt, Nov, Des, Jan, Feb, Mar, Apr, Mei)</t>
    </r>
  </si>
  <si>
    <t>Agit Rahardja, Novita Sari</t>
  </si>
  <si>
    <t>031/BSW-DIGINUSA/MOU/VI/2026</t>
  </si>
  <si>
    <t>Direktur: Eni Listijani H., BA</t>
  </si>
  <si>
    <t>Jl. Marina Emas Barat I/69 Surabaya</t>
  </si>
  <si>
    <t>Bendahara: Ibu Sunny Verdiana</t>
  </si>
  <si>
    <t>08123568909</t>
  </si>
  <si>
    <r>
      <rPr>
        <b/>
        <sz val="10"/>
        <color theme="1"/>
        <rFont val="Arial"/>
        <family val="2"/>
      </rPr>
      <t xml:space="preserve">10x Pembayaran
</t>
    </r>
    <r>
      <rPr>
        <sz val="10"/>
        <color theme="1"/>
        <rFont val="Arial"/>
        <family val="2"/>
      </rPr>
      <t>(Agust, Sept, Okt, Nov, Des, Jan, Feb, Mar, Apr, Mei)</t>
    </r>
  </si>
  <si>
    <t>032/017/WHOLESALE/GORP/VI/2026</t>
  </si>
  <si>
    <t>033/BSW-DIGINUSA/MOU/VI/2026</t>
  </si>
  <si>
    <t>Bendahara: Ibu Maria Secilia</t>
  </si>
  <si>
    <r>
      <rPr>
        <b/>
        <sz val="10"/>
        <color theme="1"/>
        <rFont val="Arial"/>
        <family val="2"/>
      </rPr>
      <t xml:space="preserve">10x Pembayaran
</t>
    </r>
    <r>
      <rPr>
        <sz val="10"/>
        <color theme="1"/>
        <rFont val="Arial"/>
        <family val="2"/>
      </rPr>
      <t>(Agust, Sept, Okt, Nov, Des, Jan, Feb, Mar, Apr, Mei)</t>
    </r>
  </si>
  <si>
    <t>034/BSW-DIGINUSA/MOU/VI/2026</t>
  </si>
  <si>
    <t>Bendahara yayasan: Lulu Sugiarto</t>
  </si>
  <si>
    <r>
      <rPr>
        <b/>
        <sz val="10"/>
        <color theme="1"/>
        <rFont val="Arial"/>
        <family val="2"/>
      </rPr>
      <t xml:space="preserve">10x Pembayaran
</t>
    </r>
    <r>
      <rPr>
        <sz val="10"/>
        <color theme="1"/>
        <rFont val="Arial"/>
        <family val="2"/>
      </rPr>
      <t>(Agust, Sept, Okt, Nov, Des, Jan, Feb, Mar, Apr, Mei)</t>
    </r>
  </si>
  <si>
    <r>
      <rPr>
        <b/>
        <sz val="10"/>
        <color theme="1"/>
        <rFont val="Arial"/>
        <family val="2"/>
      </rPr>
      <t xml:space="preserve">10x Pembayaran
</t>
    </r>
    <r>
      <rPr>
        <sz val="10"/>
        <color theme="1"/>
        <rFont val="Arial"/>
        <family val="2"/>
      </rPr>
      <t>(Agust, Sept, Okt, Nov, Des, Jan, Feb, Mar, Apr, Mei)</t>
    </r>
  </si>
  <si>
    <r>
      <rPr>
        <b/>
        <sz val="10"/>
        <color theme="1"/>
        <rFont val="Arial"/>
        <family val="2"/>
      </rPr>
      <t xml:space="preserve">10x Pembayaran
</t>
    </r>
    <r>
      <rPr>
        <sz val="10"/>
        <color theme="1"/>
        <rFont val="Arial"/>
        <family val="2"/>
      </rPr>
      <t>(Agust, Sept, Okt, Nov, Des, Jan, Feb, Mar, Apr, Mei)</t>
    </r>
  </si>
  <si>
    <r>
      <rPr>
        <b/>
        <sz val="10"/>
        <color theme="1"/>
        <rFont val="Arial"/>
        <family val="2"/>
      </rPr>
      <t xml:space="preserve">10x Pembayaran
</t>
    </r>
    <r>
      <rPr>
        <sz val="10"/>
        <color theme="1"/>
        <rFont val="Arial"/>
        <family val="2"/>
      </rPr>
      <t>(Agust, Sept, Okt, Nov, Des, Jan, Feb, Mar, Apr, Mei)</t>
    </r>
  </si>
  <si>
    <t>Jl. Kupang Indah IX/19 Surabaya 60225</t>
  </si>
  <si>
    <t>089677100650</t>
  </si>
  <si>
    <t>035/BSW-DIGINUSA/MOU/VI/2026</t>
  </si>
  <si>
    <t>Yayasan St. Dominikus Kantor Cabang Cirebon</t>
  </si>
  <si>
    <t>SMA St. Maria 1 - Cirebon</t>
  </si>
  <si>
    <t>Jl. Sisingamangaraja No. 22 Cirebon</t>
  </si>
  <si>
    <t>Andriana Ratna Winastiningsih, S.Pd., M.M.</t>
  </si>
  <si>
    <t>Bendahara: Ibu Anastasia Yesi Jarnasih</t>
  </si>
  <si>
    <t>081919002911</t>
  </si>
  <si>
    <r>
      <rPr>
        <b/>
        <sz val="10"/>
        <color theme="1"/>
        <rFont val="Arial"/>
        <family val="2"/>
      </rPr>
      <t xml:space="preserve">10x Pembayaran
</t>
    </r>
    <r>
      <rPr>
        <sz val="10"/>
        <color theme="1"/>
        <rFont val="Arial"/>
        <family val="2"/>
      </rPr>
      <t>(Agust, Sept, Okt, Nov, Des, Jan, Feb, Mar, Apr, Mei)</t>
    </r>
  </si>
  <si>
    <t>Jl. Graha Natura (Kuwukan 24A) Lontar Sambikerep Surabaya 60216</t>
  </si>
  <si>
    <t>036/BSW-DIGINUSA/MOU/VI/2026</t>
  </si>
  <si>
    <t>GM: Irene Setiawati, M.Pd.</t>
  </si>
  <si>
    <t>Jl. Pahlawan No. 140 - 142 Bogor 16132</t>
  </si>
  <si>
    <t>Bendahara: Bapak Abed Nego Joko Sutrisno</t>
  </si>
  <si>
    <r>
      <rPr>
        <b/>
        <sz val="10"/>
        <color theme="1"/>
        <rFont val="Arial"/>
        <family val="2"/>
      </rPr>
      <t xml:space="preserve">12x Pembayaran
</t>
    </r>
    <r>
      <rPr>
        <sz val="10"/>
        <color theme="1"/>
        <rFont val="Arial"/>
        <family val="2"/>
      </rPr>
      <t>(Juli, Agust, Sept, Okt, Nov, Des, Jan, Feb, Mar, Apr, Mei, Juni)</t>
    </r>
  </si>
  <si>
    <t>Doni Siregar</t>
  </si>
  <si>
    <r>
      <rPr>
        <b/>
        <sz val="10"/>
        <color theme="1"/>
        <rFont val="Arial"/>
        <family val="2"/>
      </rPr>
      <t xml:space="preserve">12x Pembayaran
</t>
    </r>
    <r>
      <rPr>
        <sz val="10"/>
        <color theme="1"/>
        <rFont val="Arial"/>
        <family val="2"/>
      </rPr>
      <t>(Juli, Agust, Sept, Okt, Nov, Des, Jan, Feb, Mar, Apr, Mei, Juni)</t>
    </r>
  </si>
  <si>
    <r>
      <rPr>
        <b/>
        <sz val="10"/>
        <color theme="1"/>
        <rFont val="Arial"/>
        <family val="2"/>
      </rPr>
      <t xml:space="preserve">12x Pembayaran
</t>
    </r>
    <r>
      <rPr>
        <sz val="10"/>
        <color theme="1"/>
        <rFont val="Arial"/>
        <family val="2"/>
      </rPr>
      <t>(Juli, Agust, Sept, Okt, Nov, Des, Jan, Feb, Mar, Apr, Mei, Juni)</t>
    </r>
  </si>
  <si>
    <r>
      <rPr>
        <b/>
        <sz val="10"/>
        <color theme="1"/>
        <rFont val="Arial"/>
        <family val="2"/>
      </rPr>
      <t xml:space="preserve">12x Pembayaran
</t>
    </r>
    <r>
      <rPr>
        <sz val="10"/>
        <color theme="1"/>
        <rFont val="Arial"/>
        <family val="2"/>
      </rPr>
      <t>(Juli, Agust, Sept, Okt, Nov, Des, Jan, Feb, Mar, Apr, Mei, Juni)</t>
    </r>
  </si>
  <si>
    <t>Informatika Berbasis AI</t>
  </si>
  <si>
    <t>037/BSW-DIGINUSA/MOU/VI/2026</t>
  </si>
  <si>
    <t>Gemma Kunthidewi T., S.Pd. PAUD</t>
  </si>
  <si>
    <r>
      <rPr>
        <b/>
        <sz val="10"/>
        <color theme="1"/>
        <rFont val="Arial"/>
        <family val="2"/>
      </rPr>
      <t xml:space="preserve">10x Pembayaran
</t>
    </r>
    <r>
      <rPr>
        <sz val="10"/>
        <color theme="1"/>
        <rFont val="Arial"/>
        <family val="2"/>
      </rPr>
      <t>(Agust, Sept, Okt, Nov, Des, Jan, Feb, Mar, Apr, Mei)</t>
    </r>
  </si>
  <si>
    <t>038/BSW-DIGINUSA/MOU/VI/2026</t>
  </si>
  <si>
    <t>Kepala Kantor: C. Mujiato, S.Pd</t>
  </si>
  <si>
    <t>Jl. Untung Suropati No. 27 Jelutung Jambi 36136</t>
  </si>
  <si>
    <t>Bendahara: Bapak Sarjito</t>
  </si>
  <si>
    <t>085268507500</t>
  </si>
  <si>
    <r>
      <rPr>
        <b/>
        <sz val="10"/>
        <color theme="1"/>
        <rFont val="Arial"/>
        <family val="2"/>
      </rPr>
      <t xml:space="preserve">12x Pembayaran
</t>
    </r>
    <r>
      <rPr>
        <sz val="10"/>
        <color theme="1"/>
        <rFont val="Arial"/>
        <family val="2"/>
      </rPr>
      <t>(Juli, Agust, Sept, Okt, Nov, Des, Jan, Feb, Mar, Apr, Mei, Juni)</t>
    </r>
  </si>
  <si>
    <t>Sry Rahayu S.</t>
  </si>
  <si>
    <t xml:space="preserve">Prof. Dr. Sri Soedewi MS. SH Kuala Tungkal </t>
  </si>
  <si>
    <r>
      <rPr>
        <b/>
        <sz val="10"/>
        <color theme="1"/>
        <rFont val="Arial"/>
        <family val="2"/>
      </rPr>
      <t xml:space="preserve">12x Pembayaran
</t>
    </r>
    <r>
      <rPr>
        <sz val="10"/>
        <color theme="1"/>
        <rFont val="Arial"/>
        <family val="2"/>
      </rPr>
      <t>(Juli, Agust, Sept, Okt, Nov, Des, Jan, Feb, Mar, Apr, Mei, Juni)</t>
    </r>
  </si>
  <si>
    <t>039/BSW-DIGINUSA/ADD/VI/2026</t>
  </si>
  <si>
    <t>SMA I Barunawati - Jakarta</t>
  </si>
  <si>
    <t>Jl. X-III Aipda K.S. Tubun II/III No.7 Petamburan - Jakarta Barat 11410</t>
  </si>
  <si>
    <r>
      <rPr>
        <b/>
        <sz val="10"/>
        <color theme="1"/>
        <rFont val="Arial"/>
        <family val="2"/>
      </rPr>
      <t xml:space="preserve">10x Pembayaran
</t>
    </r>
    <r>
      <rPr>
        <sz val="10"/>
        <color theme="1"/>
        <rFont val="Arial"/>
        <family val="2"/>
      </rPr>
      <t>(Agust, Sept, Okt, Nov, Des, Jan, Feb, Mar, Apr, Mei)</t>
    </r>
  </si>
  <si>
    <t>040/BSW-DIGINUSA/MOU/VI/2026</t>
  </si>
  <si>
    <t>SD Az-zahro - Gresik</t>
  </si>
  <si>
    <t>Jl. Perintis Bendi RT 02 RW 06 Kepatihan Kec. Menganti Gresik 61174</t>
  </si>
  <si>
    <t>Eka Wahyuni, S.Pd.</t>
  </si>
  <si>
    <t>085746300188</t>
  </si>
  <si>
    <r>
      <rPr>
        <b/>
        <sz val="10"/>
        <color theme="1"/>
        <rFont val="Arial"/>
        <family val="2"/>
      </rPr>
      <t xml:space="preserve">10x Pembayaran
</t>
    </r>
    <r>
      <rPr>
        <sz val="10"/>
        <color theme="1"/>
        <rFont val="Arial"/>
        <family val="2"/>
      </rPr>
      <t>(Agust, Sept, Okt, Nov, Des, Jan, Feb, Mar, Apr, Mei)</t>
    </r>
  </si>
  <si>
    <t>041/BSW-DIGINUSA/MOU/VI/2026</t>
  </si>
  <si>
    <t>SMP Santa Maria - Sidoarjo</t>
  </si>
  <si>
    <t>Jl. Lingkar Timur Perum Citra Fajar Golf Sidoarjo</t>
  </si>
  <si>
    <t>Nicolaus Henry Supriyanto, M.Pd.</t>
  </si>
  <si>
    <t>082144334330</t>
  </si>
  <si>
    <r>
      <rPr>
        <b/>
        <sz val="10"/>
        <color theme="1"/>
        <rFont val="Arial"/>
        <family val="2"/>
      </rPr>
      <t xml:space="preserve">10x Pembayaran
</t>
    </r>
    <r>
      <rPr>
        <sz val="10"/>
        <color theme="1"/>
        <rFont val="Arial"/>
        <family val="2"/>
      </rPr>
      <t>(Agust, Sept, Okt, Nov, Des, Jan, Feb, Mar, Apr, Mei)</t>
    </r>
  </si>
  <si>
    <t>YPHB</t>
  </si>
  <si>
    <t>085694982042</t>
  </si>
  <si>
    <t>042/BSW-DIGINUSA/MOU/VI/2026</t>
  </si>
  <si>
    <t>Jl. Halmahera 1/21 Semarang</t>
  </si>
  <si>
    <t>Bendahara: Novia Ginting</t>
  </si>
  <si>
    <t>31 Mei 2028</t>
  </si>
  <si>
    <t>Siti Suciyani Theresia</t>
  </si>
  <si>
    <t>Tahun pertama 11.500
Tahun kedua 12.500</t>
  </si>
  <si>
    <r>
      <rPr>
        <b/>
        <sz val="10"/>
        <color theme="1"/>
        <rFont val="Arial"/>
        <family val="2"/>
      </rPr>
      <t xml:space="preserve">10x Pembayaran
</t>
    </r>
    <r>
      <rPr>
        <sz val="10"/>
        <color theme="1"/>
        <rFont val="Arial"/>
        <family val="2"/>
      </rPr>
      <t>(Agust, Sept, Okt, Nov, Des, Jan, Feb, Mar, Apr, Mei)</t>
    </r>
  </si>
  <si>
    <t>043/BSW-DIGINUSA/MOU/VI/2026</t>
  </si>
  <si>
    <t>SDK Seraphine Bhakti Utama - Cikarang</t>
  </si>
  <si>
    <t>Jl. Melati Raya No. 46 Cengkareng Indah Kapuk RT 10 RW 9 Jakarta Barat 11720</t>
  </si>
  <si>
    <t>0817160170</t>
  </si>
  <si>
    <r>
      <rPr>
        <b/>
        <sz val="10"/>
        <color theme="1"/>
        <rFont val="Arial"/>
        <family val="2"/>
      </rPr>
      <t xml:space="preserve">11x Pembayaran
</t>
    </r>
    <r>
      <rPr>
        <sz val="10"/>
        <color theme="1"/>
        <rFont val="Arial"/>
        <family val="2"/>
      </rPr>
      <t>(Agust, Sept, Okt, Nov, Des, Jan, Feb, Mar, Apr, Mei, Juni)</t>
    </r>
  </si>
  <si>
    <t>SMPK Seraphine Bhakti Utama - Cikarang</t>
  </si>
  <si>
    <t>Jl. Melati Raya No. 46 Cengkareng Indah Kapuk RT 10 RW 9 Jakarta Barat 11721</t>
  </si>
  <si>
    <t>081221756119</t>
  </si>
  <si>
    <r>
      <rPr>
        <b/>
        <sz val="10"/>
        <color theme="1"/>
        <rFont val="Arial"/>
        <family val="2"/>
      </rPr>
      <t xml:space="preserve">11x Pembayaran
</t>
    </r>
    <r>
      <rPr>
        <sz val="10"/>
        <color theme="1"/>
        <rFont val="Arial"/>
        <family val="2"/>
      </rPr>
      <t>(Agust, Sept, Okt, Nov, Des, Jan, Feb, Mar, Apr, Mei, Juni)</t>
    </r>
  </si>
  <si>
    <t>044/BSW-DIGINUSA/MOU/VI/2026</t>
  </si>
  <si>
    <t>Jl. Kedoya Raya 35 Kebon Jeruk - Jakarta Barat 11520</t>
  </si>
  <si>
    <t>Maria Titik Setyowati, S.Pd.</t>
  </si>
  <si>
    <t>TU</t>
  </si>
  <si>
    <r>
      <rPr>
        <b/>
        <sz val="10"/>
        <color theme="1"/>
        <rFont val="Arial"/>
        <family val="2"/>
      </rPr>
      <t xml:space="preserve">11x Pembayaran
</t>
    </r>
    <r>
      <rPr>
        <sz val="10"/>
        <color theme="1"/>
        <rFont val="Arial"/>
        <family val="2"/>
      </rPr>
      <t>(Agust, Sept, Okt, Nov, Des, Jan, Feb, Mar, Apr, Mei, Juni)</t>
    </r>
  </si>
  <si>
    <t>Ign. Setyanto Joko Maryuwono</t>
  </si>
  <si>
    <r>
      <rPr>
        <b/>
        <sz val="10"/>
        <color theme="1"/>
        <rFont val="Arial"/>
        <family val="2"/>
      </rPr>
      <t xml:space="preserve">11x Pembayaran
</t>
    </r>
    <r>
      <rPr>
        <sz val="10"/>
        <color theme="1"/>
        <rFont val="Arial"/>
        <family val="2"/>
      </rPr>
      <t>(Agust, Sept, Okt, Nov, Des, Jan, Feb, Mar, Apr, Mei, Juni)</t>
    </r>
  </si>
  <si>
    <t>Jl. Jaksa Agung Suprapto No. 55 Malang</t>
  </si>
  <si>
    <t>045/BSW-DIGINUSA/MOU/VI/2026</t>
  </si>
  <si>
    <r>
      <rPr>
        <b/>
        <sz val="10"/>
        <color theme="1"/>
        <rFont val="Arial"/>
        <family val="2"/>
      </rPr>
      <t xml:space="preserve">1x Pembayaran
</t>
    </r>
    <r>
      <rPr>
        <sz val="10"/>
        <color theme="1"/>
        <rFont val="Arial"/>
        <family val="2"/>
      </rPr>
      <t>(Agust)</t>
    </r>
  </si>
  <si>
    <t>Hardware - Workstation</t>
  </si>
  <si>
    <t>046/BSW-DIGINUSA/MOU/VII/2026</t>
  </si>
  <si>
    <t>Dr. Fransiskus Samong, OSC</t>
  </si>
  <si>
    <t>TK Yos Sudarso - Karawang</t>
  </si>
  <si>
    <t>Jl. Van Deventer No. 18 Kebon Pisang Kec. Sumur Bandung Kota Bandung Jawa Barat 40112</t>
  </si>
  <si>
    <t>Tyas Rilendri, S.Pd.</t>
  </si>
  <si>
    <t>087804466160</t>
  </si>
  <si>
    <r>
      <rPr>
        <b/>
        <sz val="10"/>
        <color theme="1"/>
        <rFont val="Arial"/>
        <family val="2"/>
      </rPr>
      <t xml:space="preserve">12x Pembayaran
</t>
    </r>
    <r>
      <rPr>
        <sz val="10"/>
        <color theme="1"/>
        <rFont val="Arial"/>
        <family val="2"/>
      </rPr>
      <t>(Juli, Agust, Sept, Okt, Nov, Des, Jan, Feb, Mar, Apr, Mei, Juni)</t>
    </r>
  </si>
  <si>
    <t>SD Yos Sudarso - Karawang</t>
  </si>
  <si>
    <t>Stephanus Yohan Banny Kristanto, S.Pd.</t>
  </si>
  <si>
    <t>087878775657</t>
  </si>
  <si>
    <r>
      <rPr>
        <b/>
        <sz val="10"/>
        <color theme="1"/>
        <rFont val="Arial"/>
        <family val="2"/>
      </rPr>
      <t xml:space="preserve">12x Pembayaran
</t>
    </r>
    <r>
      <rPr>
        <sz val="10"/>
        <color theme="1"/>
        <rFont val="Arial"/>
        <family val="2"/>
      </rPr>
      <t>(Juli, Agust, Sept, Okt, Nov, Des, Jan, Feb, Mar, Apr, Mei, Juni)</t>
    </r>
  </si>
  <si>
    <t>SMP Yos Sudarso - Karawang</t>
  </si>
  <si>
    <t>Wahono, S.Pd.</t>
  </si>
  <si>
    <t>0895358963673</t>
  </si>
  <si>
    <r>
      <rPr>
        <b/>
        <sz val="10"/>
        <color theme="1"/>
        <rFont val="Arial"/>
        <family val="2"/>
      </rPr>
      <t xml:space="preserve">12x Pembayaran
</t>
    </r>
    <r>
      <rPr>
        <sz val="10"/>
        <color theme="1"/>
        <rFont val="Arial"/>
        <family val="2"/>
      </rPr>
      <t>(Juli, Agust, Sept, Okt, Nov, Des, Jan, Feb, Mar, Apr, Mei, Juni)</t>
    </r>
  </si>
  <si>
    <t>SMA Yos Sudarso - Karawang</t>
  </si>
  <si>
    <t>Suhendra, S.Pd.</t>
  </si>
  <si>
    <t>08128606419</t>
  </si>
  <si>
    <r>
      <rPr>
        <b/>
        <sz val="10"/>
        <color theme="1"/>
        <rFont val="Arial"/>
        <family val="2"/>
      </rPr>
      <t xml:space="preserve">12x Pembayaran
</t>
    </r>
    <r>
      <rPr>
        <sz val="10"/>
        <color theme="1"/>
        <rFont val="Arial"/>
        <family val="2"/>
      </rPr>
      <t>(Juli, Agust, Sept, Okt, Nov, Des, Jan, Feb, Mar, Apr, Mei, Juni)</t>
    </r>
  </si>
  <si>
    <t>047/BSW-DIGINUSA/MOU/VI/2026</t>
  </si>
  <si>
    <t>Bendahara: Rara Liyani Heronika</t>
  </si>
  <si>
    <t>SMP Bina Mulia - Pontianak</t>
  </si>
  <si>
    <t>085233985800</t>
  </si>
  <si>
    <t>Jl. Abdul Rachman Saleh No. 1A Bangka Belitung Laut Kec. Pontianak Tenggara Kota Pontianak Kalimantan Baratt 781242</t>
  </si>
  <si>
    <t>Rosita Megaria</t>
  </si>
  <si>
    <t>0811569902</t>
  </si>
  <si>
    <r>
      <rPr>
        <b/>
        <sz val="10"/>
        <color theme="1"/>
        <rFont val="Arial"/>
        <family val="2"/>
      </rPr>
      <t xml:space="preserve">10x Pembayaran
</t>
    </r>
    <r>
      <rPr>
        <sz val="10"/>
        <color theme="1"/>
        <rFont val="Arial"/>
        <family val="2"/>
      </rPr>
      <t>(Agust, Sept, Okt, Nov, Des, Jan, Feb, Mar, Apr, Mei)</t>
    </r>
  </si>
  <si>
    <t>WIjaya Wardhana</t>
  </si>
  <si>
    <t>Yayasan PPI Al Mizan</t>
  </si>
  <si>
    <t>Jl. Raya Candi Lontar No. 106 Sambikerep Surabaya</t>
  </si>
  <si>
    <t>048/BSW-DIGINUSA/MOU/VII/2026</t>
  </si>
  <si>
    <t>Jl. Panglima Sudirman No. 59A Batu Malang</t>
  </si>
  <si>
    <t>Sr. Mariska Maria PIJ</t>
  </si>
  <si>
    <t>Bendahara: Sr. Marcellina PIJ</t>
  </si>
  <si>
    <t>081352627311</t>
  </si>
  <si>
    <r>
      <rPr>
        <b/>
        <sz val="10"/>
        <color theme="1"/>
        <rFont val="Arial"/>
        <family val="2"/>
      </rPr>
      <t xml:space="preserve">11x Pembayaran
</t>
    </r>
    <r>
      <rPr>
        <sz val="10"/>
        <color theme="1"/>
        <rFont val="Arial"/>
        <family val="2"/>
      </rPr>
      <t>(Agust, Sept, Okt, Nov, Des, Jan, Feb, Mar, Apr, Mei, Juni)</t>
    </r>
  </si>
  <si>
    <t>22.000 (Juli 2026)</t>
  </si>
  <si>
    <t>049/BSW-DIGINUSA/MOU/VII/2026</t>
  </si>
  <si>
    <t>BPK Penabur</t>
  </si>
  <si>
    <t>Andrian Setiawan, S.H</t>
  </si>
  <si>
    <t>Jl. Barisan Banteng No.1 Cianjur Jawa Barat</t>
  </si>
  <si>
    <t>Ketua BPK : Andrian Setiawan, S.H</t>
  </si>
  <si>
    <r>
      <rPr>
        <b/>
        <sz val="10"/>
        <color theme="1"/>
        <rFont val="Arial"/>
        <family val="2"/>
      </rPr>
      <t>TK, SD, SMP &amp; SMA Start up Fee Juli 2026 Rp3.000.000 &amp; Juli 2027 Rp3.000.000</t>
    </r>
    <r>
      <rPr>
        <sz val="10"/>
        <color theme="1"/>
        <rFont val="Arial"/>
        <family val="2"/>
      </rPr>
      <t xml:space="preserve">
Setiap bulan 12,500</t>
    </r>
  </si>
  <si>
    <r>
      <rPr>
        <b/>
        <sz val="10"/>
        <color theme="1"/>
        <rFont val="Arial"/>
        <family val="2"/>
      </rPr>
      <t xml:space="preserve">10x Pembayaran
</t>
    </r>
    <r>
      <rPr>
        <sz val="10"/>
        <color theme="1"/>
        <rFont val="Arial"/>
        <family val="2"/>
      </rPr>
      <t>(Agust, Sept, Okt, Nov, Des, Jan, Feb, Mar, Apr, Mei)</t>
    </r>
  </si>
  <si>
    <t>Smart Kids</t>
  </si>
  <si>
    <r>
      <rPr>
        <b/>
        <sz val="10"/>
        <color theme="1"/>
        <rFont val="Arial"/>
        <family val="2"/>
      </rPr>
      <t xml:space="preserve">10x Pembayaran
</t>
    </r>
    <r>
      <rPr>
        <sz val="10"/>
        <color theme="1"/>
        <rFont val="Arial"/>
        <family val="2"/>
      </rPr>
      <t>(Agust, Sept, Okt, Nov, Des, Jan, Feb, Mar, Apr, Mei)</t>
    </r>
  </si>
  <si>
    <r>
      <rPr>
        <b/>
        <sz val="10"/>
        <color theme="1"/>
        <rFont val="Arial"/>
        <family val="2"/>
      </rPr>
      <t xml:space="preserve">10x Pembayaran
</t>
    </r>
    <r>
      <rPr>
        <sz val="10"/>
        <color theme="1"/>
        <rFont val="Arial"/>
        <family val="2"/>
      </rPr>
      <t>(Agust, Sept, Okt, Nov, Des, Jan, Feb, Mar, Apr, Mei)</t>
    </r>
  </si>
  <si>
    <r>
      <rPr>
        <b/>
        <sz val="10"/>
        <color theme="1"/>
        <rFont val="Arial"/>
        <family val="2"/>
      </rPr>
      <t xml:space="preserve">10x Pembayaran
</t>
    </r>
    <r>
      <rPr>
        <sz val="10"/>
        <color theme="1"/>
        <rFont val="Arial"/>
        <family val="2"/>
      </rPr>
      <t>(Agust, Sept, Okt, Nov, Des, Jan, Feb, Mar, Apr, Mei)</t>
    </r>
  </si>
  <si>
    <t>050/BSW-DIGINUSA/MOU/VII/2026</t>
  </si>
  <si>
    <t>051/BSW-DIGINUSA/MOU/VII/2026</t>
  </si>
  <si>
    <t>Bendahara: Lulu Sugiarto</t>
  </si>
  <si>
    <r>
      <rPr>
        <b/>
        <sz val="10"/>
        <color theme="1"/>
        <rFont val="Arial"/>
        <family val="2"/>
      </rPr>
      <t xml:space="preserve">11x Pembayaran
</t>
    </r>
    <r>
      <rPr>
        <sz val="10"/>
        <color theme="1"/>
        <rFont val="Arial"/>
        <family val="2"/>
      </rPr>
      <t>(Agust, Sept, Okt, Nov, Des, Jan, Feb, Mar, Apr, Mei, Juni)</t>
    </r>
  </si>
  <si>
    <t>Smart Exploler for Internasional School</t>
  </si>
  <si>
    <r>
      <rPr>
        <b/>
        <sz val="10"/>
        <color theme="1"/>
        <rFont val="Arial"/>
        <family val="2"/>
      </rPr>
      <t xml:space="preserve">11x Pembayaran
</t>
    </r>
    <r>
      <rPr>
        <sz val="10"/>
        <color theme="1"/>
        <rFont val="Arial"/>
        <family val="2"/>
      </rPr>
      <t>(Agust, Sept, Okt, Nov, Des, Jan, Feb, Mar, Apr, Mei, Juni)</t>
    </r>
  </si>
  <si>
    <t>052/BSW-DIGINUSA/MOU/VII/2026</t>
  </si>
  <si>
    <t>Ersianti, S.Pd.</t>
  </si>
  <si>
    <t>SD Katolik St. Maria 2 - Sidoarjo</t>
  </si>
  <si>
    <t>Jl. Perum Citra Fajar Golf Sidoarjo</t>
  </si>
  <si>
    <r>
      <rPr>
        <b/>
        <sz val="10"/>
        <color theme="1"/>
        <rFont val="Arial"/>
        <family val="2"/>
      </rPr>
      <t xml:space="preserve">10x Pembayaran
</t>
    </r>
    <r>
      <rPr>
        <sz val="10"/>
        <color theme="1"/>
        <rFont val="Arial"/>
        <family val="2"/>
      </rPr>
      <t>(Agust, Sept, Okt, Nov, Des, Jan, Feb, Mar, Apr, Mei)</t>
    </r>
  </si>
  <si>
    <t>053/BSW-DIGINUSA/MOU/VII/2026</t>
  </si>
  <si>
    <t>Jl. Cempaka No.4 Depok 16431</t>
  </si>
  <si>
    <t xml:space="preserve">Bendahara: Rahel Tirta Azarya </t>
  </si>
  <si>
    <t>081370721420</t>
  </si>
  <si>
    <t>Jl. Transyogi Km. 6 Kota Wisata Nagrak Kec. Gunungputri, Kab. Bogor, Prov. Jawa Barat</t>
  </si>
  <si>
    <r>
      <rPr>
        <b/>
        <sz val="10"/>
        <color theme="1"/>
        <rFont val="Arial"/>
        <family val="2"/>
      </rPr>
      <t xml:space="preserve">11x Pembayaran
</t>
    </r>
    <r>
      <rPr>
        <sz val="10"/>
        <color theme="1"/>
        <rFont val="Arial"/>
        <family val="2"/>
      </rPr>
      <t>(Agust, Sept, Okt, Nov, Des, Jan, Feb, Mar, Apr, Mei, Juni)</t>
    </r>
  </si>
  <si>
    <t>8 orang</t>
  </si>
  <si>
    <r>
      <rPr>
        <b/>
        <sz val="10"/>
        <color theme="1"/>
        <rFont val="Arial"/>
        <family val="2"/>
      </rPr>
      <t xml:space="preserve">11x Pembayaran
</t>
    </r>
    <r>
      <rPr>
        <sz val="10"/>
        <color theme="1"/>
        <rFont val="Arial"/>
        <family val="2"/>
      </rPr>
      <t>(Agust, Sept, Okt, Nov, Des, Jan, Feb, Mar, Apr, Mei, Juni)</t>
    </r>
  </si>
  <si>
    <t>0818453656</t>
  </si>
  <si>
    <r>
      <rPr>
        <b/>
        <sz val="10"/>
        <color theme="1"/>
        <rFont val="Arial"/>
        <family val="2"/>
      </rPr>
      <t xml:space="preserve">11x Pembayaran
</t>
    </r>
    <r>
      <rPr>
        <sz val="10"/>
        <color theme="1"/>
        <rFont val="Arial"/>
        <family val="2"/>
      </rPr>
      <t>(Agust, Sept, Okt, Nov, Des, Jan, Feb, Mar, Apr, Mei, Juni)</t>
    </r>
  </si>
  <si>
    <t xml:space="preserve">Informatika Berbasis AI </t>
  </si>
  <si>
    <t>Jl. Panglima Polim No.51 Cilegon 42421</t>
  </si>
  <si>
    <r>
      <rPr>
        <b/>
        <sz val="10"/>
        <color theme="1"/>
        <rFont val="Arial"/>
        <family val="2"/>
      </rPr>
      <t xml:space="preserve">11x Pembayaran
</t>
    </r>
    <r>
      <rPr>
        <sz val="10"/>
        <color theme="1"/>
        <rFont val="Arial"/>
        <family val="2"/>
      </rPr>
      <t>(Agust, Sept, Okt, Nov, Des, Jan, Feb, Mar, Apr, Mei, Juni)</t>
    </r>
  </si>
  <si>
    <t>Jl. Siliwangi No.66 Cianjur 43212</t>
  </si>
  <si>
    <r>
      <rPr>
        <b/>
        <sz val="10"/>
        <color theme="1"/>
        <rFont val="Arial"/>
        <family val="2"/>
      </rPr>
      <t xml:space="preserve">11x Pembayaran
</t>
    </r>
    <r>
      <rPr>
        <sz val="10"/>
        <color theme="1"/>
        <rFont val="Arial"/>
        <family val="2"/>
      </rPr>
      <t>(Agust, Sept, Okt, Nov, Des, Jan, Feb, Mar, Apr, Mei, Juni)</t>
    </r>
  </si>
  <si>
    <r>
      <rPr>
        <b/>
        <sz val="10"/>
        <color theme="1"/>
        <rFont val="Arial"/>
        <family val="2"/>
      </rPr>
      <t xml:space="preserve">11x Pembayaran
</t>
    </r>
    <r>
      <rPr>
        <sz val="10"/>
        <color theme="1"/>
        <rFont val="Arial"/>
        <family val="2"/>
      </rPr>
      <t>(Agust, Sept, Okt, Nov, Des, Jan, Feb, Mar, Apr, Mei, Juni)</t>
    </r>
  </si>
  <si>
    <t>Jl. Raya Siliwangi No.246 Cicurug Sukabumi 43359</t>
  </si>
  <si>
    <r>
      <rPr>
        <b/>
        <sz val="10"/>
        <color theme="1"/>
        <rFont val="Arial"/>
        <family val="2"/>
      </rPr>
      <t xml:space="preserve">11x Pembayaran
</t>
    </r>
    <r>
      <rPr>
        <sz val="10"/>
        <color theme="1"/>
        <rFont val="Arial"/>
        <family val="2"/>
      </rPr>
      <t>(Agust, Sept, Okt, Nov, Des, Jan, Feb, Mar, Apr, Mei, Juni)</t>
    </r>
  </si>
  <si>
    <r>
      <rPr>
        <b/>
        <sz val="10"/>
        <color theme="1"/>
        <rFont val="Arial"/>
        <family val="2"/>
      </rPr>
      <t xml:space="preserve">11x Pembayaran
</t>
    </r>
    <r>
      <rPr>
        <sz val="10"/>
        <color theme="1"/>
        <rFont val="Arial"/>
        <family val="2"/>
      </rPr>
      <t>(Agust, Sept, Okt, Nov, Des, Jan, Feb, Mar, Apr, Mei, Juni)</t>
    </r>
  </si>
  <si>
    <r>
      <rPr>
        <b/>
        <sz val="10"/>
        <color theme="1"/>
        <rFont val="Arial"/>
        <family val="2"/>
      </rPr>
      <t xml:space="preserve">11x Pembayaran
</t>
    </r>
    <r>
      <rPr>
        <sz val="10"/>
        <color theme="1"/>
        <rFont val="Arial"/>
        <family val="2"/>
      </rPr>
      <t>(Agust, Sept, Okt, Nov, Des, Jan, Feb, Mar, Apr, Mei, Juni)</t>
    </r>
  </si>
  <si>
    <t>SD Yos Sudarso - Purwakarta</t>
  </si>
  <si>
    <t>Stevanus Dadi Sugiardi</t>
  </si>
  <si>
    <t>085323087342</t>
  </si>
  <si>
    <r>
      <rPr>
        <b/>
        <sz val="10"/>
        <color theme="1"/>
        <rFont val="Arial"/>
        <family val="2"/>
      </rPr>
      <t xml:space="preserve">11x Pembayaran
</t>
    </r>
    <r>
      <rPr>
        <sz val="10"/>
        <color theme="1"/>
        <rFont val="Arial"/>
        <family val="2"/>
      </rPr>
      <t>(Agust, Sept, Okt, Nov, Des, Jan, Feb, Mar, Apr, Mei, Juni)</t>
    </r>
  </si>
  <si>
    <t>Jl. Perintis Kemerdekaan No.29 Cibadak Sukabumi 43115</t>
  </si>
  <si>
    <r>
      <rPr>
        <b/>
        <sz val="10"/>
        <color theme="1"/>
        <rFont val="Arial"/>
        <family val="2"/>
      </rPr>
      <t xml:space="preserve">11x Pembayaran
</t>
    </r>
    <r>
      <rPr>
        <sz val="10"/>
        <color theme="1"/>
        <rFont val="Arial"/>
        <family val="2"/>
      </rPr>
      <t>(Agust, Sept, Okt, Nov, Des, Jan, Feb, Mar, Apr, Mei, Juni)</t>
    </r>
  </si>
  <si>
    <t>Jl. KH. Syam'un No.1 Serang 42112</t>
  </si>
  <si>
    <r>
      <rPr>
        <b/>
        <sz val="10"/>
        <color theme="1"/>
        <rFont val="Arial"/>
        <family val="2"/>
      </rPr>
      <t xml:space="preserve">11x Pembayaran
</t>
    </r>
    <r>
      <rPr>
        <sz val="10"/>
        <color theme="1"/>
        <rFont val="Arial"/>
        <family val="2"/>
      </rPr>
      <t>(Agust, Sept, Okt, Nov, Des, Jan, Feb, Mar, Apr, Mei, Juni)</t>
    </r>
  </si>
  <si>
    <r>
      <rPr>
        <b/>
        <sz val="10"/>
        <color theme="1"/>
        <rFont val="Arial"/>
        <family val="2"/>
      </rPr>
      <t xml:space="preserve">11x Pembayaran
</t>
    </r>
    <r>
      <rPr>
        <sz val="10"/>
        <color theme="1"/>
        <rFont val="Arial"/>
        <family val="2"/>
      </rPr>
      <t>(Agust, Sept, Okt, Nov, Des, Jan, Feb, Mar, Apr, Mei, Juni)</t>
    </r>
  </si>
  <si>
    <t>TK Mardi Yuana - Rangkas Bitung</t>
  </si>
  <si>
    <t>Jl. Multatuli No.18/20 Muara Ciujung Barat Rangkasbitung Kab. Lebak Banten 42312</t>
  </si>
  <si>
    <r>
      <rPr>
        <b/>
        <sz val="10"/>
        <color theme="1"/>
        <rFont val="Arial"/>
        <family val="2"/>
      </rPr>
      <t xml:space="preserve">11x Pembayaran
</t>
    </r>
    <r>
      <rPr>
        <sz val="10"/>
        <color theme="1"/>
        <rFont val="Arial"/>
        <family val="2"/>
      </rPr>
      <t>(Agust, Sept, Okt, Nov, Des, Jan, Feb, Mar, Apr, Mei, Juni)</t>
    </r>
  </si>
  <si>
    <r>
      <rPr>
        <b/>
        <sz val="10"/>
        <color theme="1"/>
        <rFont val="Arial"/>
        <family val="2"/>
      </rPr>
      <t xml:space="preserve">11x Pembayaran
</t>
    </r>
    <r>
      <rPr>
        <sz val="10"/>
        <color theme="1"/>
        <rFont val="Arial"/>
        <family val="2"/>
      </rPr>
      <t>(Agust, Sept, Okt, Nov, Des, Jan, Feb, Mar, Apr, Mei, Juni)</t>
    </r>
  </si>
  <si>
    <r>
      <rPr>
        <b/>
        <sz val="10"/>
        <color theme="1"/>
        <rFont val="Arial"/>
        <family val="2"/>
      </rPr>
      <t xml:space="preserve">11x Pembayaran
</t>
    </r>
    <r>
      <rPr>
        <sz val="10"/>
        <color theme="1"/>
        <rFont val="Arial"/>
        <family val="2"/>
      </rPr>
      <t>(Agust, Sept, Okt, Nov, Des, Jan, Feb, Mar, Apr, Mei, Juni)</t>
    </r>
  </si>
  <si>
    <r>
      <rPr>
        <b/>
        <sz val="10"/>
        <color theme="1"/>
        <rFont val="Arial"/>
        <family val="2"/>
      </rPr>
      <t xml:space="preserve">11x Pembayaran
</t>
    </r>
    <r>
      <rPr>
        <sz val="10"/>
        <color theme="1"/>
        <rFont val="Arial"/>
        <family val="2"/>
      </rPr>
      <t>(Agust, Sept, Okt, Nov, Des, Jan, Feb, Mar, Apr, Mei, Juni)</t>
    </r>
  </si>
  <si>
    <t>054/BSW-DIGINUSA/MOU/VII/2026</t>
  </si>
  <si>
    <t>Yayasan Sekolah Anak Bangsa - Surabaya</t>
  </si>
  <si>
    <t>Jl. Manyar Kartika Timur No. 6 Surabaya</t>
  </si>
  <si>
    <t>Head of Finance: Ms. Tjia</t>
  </si>
  <si>
    <r>
      <rPr>
        <b/>
        <sz val="10"/>
        <color theme="1"/>
        <rFont val="Arial"/>
        <family val="2"/>
      </rPr>
      <t xml:space="preserve">11x Pembayaran
</t>
    </r>
    <r>
      <rPr>
        <sz val="10"/>
        <color theme="1"/>
        <rFont val="Arial"/>
        <family val="2"/>
      </rPr>
      <t>(Agust, Sept, Okt, Nov, Des, Jan, Feb, Mar, Apr, Mei, Juni)</t>
    </r>
  </si>
  <si>
    <r>
      <rPr>
        <b/>
        <sz val="10"/>
        <color theme="1"/>
        <rFont val="Arial"/>
        <family val="2"/>
      </rPr>
      <t xml:space="preserve">11x Pembayaran
</t>
    </r>
    <r>
      <rPr>
        <sz val="10"/>
        <color theme="1"/>
        <rFont val="Arial"/>
        <family val="2"/>
      </rPr>
      <t>(Agust, Sept, Okt, Nov, Des, Jan, Feb, Mar, Apr, Mei, Juni)</t>
    </r>
  </si>
  <si>
    <r>
      <rPr>
        <b/>
        <sz val="10"/>
        <color theme="1"/>
        <rFont val="Arial"/>
        <family val="2"/>
      </rPr>
      <t xml:space="preserve">11x Pembayaran
</t>
    </r>
    <r>
      <rPr>
        <sz val="10"/>
        <color theme="1"/>
        <rFont val="Arial"/>
        <family val="2"/>
      </rPr>
      <t>(Agust, Sept, Okt, Nov, Des, Jan, Feb, Mar, Apr, Mei, Juni)</t>
    </r>
  </si>
  <si>
    <t>056/BSW-DIGINUSA/MOU/VII/2026</t>
  </si>
  <si>
    <t>Direktur Pendidikan: Dr. Chaerunnisa, SP. M.Ak.</t>
  </si>
  <si>
    <t>SDIT Fitrah Hanniah - Bekasi</t>
  </si>
  <si>
    <t>Jl. B. Bosih Raya RT 02 RW 05 Cibitung Bekasi</t>
  </si>
  <si>
    <t>Sri Suryandari</t>
  </si>
  <si>
    <t>081292823197</t>
  </si>
  <si>
    <t>17.160.000 (okt 26)
22.880.000 (Feb 27)
17.160.000 (Mei 27)</t>
  </si>
  <si>
    <r>
      <rPr>
        <b/>
        <sz val="10"/>
        <color theme="1"/>
        <rFont val="Arial"/>
        <family val="2"/>
      </rPr>
      <t xml:space="preserve">3x Pembayaran
</t>
    </r>
    <r>
      <rPr>
        <sz val="10"/>
        <color theme="1"/>
        <rFont val="Arial"/>
        <family val="2"/>
      </rPr>
      <t>(Okt 2026, Feb 2027, Mei 2027)</t>
    </r>
  </si>
  <si>
    <t>057/BSW-DIGINUSA/MOU/VII/2026</t>
  </si>
  <si>
    <t>TK Xaverius 1 - Jambi</t>
  </si>
  <si>
    <t>Jl. Abdurrachman Saleh No. 20 The Hok Kota Jambi 36138</t>
  </si>
  <si>
    <t>Yohana Desi Wuryandari</t>
  </si>
  <si>
    <t>Bendahara: Sr. Yohana Kristanti, FMM</t>
  </si>
  <si>
    <t>081288734144</t>
  </si>
  <si>
    <r>
      <rPr>
        <b/>
        <sz val="10"/>
        <color theme="1"/>
        <rFont val="Arial"/>
        <family val="2"/>
      </rPr>
      <t xml:space="preserve">1x Pembayaran
</t>
    </r>
    <r>
      <rPr>
        <sz val="10"/>
        <color theme="1"/>
        <rFont val="Arial"/>
        <family val="2"/>
      </rPr>
      <t>(Agust 2026, Agust 2027, Agust 2028)</t>
    </r>
  </si>
  <si>
    <t>Sry rahayu</t>
  </si>
  <si>
    <t>058/BSW-DIGINUSA/MOU/VII/2026</t>
  </si>
  <si>
    <t>Yayasan Yohannes Gabriel Surabaya</t>
  </si>
  <si>
    <t>RD. Hans Koerniawan</t>
  </si>
  <si>
    <t>SMAS Katolik St. Thomas Aquino - Tulungagung</t>
  </si>
  <si>
    <t>Jl. M.H. Thamrin No.29 - 31 D.R. Soetomo Kec. Tegalsari Kota Surabaya 60264</t>
  </si>
  <si>
    <t>Theresia Asih Widiyati</t>
  </si>
  <si>
    <t>Yayasan Mardi Yuana Sukabumi</t>
  </si>
  <si>
    <t>Anita Sari Utomo</t>
  </si>
  <si>
    <r>
      <rPr>
        <b/>
        <sz val="10"/>
        <color theme="1"/>
        <rFont val="Arial"/>
        <family val="2"/>
      </rPr>
      <t xml:space="preserve">10x Pembayaran
</t>
    </r>
    <r>
      <rPr>
        <sz val="10"/>
        <color theme="1"/>
        <rFont val="Arial"/>
        <family val="2"/>
      </rPr>
      <t>(Agust, Sept, Okt, Nov, Des, Jan, Feb, Mar, Apr, Mei)</t>
    </r>
  </si>
  <si>
    <t>059/BSW-DIGINUSA/MOU/VII/2026</t>
  </si>
  <si>
    <t xml:space="preserve">Yayasan Margie </t>
  </si>
  <si>
    <r>
      <rPr>
        <b/>
        <sz val="10"/>
        <color theme="1"/>
        <rFont val="Arial"/>
        <family val="2"/>
      </rPr>
      <t xml:space="preserve">5x Pembayaran
</t>
    </r>
    <r>
      <rPr>
        <sz val="10"/>
        <color theme="1"/>
        <rFont val="Arial"/>
        <family val="2"/>
      </rPr>
      <t>(Sept dan Nov 2026, Jan, Mar, Mei 2027</t>
    </r>
  </si>
  <si>
    <t>Wakil Kepala SD: Silfia Andriani</t>
  </si>
  <si>
    <t>060/BSW-DIGINUSA/MOU/VII/2026</t>
  </si>
  <si>
    <t>Ketua Umum: Suhartini Slamet Widodo, S.E.</t>
  </si>
  <si>
    <t>Jl. Percetakan Negara No.30 Jakarta Pusat</t>
  </si>
  <si>
    <t>Operasional Yay: Sapto</t>
  </si>
  <si>
    <r>
      <rPr>
        <b/>
        <sz val="10"/>
        <color theme="1"/>
        <rFont val="Arial"/>
        <family val="2"/>
      </rPr>
      <t xml:space="preserve">10x Pembayaran
</t>
    </r>
    <r>
      <rPr>
        <sz val="10"/>
        <color theme="1"/>
        <rFont val="Arial"/>
        <family val="2"/>
      </rPr>
      <t>(Agust, Sept, Okt, Nov, Des, Jan, Feb, Mar, Apr, Mei)</t>
    </r>
  </si>
  <si>
    <r>
      <rPr>
        <b/>
        <sz val="10"/>
        <color theme="1"/>
        <rFont val="Arial"/>
        <family val="2"/>
      </rPr>
      <t xml:space="preserve">10x Pembayaran
</t>
    </r>
    <r>
      <rPr>
        <sz val="10"/>
        <color theme="1"/>
        <rFont val="Arial"/>
        <family val="2"/>
      </rPr>
      <t>(Agust, Sept, Okt, Nov, Des, Jan, Feb, Mar, Apr, Mei)</t>
    </r>
  </si>
  <si>
    <r>
      <rPr>
        <b/>
        <sz val="10"/>
        <color theme="1"/>
        <rFont val="Arial"/>
        <family val="2"/>
      </rPr>
      <t xml:space="preserve">10x Pembayaran
</t>
    </r>
    <r>
      <rPr>
        <sz val="10"/>
        <color theme="1"/>
        <rFont val="Arial"/>
        <family val="2"/>
      </rPr>
      <t>(Agust, Sept, Okt, Nov, Des, Jan, Feb, Mar, Apr, Mei)</t>
    </r>
  </si>
  <si>
    <t>Jl. Mangga Besar VI Selatan No.84 Jakarta Barat</t>
  </si>
  <si>
    <r>
      <rPr>
        <b/>
        <sz val="10"/>
        <color theme="1"/>
        <rFont val="Arial"/>
        <family val="2"/>
      </rPr>
      <t xml:space="preserve">10x Pembayaran
</t>
    </r>
    <r>
      <rPr>
        <sz val="10"/>
        <color theme="1"/>
        <rFont val="Arial"/>
        <family val="2"/>
      </rPr>
      <t>(Agust, Sept, Okt, Nov, Des, Jan, Feb, Mar, Apr, Mei)</t>
    </r>
  </si>
  <si>
    <r>
      <rPr>
        <b/>
        <sz val="10"/>
        <color theme="1"/>
        <rFont val="Arial"/>
        <family val="2"/>
      </rPr>
      <t xml:space="preserve">10x Pembayaran
</t>
    </r>
    <r>
      <rPr>
        <sz val="10"/>
        <color theme="1"/>
        <rFont val="Arial"/>
        <family val="2"/>
      </rPr>
      <t>(Agust, Sept, Okt, Nov, Des, Jan, Feb, Mar, Apr, Mei)</t>
    </r>
  </si>
  <si>
    <r>
      <rPr>
        <b/>
        <sz val="10"/>
        <color theme="1"/>
        <rFont val="Arial"/>
        <family val="2"/>
      </rPr>
      <t xml:space="preserve">10x Pembayaran
</t>
    </r>
    <r>
      <rPr>
        <sz val="10"/>
        <color theme="1"/>
        <rFont val="Arial"/>
        <family val="2"/>
      </rPr>
      <t>(Agust, Sept, Okt, Nov, Des, Jan, Feb, Mar, Apr, Mei)</t>
    </r>
  </si>
  <si>
    <t>061/BSW-DIGINUSA/MOU/VII/2026</t>
  </si>
  <si>
    <t>SDK St. Bernardus - Madiun</t>
  </si>
  <si>
    <r>
      <rPr>
        <b/>
        <sz val="10"/>
        <color theme="1"/>
        <rFont val="Arial"/>
        <family val="2"/>
      </rPr>
      <t xml:space="preserve">10x Pembayaran
</t>
    </r>
    <r>
      <rPr>
        <sz val="10"/>
        <color theme="1"/>
        <rFont val="Arial"/>
        <family val="2"/>
      </rPr>
      <t>(Agust, Sept, Okt, Nov, Des, Jan, Feb, Mar, Apr, Mei)</t>
    </r>
  </si>
  <si>
    <t>SMPK St. Bernardus - Madiun</t>
  </si>
  <si>
    <r>
      <rPr>
        <b/>
        <sz val="10"/>
        <color theme="1"/>
        <rFont val="Arial"/>
        <family val="2"/>
      </rPr>
      <t xml:space="preserve">10x Pembayaran
</t>
    </r>
    <r>
      <rPr>
        <sz val="10"/>
        <color theme="1"/>
        <rFont val="Arial"/>
        <family val="2"/>
      </rPr>
      <t>(Agust, Sept, Okt, Nov, Des, Jan, Feb, Mar, Apr, Mei)</t>
    </r>
  </si>
  <si>
    <t>Sr. Margarita Praptiningsih, OSU</t>
  </si>
  <si>
    <t>062/BSW-DIGINUSA/SK/VII/2026</t>
  </si>
  <si>
    <t>063/BSW-DIGINUSA/MOU/VII/2026</t>
  </si>
  <si>
    <t>Kusrini Setyowati, S.Pd., M.Pd.</t>
  </si>
  <si>
    <t>08988081253</t>
  </si>
  <si>
    <r>
      <rPr>
        <b/>
        <sz val="10"/>
        <color theme="1"/>
        <rFont val="Arial"/>
        <family val="2"/>
      </rPr>
      <t xml:space="preserve">11x Pembayaran
</t>
    </r>
    <r>
      <rPr>
        <sz val="10"/>
        <color theme="1"/>
        <rFont val="Arial"/>
        <family val="2"/>
      </rPr>
      <t>(Agust, Sept, Okt, Nov, Des, Jan, Feb, Mar, Apr, Mei, Juni)</t>
    </r>
  </si>
  <si>
    <t>064/BSW-DIGINUSA/MOU/VII/2026</t>
  </si>
  <si>
    <r>
      <rPr>
        <b/>
        <sz val="10"/>
        <color theme="1"/>
        <rFont val="Arial"/>
        <family val="2"/>
      </rPr>
      <t xml:space="preserve">11x Pembayaran
</t>
    </r>
    <r>
      <rPr>
        <sz val="10"/>
        <color theme="1"/>
        <rFont val="Arial"/>
        <family val="2"/>
      </rPr>
      <t>(Agust, Sept, Okt, Nov, Des, Jan, Feb, Mar, Apr, Mei, Juni)</t>
    </r>
  </si>
  <si>
    <t>SD Santo Yoseph 1 - Denpasar</t>
  </si>
  <si>
    <t>065/BSW-DIGINUSA/MOU/VII/2026</t>
  </si>
  <si>
    <t>Aryawan, S.T.</t>
  </si>
  <si>
    <t>TKK BPK Penabur - Bogor</t>
  </si>
  <si>
    <t>Jl. Paledang Gang Buntu No. 1 Bogor</t>
  </si>
  <si>
    <t>Kepala Kantor: Wahyu Kristanta</t>
  </si>
  <si>
    <t>082111305757</t>
  </si>
  <si>
    <r>
      <rPr>
        <b/>
        <sz val="10"/>
        <color theme="1"/>
        <rFont val="Arial"/>
        <family val="2"/>
      </rPr>
      <t xml:space="preserve">10x Pembayaran
</t>
    </r>
    <r>
      <rPr>
        <sz val="10"/>
        <color theme="1"/>
        <rFont val="Arial"/>
        <family val="2"/>
      </rPr>
      <t>(Agust, Sept, Okt, Nov, Des, Jan, Feb, Mar, Apr, Mei)</t>
    </r>
  </si>
  <si>
    <t>SDK BPK Penabur - Bogor</t>
  </si>
  <si>
    <r>
      <rPr>
        <b/>
        <sz val="10"/>
        <color theme="1"/>
        <rFont val="Arial"/>
        <family val="2"/>
      </rPr>
      <t xml:space="preserve">10x Pembayaran
</t>
    </r>
    <r>
      <rPr>
        <sz val="10"/>
        <color theme="1"/>
        <rFont val="Arial"/>
        <family val="2"/>
      </rPr>
      <t>(Agust, Sept, Okt, Nov, Des, Jan, Feb, Mar, Apr, Mei)</t>
    </r>
  </si>
  <si>
    <t>60.000 (setiap Agustus)</t>
  </si>
  <si>
    <t>SMPK BPK Penabur - Bogor</t>
  </si>
  <si>
    <r>
      <rPr>
        <b/>
        <sz val="10"/>
        <color theme="1"/>
        <rFont val="Arial"/>
        <family val="2"/>
      </rPr>
      <t xml:space="preserve">10x Pembayaran
</t>
    </r>
    <r>
      <rPr>
        <sz val="10"/>
        <color theme="1"/>
        <rFont val="Arial"/>
        <family val="2"/>
      </rPr>
      <t>(Agust, Sept, Okt, Nov, Des, Jan, Feb, Mar, Apr, Mei)</t>
    </r>
  </si>
  <si>
    <t>TKK BPK Penabur - Sentul</t>
  </si>
  <si>
    <t>Jl. Dewi Sartika No. 5 Citaringgul, Kec. Babakan Madang, Kab. Bogor, Jawa Barat 16810</t>
  </si>
  <si>
    <r>
      <rPr>
        <b/>
        <sz val="10"/>
        <color theme="1"/>
        <rFont val="Arial"/>
        <family val="2"/>
      </rPr>
      <t xml:space="preserve">10x Pembayaran
</t>
    </r>
    <r>
      <rPr>
        <sz val="10"/>
        <color theme="1"/>
        <rFont val="Arial"/>
        <family val="2"/>
      </rPr>
      <t>(Agust, Sept, Okt, Nov, Des, Jan, Feb, Mar, Apr, Mei)</t>
    </r>
  </si>
  <si>
    <t>SMPK BPK Penabur - Sentul</t>
  </si>
  <si>
    <t>Jl. Dewi Sartika No. 5 Citaringgul, Kec. Babakan Madang, Kab. Bogor, Jawa Barat 16811</t>
  </si>
  <si>
    <r>
      <rPr>
        <b/>
        <sz val="10"/>
        <color theme="1"/>
        <rFont val="Arial"/>
        <family val="2"/>
      </rPr>
      <t xml:space="preserve">10x Pembayaran
</t>
    </r>
    <r>
      <rPr>
        <sz val="10"/>
        <color theme="1"/>
        <rFont val="Arial"/>
        <family val="2"/>
      </rPr>
      <t>(Agust, Sept, Okt, Nov, Des, Jan, Feb, Mar, Apr, Mei)</t>
    </r>
  </si>
  <si>
    <t>SMAK BPK Penabur - Sentul</t>
  </si>
  <si>
    <t>Jl. Dewi Sartika No. 5 Citaringgul, Kec. Babakan Madang, Kab. Bogor, Jawa Barat 16812</t>
  </si>
  <si>
    <r>
      <rPr>
        <b/>
        <sz val="10"/>
        <color theme="1"/>
        <rFont val="Arial"/>
        <family val="2"/>
      </rPr>
      <t xml:space="preserve">10x Pembayaran
</t>
    </r>
    <r>
      <rPr>
        <sz val="10"/>
        <color theme="1"/>
        <rFont val="Arial"/>
        <family val="2"/>
      </rPr>
      <t>(Agust, Sept, Okt, Nov, Des, Jan, Feb, Mar, Apr, Mei)</t>
    </r>
  </si>
  <si>
    <t>066/BSW-DIGINUSA/MOU/VII/2026</t>
  </si>
  <si>
    <t>TKK Bunda Hati Kudus - Grogol</t>
  </si>
  <si>
    <t>Sr. M. Lidya, PBHK</t>
  </si>
  <si>
    <t>081388635000</t>
  </si>
  <si>
    <r>
      <rPr>
        <b/>
        <sz val="10"/>
        <color theme="1"/>
        <rFont val="Arial"/>
        <family val="2"/>
      </rPr>
      <t xml:space="preserve">10x Pembayaran
</t>
    </r>
    <r>
      <rPr>
        <sz val="10"/>
        <color theme="1"/>
        <rFont val="Arial"/>
        <family val="2"/>
      </rPr>
      <t>(Agust, Sept, Okt, Nov, Des, Jan, Feb, Mar, Apr, Mei)</t>
    </r>
  </si>
  <si>
    <t>067/BSW-DIGINUSA/MOU/VII/2026</t>
  </si>
  <si>
    <t>SD YPPK St. Sisilia  Manokwari</t>
  </si>
  <si>
    <t>068/BSW-DIGINUSA/MOU/VII/2026</t>
  </si>
  <si>
    <t>SMA Yadika 1 - Duri Kepa</t>
  </si>
  <si>
    <t>Perum Taman Ratu Indah Blok EE4 Duri Kepa Jakarta Barat</t>
  </si>
  <si>
    <t>Euis Liawati, S.Pd., M.M.M.I.Kom.</t>
  </si>
  <si>
    <t>081318255810</t>
  </si>
  <si>
    <r>
      <rPr>
        <b/>
        <sz val="10"/>
        <color theme="1"/>
        <rFont val="Arial"/>
        <family val="2"/>
      </rPr>
      <t xml:space="preserve">11x Pembayaran
</t>
    </r>
    <r>
      <rPr>
        <sz val="10"/>
        <color theme="1"/>
        <rFont val="Arial"/>
        <family val="2"/>
      </rPr>
      <t>(Agust, Sept, Okt, Nov, Des, Jan, Feb, Mar, Apr, Mei, Juni)</t>
    </r>
  </si>
  <si>
    <t>Informatika Berbasis ITPreneur dan Robotik</t>
  </si>
  <si>
    <t>069/BSW-DIGINUSA/MOU/VII/2026</t>
  </si>
  <si>
    <t>TK Internasional Albertus De Trapani - Tomang</t>
  </si>
  <si>
    <t>Kepala Biro Keuangan: Imelda Penatrawaty</t>
  </si>
  <si>
    <t>081289409888</t>
  </si>
  <si>
    <t>Startup fee: 10.000.000
Setiap bulan: 6.000.000
Setiap bulan: biaya admin u/ guru TIK 1.000.000</t>
  </si>
  <si>
    <r>
      <rPr>
        <b/>
        <sz val="10"/>
        <color theme="1"/>
        <rFont val="Arial"/>
        <family val="2"/>
      </rPr>
      <t xml:space="preserve">10x Pembayaran
</t>
    </r>
    <r>
      <rPr>
        <sz val="10"/>
        <color theme="1"/>
        <rFont val="Arial"/>
        <family val="2"/>
      </rPr>
      <t>(Agust, Sept, Okt, Nov, Des, Jan, Feb, Mar, Apr, Mei)</t>
    </r>
  </si>
  <si>
    <t>SD Internasional Albertus De Trapani - Tomang</t>
  </si>
  <si>
    <t>Informatika Kurikulum Merdeka</t>
  </si>
  <si>
    <t>070/BSW-DIGINUSA/MOU/VII/2026</t>
  </si>
  <si>
    <t>SDK Bunda Hati Kudus - Grogol</t>
  </si>
  <si>
    <r>
      <rPr>
        <b/>
        <sz val="10"/>
        <color theme="1"/>
        <rFont val="Arial"/>
        <family val="2"/>
      </rPr>
      <t xml:space="preserve">10x Pembayaran
</t>
    </r>
    <r>
      <rPr>
        <sz val="10"/>
        <color theme="1"/>
        <rFont val="Arial"/>
        <family val="2"/>
      </rPr>
      <t>(Agust, Sept, Okt, Nov, Des, Jan, Feb, Mar, Apr, Mei)</t>
    </r>
  </si>
  <si>
    <t>44.100 (Juli 2026)</t>
  </si>
  <si>
    <t>Muchammad Rafif Fadhil</t>
  </si>
  <si>
    <t>071/BSW-DIGINUSA/ADD/VII/2026</t>
  </si>
  <si>
    <r>
      <rPr>
        <b/>
        <sz val="10"/>
        <color theme="1"/>
        <rFont val="Arial"/>
        <family val="2"/>
      </rPr>
      <t xml:space="preserve">10x pembayaran </t>
    </r>
    <r>
      <rPr>
        <sz val="10"/>
        <color theme="1"/>
        <rFont val="Arial"/>
        <family val="2"/>
      </rPr>
      <t xml:space="preserve">
(Agust, Sept, Okt, Nov, Des, Jan, Feb, Mar, Apr, Mei)</t>
    </r>
  </si>
  <si>
    <r>
      <rPr>
        <b/>
        <sz val="10"/>
        <color theme="1"/>
        <rFont val="Arial"/>
        <family val="2"/>
      </rPr>
      <t xml:space="preserve">10x pembayaran </t>
    </r>
    <r>
      <rPr>
        <sz val="10"/>
        <color theme="1"/>
        <rFont val="Arial"/>
        <family val="2"/>
      </rPr>
      <t xml:space="preserve">
(Agust, Sept, Okt, Nov, Des, Jan, Feb, Mar, Apr, Mei)</t>
    </r>
  </si>
  <si>
    <r>
      <rPr>
        <b/>
        <sz val="10"/>
        <color theme="1"/>
        <rFont val="Arial"/>
        <family val="2"/>
      </rPr>
      <t xml:space="preserve">10x pembayaran </t>
    </r>
    <r>
      <rPr>
        <sz val="10"/>
        <color theme="1"/>
        <rFont val="Arial"/>
        <family val="2"/>
      </rPr>
      <t xml:space="preserve">
(Agust, Sept, Okt, Nov, Des, Jan, Feb, Mar, Apr, Mei)</t>
    </r>
  </si>
  <si>
    <r>
      <rPr>
        <b/>
        <sz val="10"/>
        <color theme="1"/>
        <rFont val="Arial"/>
        <family val="2"/>
      </rPr>
      <t xml:space="preserve">10x pembayaran </t>
    </r>
    <r>
      <rPr>
        <sz val="10"/>
        <color theme="1"/>
        <rFont val="Arial"/>
        <family val="2"/>
      </rPr>
      <t xml:space="preserve">
(Agust, Sept, Okt, Nov, Des, Jan, Feb, Mar, Apr, Mei)</t>
    </r>
  </si>
  <si>
    <r>
      <rPr>
        <b/>
        <sz val="10"/>
        <color theme="1"/>
        <rFont val="Arial"/>
        <family val="2"/>
      </rPr>
      <t xml:space="preserve">10x pembayaran </t>
    </r>
    <r>
      <rPr>
        <sz val="10"/>
        <color theme="1"/>
        <rFont val="Arial"/>
        <family val="2"/>
      </rPr>
      <t xml:space="preserve">
(Agust, Sept, Okt, Nov, Des, Jan, Feb, Mar, Apr, Mei)</t>
    </r>
  </si>
  <si>
    <r>
      <rPr>
        <b/>
        <sz val="10"/>
        <color theme="1"/>
        <rFont val="Arial"/>
        <family val="2"/>
      </rPr>
      <t xml:space="preserve">10x pembayaran </t>
    </r>
    <r>
      <rPr>
        <sz val="10"/>
        <color theme="1"/>
        <rFont val="Arial"/>
        <family val="2"/>
      </rPr>
      <t xml:space="preserve">
(Agust, Sept, Okt, Nov, Des, Jan, Feb, Mar, Apr, Mei)</t>
    </r>
  </si>
  <si>
    <r>
      <rPr>
        <b/>
        <sz val="10"/>
        <color theme="1"/>
        <rFont val="Arial"/>
        <family val="2"/>
      </rPr>
      <t xml:space="preserve">10x pembayaran </t>
    </r>
    <r>
      <rPr>
        <sz val="10"/>
        <color theme="1"/>
        <rFont val="Arial"/>
        <family val="2"/>
      </rPr>
      <t xml:space="preserve">
(Agust, Sept, Okt, Nov, Des, Jan, Feb, Mar, Apr, Mei)</t>
    </r>
  </si>
  <si>
    <r>
      <rPr>
        <b/>
        <sz val="10"/>
        <color theme="1"/>
        <rFont val="Arial"/>
        <family val="2"/>
      </rPr>
      <t xml:space="preserve">10x pembayaran </t>
    </r>
    <r>
      <rPr>
        <sz val="10"/>
        <color theme="1"/>
        <rFont val="Arial"/>
        <family val="2"/>
      </rPr>
      <t xml:space="preserve">
(Agust, Sept, Okt, Nov, Des, Jan, Feb, Mar, Apr, Mei)</t>
    </r>
  </si>
  <si>
    <r>
      <rPr>
        <b/>
        <sz val="10"/>
        <color theme="1"/>
        <rFont val="Arial"/>
        <family val="2"/>
      </rPr>
      <t xml:space="preserve">10x pembayaran </t>
    </r>
    <r>
      <rPr>
        <sz val="10"/>
        <color theme="1"/>
        <rFont val="Arial"/>
        <family val="2"/>
      </rPr>
      <t xml:space="preserve">
(Agust, Sept, Okt, Nov, Des, Jan, Feb, Mar, Apr, Mei)</t>
    </r>
  </si>
  <si>
    <r>
      <rPr>
        <b/>
        <sz val="10"/>
        <color theme="1"/>
        <rFont val="Arial"/>
        <family val="2"/>
      </rPr>
      <t xml:space="preserve">10x pembayaran </t>
    </r>
    <r>
      <rPr>
        <sz val="10"/>
        <color theme="1"/>
        <rFont val="Arial"/>
        <family val="2"/>
      </rPr>
      <t xml:space="preserve">
(Agust, Sept, Okt, Nov, Des, Jan, Feb, Mar, Apr, Mei)</t>
    </r>
  </si>
  <si>
    <r>
      <rPr>
        <b/>
        <sz val="10"/>
        <color theme="1"/>
        <rFont val="Arial"/>
        <family val="2"/>
      </rPr>
      <t xml:space="preserve">10x pembayaran </t>
    </r>
    <r>
      <rPr>
        <sz val="10"/>
        <color theme="1"/>
        <rFont val="Arial"/>
        <family val="2"/>
      </rPr>
      <t xml:space="preserve">
(Agust, Sept, Okt, Nov, Des, Jan, Feb, Mar, Apr, Mei)</t>
    </r>
  </si>
  <si>
    <r>
      <rPr>
        <b/>
        <sz val="10"/>
        <color theme="1"/>
        <rFont val="Arial"/>
        <family val="2"/>
      </rPr>
      <t xml:space="preserve">10x pembayaran </t>
    </r>
    <r>
      <rPr>
        <sz val="10"/>
        <color theme="1"/>
        <rFont val="Arial"/>
        <family val="2"/>
      </rPr>
      <t xml:space="preserve">
(Agust, Sept, Okt, Nov, Des, Jan, Feb, Mar, Apr, Mei)</t>
    </r>
  </si>
  <si>
    <r>
      <rPr>
        <b/>
        <sz val="10"/>
        <color theme="1"/>
        <rFont val="Arial"/>
        <family val="2"/>
      </rPr>
      <t xml:space="preserve">10x pembayaran </t>
    </r>
    <r>
      <rPr>
        <sz val="10"/>
        <color theme="1"/>
        <rFont val="Arial"/>
        <family val="2"/>
      </rPr>
      <t xml:space="preserve">
(Agust, Sept, Okt, Nov, Des, Jan, Feb, Mar, Apr, Mei)</t>
    </r>
  </si>
  <si>
    <r>
      <rPr>
        <b/>
        <sz val="10"/>
        <color theme="1"/>
        <rFont val="Arial"/>
        <family val="2"/>
      </rPr>
      <t xml:space="preserve">10x pembayaran </t>
    </r>
    <r>
      <rPr>
        <sz val="10"/>
        <color theme="1"/>
        <rFont val="Arial"/>
        <family val="2"/>
      </rPr>
      <t xml:space="preserve">
(Agust, Sept, Okt, Nov, Des, Jan, Feb, Mar, Apr, Mei)</t>
    </r>
  </si>
  <si>
    <r>
      <rPr>
        <b/>
        <sz val="10"/>
        <color theme="1"/>
        <rFont val="Arial"/>
        <family val="2"/>
      </rPr>
      <t xml:space="preserve">10x pembayaran </t>
    </r>
    <r>
      <rPr>
        <sz val="10"/>
        <color theme="1"/>
        <rFont val="Arial"/>
        <family val="2"/>
      </rPr>
      <t xml:space="preserve">
(Agust, Sept, Okt, Nov, Des, Jan, Feb, Mar, Apr, Mei)</t>
    </r>
  </si>
  <si>
    <r>
      <rPr>
        <b/>
        <sz val="10"/>
        <color theme="1"/>
        <rFont val="Arial"/>
        <family val="2"/>
      </rPr>
      <t xml:space="preserve">10x pembayaran </t>
    </r>
    <r>
      <rPr>
        <sz val="10"/>
        <color theme="1"/>
        <rFont val="Arial"/>
        <family val="2"/>
      </rPr>
      <t xml:space="preserve">
(Agust, Sept, Okt, Nov, Des, Jan, Feb, Mar, Apr, Mei)</t>
    </r>
  </si>
  <si>
    <r>
      <rPr>
        <b/>
        <sz val="10"/>
        <color theme="1"/>
        <rFont val="Arial"/>
        <family val="2"/>
      </rPr>
      <t xml:space="preserve">10x pembayaran </t>
    </r>
    <r>
      <rPr>
        <sz val="10"/>
        <color theme="1"/>
        <rFont val="Arial"/>
        <family val="2"/>
      </rPr>
      <t xml:space="preserve">
(Agust, Sept, Okt, Nov, Des, Jan, Feb, Mar, Apr, Mei)</t>
    </r>
  </si>
  <si>
    <r>
      <rPr>
        <b/>
        <sz val="10"/>
        <color theme="1"/>
        <rFont val="Arial"/>
        <family val="2"/>
      </rPr>
      <t xml:space="preserve">10x pembayaran </t>
    </r>
    <r>
      <rPr>
        <sz val="10"/>
        <color theme="1"/>
        <rFont val="Arial"/>
        <family val="2"/>
      </rPr>
      <t xml:space="preserve">
(Agust, Sept, Okt, Nov, Des, Jan, Feb, Mar, Apr, Mei)</t>
    </r>
  </si>
  <si>
    <r>
      <rPr>
        <b/>
        <sz val="10"/>
        <color theme="1"/>
        <rFont val="Arial"/>
        <family val="2"/>
      </rPr>
      <t xml:space="preserve">10x pembayaran </t>
    </r>
    <r>
      <rPr>
        <sz val="10"/>
        <color theme="1"/>
        <rFont val="Arial"/>
        <family val="2"/>
      </rPr>
      <t xml:space="preserve">
(Agust, Sept, Okt, Nov, Des, Jan, Feb, Mar, Apr, Mei)</t>
    </r>
  </si>
  <si>
    <r>
      <rPr>
        <b/>
        <sz val="10"/>
        <color theme="1"/>
        <rFont val="Arial"/>
        <family val="2"/>
      </rPr>
      <t xml:space="preserve">10x pembayaran </t>
    </r>
    <r>
      <rPr>
        <sz val="10"/>
        <color theme="1"/>
        <rFont val="Arial"/>
        <family val="2"/>
      </rPr>
      <t xml:space="preserve">
(Agust, Sept, Okt, Nov, Des, Jan, Feb, Mar, Apr, Mei)</t>
    </r>
  </si>
  <si>
    <r>
      <rPr>
        <b/>
        <sz val="10"/>
        <color theme="1"/>
        <rFont val="Arial"/>
        <family val="2"/>
      </rPr>
      <t xml:space="preserve">10x pembayaran </t>
    </r>
    <r>
      <rPr>
        <sz val="10"/>
        <color theme="1"/>
        <rFont val="Arial"/>
        <family val="2"/>
      </rPr>
      <t xml:space="preserve">
(Agust, Sept, Okt, Nov, Des, Jan, Feb, Mar, Apr, Mei)</t>
    </r>
  </si>
  <si>
    <r>
      <rPr>
        <b/>
        <sz val="10"/>
        <color theme="1"/>
        <rFont val="Arial"/>
        <family val="2"/>
      </rPr>
      <t xml:space="preserve">10x pembayaran </t>
    </r>
    <r>
      <rPr>
        <sz val="10"/>
        <color theme="1"/>
        <rFont val="Arial"/>
        <family val="2"/>
      </rPr>
      <t xml:space="preserve">
(Agust, Sept, Okt, Nov, Des, Jan, Feb, Mar, Apr, Mei)</t>
    </r>
  </si>
  <si>
    <r>
      <rPr>
        <b/>
        <sz val="10"/>
        <color theme="1"/>
        <rFont val="Arial"/>
        <family val="2"/>
      </rPr>
      <t xml:space="preserve">10x pembayaran </t>
    </r>
    <r>
      <rPr>
        <sz val="10"/>
        <color theme="1"/>
        <rFont val="Arial"/>
        <family val="2"/>
      </rPr>
      <t xml:space="preserve">
(Agust, Sept, Okt, Nov, Des, Jan, Feb, Mar, Apr, Mei)</t>
    </r>
  </si>
  <si>
    <r>
      <rPr>
        <b/>
        <sz val="10"/>
        <color theme="1"/>
        <rFont val="Arial"/>
        <family val="2"/>
      </rPr>
      <t xml:space="preserve">10x pembayaran </t>
    </r>
    <r>
      <rPr>
        <sz val="10"/>
        <color theme="1"/>
        <rFont val="Arial"/>
        <family val="2"/>
      </rPr>
      <t xml:space="preserve">
(Agust, Sept, Okt, Nov, Des, Jan, Feb, Mar, Apr, Mei)</t>
    </r>
  </si>
  <si>
    <t>072/BSW-DIGINUSA/MOU/VII/2026</t>
  </si>
  <si>
    <t>SD Santo Antonius 1 - Medan</t>
  </si>
  <si>
    <t>Jl. Sriwijaya No.7 Medan 20153</t>
  </si>
  <si>
    <t>Bendahara Yay: Sr. Yuliana, KSSY</t>
  </si>
  <si>
    <r>
      <rPr>
        <b/>
        <sz val="10"/>
        <color theme="1"/>
        <rFont val="Arial"/>
        <family val="2"/>
      </rPr>
      <t xml:space="preserve">10x pembayaran </t>
    </r>
    <r>
      <rPr>
        <sz val="10"/>
        <color theme="1"/>
        <rFont val="Arial"/>
        <family val="2"/>
      </rPr>
      <t xml:space="preserve">
(Agust, Sept, Okt, Nov, Des, Jan, Feb, Mar, Apr, Mei)</t>
    </r>
  </si>
  <si>
    <t>SD Santo Antonius 2 - Medan</t>
  </si>
  <si>
    <r>
      <rPr>
        <b/>
        <sz val="10"/>
        <color theme="1"/>
        <rFont val="Arial"/>
        <family val="2"/>
      </rPr>
      <t xml:space="preserve">10x pembayaran </t>
    </r>
    <r>
      <rPr>
        <sz val="10"/>
        <color theme="1"/>
        <rFont val="Arial"/>
        <family val="2"/>
      </rPr>
      <t xml:space="preserve">
(Agust, Sept, Okt, Nov, Des, Jan, Feb, Mar, Apr, Mei)</t>
    </r>
  </si>
  <si>
    <t>Jl. Karya Wisata No.6 Medan Johor</t>
  </si>
  <si>
    <r>
      <rPr>
        <b/>
        <sz val="10"/>
        <color theme="1"/>
        <rFont val="Arial"/>
        <family val="2"/>
      </rPr>
      <t xml:space="preserve">10x pembayaran </t>
    </r>
    <r>
      <rPr>
        <sz val="10"/>
        <color theme="1"/>
        <rFont val="Arial"/>
        <family val="2"/>
      </rPr>
      <t xml:space="preserve">
(Agust, Sept, Okt, Nov, Des, Jan, Feb, Mar, Apr, Mei)</t>
    </r>
  </si>
  <si>
    <t>SD Santo Yosef - Sidikalang (kelas 1-3)</t>
  </si>
  <si>
    <t>Jl. Margasilima No.18 Sidikalang</t>
  </si>
  <si>
    <r>
      <rPr>
        <b/>
        <sz val="10"/>
        <color theme="1"/>
        <rFont val="Arial"/>
        <family val="2"/>
      </rPr>
      <t xml:space="preserve">10x pembayaran </t>
    </r>
    <r>
      <rPr>
        <sz val="10"/>
        <color theme="1"/>
        <rFont val="Arial"/>
        <family val="2"/>
      </rPr>
      <t xml:space="preserve">
(Agust, Sept, Okt, Nov, Des, Jan, Feb, Mar, Apr, Mei)</t>
    </r>
  </si>
  <si>
    <r>
      <rPr>
        <b/>
        <sz val="10"/>
        <color theme="1"/>
        <rFont val="Arial"/>
        <family val="2"/>
      </rPr>
      <t xml:space="preserve">10x pembayaran </t>
    </r>
    <r>
      <rPr>
        <sz val="10"/>
        <color theme="1"/>
        <rFont val="Arial"/>
        <family val="2"/>
      </rPr>
      <t xml:space="preserve">
(Agust, Sept, Okt, Nov, Des, Jan, Feb, Mar, Apr, Mei)</t>
    </r>
  </si>
  <si>
    <t>Jl. Parongil No.97 Sidikalang</t>
  </si>
  <si>
    <r>
      <rPr>
        <b/>
        <sz val="10"/>
        <color theme="1"/>
        <rFont val="Arial"/>
        <family val="2"/>
      </rPr>
      <t xml:space="preserve">10x pembayaran </t>
    </r>
    <r>
      <rPr>
        <sz val="10"/>
        <color theme="1"/>
        <rFont val="Arial"/>
        <family val="2"/>
      </rPr>
      <t xml:space="preserve">
(Agust, Sept, Okt, Nov, Des, Jan, Feb, Mar, Apr, Mei)</t>
    </r>
  </si>
  <si>
    <t>073/BSW-DIGINUSA/MOU/VII/2026</t>
  </si>
  <si>
    <r>
      <rPr>
        <b/>
        <sz val="10"/>
        <color theme="1"/>
        <rFont val="Arial"/>
        <family val="2"/>
      </rPr>
      <t xml:space="preserve">10x pembayaran </t>
    </r>
    <r>
      <rPr>
        <sz val="10"/>
        <color theme="1"/>
        <rFont val="Arial"/>
        <family val="2"/>
      </rPr>
      <t xml:space="preserve">
(Agust, Sept, Okt, Nov, Des, Jan, Feb, Mar, Apr, Mei)</t>
    </r>
  </si>
  <si>
    <t>Jl. Karya WIsata 6 Medan 20153</t>
  </si>
  <si>
    <r>
      <rPr>
        <b/>
        <sz val="10"/>
        <color theme="1"/>
        <rFont val="Arial"/>
        <family val="2"/>
      </rPr>
      <t xml:space="preserve">10x pembayaran </t>
    </r>
    <r>
      <rPr>
        <sz val="10"/>
        <color theme="1"/>
        <rFont val="Arial"/>
        <family val="2"/>
      </rPr>
      <t xml:space="preserve">
(Agust, Sept, Okt, Nov, Des, Jan, Feb, Mar, Apr, Mei)</t>
    </r>
  </si>
  <si>
    <t>SD Santo Yosef - Sidikalang (kelas 4-6)</t>
  </si>
  <si>
    <t>Jl. Margasilima No. 18 Sidikalang</t>
  </si>
  <si>
    <r>
      <rPr>
        <b/>
        <sz val="10"/>
        <color theme="1"/>
        <rFont val="Arial"/>
        <family val="2"/>
      </rPr>
      <t xml:space="preserve">10x pembayaran </t>
    </r>
    <r>
      <rPr>
        <sz val="10"/>
        <color theme="1"/>
        <rFont val="Arial"/>
        <family val="2"/>
      </rPr>
      <t xml:space="preserve">
(Agust, Sept, Okt, Nov, Des, Jan, Feb, Mar, Apr, Mei)</t>
    </r>
  </si>
  <si>
    <t>SMP Puteri Cahaya - Medan</t>
  </si>
  <si>
    <r>
      <rPr>
        <b/>
        <sz val="10"/>
        <color theme="1"/>
        <rFont val="Arial"/>
        <family val="2"/>
      </rPr>
      <t xml:space="preserve">10x pembayaran </t>
    </r>
    <r>
      <rPr>
        <sz val="10"/>
        <color theme="1"/>
        <rFont val="Arial"/>
        <family val="2"/>
      </rPr>
      <t xml:space="preserve">
(Agust, Sept, Okt, Nov, Des, Jan, Feb, Mar, Apr, Mei)</t>
    </r>
  </si>
  <si>
    <r>
      <rPr>
        <b/>
        <sz val="10"/>
        <color theme="1"/>
        <rFont val="Arial"/>
        <family val="2"/>
      </rPr>
      <t xml:space="preserve">10x pembayaran </t>
    </r>
    <r>
      <rPr>
        <sz val="10"/>
        <color theme="1"/>
        <rFont val="Arial"/>
        <family val="2"/>
      </rPr>
      <t xml:space="preserve">
(Agust, Sept, Okt, Nov, Des, Jan, Feb, Mar, Apr, Mei)</t>
    </r>
  </si>
  <si>
    <r>
      <rPr>
        <b/>
        <sz val="10"/>
        <color theme="1"/>
        <rFont val="Arial"/>
        <family val="2"/>
      </rPr>
      <t xml:space="preserve">10x pembayaran </t>
    </r>
    <r>
      <rPr>
        <sz val="10"/>
        <color theme="1"/>
        <rFont val="Arial"/>
        <family val="2"/>
      </rPr>
      <t xml:space="preserve">
(Agust, Sept, Okt, Nov, Des, Jan, Feb, Mar, Apr, Mei)</t>
    </r>
  </si>
  <si>
    <t>SMP Santo Yosef - Besitang</t>
  </si>
  <si>
    <t>Jl. Lintas Besitang Banda Aceh, Lingkungan III Bukit Mas Pasar Kel. Bukit Kubu Kec. Besitang Kab. Langkat</t>
  </si>
  <si>
    <r>
      <rPr>
        <b/>
        <sz val="10"/>
        <color theme="1"/>
        <rFont val="Arial"/>
        <family val="2"/>
      </rPr>
      <t xml:space="preserve">10x pembayaran </t>
    </r>
    <r>
      <rPr>
        <sz val="10"/>
        <color theme="1"/>
        <rFont val="Arial"/>
        <family val="2"/>
      </rPr>
      <t xml:space="preserve">
(Agust, Sept, Okt, Nov, Des, Jan, Feb, Mar, Apr, Mei)</t>
    </r>
  </si>
  <si>
    <r>
      <rPr>
        <b/>
        <sz val="10"/>
        <color theme="1"/>
        <rFont val="Arial"/>
        <family val="2"/>
      </rPr>
      <t xml:space="preserve">10x pembayaran </t>
    </r>
    <r>
      <rPr>
        <sz val="10"/>
        <color theme="1"/>
        <rFont val="Arial"/>
        <family val="2"/>
      </rPr>
      <t xml:space="preserve">
(Agust, Sept, Okt, Nov, Des, Jan, Feb, Mar, Apr, Mei)</t>
    </r>
  </si>
  <si>
    <t>074/BSW-DIGINUSA/MOU/VII/2026</t>
  </si>
  <si>
    <t>SD Muhammadiyah Plus - Mojokerto</t>
  </si>
  <si>
    <t>Jl. Taman Siswa No.25 Kec. Kranggan Kota Mojokerto</t>
  </si>
  <si>
    <r>
      <rPr>
        <sz val="10"/>
        <color rgb="FF000000"/>
        <rFont val="Arial"/>
        <family val="2"/>
      </rPr>
      <t xml:space="preserve">Rodliyah, </t>
    </r>
    <r>
      <rPr>
        <u/>
        <sz val="10"/>
        <color rgb="FF1155CC"/>
        <rFont val="Arial"/>
        <family val="2"/>
      </rPr>
      <t>S.Ag</t>
    </r>
    <r>
      <rPr>
        <sz val="10"/>
        <color rgb="FF000000"/>
        <rFont val="Arial"/>
        <family val="2"/>
      </rPr>
      <t>.</t>
    </r>
  </si>
  <si>
    <t>Bendahara: Rohmania, S.pd.</t>
  </si>
  <si>
    <t>085648588650</t>
  </si>
  <si>
    <r>
      <rPr>
        <b/>
        <sz val="10"/>
        <color theme="1"/>
        <rFont val="Arial"/>
        <family val="2"/>
      </rPr>
      <t xml:space="preserve">9x Pembayaran
</t>
    </r>
    <r>
      <rPr>
        <sz val="10"/>
        <color theme="1"/>
        <rFont val="Arial"/>
        <family val="2"/>
      </rPr>
      <t>(Agust, Sept, Okt, Nov, Des, Jan, Feb, Mar, Apr)</t>
    </r>
  </si>
  <si>
    <t>075/BSW-DIGINUSA</t>
  </si>
  <si>
    <t>076/BSW-DIGINUSA/MOU/VII/2026</t>
  </si>
  <si>
    <t>Sr. M. Angelina Agnes Giasih, PBHK</t>
  </si>
  <si>
    <t>TKK Bunda Hati Kudus Kota Wisata - Cibubur</t>
  </si>
  <si>
    <t>Jl. Transyogi Km. 6 Kota Wisata Gunung Putri Bogorr 16968</t>
  </si>
  <si>
    <r>
      <rPr>
        <b/>
        <sz val="10"/>
        <color theme="1"/>
        <rFont val="Arial"/>
        <family val="2"/>
      </rPr>
      <t xml:space="preserve">10x Pembayaran
</t>
    </r>
    <r>
      <rPr>
        <sz val="10"/>
        <color theme="1"/>
        <rFont val="Arial"/>
        <family val="2"/>
      </rPr>
      <t>(Agust, Sept, Okt, Nov, Des, Jan, Feb, Mar, Apr, Mei)</t>
    </r>
  </si>
  <si>
    <t>077/BSW-DIGINUSA/MOU/VII/2026</t>
  </si>
  <si>
    <t>Wakil Kepala Sekolah Bidang Kurikulum: Andriansyah</t>
  </si>
  <si>
    <r>
      <rPr>
        <b/>
        <sz val="10"/>
        <color theme="1"/>
        <rFont val="Arial"/>
        <family val="2"/>
      </rPr>
      <t xml:space="preserve">4x Pembayaran
</t>
    </r>
    <r>
      <rPr>
        <sz val="10"/>
        <color theme="1"/>
        <rFont val="Arial"/>
        <family val="2"/>
      </rPr>
      <t>(Agust, Sept, Okt, Nov)</t>
    </r>
  </si>
  <si>
    <t>079/BSW-DIGINUSA/MOU/VII/2026</t>
  </si>
  <si>
    <t>Jl. Cempaka No.4 Depok Kec. Pancoran Mas Kota Depok</t>
  </si>
  <si>
    <t>Theresia Magdalena Pratiwi Pulungan, S.Pd.,</t>
  </si>
  <si>
    <t>081314195867</t>
  </si>
  <si>
    <r>
      <rPr>
        <b/>
        <sz val="10"/>
        <color theme="1"/>
        <rFont val="Arial"/>
        <family val="2"/>
      </rPr>
      <t xml:space="preserve">9x pembayaran </t>
    </r>
    <r>
      <rPr>
        <sz val="10"/>
        <color theme="1"/>
        <rFont val="Arial"/>
        <family val="2"/>
      </rPr>
      <t xml:space="preserve">
(Agust, Sept, Okt, Nov,  Jan, Feb, Mar, Apr, Mei)</t>
    </r>
  </si>
  <si>
    <t>081294730008</t>
  </si>
  <si>
    <r>
      <rPr>
        <b/>
        <sz val="10"/>
        <color theme="1"/>
        <rFont val="Arial"/>
        <family val="2"/>
      </rPr>
      <t xml:space="preserve">9x pembayaran </t>
    </r>
    <r>
      <rPr>
        <sz val="10"/>
        <color theme="1"/>
        <rFont val="Arial"/>
        <family val="2"/>
      </rPr>
      <t xml:space="preserve">
(Agust, Sept, Okt, Nov,  Jan, Feb, Mar, Apr, Mei)</t>
    </r>
  </si>
  <si>
    <t>080/BSW-DIGINUSA/MOU/VII/2026</t>
  </si>
  <si>
    <t>31 Mei 2029</t>
  </si>
  <si>
    <r>
      <rPr>
        <b/>
        <sz val="10"/>
        <color theme="1"/>
        <rFont val="Arial"/>
        <family val="2"/>
      </rPr>
      <t xml:space="preserve">10x pembayaran </t>
    </r>
    <r>
      <rPr>
        <sz val="10"/>
        <color theme="1"/>
        <rFont val="Arial"/>
        <family val="2"/>
      </rPr>
      <t xml:space="preserve">
(Agust, Sept, Okt, Nov, Des, Jan, Feb, Mar, Apr, Mei)</t>
    </r>
  </si>
  <si>
    <t>082/BSW-DIGINUSA/MOU/VII/2026</t>
  </si>
  <si>
    <t>Yayasan Regina Pacis, FMM</t>
  </si>
  <si>
    <t>Sr. Linda Mulyati, FMM</t>
  </si>
  <si>
    <t>Jl. Ir. Haji Juanda No.2 Pabaton Kec. Bogor Tengah Kota Bogor Jawa Barat 16121</t>
  </si>
  <si>
    <t>Agnes Atik Susilawati, S.Pd., M.Pd.</t>
  </si>
  <si>
    <t>081916181318</t>
  </si>
  <si>
    <r>
      <rPr>
        <b/>
        <sz val="10"/>
        <color theme="1"/>
        <rFont val="Arial"/>
        <family val="2"/>
      </rPr>
      <t xml:space="preserve">8x pembayaran </t>
    </r>
    <r>
      <rPr>
        <sz val="10"/>
        <color theme="1"/>
        <rFont val="Arial"/>
        <family val="2"/>
      </rPr>
      <t xml:space="preserve">
(Agust, Sept, Okt, Nov,  Jan, Feb, Mar, Apr)</t>
    </r>
  </si>
  <si>
    <t>Koding</t>
  </si>
  <si>
    <r>
      <rPr>
        <b/>
        <sz val="10"/>
        <color theme="1"/>
        <rFont val="Arial"/>
        <family val="2"/>
      </rPr>
      <t xml:space="preserve">8x pembayaran </t>
    </r>
    <r>
      <rPr>
        <sz val="10"/>
        <color theme="1"/>
        <rFont val="Arial"/>
        <family val="2"/>
      </rPr>
      <t xml:space="preserve">
(Agust, Sept, Okt, Nov,  Jan, Feb, Mar, Apr)</t>
    </r>
  </si>
  <si>
    <r>
      <rPr>
        <b/>
        <sz val="10"/>
        <color theme="1"/>
        <rFont val="Arial"/>
        <family val="2"/>
      </rPr>
      <t xml:space="preserve">8x pembayaran </t>
    </r>
    <r>
      <rPr>
        <sz val="10"/>
        <color theme="1"/>
        <rFont val="Arial"/>
        <family val="2"/>
      </rPr>
      <t xml:space="preserve">
(Agust, Sept, Okt, Nov,  Jan, Feb, Mar, Apr)</t>
    </r>
  </si>
  <si>
    <r>
      <rPr>
        <b/>
        <sz val="10"/>
        <color theme="1"/>
        <rFont val="Arial"/>
        <family val="2"/>
      </rPr>
      <t xml:space="preserve">8x pembayaran </t>
    </r>
    <r>
      <rPr>
        <sz val="10"/>
        <color theme="1"/>
        <rFont val="Arial"/>
        <family val="2"/>
      </rPr>
      <t xml:space="preserve">
(Agust, Sept, Okt, Nov,  Jan, Feb, Mar, Apr)</t>
    </r>
  </si>
  <si>
    <r>
      <rPr>
        <b/>
        <sz val="10"/>
        <color theme="1"/>
        <rFont val="Arial"/>
        <family val="2"/>
      </rPr>
      <t xml:space="preserve">8x pembayaran </t>
    </r>
    <r>
      <rPr>
        <sz val="10"/>
        <color theme="1"/>
        <rFont val="Arial"/>
        <family val="2"/>
      </rPr>
      <t xml:space="preserve">
(Agust, Sept, Okt, Nov,  Jan, Feb, Mar, Apr)</t>
    </r>
  </si>
  <si>
    <r>
      <rPr>
        <b/>
        <sz val="10"/>
        <color theme="1"/>
        <rFont val="Arial"/>
        <family val="2"/>
      </rPr>
      <t xml:space="preserve">8x pembayaran </t>
    </r>
    <r>
      <rPr>
        <sz val="10"/>
        <color theme="1"/>
        <rFont val="Arial"/>
        <family val="2"/>
      </rPr>
      <t xml:space="preserve">
(Agust, Sept, Okt, Nov,  Jan, Feb, Mar, Apr)</t>
    </r>
  </si>
  <si>
    <r>
      <rPr>
        <b/>
        <sz val="10"/>
        <color theme="1"/>
        <rFont val="Arial"/>
        <family val="2"/>
      </rPr>
      <t xml:space="preserve">8x pembayaran </t>
    </r>
    <r>
      <rPr>
        <sz val="10"/>
        <color theme="1"/>
        <rFont val="Arial"/>
        <family val="2"/>
      </rPr>
      <t xml:space="preserve">
(Agust, Sept, Okt, Nov,  Jan, Feb, Mar, Apr)</t>
    </r>
  </si>
  <si>
    <t>084/BSW-DIGINUSA/MOU/VII/2026</t>
  </si>
  <si>
    <t>SD IT Ar Rayyan - Surabaya</t>
  </si>
  <si>
    <t>Jl. Benteng No.20 Surabaya</t>
  </si>
  <si>
    <t>Muhammad Muhyiddin, S.Pd. Gr.</t>
  </si>
  <si>
    <t>081252590107</t>
  </si>
  <si>
    <r>
      <rPr>
        <b/>
        <sz val="10"/>
        <color theme="1"/>
        <rFont val="Arial"/>
        <family val="2"/>
      </rPr>
      <t xml:space="preserve">10x pembayaran </t>
    </r>
    <r>
      <rPr>
        <sz val="10"/>
        <color theme="1"/>
        <rFont val="Arial"/>
        <family val="2"/>
      </rPr>
      <t xml:space="preserve">
(Agust, Sept, Okt, Nov, Des, Jan, Feb, Mar, Apr, Mei)</t>
    </r>
  </si>
  <si>
    <t>088/BSW-DIGINUSA/MOU/VII/2026</t>
  </si>
  <si>
    <t>Jl. Jendral Sudirman No.45 Nagri Tengah Purwakarta Jawa Barat 41114</t>
  </si>
  <si>
    <t>Dwi Ajar Wirawati</t>
  </si>
  <si>
    <r>
      <rPr>
        <b/>
        <sz val="10"/>
        <color theme="1"/>
        <rFont val="Arial"/>
        <family val="2"/>
      </rPr>
      <t xml:space="preserve">10x pembayaran </t>
    </r>
    <r>
      <rPr>
        <sz val="10"/>
        <color theme="1"/>
        <rFont val="Arial"/>
        <family val="2"/>
      </rPr>
      <t xml:space="preserve">
(Agust, Sept, Okt, Nov, Des, Jan, Feb, Mar, Apr)</t>
    </r>
  </si>
  <si>
    <t>089/BSW-DIGINUSA/MOU/VII/2026</t>
  </si>
  <si>
    <t>SD Santo Leo - Jakarta Barat</t>
  </si>
  <si>
    <t>081289918293</t>
  </si>
  <si>
    <r>
      <rPr>
        <b/>
        <sz val="10"/>
        <color theme="1"/>
        <rFont val="Arial"/>
        <family val="2"/>
      </rPr>
      <t xml:space="preserve">8x pembayaran </t>
    </r>
    <r>
      <rPr>
        <sz val="10"/>
        <color theme="1"/>
        <rFont val="Arial"/>
        <family val="2"/>
      </rPr>
      <t xml:space="preserve">
(Sept, Okt, Nov, Jan, Feb, Mar, Apr, Mei)</t>
    </r>
  </si>
  <si>
    <t>092/BSW-DIGINUSA/MOU/VII/2026</t>
  </si>
  <si>
    <t>SD Islam Al Mizan - Surabaya</t>
  </si>
  <si>
    <t>Yayuk Wahyuni, S.Pd.</t>
  </si>
  <si>
    <t>082233609921</t>
  </si>
  <si>
    <r>
      <rPr>
        <b/>
        <sz val="10"/>
        <color theme="1"/>
        <rFont val="Arial"/>
        <family val="2"/>
      </rPr>
      <t xml:space="preserve">8x pembayaran </t>
    </r>
    <r>
      <rPr>
        <sz val="10"/>
        <color theme="1"/>
        <rFont val="Arial"/>
        <family val="2"/>
      </rPr>
      <t xml:space="preserve">
(Agust, Sept, Okt, Nov,  Jan, Mar, Apr, Mei)</t>
    </r>
  </si>
  <si>
    <t>094/BSW-DIGINUSA/MOU/VII/2026</t>
  </si>
  <si>
    <t>Ibramsyah Amir, S.E.,</t>
  </si>
  <si>
    <t>Jl. LLRE Martadinata No.52 Kel. Citarum Kec. Bandung Wetan Kota Bandung Prov. Jawa Barat</t>
  </si>
  <si>
    <r>
      <rPr>
        <b/>
        <sz val="10"/>
        <color theme="1"/>
        <rFont val="Arial"/>
        <family val="2"/>
      </rPr>
      <t xml:space="preserve">11x pembayaran </t>
    </r>
    <r>
      <rPr>
        <sz val="10"/>
        <color theme="1"/>
        <rFont val="Arial"/>
        <family val="2"/>
      </rPr>
      <t xml:space="preserve">
(Agust, Sept, Okt, Nov, Des, Jan, Feb, Mar, Apr, Mei, Juni)</t>
    </r>
  </si>
  <si>
    <r>
      <rPr>
        <b/>
        <sz val="10"/>
        <color theme="1"/>
        <rFont val="Arial"/>
        <family val="2"/>
      </rPr>
      <t xml:space="preserve">11x pembayaran </t>
    </r>
    <r>
      <rPr>
        <sz val="10"/>
        <color theme="1"/>
        <rFont val="Arial"/>
        <family val="2"/>
      </rPr>
      <t xml:space="preserve">
(Agust, Sept, Okt, Nov, Des, Jan, Feb, Mar, Apr, Mei, Juni)</t>
    </r>
  </si>
  <si>
    <t>096/BSW-DIGINUSA/MOU/VII/2026</t>
  </si>
  <si>
    <r>
      <rPr>
        <b/>
        <sz val="10"/>
        <color theme="1"/>
        <rFont val="Arial"/>
        <family val="2"/>
      </rPr>
      <t xml:space="preserve">9x pembayaran </t>
    </r>
    <r>
      <rPr>
        <sz val="10"/>
        <color theme="1"/>
        <rFont val="Arial"/>
        <family val="2"/>
      </rPr>
      <t xml:space="preserve">
(Agust, Sept, Okt, Nov, Jan, Feb, Mar, Apr, Mei)</t>
    </r>
  </si>
  <si>
    <t>Yoni  Tri Kushendarto</t>
  </si>
  <si>
    <t>097/BSW-DIGINUSA/MOU/VII/2026</t>
  </si>
  <si>
    <r>
      <rPr>
        <b/>
        <sz val="10"/>
        <color theme="1"/>
        <rFont val="Arial"/>
        <family val="2"/>
      </rPr>
      <t xml:space="preserve">9x pembayaran </t>
    </r>
    <r>
      <rPr>
        <sz val="10"/>
        <color theme="1"/>
        <rFont val="Arial"/>
        <family val="2"/>
      </rPr>
      <t xml:space="preserve">
(Agust, Sept, Okt, Nov, Jan, Feb, Mar, Apr, Mei)</t>
    </r>
  </si>
  <si>
    <t>Yulis Nurusl Kusumah</t>
  </si>
  <si>
    <t>099/BSW-DIGINUSA/MOU/VIII/2026</t>
  </si>
  <si>
    <t>TK Bina Mulia - Pontianak</t>
  </si>
  <si>
    <t>Jl. Abdul Rachman Saleh No. A1 Bangka Belitung Laut Kec. Pontianak Tenggara Kota Pontianak Kalimantan Barat 781242</t>
  </si>
  <si>
    <t>Nury Verdian</t>
  </si>
  <si>
    <t>08115625506</t>
  </si>
  <si>
    <r>
      <rPr>
        <b/>
        <sz val="10"/>
        <color theme="1"/>
        <rFont val="Arial"/>
        <family val="2"/>
      </rPr>
      <t xml:space="preserve">6x pembayaran </t>
    </r>
    <r>
      <rPr>
        <sz val="10"/>
        <color theme="1"/>
        <rFont val="Arial"/>
        <family val="2"/>
      </rPr>
      <t xml:space="preserve">
(Sept, Okt, Jan, Feb, Mar, Apr)</t>
    </r>
  </si>
  <si>
    <t>100/BSW-DIGINUSA/MOU/VII/2026</t>
  </si>
  <si>
    <t>Sr. Florentia Mujiyati, OSU</t>
  </si>
  <si>
    <t>Jl. Otto Iskandardinata No.76 Jakarta Timur</t>
  </si>
  <si>
    <t>Agustus 2026</t>
  </si>
  <si>
    <t>semester 1: 59 anak
semester 2: 51 anak</t>
  </si>
  <si>
    <r>
      <rPr>
        <b/>
        <sz val="10"/>
        <color theme="1"/>
        <rFont val="Arial"/>
        <family val="2"/>
      </rPr>
      <t xml:space="preserve">9x pembayaran </t>
    </r>
    <r>
      <rPr>
        <sz val="10"/>
        <color theme="1"/>
        <rFont val="Arial"/>
        <family val="2"/>
      </rPr>
      <t xml:space="preserve">
(Agust, Sept, Okt, Nov, Jan, Feb, Mar, Apr, Mei)</t>
    </r>
  </si>
  <si>
    <t>102/BSW-DIGINUSA/MOU/VII/2026</t>
  </si>
  <si>
    <t>Jl. Serma Kawi No.2 Dauh Puri Klod Kec. Denpasar Barat Kota Denpasar Bali</t>
  </si>
  <si>
    <r>
      <rPr>
        <b/>
        <sz val="10"/>
        <color theme="1"/>
        <rFont val="Arial"/>
        <family val="2"/>
      </rPr>
      <t xml:space="preserve">2x pembayaran </t>
    </r>
    <r>
      <rPr>
        <sz val="10"/>
        <color theme="1"/>
        <rFont val="Arial"/>
        <family val="2"/>
      </rPr>
      <t xml:space="preserve">
(Des 2026 dan Mei 2027)</t>
    </r>
  </si>
  <si>
    <t>107/BSW-DIGINUSA/MOU/VII/2026</t>
  </si>
  <si>
    <t>Jl. Halmahera I No.1/21 Karang Tempel Kec. Semarang Timur Kota Semarang Jawa Tengah 50232</t>
  </si>
  <si>
    <r>
      <t xml:space="preserve">Siti Suciyani Theresia, </t>
    </r>
    <r>
      <rPr>
        <u/>
        <sz val="10"/>
        <color rgb="FF1155CC"/>
        <rFont val="Arial"/>
        <family val="2"/>
      </rPr>
      <t>S.Pd.SD</t>
    </r>
  </si>
  <si>
    <r>
      <t xml:space="preserve">Siti Suciyani Theresia, </t>
    </r>
    <r>
      <rPr>
        <u/>
        <sz val="10"/>
        <color rgb="FF1155CC"/>
        <rFont val="Arial"/>
        <family val="2"/>
      </rPr>
      <t>S.Pd.SD</t>
    </r>
  </si>
  <si>
    <r>
      <rPr>
        <b/>
        <sz val="10"/>
        <color theme="1"/>
        <rFont val="Arial"/>
        <family val="2"/>
      </rPr>
      <t xml:space="preserve">2x pembayaran </t>
    </r>
    <r>
      <rPr>
        <sz val="10"/>
        <color theme="1"/>
        <rFont val="Arial"/>
        <family val="2"/>
      </rPr>
      <t xml:space="preserve">
(Des 2026 dan Mei 2027)</t>
    </r>
  </si>
  <si>
    <t>Jumlah Siswa</t>
  </si>
  <si>
    <t>Jakarta</t>
  </si>
  <si>
    <t>Tulungagung</t>
  </si>
  <si>
    <t>Tangerang</t>
  </si>
  <si>
    <t>Surabaya</t>
  </si>
  <si>
    <t>Bekasi</t>
  </si>
  <si>
    <t>Jambi</t>
  </si>
  <si>
    <t>Bogor</t>
  </si>
  <si>
    <t>Sidoarjo</t>
  </si>
  <si>
    <t>SD Xaverius Lap.Hatta</t>
  </si>
  <si>
    <t>TK-SD Abdi Siswa Taman Aries</t>
  </si>
  <si>
    <t>0888-09636122</t>
  </si>
  <si>
    <t>Rian Adiputra</t>
  </si>
  <si>
    <t>Rudi Novianto</t>
  </si>
  <si>
    <t>Lutfi Maulana Virgiansyah</t>
  </si>
  <si>
    <t>0815-1391-0020</t>
  </si>
  <si>
    <t>SD-SMP-SMK Alodia Bekasi</t>
  </si>
  <si>
    <t>0812-93811064, 0813-15425554, 085156872154</t>
  </si>
  <si>
    <t>Julianti Siringoringo</t>
  </si>
  <si>
    <t>082274686022/085211151285</t>
  </si>
  <si>
    <t>Nadia Stifani</t>
  </si>
  <si>
    <t>Vivia Sukma Nanda</t>
  </si>
  <si>
    <t>0898-3916556</t>
  </si>
  <si>
    <t>Sandy Firmansyah</t>
  </si>
  <si>
    <t>0813-14123886</t>
  </si>
  <si>
    <t>TK-SD Mardi Yuana Cicurug</t>
  </si>
  <si>
    <t>Dita Fajaryanti</t>
  </si>
  <si>
    <t>0812-81389590</t>
  </si>
  <si>
    <t>TK Mardi Yuana Cilegon</t>
  </si>
  <si>
    <t>Asri Lestari</t>
  </si>
  <si>
    <t>Ratu Anita Lestari</t>
  </si>
  <si>
    <t>SD Mardi Yuana Cilegon</t>
  </si>
  <si>
    <t>Gesang Swadesi</t>
  </si>
  <si>
    <t>0818-04188926, 0813-11016863</t>
  </si>
  <si>
    <t>Aprillianti</t>
  </si>
  <si>
    <t>TK-SD-SMP Mardi Yuana Cianjur</t>
  </si>
  <si>
    <t>Budi Yuana Romli</t>
  </si>
  <si>
    <t>0857-23143053</t>
  </si>
  <si>
    <t>SMP Mardi Yuana Cipanas</t>
  </si>
  <si>
    <t>Mikasa Andripuri</t>
  </si>
  <si>
    <t>TK-SD Cahaya Sakti</t>
  </si>
  <si>
    <t>Waitiomasli Tamba</t>
  </si>
  <si>
    <t>0813-78172490</t>
  </si>
  <si>
    <t>Kushestiningtyas Novita</t>
  </si>
  <si>
    <t>0852-15904059/0857-16128558</t>
  </si>
  <si>
    <t>Steven James</t>
  </si>
  <si>
    <t>Sister P Lumbantoruan</t>
  </si>
  <si>
    <t>0812-60337553</t>
  </si>
  <si>
    <t>0823-66601486 / 0852 7008 8538</t>
  </si>
  <si>
    <t>Jenita Ompusunggu</t>
  </si>
  <si>
    <t>0812-75453258</t>
  </si>
  <si>
    <t>Dian Pasca Silalahi</t>
  </si>
  <si>
    <t>Oktaviani Hutagalung</t>
  </si>
  <si>
    <t>0853-72653633</t>
  </si>
  <si>
    <t>Ester Manullang</t>
  </si>
  <si>
    <t>0852-70613843</t>
  </si>
  <si>
    <t>Merita Girsang</t>
  </si>
  <si>
    <t>0812-78099787</t>
  </si>
  <si>
    <t>Tio Eka Natalia Sinurat</t>
  </si>
  <si>
    <t>0823-70699328, 082362596871</t>
  </si>
  <si>
    <t>Eka Supriyati</t>
  </si>
  <si>
    <t>Aji Yoga Pratama</t>
  </si>
  <si>
    <t>Intan Ayu Permata</t>
  </si>
  <si>
    <t>Edwin Christian Bernardo</t>
  </si>
  <si>
    <t>Yosua Samuel Purba</t>
  </si>
  <si>
    <t>SMA St. Aquino Tulungagung</t>
  </si>
  <si>
    <t>Devia Agni Purwita Intan</t>
  </si>
  <si>
    <t>Poppy Hendraswari</t>
  </si>
  <si>
    <t>Rio Septa Wardhana</t>
  </si>
  <si>
    <t>Veronika Entya Febria</t>
  </si>
  <si>
    <t>Elsya Mega Novita Yanti</t>
  </si>
  <si>
    <t>SMP SMA Margie</t>
  </si>
  <si>
    <t>Yohanes Oktavianto</t>
  </si>
  <si>
    <t>Ucok Meydian</t>
  </si>
  <si>
    <t>Zuraidah Farah</t>
  </si>
  <si>
    <t>Abisatyo Lenggono</t>
  </si>
  <si>
    <t>Kuriyah</t>
  </si>
  <si>
    <t>Sekar Ayu</t>
  </si>
  <si>
    <t>Jejeh Fauziah</t>
  </si>
  <si>
    <t>One Kurniawan</t>
  </si>
  <si>
    <t>0813-17451131</t>
  </si>
  <si>
    <t>SMP Al Izhar Jaksel</t>
  </si>
  <si>
    <t>Fadhlurrahman</t>
  </si>
  <si>
    <t>Toni Wijayanto</t>
  </si>
  <si>
    <t>0878-85496331</t>
  </si>
  <si>
    <t>TK-SD Al Izhar Jaksel</t>
  </si>
  <si>
    <t>Theresiea</t>
  </si>
  <si>
    <t>021-7270505, 0897-8641027</t>
  </si>
  <si>
    <t>0812-80774886</t>
  </si>
  <si>
    <t>Danner Hutauruk</t>
  </si>
  <si>
    <t>0812-80554119</t>
  </si>
  <si>
    <t>Dongsi Surya Mega Waty</t>
  </si>
  <si>
    <t>0822-99000265</t>
  </si>
  <si>
    <t>Theresia Silvia</t>
  </si>
  <si>
    <t>0858-19063813 / 085777870395</t>
  </si>
  <si>
    <t>SD SMP Spring Garden</t>
  </si>
  <si>
    <t>Rastio Haryono</t>
  </si>
  <si>
    <t>Juergen Nathanael Obednego</t>
  </si>
  <si>
    <t>Devina Candrawati</t>
  </si>
  <si>
    <t>SMP Tarakanita Solo</t>
  </si>
  <si>
    <t>Aji Setiawan</t>
  </si>
  <si>
    <t>0813-31096301</t>
  </si>
  <si>
    <t>Lukas Santoso</t>
  </si>
  <si>
    <t>0895-25308672 / 089664235501</t>
  </si>
  <si>
    <t>Izzan Naufal Arifin</t>
  </si>
  <si>
    <t>0858-69640949 (WA), 0813-81606949</t>
  </si>
  <si>
    <t>Rizqi Sandytama Yoga</t>
  </si>
  <si>
    <t>SMA Mahatma Gading School</t>
  </si>
  <si>
    <t>0812-94002068</t>
  </si>
  <si>
    <t>0855-91485508</t>
  </si>
  <si>
    <t>Avelina Meni</t>
  </si>
  <si>
    <t>0813-14861774</t>
  </si>
  <si>
    <t>Nurhalina Situmorang</t>
  </si>
  <si>
    <t>0822-83064974</t>
  </si>
  <si>
    <t>Anto Evendi, S.Kom</t>
  </si>
  <si>
    <t>0812-68984569</t>
  </si>
  <si>
    <t>Suryadi, S.Kom</t>
  </si>
  <si>
    <t>0853-65078000</t>
  </si>
  <si>
    <t>Sabrian</t>
  </si>
  <si>
    <t>0895-621326153 / 087836749967</t>
  </si>
  <si>
    <t>Muhammad Ilham</t>
  </si>
  <si>
    <t>SMP-SMA Fransiskus Kp. Ambon</t>
  </si>
  <si>
    <t>Rudhy Thenu</t>
  </si>
  <si>
    <t>SD Bhakti Kemanggisan</t>
  </si>
  <si>
    <t>0859-21425353</t>
  </si>
  <si>
    <t>Bryan Julius</t>
  </si>
  <si>
    <t>0818-07934797</t>
  </si>
  <si>
    <t>TK-SD Pusaka Abadi</t>
  </si>
  <si>
    <t>021-6514464, Hp 081317736262</t>
  </si>
  <si>
    <t>SMP-SMA Pusaka Abadi</t>
  </si>
  <si>
    <t>Puji Pratama</t>
  </si>
  <si>
    <t>0813-73527194</t>
  </si>
  <si>
    <t>Mardiana Hutasoit</t>
  </si>
  <si>
    <t>0852-68885479</t>
  </si>
  <si>
    <t>TK SD Permai Nasional</t>
  </si>
  <si>
    <t>Cici Florencia Febryanna Siagian</t>
  </si>
  <si>
    <t>Alfon Irawan Trihadmojo</t>
  </si>
  <si>
    <t>Adi Kurniawan</t>
  </si>
  <si>
    <t>Nissi Pangaribuan</t>
  </si>
  <si>
    <t>SMP SMA Permai Nasional</t>
  </si>
  <si>
    <t>Sahta Tarigan</t>
  </si>
  <si>
    <t>Suwarti</t>
  </si>
  <si>
    <t>0818-06860633</t>
  </si>
  <si>
    <t>Hari Sem Pandapotan</t>
  </si>
  <si>
    <t>081 290 553 113</t>
  </si>
  <si>
    <t>0858-10911550</t>
  </si>
  <si>
    <t>Fenita Halawa</t>
  </si>
  <si>
    <t>0852-16047041</t>
  </si>
  <si>
    <t>Eva Rudwi Santi</t>
  </si>
  <si>
    <t>0822-98975889</t>
  </si>
  <si>
    <t>Yurnalis Syam</t>
  </si>
  <si>
    <t>0823-68789586</t>
  </si>
  <si>
    <t>Ahmad Ariadi</t>
  </si>
  <si>
    <t>Afri Kumala Ningrum</t>
  </si>
  <si>
    <t>Andi Setiawan</t>
  </si>
  <si>
    <t>TK SD Galatia Bekasi</t>
  </si>
  <si>
    <t>SMP SMA Galatia Bekasi</t>
  </si>
  <si>
    <t>Ewa Pradana Putra Sembiring</t>
  </si>
  <si>
    <t>Bayu Tirta Sartama</t>
  </si>
  <si>
    <t>TK-SD Regina Pacis Bogor</t>
  </si>
  <si>
    <t>021-8664545, 0852-15014387</t>
  </si>
  <si>
    <t>Titik Sumiyati</t>
  </si>
  <si>
    <t>0817-0404513</t>
  </si>
  <si>
    <t>Sasi Juniarti</t>
  </si>
  <si>
    <t>0878-80985983</t>
  </si>
  <si>
    <t>Posma Rido Damanik</t>
  </si>
  <si>
    <t>0895616814709 / 0812-80544573</t>
  </si>
  <si>
    <t>SMP-SMA Regina Pacis Bogor</t>
  </si>
  <si>
    <t>Adrianus Hia</t>
  </si>
  <si>
    <t>0813-82353182</t>
  </si>
  <si>
    <t>Deiske Daisy Lumangkun</t>
  </si>
  <si>
    <t>0815-9734457</t>
  </si>
  <si>
    <t>0896-49993422</t>
  </si>
  <si>
    <t>Lasriama</t>
  </si>
  <si>
    <t>0812-80585594</t>
  </si>
  <si>
    <t>Shinta Prasetiawati</t>
  </si>
  <si>
    <t>021- 8747434 / 0812-80452792, 0856-1192562</t>
  </si>
  <si>
    <t>Maximayelus Huku</t>
  </si>
  <si>
    <t>0813-18080111</t>
  </si>
  <si>
    <t>Yashinta Mulya Sari</t>
  </si>
  <si>
    <t>0877-72886665</t>
  </si>
  <si>
    <t>0821-22461822 / 0857-82032236</t>
  </si>
  <si>
    <t>NO</t>
  </si>
  <si>
    <t>KET</t>
  </si>
  <si>
    <t>LOKASI</t>
  </si>
  <si>
    <t>No. Kontrak</t>
  </si>
  <si>
    <t>BLN</t>
  </si>
  <si>
    <t>THN</t>
  </si>
  <si>
    <t>NAMA</t>
  </si>
  <si>
    <t>T4</t>
  </si>
  <si>
    <t>TGL LAHIR</t>
  </si>
  <si>
    <t>ALAMAT1</t>
  </si>
  <si>
    <t>ALAMAT2</t>
  </si>
  <si>
    <t>TELP</t>
  </si>
  <si>
    <t>HARI</t>
  </si>
  <si>
    <t>TGL KONTRAK</t>
  </si>
  <si>
    <t>BULAN</t>
  </si>
  <si>
    <t>TAHUN</t>
  </si>
  <si>
    <t>SEKOLAH/YAYASAN</t>
  </si>
  <si>
    <t>ALAMAT SEKOLAH</t>
  </si>
  <si>
    <t>TGL SURAT</t>
  </si>
  <si>
    <t>AWAL</t>
  </si>
  <si>
    <t>AKHIR</t>
  </si>
  <si>
    <t>TGL PERJ</t>
  </si>
  <si>
    <t>NO. KTP</t>
  </si>
  <si>
    <t>Alamat KTP</t>
  </si>
  <si>
    <t>NPWP</t>
  </si>
  <si>
    <t>Alamat NPWP</t>
  </si>
  <si>
    <t>email</t>
  </si>
  <si>
    <t>PENDIDIKAN</t>
  </si>
  <si>
    <t>KETERANGAN</t>
  </si>
  <si>
    <t>Bpk/Ibu</t>
  </si>
  <si>
    <t>Start</t>
  </si>
  <si>
    <t>Status Kerja</t>
  </si>
  <si>
    <t>Status Pernikahan</t>
  </si>
  <si>
    <t>Anak</t>
  </si>
  <si>
    <t>TK-SD Mahatma Gading School Jakarta</t>
  </si>
  <si>
    <t>VII</t>
  </si>
  <si>
    <t>Kabanjahe</t>
  </si>
  <si>
    <t>1 Agustus 1974</t>
  </si>
  <si>
    <t>Komp. Depnakertrans No.80, Rt.11/05 Jaka Sampurna</t>
  </si>
  <si>
    <t>Bekasi Barat 17137</t>
  </si>
  <si>
    <t>0812-8118762</t>
  </si>
  <si>
    <t>Senin</t>
  </si>
  <si>
    <t>Delapan belas</t>
  </si>
  <si>
    <t>Juli</t>
  </si>
  <si>
    <t>Dua ribu dua puluh dua</t>
  </si>
  <si>
    <t>Komp. Villa Gading Indah Blok D Kelapa Gading Jakarta Utara 14240</t>
  </si>
  <si>
    <t>18 Juli 2022</t>
  </si>
  <si>
    <t>24 Juni 2023</t>
  </si>
  <si>
    <t>1 Juli 2016</t>
  </si>
  <si>
    <t>3275021609760022</t>
  </si>
  <si>
    <t>Komp. Depnakertrans No.80, Rt.11/05, jaka Sampurna, Bekasi Barat 17137</t>
  </si>
  <si>
    <t>24.985.317.7-432.000</t>
  </si>
  <si>
    <t>Jl.Narogong elok XV F35 No.5 BTN Narogong Indah Rt.02/13, Pengasinan Rawalumbu Bekasi</t>
  </si>
  <si>
    <t>are_rct2003@yahoo.com</t>
  </si>
  <si>
    <t>Sarjana</t>
  </si>
  <si>
    <t>Universitas Negeri Jakarta
 Jurusan Fakultas Ekonomi Lulus 1999</t>
  </si>
  <si>
    <t>SMP-SMA-SMKK Bhetel Jakarta</t>
  </si>
  <si>
    <t>Indah Royani</t>
  </si>
  <si>
    <t>Jl. HOS. Cokroaminoto RT 001 RW 04 No. 52 Larangan Utara</t>
  </si>
  <si>
    <t>Jakarta 15154</t>
  </si>
  <si>
    <t>021-7319868, 0812-9890560</t>
  </si>
  <si>
    <t>Jl. KS Tubun No. 253 Petamburan Jakarta Telp. (021)5480727</t>
  </si>
  <si>
    <t>3671135504770008</t>
  </si>
  <si>
    <t>Jl.HOS Cokroaminoto Rt.01/04 No.52, Larangan Utara, Larangan 15154</t>
  </si>
  <si>
    <t>87.339.957.0-416.000</t>
  </si>
  <si>
    <t>Jl.HOS Cokroaminoto Rt.01/04 No.52, Larangan Utara, Larangan 15154, Tanggerang</t>
  </si>
  <si>
    <t>indahokd@gmail.com</t>
  </si>
  <si>
    <t>S1</t>
  </si>
  <si>
    <t>STMIK Budi Luhur
 Jurusan Manajemen Informatika Lulus 1999</t>
  </si>
  <si>
    <t>SD Bunda Hati Kudus Kota Wisata</t>
  </si>
  <si>
    <t>Retty Narmijiani Victorya</t>
  </si>
  <si>
    <t>Madiun</t>
  </si>
  <si>
    <t>25 Februari 1967</t>
  </si>
  <si>
    <t>Perum Cileungsi Hijau Blok. I 1/12 Cileungsi</t>
  </si>
  <si>
    <t>Bogor Jawa Barat</t>
  </si>
  <si>
    <t>0812-98161558</t>
  </si>
  <si>
    <t>Jl. Transyogi Km.6 Kota Wisata Gunung Putri Bogor</t>
  </si>
  <si>
    <t>3201076502670004</t>
  </si>
  <si>
    <t>Cileungsi Hijau Blok I 1/12, Rt.02/14, Cileungsi, Cileungsi, Cibubur</t>
  </si>
  <si>
    <t>26.143.251.2-436.000</t>
  </si>
  <si>
    <t>Perum Cileungsi Hijau Blok I 1/12, Cileungsi, Cibubur</t>
  </si>
  <si>
    <t>rettymanoppo@yahoo.com</t>
  </si>
  <si>
    <t>Universitas PalangkaRaya - KalTeng
 Jurusan Bahasa Inggris Lulus 1992</t>
  </si>
  <si>
    <t>Deasy Mulyani</t>
  </si>
  <si>
    <t>Palembang</t>
  </si>
  <si>
    <t>20 Oktober 1979</t>
  </si>
  <si>
    <t>Perum. Kampung Sejati, Kulin Jaya II RT 01 Blok Cempaka No. 17 Desa Tangkit Kec. Sungai Gelam, Kab. Muara</t>
  </si>
  <si>
    <t>0852-69460285</t>
  </si>
  <si>
    <t>Jl. Abdul Rahman Saleh No. 20 Kel. Thehok Kec. Jambi Selatan Jambi</t>
  </si>
  <si>
    <t>1 Agustus 2017</t>
  </si>
  <si>
    <t>1571026010790061</t>
  </si>
  <si>
    <t>Jl.Teuku Sulaiman, Rt.027, No.43 Tambak Sari, Jambi Selatan</t>
  </si>
  <si>
    <t>15.082.839.0-331.000</t>
  </si>
  <si>
    <t>deasymulyani0@gmail.com</t>
  </si>
  <si>
    <t>Universitas Tamansiswa Palembang
 Jurusan Ilmu Hukum, Lulus 2002</t>
  </si>
  <si>
    <t>Debby Sri Wanthy</t>
  </si>
  <si>
    <t>Balikpapan</t>
  </si>
  <si>
    <t>Perum. Permata Sari Blok B No. 09 RT 037 Kel. Kenali Asam Bawah Kec. Kota Baru</t>
  </si>
  <si>
    <t>0821-81638221</t>
  </si>
  <si>
    <t>1571025709790061</t>
  </si>
  <si>
    <t>Perum. Permata Sari Blok B No. 09 RT 037 Kel. Kenali Asam Bawah Kec. Kota Baru, Jambi</t>
  </si>
  <si>
    <t>15.082.838.2-331.000</t>
  </si>
  <si>
    <t>Jl.RB.Siagian Rt.09 Kel.Pasir Putih Kec.Jambi Selatan</t>
  </si>
  <si>
    <t>wanthysimanjuntak@yahoo.com</t>
  </si>
  <si>
    <t>D3</t>
  </si>
  <si>
    <t>STMIK Nurdin Hamzah, Jur. Manajemen Informatika, Lulus 2002</t>
  </si>
  <si>
    <t>TK-SD Margie Surabaya</t>
  </si>
  <si>
    <t>VIII</t>
  </si>
  <si>
    <t>Dessy Malahayati</t>
  </si>
  <si>
    <t>Situbondo</t>
  </si>
  <si>
    <t>18 Desember 1982</t>
  </si>
  <si>
    <t>Pondok Benowo Indah Blok DH/19</t>
  </si>
  <si>
    <t>Satu</t>
  </si>
  <si>
    <t>Jl. Kupang Indah IX/19 Sby</t>
  </si>
  <si>
    <t>10 Juli 2019</t>
  </si>
  <si>
    <t>3578305812920001</t>
  </si>
  <si>
    <t>Pondok Benowo Indah Blok DH/19 Surabaya</t>
  </si>
  <si>
    <t>08.561.433.7-604.000</t>
  </si>
  <si>
    <t>malahayati_82@yahoo.co.id</t>
  </si>
  <si>
    <t>Univ. Negeri Surabaya FKIP Administrasi Negara</t>
  </si>
  <si>
    <t>Menikah</t>
  </si>
  <si>
    <t>SMPK SANTO CAROLUS</t>
  </si>
  <si>
    <t>Luluk Umi Habibah</t>
  </si>
  <si>
    <t>Jombang</t>
  </si>
  <si>
    <t>27 Agustus 1973</t>
  </si>
  <si>
    <t>Taman Gununganyar B 26</t>
  </si>
  <si>
    <t>Yay. Tarakanita</t>
  </si>
  <si>
    <t>Jl. Jemur Andayani XXI/9</t>
  </si>
  <si>
    <t>14 Februari 2020</t>
  </si>
  <si>
    <t>3517146708730001</t>
  </si>
  <si>
    <t>Taman Gununganyar B 26 Surabaya</t>
  </si>
  <si>
    <t>26.096.448.1.602-000</t>
  </si>
  <si>
    <t>Jl. Raya Rejoagung 18 RT 01/RW 10 Ploso Jombang</t>
  </si>
  <si>
    <t>habibie073@gmail.com</t>
  </si>
  <si>
    <t>Univ. Pembangunan Nasional Surabaya Teknik Manajemen Industri</t>
  </si>
  <si>
    <t>SMAK SANTO CAROLUS</t>
  </si>
  <si>
    <t>Mochammad Fahmy Rizal</t>
  </si>
  <si>
    <t>30 Mei 1977</t>
  </si>
  <si>
    <t>Jl. Pulo Tegalsari I/6</t>
  </si>
  <si>
    <t>3578043005770002</t>
  </si>
  <si>
    <t>Jl. Pulo Tegalsari I/6 Surabaya</t>
  </si>
  <si>
    <t>08.635.551.8-609.000</t>
  </si>
  <si>
    <t>reza.pulo@gmail.com</t>
  </si>
  <si>
    <t>Institut Teknologi Adhi Tama Surabaya Teknik Kimia</t>
  </si>
  <si>
    <t>Lajang</t>
  </si>
  <si>
    <t>SMPK SANTO YOSEF</t>
  </si>
  <si>
    <t>Agit Raharja</t>
  </si>
  <si>
    <t>Gunungkidul</t>
  </si>
  <si>
    <t>20 Oktober 1970</t>
  </si>
  <si>
    <t>Perum Jaya Regency Blok L 25A RT 06 RW 16 Pepe, Sedati, Sidoarjo</t>
  </si>
  <si>
    <t>3403022010700001</t>
  </si>
  <si>
    <t>26.076.392.5-545.000</t>
  </si>
  <si>
    <t>Ngeblak RT 02 RW 01 Katongan Nglipar Gunungkidul Yogyakarta</t>
  </si>
  <si>
    <t>ag1ed70@gmail.com</t>
  </si>
  <si>
    <t>Univ. Gajah Mada Yogyakarta Sastra Daerah</t>
  </si>
  <si>
    <t>Suryandari</t>
  </si>
  <si>
    <t>Magelang</t>
  </si>
  <si>
    <t>27 Oktober 1972</t>
  </si>
  <si>
    <t>Jl. Waringin no. 4 E Surabaya</t>
  </si>
  <si>
    <t>3578046710720002</t>
  </si>
  <si>
    <t>Jl. Waringin no. 4E Surabaya</t>
  </si>
  <si>
    <t>08.635.527.8-609.000</t>
  </si>
  <si>
    <t>ndari.bsw@gmail.com</t>
  </si>
  <si>
    <t>STIE Yogyakarta Akuntansi</t>
  </si>
  <si>
    <t>TK-SD Mardi Yuana Depok</t>
  </si>
  <si>
    <t>Inna Septy Wiamriyani</t>
  </si>
  <si>
    <t>Taman Sari, Bukit Damai A09/06A, Rt.07/06</t>
  </si>
  <si>
    <t>Depok</t>
  </si>
  <si>
    <t>0822-31105524</t>
  </si>
  <si>
    <t>Dua puluh dua</t>
  </si>
  <si>
    <t>Dua ribu sembilan belas</t>
  </si>
  <si>
    <t>Jl. Cempaka No 5 Depok Jawa Barat</t>
  </si>
  <si>
    <t>22 Juli 2019</t>
  </si>
  <si>
    <t>21 Juni 2020</t>
  </si>
  <si>
    <t>14 Juli 2018</t>
  </si>
  <si>
    <t>3201116509830002</t>
  </si>
  <si>
    <t>TamanSari, Bukit Damai A09/06A, Rt.07/06</t>
  </si>
  <si>
    <t>26.102.475.6-403.000</t>
  </si>
  <si>
    <t>Perum Taman Sari Bukit Damai Blok A9 No.06</t>
  </si>
  <si>
    <t>inna.swy.is@gmail.com</t>
  </si>
  <si>
    <t>STIMIK KUWERA
 Jurusan Sistem Informasi, Lulus 2006</t>
  </si>
  <si>
    <t>Jl.Papanggo 2C No. 56B Rt.05/03 PapanggoTanjung Priok</t>
  </si>
  <si>
    <t>Jakarta Utara</t>
  </si>
  <si>
    <t>Tujuh Belas</t>
  </si>
  <si>
    <t>Dua ribu dua puluh tiga</t>
  </si>
  <si>
    <t>Jl. V No. 28 Teluk Gong Jakarta Utara</t>
  </si>
  <si>
    <t>23 Juni 2023</t>
  </si>
  <si>
    <t>1 Agustus 2016</t>
  </si>
  <si>
    <t>3172024607810003</t>
  </si>
  <si>
    <t>Jl.Papanggo 2C No.56B Rt.05/03, Papanggo,Tanjung Priok, Jakarta Utara</t>
  </si>
  <si>
    <t>Fahrudin_av78@yahoo.com</t>
  </si>
  <si>
    <t>D3 STMIK Jakarta (STI&amp;K)
 Jurusan Teknik Komputer, Lulus 2002</t>
  </si>
  <si>
    <t>Bpk.</t>
  </si>
  <si>
    <t>Lampung</t>
  </si>
  <si>
    <t>14 Mei 1974</t>
  </si>
  <si>
    <t>Jl. Kapuk Raya No. 85 RT 010/01 Kel. Kapuk Kec. Cengkareng</t>
  </si>
  <si>
    <t>Jakarta Barat</t>
  </si>
  <si>
    <t>0858-13522789</t>
  </si>
  <si>
    <t>3173011405740021</t>
  </si>
  <si>
    <t>Kapuk RT.010 / RW.001 , Kapuk, Jakarta-Barat</t>
  </si>
  <si>
    <t>80.890.150.8-034.000</t>
  </si>
  <si>
    <t>JL. KAPUK NO.85 RT.010 RW.001 KAPUK CENGKARENG JAKARTA BARAT</t>
  </si>
  <si>
    <t>afendi2684@gmail.com</t>
  </si>
  <si>
    <t>Universitas Budi Luhur</t>
  </si>
  <si>
    <t>Melania</t>
  </si>
  <si>
    <t>Boronubaen</t>
  </si>
  <si>
    <t>11 Juni 1993</t>
  </si>
  <si>
    <t>Jln. Kayu manis VIII No 13</t>
  </si>
  <si>
    <t>Jl. Masjid I Jatiwaringin Pondok Gede-Bekasi</t>
  </si>
  <si>
    <t>Percetakan Negara dan Mangga Besar</t>
  </si>
  <si>
    <t>5303061106930001</t>
  </si>
  <si>
    <t>Kota Wisata Blok H 10/26 RT 006 RW 024 Ciangsana Gunung Putri Bogor</t>
  </si>
  <si>
    <t>olyverhbp76@gmail.com</t>
  </si>
  <si>
    <t>S1 SI STMIK Mercusuar Pondok Gede Bekasi</t>
  </si>
  <si>
    <t>Sistem Informasi</t>
  </si>
  <si>
    <t>TK-SD-SMP-SMA-SMK Fransiskus Kramat</t>
  </si>
  <si>
    <t>Cancar</t>
  </si>
  <si>
    <t>2 Maret 1991</t>
  </si>
  <si>
    <t>Kp. Pertanian Selatan No. 22 RT 001 RW 003 Klender, Duren Sawit</t>
  </si>
  <si>
    <t>Jakarta Timur</t>
  </si>
  <si>
    <t>Jl. Kramat Raya No. 67 Jakarta Pusat</t>
  </si>
  <si>
    <t>1 Juli 2017</t>
  </si>
  <si>
    <t>5310034203910003</t>
  </si>
  <si>
    <t>86.217.269.9-008.000</t>
  </si>
  <si>
    <t>Kp.Pertanian Selatan No.22 RT.001 RW.003 Klender Duren Sawit Jakarta Timur</t>
  </si>
  <si>
    <t>velin0391@gmail.com</t>
  </si>
  <si>
    <t>D3 Komp. Akuntansi</t>
  </si>
  <si>
    <t>Bina Sarana Informatika (BSI)</t>
  </si>
  <si>
    <t>Ibu</t>
  </si>
  <si>
    <t>Sihorbo</t>
  </si>
  <si>
    <t>29 Januari 1999</t>
  </si>
  <si>
    <t>Jl. Raden Saleh Gg 2 Jakarta Pusat</t>
  </si>
  <si>
    <t>Jakarta Pusat</t>
  </si>
  <si>
    <t>10 Februari 2022</t>
  </si>
  <si>
    <t>1216096901990001</t>
  </si>
  <si>
    <t>Rura Tanjung, Kec. Pakkat, Kab. Humbang Hasundutan</t>
  </si>
  <si>
    <t>63.460.726.1-127-000</t>
  </si>
  <si>
    <t>Rutta Tanjung</t>
  </si>
  <si>
    <t>nurhalina890@gmail.com</t>
  </si>
  <si>
    <t>TK-SMA Immanuel</t>
  </si>
  <si>
    <t>Pemalang</t>
  </si>
  <si>
    <t>7 Agustus 1985</t>
  </si>
  <si>
    <t>Jl. Anoa II/G Rt/Rw 002/008 Cikarang Baru, Kel. Jaya Mukti Kec. Cikarang Pusat</t>
  </si>
  <si>
    <t>3216084708850007</t>
  </si>
  <si>
    <t>edyny85@gmail.com</t>
  </si>
  <si>
    <t>Si Komputer</t>
  </si>
  <si>
    <t>Stmik widuri, stimik MH. Thamrin</t>
  </si>
  <si>
    <t>Tarutung</t>
  </si>
  <si>
    <t>6 Juli 1981</t>
  </si>
  <si>
    <t>Kp. Babakan No.181 RT 001/008, Sukatani Tapos</t>
  </si>
  <si>
    <t>Depok Jawa Barat</t>
  </si>
  <si>
    <t>Jl. Karmel Kebon Jeruk</t>
  </si>
  <si>
    <t>9 Mei 2018</t>
  </si>
  <si>
    <t>3276050607810018</t>
  </si>
  <si>
    <t>Kp.Babakan No.181 RT 001/008, Sukatani, Tapos, Depok Jawa Barat</t>
  </si>
  <si>
    <t>76.286.528.5-412.000</t>
  </si>
  <si>
    <t>Jl. GG.Masjid Cisalak RT.002 RW.004, Cisalak, Sukmajaya, Depok Jawa Barat</t>
  </si>
  <si>
    <t>danerht7@gmail.com</t>
  </si>
  <si>
    <t>Universitas Indraprasta PGRI
 Jurusan Teknik Informatika</t>
  </si>
  <si>
    <t>Resign</t>
  </si>
  <si>
    <t>08 Oktober 1981</t>
  </si>
  <si>
    <t>Jl Bojong Raya Rt 9/4 No 51 Rawabuaya, Cengkareng</t>
  </si>
  <si>
    <t>Komplek Taman Aries Blok E No. 9/1, Meruya Utara, Kembangan, RT.6/RW.8, Meruya Utara, Kec. Kembangan, Kota Jakarta Barat, Daerah Khusus Ibukota Jakarta 11620</t>
  </si>
  <si>
    <t>3173014810810018</t>
  </si>
  <si>
    <t>JLN. BOJONG PULO RT 009 RW 004 N0.13 RAWA BUAYA, CENGKARENG, JAKBAR</t>
  </si>
  <si>
    <t>dewihariyanti08@gmail.com</t>
  </si>
  <si>
    <t>UNIVERSITAS BUDI LUHUR</t>
  </si>
  <si>
    <t>SMP-SMA Abdi Siswa Bintaro</t>
  </si>
  <si>
    <t>2 Juli 1993</t>
  </si>
  <si>
    <t>Jl. Tomang Tinggi IX/23 RT 009 RW 007, Kelurahan Tomang, Kecamatan Grogol</t>
  </si>
  <si>
    <t>3173020207930004</t>
  </si>
  <si>
    <t>94.688.657.9-036.000</t>
  </si>
  <si>
    <t>: Jl. Tomang Tinggi IX/23 RT 009 RW 007, Kelurahan Tomang, Kecamatan Grogol</t>
  </si>
  <si>
    <t>riannadiputra@gmail.com</t>
  </si>
  <si>
    <t>S1 Sistem Informasi Manajemen</t>
  </si>
  <si>
    <t>STIMIK Indonesia</t>
  </si>
  <si>
    <t>Bpk</t>
  </si>
  <si>
    <t>SD - SMP Abdi Siswa Taman Aries</t>
  </si>
  <si>
    <t>Kendal</t>
  </si>
  <si>
    <t>Kethukan RT 4 RW 2 Desa Mulyosari Sukorejo</t>
  </si>
  <si>
    <t>3324030611910001</t>
  </si>
  <si>
    <t>Kethukan RT 4 RW 2 Desa Mulyosari Sukorejo, Kab. Kendal</t>
  </si>
  <si>
    <t>rudinovianto273@gmail.com</t>
  </si>
  <si>
    <t>S1 Teknik Informatika</t>
  </si>
  <si>
    <t>STIMIK AMIKOM Jogja</t>
  </si>
  <si>
    <t>SMP - SMA Abdi Siswa Patra</t>
  </si>
  <si>
    <t>14 Juli 1998</t>
  </si>
  <si>
    <t>Jalan Kancil IX Blok F Nomor 64 RT 006 RW 007 Desa Sertajaya Kecamatan Cikarang Timur</t>
  </si>
  <si>
    <t>Kabupaten Bekasi</t>
  </si>
  <si>
    <t>3216111407980001</t>
  </si>
  <si>
    <t>Jalan Kancil IX Blok F Nomor 64 RT 006 RW 007 Desa Sertajaya Kecamatan Cikarang Timur Kabupaten Bekasi</t>
  </si>
  <si>
    <t>95.849.536.8-414.000</t>
  </si>
  <si>
    <t>virgiansyah_lutfimaulana@yahoo.com</t>
  </si>
  <si>
    <t>S1 Pendidikan Teknik Elektronika</t>
  </si>
  <si>
    <t>Universitas Negeri Yogyakarta</t>
  </si>
  <si>
    <t>Jl. Warung Pojok No. 128 Rt 006 / 005 Semanan Kalideres Jakarta Barat</t>
  </si>
  <si>
    <t>3173064311830003</t>
  </si>
  <si>
    <t>89.214.560.8-085.000</t>
  </si>
  <si>
    <t>Kp. Asem RT 006 RW 005 Semanan Kali Deres Jakarta Barat</t>
  </si>
  <si>
    <t>ds.megawaty@gmail.com</t>
  </si>
  <si>
    <t>Univ. Trisakti</t>
  </si>
  <si>
    <t>SD Tarakanita Solo</t>
  </si>
  <si>
    <t>Surakarta</t>
  </si>
  <si>
    <t>Bibis Luhur RT 06 RW 21 Nusukan Banjarsari</t>
  </si>
  <si>
    <t>Surakarta 57135</t>
  </si>
  <si>
    <t>0857-43325547</t>
  </si>
  <si>
    <t>Jl. Nusa Indah II Solo Baru Grogol - Sukoharjo 57552</t>
  </si>
  <si>
    <t>3372057004940006</t>
  </si>
  <si>
    <t>Bibis Luhur RT 06 RW XXI Nusukan Banjarsari Surakarta 57135</t>
  </si>
  <si>
    <t>90.480.371.5-526.000</t>
  </si>
  <si>
    <t>Bibis Luhur RT 06 RW 21 Nusukan Banjarsari Surakarta</t>
  </si>
  <si>
    <t>mimiow.saiiands@gmail.com</t>
  </si>
  <si>
    <t>S1 Sistem Informasi STMIK Duta Bangsa Surakarta</t>
  </si>
  <si>
    <t>19 Juni 1989</t>
  </si>
  <si>
    <t>Mina Padi RT/RW 005/009, Kel. Nusukan, Kec. Banjarsari</t>
  </si>
  <si>
    <t>3 Januari 2022</t>
  </si>
  <si>
    <t>3372051906890002</t>
  </si>
  <si>
    <t>ajiallukman@gmail.com</t>
  </si>
  <si>
    <t>S1 ( Sistem Informasi )</t>
  </si>
  <si>
    <t>STMIK AUB / ( UNDHA ) Universitas Dharma AUB</t>
  </si>
  <si>
    <t>SMA Tarakanita Magelang dan SMP Benowo</t>
  </si>
  <si>
    <t>Wonogiri</t>
  </si>
  <si>
    <t>31 Mei 1996</t>
  </si>
  <si>
    <t>Jl. Bimo 28B RT 03 RW 39 Manisrejo, Depok, Sleman DI Yogyakarta</t>
  </si>
  <si>
    <t>KTP : Jl. Parangkusumo 8 RT 01 RW 01 Sondakan, Laweyan, Surakarta</t>
  </si>
  <si>
    <t>Jl. Bringin VI dan Jl. Merapisari Ngablak Magelang</t>
  </si>
  <si>
    <t>3372012105960001</t>
  </si>
  <si>
    <t>mozeslukas@gmail.com</t>
  </si>
  <si>
    <t>Universitas Amikom Yogyakarta</t>
  </si>
  <si>
    <t>Oku</t>
  </si>
  <si>
    <t>4 Desember 1995</t>
  </si>
  <si>
    <t>Dk. Krajan RT 002 RW 002 Bumiayu-Brebes Selatan</t>
  </si>
  <si>
    <t>Kost Binar Pagi (Bakpia Srikanti 174) : Banyakan RT 1 RW 1 Mertoyudan-Magelang</t>
  </si>
  <si>
    <t>3329030412950001</t>
  </si>
  <si>
    <t>izzannaufal08@gmail.com</t>
  </si>
  <si>
    <t>Informatika Univ. Amikom Yogyakarta Tahun 2020, ijazah sedang proses</t>
  </si>
  <si>
    <t>SMK Tarakanita Magelang</t>
  </si>
  <si>
    <t>Tri Suranto</t>
  </si>
  <si>
    <t>Ponorogo</t>
  </si>
  <si>
    <t>18 Februari 1990</t>
  </si>
  <si>
    <t>Jl. Sampurna Perum Griya purnomo A8 pekutan Rt2 Rw 1 Bayan</t>
  </si>
  <si>
    <t>Purworejo</t>
  </si>
  <si>
    <t>3502151802900001</t>
  </si>
  <si>
    <t>Jl. Sampurna Perum Griya purnomo A8 pekutan Rt2 Rw 1 Bayan Purworejo</t>
  </si>
  <si>
    <t>46.418.845.7-647.000</t>
  </si>
  <si>
    <t>Dkh Ngasinan Rt1 rw2 Sukorejo Ponorogo</t>
  </si>
  <si>
    <t>yogaphotowork@gmail.com</t>
  </si>
  <si>
    <t>S1 Komputer</t>
  </si>
  <si>
    <t>AMIKOM Yogyakarta</t>
  </si>
  <si>
    <t>TK-SD Al Izhar Pondok Labu</t>
  </si>
  <si>
    <t>Mashadi</t>
  </si>
  <si>
    <t>Fransiskus Ony Febriyanto</t>
  </si>
  <si>
    <t>Bekasi Griya Pratama, Blok F8. No.11, RT.06,RW.034 Desa Sumber Jaya, Tambun Selatan,</t>
  </si>
  <si>
    <t>Tambun selatan</t>
  </si>
  <si>
    <t>Jl. Bulevar Hijau Blok A1 No. 1, Bekasi Barat</t>
  </si>
  <si>
    <t>1 Juli 2015</t>
  </si>
  <si>
    <t>3276022302830001</t>
  </si>
  <si>
    <t>Jl. Pertengahan Gg. Rela No. 31 RT 002/003 Cijantung, Pasar rebo Jakarta Timur</t>
  </si>
  <si>
    <t>36.523.211.5-009.000</t>
  </si>
  <si>
    <t>fransony69@gmail.com</t>
  </si>
  <si>
    <t>UPN Veteran Jkt, Jur. Manajemen Informatika, Lulus 2005</t>
  </si>
  <si>
    <t>Petrus Paulus Mbette S</t>
  </si>
  <si>
    <t>7 Juli 1977</t>
  </si>
  <si>
    <t>Jl. Warung Asem No.12, Rt.02/04, Rawa Bunga</t>
  </si>
  <si>
    <t>Jatinegara, Jakarta Timur</t>
  </si>
  <si>
    <t>Jl. Rahayu No. 22 Jelambar Grogol Jakarta Barat 11460</t>
  </si>
  <si>
    <t>3175050707770023</t>
  </si>
  <si>
    <t>Jl. Warung Asem No.12, Rt.02/04, Rawa Bunga, Jatinegara, Jakarta Timur</t>
  </si>
  <si>
    <t>64.071.850.8-002.000</t>
  </si>
  <si>
    <t>Jl. Warung Asem No.12, Rt.02/04, Rawa Bunga, Jatinegara, Jakarta Timur 13350</t>
  </si>
  <si>
    <t>petrus@engineer.com</t>
  </si>
  <si>
    <t>PascaSarjana (S2)</t>
  </si>
  <si>
    <t>Universitas Indraprasta PGRI
 Jurusan Pendidikan Bahasa Indonesia Lulus 2016</t>
  </si>
  <si>
    <t>Catharina Mulyanti</t>
  </si>
  <si>
    <t>1 Desember 1977</t>
  </si>
  <si>
    <t>Jl Cendrawasih Blok BS No 14 Bumi Dirgantara Permai</t>
  </si>
  <si>
    <t>Jati Sari Bekasi</t>
  </si>
  <si>
    <t>0218452915 / 0813-82124770</t>
  </si>
  <si>
    <t>22 Februari 2018</t>
  </si>
  <si>
    <t>3275094112770005</t>
  </si>
  <si>
    <t>Jl. Cendrawasih Blok BS No.14 BDP Jatisari</t>
  </si>
  <si>
    <t>73.284.098.8-432.000</t>
  </si>
  <si>
    <t>catharina.mulyanti@yahoo.com/catrinmulyanti@gmail.com</t>
  </si>
  <si>
    <t>STIE Bhakti Pembangunan Jurusan MKP Lulus 2001</t>
  </si>
  <si>
    <t>Hiliuso</t>
  </si>
  <si>
    <t>Perum. Griya Cileungsi 3</t>
  </si>
  <si>
    <t>3275074809870007</t>
  </si>
  <si>
    <t>Jl. Yon Armed RT 003/004 Cikiwul Bekasi</t>
  </si>
  <si>
    <t>71.153.515.3-432.000</t>
  </si>
  <si>
    <t>lioraqianzy@gmail.com</t>
  </si>
  <si>
    <t>STMIK Pranata Indonesia, Jur. Sistem Informasi, Lulus 2014</t>
  </si>
  <si>
    <t>TK - SD Bunda Hati Kudus Kota Wisata</t>
  </si>
  <si>
    <t>Jl. Servatius RT 03 RW 04 Jati Melati Pondok Melati Bekasi</t>
  </si>
  <si>
    <t>KTP: Jl. Dukuh V RT 007/ RW 005 No. 17 Kramatjati Jakarta Timur</t>
  </si>
  <si>
    <t>0813-10946362</t>
  </si>
  <si>
    <t>3175047011750006</t>
  </si>
  <si>
    <t>Jl. Dukuh V Rt.007/005 Kel.Dukuh Kramat Jati</t>
  </si>
  <si>
    <t>79.622.130.7-005.000</t>
  </si>
  <si>
    <t>Jl. Dukuh V No.17 Rt.007/005 Dukuh, Kramat Jati, JakTim</t>
  </si>
  <si>
    <t>evaecha75@gmail.com</t>
  </si>
  <si>
    <t>STMIK Mercusuar
 Jurusan Sistem Informasi Lulus 2016</t>
  </si>
  <si>
    <t>2 Agustus 1972</t>
  </si>
  <si>
    <t>Jl. Karang Tengah Raya No.55</t>
  </si>
  <si>
    <t>Jakarta Selatan</t>
  </si>
  <si>
    <t>Komplek Bea dan Cukai jl. Ragunan No. 18 Psr.Minggu Jakarta Selatan</t>
  </si>
  <si>
    <t>3174060801770004</t>
  </si>
  <si>
    <t>Jl. Rs.Fatmawati No.10, Rt.06/10, Pondok Labu, Jakarta Selatan</t>
  </si>
  <si>
    <t>26.140.575.7-016.000</t>
  </si>
  <si>
    <t>iwayicamian@gmail.com</t>
  </si>
  <si>
    <t>UPN Veteran Jakarta
 Jurusan Manajemen Informatika, Lulus 1999</t>
  </si>
  <si>
    <t>Bukit Tinggi</t>
  </si>
  <si>
    <t>Mendalo darat, Rt 24 Rw 01 Desa Mendalo darat, Kecamatan Jambi Luar Kota</t>
  </si>
  <si>
    <t>Muaro Jambi</t>
  </si>
  <si>
    <t>Jl. Abdul Rahman Saleh No. 20 Kel. Thehok Kec. Jambi Selatan - Jambi</t>
  </si>
  <si>
    <t>1505013004950001</t>
  </si>
  <si>
    <t>Perum Villa Karya mandiri, Mendalo Darat, Muaro Jambi</t>
  </si>
  <si>
    <t>pujipratamaaa@gmail.com</t>
  </si>
  <si>
    <t>Universitas Sriwijaya</t>
  </si>
  <si>
    <t>Gempolan</t>
  </si>
  <si>
    <t>Jl. Mayjend. Soetoyo No. 42 RT. 08 Kel. Pematang sulur Kec. Telanai Pura</t>
  </si>
  <si>
    <t>22 Mei 2017</t>
  </si>
  <si>
    <t>1571014111790081</t>
  </si>
  <si>
    <t>15.082.841.6-331.000</t>
  </si>
  <si>
    <t>Jl. Mayjend. Sutoyo No. 42 RT 08 Pematang Sulur Telanaipura Kota Jambi</t>
  </si>
  <si>
    <t>mardianahutasoit03@gmail.com</t>
  </si>
  <si>
    <t>PTKI Medan Jurusan Teknologi Kimia Industri, Lulus 2002</t>
  </si>
  <si>
    <t>Kp. Ciherang Rt/Rw 004/007, Sukatani, Tapos</t>
  </si>
  <si>
    <t>3276101904990003</t>
  </si>
  <si>
    <t>Kp. Ciherang Rt/Rw 004/007, Sukatani, Tapos, Kota Depok</t>
  </si>
  <si>
    <t>86.423.035.4-412.000</t>
  </si>
  <si>
    <t>harisem31@gmail.com</t>
  </si>
  <si>
    <t>Universitas Indraprasta PGRI</t>
  </si>
  <si>
    <t>TK-SD Mahatma Gading Interschool</t>
  </si>
  <si>
    <t>Aloysius Allen Ardi Dian Permana</t>
  </si>
  <si>
    <t>Taman Bougenville Estate B3 No.02 Rt.02 Rw.05 Jatibening</t>
  </si>
  <si>
    <t>Pondok Gede - Bekasi 17412</t>
  </si>
  <si>
    <t>0857-19402421</t>
  </si>
  <si>
    <t>Jl. Boulevard BGR, Komp. Villa Gading Indah Blok D Kelapa Gading Jakarta Utara 14240</t>
  </si>
  <si>
    <t>3578100809810001</t>
  </si>
  <si>
    <t>Taman Bougenville Estate B3 No.02 Rt.02 Rw.05 Jatibening, Pondok Gede - Bekasi 17412</t>
  </si>
  <si>
    <t>74.097.857.2-432.000</t>
  </si>
  <si>
    <t>aloysius.allen@gmail.com</t>
  </si>
  <si>
    <t>S1 - Ekonomi</t>
  </si>
  <si>
    <t>STIE TOTAL WIN
 Jurusan Ekonomi Manajemen Lulus 2008</t>
  </si>
  <si>
    <t>13 Agustus 1980</t>
  </si>
  <si>
    <t>Jl. Raya Pelabuhan Lorong V/105 B RT 012 RW 05 Kel. Koja Tanjung Priok</t>
  </si>
  <si>
    <t>Komplek Vila Gading Indah Blok D, Jl. Boulevard BGR Kelapa Gading Jakarta Utara</t>
  </si>
  <si>
    <t>3172035308800009</t>
  </si>
  <si>
    <t>V_lubis@yahoo.com</t>
  </si>
  <si>
    <t>D3 Akademi Sekretari dan Manajemen Don Bosco</t>
  </si>
  <si>
    <t>Ijazah tgl 26 Okt 2001</t>
  </si>
  <si>
    <t>Ribka Br. Brahmana, Spt</t>
  </si>
  <si>
    <t>2 Oktober 1987</t>
  </si>
  <si>
    <t>Jl. Abadi No.15 Kompleks Kedung Badak Baru, Rt.10/06</t>
  </si>
  <si>
    <t>Kedung, Tanah Sareal - Bogor</t>
  </si>
  <si>
    <t>Jl. Ir. H. Juanda No. 2 Bogor</t>
  </si>
  <si>
    <t>3271034210870004</t>
  </si>
  <si>
    <t>Jl. Abadi No.15 Komplek Kedung Badak Baru, Rt.10/06, Kedung, Tanah Sareal, Bogor</t>
  </si>
  <si>
    <t>59.215.771.3-404.000</t>
  </si>
  <si>
    <t>Jl. Malabar No.16, Rt.01/04, Babakan, Bogor Tengah, Bogor</t>
  </si>
  <si>
    <t>ribka.brahmana@yahoo.com</t>
  </si>
  <si>
    <t>Institut Pertanian Bogor (IPB)
 Jurusan Peternakan, Lulus 2012</t>
  </si>
  <si>
    <t>Gunung Kidul</t>
  </si>
  <si>
    <t>7 Februari 1984</t>
  </si>
  <si>
    <t>Taman Griya Kencana Blok A.5 No.15</t>
  </si>
  <si>
    <t>Kencana, Tanah Sareal, Bogor</t>
  </si>
  <si>
    <t>3404114702840002</t>
  </si>
  <si>
    <t>Taman Griya Kencana Blok A.5 No.15, Kencana, Tanah Sareal, Bogor</t>
  </si>
  <si>
    <t>55.655.603.3-404.000</t>
  </si>
  <si>
    <t>sumiyatirecis@gmail.com</t>
  </si>
  <si>
    <t>STMIK AMIKOM Yogyakarta
 Jurusan Management Informatika, Lulus 2005</t>
  </si>
  <si>
    <t>5 Juni 1975</t>
  </si>
  <si>
    <t>Perum Kostrad Blok S No 2, RT/RW 001/011, Cijujung</t>
  </si>
  <si>
    <t>Sukaraja</t>
  </si>
  <si>
    <t>Jl. H. Juanda Bogor</t>
  </si>
  <si>
    <t>3201044506750015</t>
  </si>
  <si>
    <t>Perum Kostrad Blok S No 2 RT/RW 001/011, Cijujung, Sukaraja, Kab. Bogor</t>
  </si>
  <si>
    <t>26.146.171.9.412.001</t>
  </si>
  <si>
    <t>Komp. Paspampres Blok G No. 11 Rt 02/08, Kampung Kelor, Kota Depok</t>
  </si>
  <si>
    <t>sasiartanto530@gmail.com</t>
  </si>
  <si>
    <t>S.1 Ekonomi Pendidikan</t>
  </si>
  <si>
    <t>Universitas Indraprasta Jakarta</t>
  </si>
  <si>
    <t>Galang</t>
  </si>
  <si>
    <t>4 Mei 1993</t>
  </si>
  <si>
    <t>JL KH Muhidin Bubulak Poncol RT 1 RW 5 Kel. Kencana Kec. Tanah Sareal</t>
  </si>
  <si>
    <t>31 Januari 2022</t>
  </si>
  <si>
    <t>1207190405930002</t>
  </si>
  <si>
    <t>JL KH Muhidin Bubulak Poncol RT 1 RW 5 Kel. Kencana Kec. Tanah Sareal, Bogor</t>
  </si>
  <si>
    <t>82.457.654.0.404.000</t>
  </si>
  <si>
    <t>Kedunghalang RT 004 RW 001Kedunghalang Bogor Utara, Kota Bogor</t>
  </si>
  <si>
    <t>posma.d@gmail.com</t>
  </si>
  <si>
    <t>UNIVERSITAS MERCU BUANA JAKARTA</t>
  </si>
  <si>
    <t>Nias</t>
  </si>
  <si>
    <t>8 Juli 1992</t>
  </si>
  <si>
    <t>Jl. Sukamulya no. 105 RT1/5 Sukasari</t>
  </si>
  <si>
    <t>1207280807920002</t>
  </si>
  <si>
    <t>Jl. Saorma No. 11 Kalisari Jakarta Timur</t>
  </si>
  <si>
    <t>78.813.560.7404.000</t>
  </si>
  <si>
    <t>Jl. Bangka No. 15 RT2/3 Baranangsiang, Bogor Timur</t>
  </si>
  <si>
    <t>Adrianushia@gmail.com</t>
  </si>
  <si>
    <t>Institut Pertanian Bogor
 Jurusan Agribisnis Lulus 2016</t>
  </si>
  <si>
    <t>29 Desember 1976</t>
  </si>
  <si>
    <t>Perum. Bumi Pertiwi Cilebut C/5 Sukaraja</t>
  </si>
  <si>
    <t>Cilebut Timur - Bogor 16310</t>
  </si>
  <si>
    <t>3174026912760002</t>
  </si>
  <si>
    <t>Jl.Papandayan No.27 Rt.11/05, Pasar Manggis, Setia Budi, Jakarta Selatan</t>
  </si>
  <si>
    <t>47.298.943.3-018.000</t>
  </si>
  <si>
    <t>Jl.Papandayan No.27, Jakarta Selatan</t>
  </si>
  <si>
    <t>deiske_daisy@yahoo.com</t>
  </si>
  <si>
    <t>Univ. Patra Jasa
 Jurusan Akuntansi Komputer, Lulus 1999</t>
  </si>
  <si>
    <t>20 Juli 1987</t>
  </si>
  <si>
    <t>KP. Ceringin RT.02/11 Desa Ragajaya Kec. BojongGede</t>
  </si>
  <si>
    <t>Bogor 16320</t>
  </si>
  <si>
    <t>3201132007870002</t>
  </si>
  <si>
    <t>KP. Ceringin RT.02/11 Desa Ragajaya Kec. BojongGede, Bogor 16320</t>
  </si>
  <si>
    <t>66.320.947.6-403.000</t>
  </si>
  <si>
    <t>roy.martin46@yahoo.com</t>
  </si>
  <si>
    <t>Strata 1 ( S1 )</t>
  </si>
  <si>
    <t>Universitas Nasional Jakarta
 Jurusan Teknik Informatika Lulus 2013</t>
  </si>
  <si>
    <t>Kp. Lulut RT 02/01 No. 83 Klapanunggal</t>
  </si>
  <si>
    <t>Bogor 16710</t>
  </si>
  <si>
    <t>3201326209910001</t>
  </si>
  <si>
    <t>Kp. Lulut RT 02/01 No. 83 Klapanunggal Bogor 16710</t>
  </si>
  <si>
    <t>70.657.286.4-436.000</t>
  </si>
  <si>
    <t>sinaga.lasriama@gmail.com ; lasriama@reginapacis.sch.id</t>
  </si>
  <si>
    <t>S1 Matematika</t>
  </si>
  <si>
    <t>STKIP Kusuma Negara Pend. Matematika, tahun 2016</t>
  </si>
  <si>
    <t>TK-SD-SMP BPK Penabur Bogor</t>
  </si>
  <si>
    <t>Jl.Gas Alam Gg.Kapitan 2, No.26, Rt.05/04 Sukatani</t>
  </si>
  <si>
    <t>Tapos - Depok</t>
  </si>
  <si>
    <t>15 Juli 2017</t>
  </si>
  <si>
    <t>3276026204870015</t>
  </si>
  <si>
    <t>Jl.Gas Alam No.26, Rt.05/04, Sukatani, Tapos, Depok</t>
  </si>
  <si>
    <t>36.216.173.9-412.000</t>
  </si>
  <si>
    <t>Jl.Gas Alam gg. Kapitan II RT.005 RW.004 No.86 Sukatani Tapos-Depok</t>
  </si>
  <si>
    <t>shintaprasetiawati@gmail.com</t>
  </si>
  <si>
    <t>BSI
 Jurusan Komputer Akuntansi, Lulus 2010</t>
  </si>
  <si>
    <t>Flores</t>
  </si>
  <si>
    <t>25 Juli 1971</t>
  </si>
  <si>
    <t>Puri Artah Sentosa Blok I4 No.19 Bojong Gede</t>
  </si>
  <si>
    <t>Bogor - Jawa Barat</t>
  </si>
  <si>
    <t>Jl.Simprug Golf XV/36, Rt.01/08,Grogol selatan, Kebayoran Lama, Jakarta Selatan</t>
  </si>
  <si>
    <t>17.077.684.3-013.000</t>
  </si>
  <si>
    <t>Simprug golf XV/36 Grogol Selatan Kebayoran Lama Jakarta Selatan DKI JAKARTA 12220</t>
  </si>
  <si>
    <t>maximayelus.huku@bogor.bpkpenabur.or.id</t>
  </si>
  <si>
    <t>Strata 1</t>
  </si>
  <si>
    <t>Universitas Bung Karno Jakarta
 Jurusan Ilmu Komunikasi, Lulus 2004</t>
  </si>
  <si>
    <t>Luciana Yuniari Murwanti, SE</t>
  </si>
  <si>
    <t>30 Juni 1968</t>
  </si>
  <si>
    <t>Jl. Gotong Royong No. 24 RT 006/ RW 001 Kel. Baru, Kec. Pasar Rebo</t>
  </si>
  <si>
    <t>3175057006680004</t>
  </si>
  <si>
    <t>Jl. Gotong Royong No. 24 RT 006/ RW 001 Kel. Baru, Kec. Pasar Rebo, Jakarta Timur</t>
  </si>
  <si>
    <t>68.317.746.3-009.000</t>
  </si>
  <si>
    <t>Jl. Gotong Royong No. 24 RT 006/ RW 001 Kel. Baru, Kec. Pasar Rebo, Jakarta, Timur</t>
  </si>
  <si>
    <t>lyuniarim@gmail.com</t>
  </si>
  <si>
    <t>Universitas Kertanegara</t>
  </si>
  <si>
    <t>TK-SD Amore</t>
  </si>
  <si>
    <t>13 Juli 1997</t>
  </si>
  <si>
    <t>Jl. Maharta 13A Blok B 28 No. 5 RT 11 RW 10 Pondok Kacang Timur Tangerang /</t>
  </si>
  <si>
    <t>KTP : Jl. Pahala 1 No. 58 RT 01 RW 08 Karang Tengah Tangerang</t>
  </si>
  <si>
    <t>Permata I Blok A1 No. 29 Karang Mulya, Karang Tengah, Tangerang-Banten</t>
  </si>
  <si>
    <t>3671125307970004</t>
  </si>
  <si>
    <t>yashintamsari@gmail.com</t>
  </si>
  <si>
    <t>SD-SMP-SMA Amore</t>
  </si>
  <si>
    <t>Amrizal A.</t>
  </si>
  <si>
    <t>29 Juli 1969</t>
  </si>
  <si>
    <t>Jl. Prambanan Raya No. 49 Cibodas Kec. Cibodas</t>
  </si>
  <si>
    <t>Kota Tangerang</t>
  </si>
  <si>
    <t>3671092907690005</t>
  </si>
  <si>
    <t>57.096.121.9-402.000</t>
  </si>
  <si>
    <t>amrizal29@gmail.com</t>
  </si>
  <si>
    <t>SMK Fransiskus Kampung Ambon</t>
  </si>
  <si>
    <t>03 Agustus 1996</t>
  </si>
  <si>
    <t>Permata Hijau Permai Blok 11 No. 14 Kaliabang Tengah, Bekasi Utara</t>
  </si>
  <si>
    <t>Bekasi Utara</t>
  </si>
  <si>
    <t>Jl. Bangunan Barat No. 29 Kampung Ambon Jakarta Timur</t>
  </si>
  <si>
    <t>29 Juni 2018</t>
  </si>
  <si>
    <t>3275034308960019</t>
  </si>
  <si>
    <t>Perum. Taman Wisma Asri Blok B6 No. 16 Teluk Pucung, Bekasi Utara</t>
  </si>
  <si>
    <t>93.150.911.1-407.000</t>
  </si>
  <si>
    <t>ofcsarayolanda@gmail.com</t>
  </si>
  <si>
    <t>Universitas Negeri Jakarta</t>
  </si>
  <si>
    <t>Lenny Elfrida</t>
  </si>
  <si>
    <t>16 Maret 1983</t>
  </si>
  <si>
    <t>Jl. Kampung Utan Bahagia RT 013 RW 07 No. 85</t>
  </si>
  <si>
    <t>Cengkareng - Jakarta Barat</t>
  </si>
  <si>
    <t>Jl. Bhakti IV No. 3 Kemanggisan Palmerah - Jakarta Barat</t>
  </si>
  <si>
    <t>3173015603830019</t>
  </si>
  <si>
    <t>Rawa Buaya RT 07 RW 011 Rawa Buaya, Cengkareng - Jakarta Barat</t>
  </si>
  <si>
    <t>67.895.932.1-034.000</t>
  </si>
  <si>
    <t>angeltevani28@gmail.com</t>
  </si>
  <si>
    <t>Manajemen STAD"S ASMI Jurusan Manajemen Perkantoran, lulus 2004</t>
  </si>
  <si>
    <t>25 Juli 1994</t>
  </si>
  <si>
    <t>Bali Matraman Jl. Bedeng No. 27 RT 001 RW 010 Manggarai Selatan</t>
  </si>
  <si>
    <t>Tebet - Jakarta Selatan</t>
  </si>
  <si>
    <t>2 Februari 2022</t>
  </si>
  <si>
    <t>3174012507940002</t>
  </si>
  <si>
    <t>Bali Matraman Jl. Bedeng No. 27 RT 001 RW 010 Manggarai Selatan Tebet, Jaksel</t>
  </si>
  <si>
    <t>84.690.685.7-015.000</t>
  </si>
  <si>
    <t>bryan.hendra25@gmail.com</t>
  </si>
  <si>
    <t>Samosir</t>
  </si>
  <si>
    <t>2 Juli 1992</t>
  </si>
  <si>
    <t>Jl. Mawar No.12, Rt.02/08, Depok Pancoran Mas</t>
  </si>
  <si>
    <t>Jln Cempaka N0 4-5 Depok</t>
  </si>
  <si>
    <t>26 Februari 2018</t>
  </si>
  <si>
    <t>3172034207920005</t>
  </si>
  <si>
    <t>Kp.Tanah Merah Bawah, Jl.Perjuangan III, Rt.03/10, Kel Rawa Badak Selatan, Kec.Koja</t>
  </si>
  <si>
    <t>71.962.413.2-045.000</t>
  </si>
  <si>
    <t>Kp.Tanah Merah Bawah, Jl.Plumpang B No.58 Rt.03/10</t>
  </si>
  <si>
    <t>juliantisarah92@gmail.com</t>
  </si>
  <si>
    <t>Universitas Indraprasta PGRI
 Jurusan Teknik Informatika, Lulus 2014</t>
  </si>
  <si>
    <t>Duri</t>
  </si>
  <si>
    <t>5 Agustus 1999</t>
  </si>
  <si>
    <t>Jl. Jawa Kelurahan Gajah Sakti, Kec. Mandau</t>
  </si>
  <si>
    <t>Bengkalis</t>
  </si>
  <si>
    <t>1403094508990004</t>
  </si>
  <si>
    <t>Jl. Jawa Kelurahan GAJAH SAKTI KECAMATAN MANDAU kabupaten Bengkalis</t>
  </si>
  <si>
    <t>nadiastifani05@gmail.com</t>
  </si>
  <si>
    <t>S1 Teknik Informatik</t>
  </si>
  <si>
    <t>STMIK AMIK</t>
  </si>
  <si>
    <t>Jl. Bubulah No. 107 RT.04 RW. 01 Kel. Kebon Pedes, Kec. Tanah Sareal Bogor 16162</t>
  </si>
  <si>
    <t>Kel. Kebon Pedes Kec. Tanah Sareal-Bogor 16162</t>
  </si>
  <si>
    <t>Graha Raya Bunga, Kav M9 No.1, Pondok Jagung Timur, Kec. Serpong Utara, Kota Tangerang Selatan Prov. Banten</t>
  </si>
  <si>
    <t>3276054209940001</t>
  </si>
  <si>
    <t>Pondok Rumput Gg. Ikan Mas No.9 RT 004 RW 005 Kel. Kebon Pedes, Kec. Tanah Sareal Bogor 16162</t>
  </si>
  <si>
    <t>92.481.983.2-404.000</t>
  </si>
  <si>
    <t>Perumahan Mina Bhakti No.122A RT 006 RW 003 Cikaret, Bogor Selatan Kota Bogor, Jawa Barat</t>
  </si>
  <si>
    <t>bijoulight9427@gmail.com</t>
  </si>
  <si>
    <t>S1 TI</t>
  </si>
  <si>
    <t>Univ. Indraprasta PGRI</t>
  </si>
  <si>
    <t>SMPK Sang Timur Karang Tengah</t>
  </si>
  <si>
    <t>22 Maret 1995</t>
  </si>
  <si>
    <t>Jl. Murai 2 No. 405 RT 005 RW 003 Kel. Kayuringin Jaya</t>
  </si>
  <si>
    <t>Bekasi Selatan</t>
  </si>
  <si>
    <t>Jl. Barata Pahala No. 37 Karang Tengah - Ciledug</t>
  </si>
  <si>
    <t>3275046203950007</t>
  </si>
  <si>
    <t>thereshiasilvia@gmail.com</t>
  </si>
  <si>
    <t>S1 Pendidikan Elektronika</t>
  </si>
  <si>
    <t>Gg. Masjid Cisalak RT 001 RW 008 No. 12 Kel. Cisalak</t>
  </si>
  <si>
    <t>Kec. Sukmajaya - Depok</t>
  </si>
  <si>
    <t>Jl. Siliwangi No. 50 Bogor</t>
  </si>
  <si>
    <t>3276021009910018</t>
  </si>
  <si>
    <t>Gg. Masjid Cisalak RT 001 RW 008 No. 12 Kel. Cisalak, Sukmajaya - Depok</t>
  </si>
  <si>
    <t>74.744.268.9-412.000</t>
  </si>
  <si>
    <t>Kelapa Dua No. 162 RT 004 RW 009 Kel. Tugu, Cimanggis -Depok</t>
  </si>
  <si>
    <t>sandyfirmansyah@gmail.com</t>
  </si>
  <si>
    <t>S1 Sistem Informasi Univ. Gunadarma</t>
  </si>
  <si>
    <t>Lulus 2018</t>
  </si>
  <si>
    <t>Sukabumi</t>
  </si>
  <si>
    <t>Kp.Kaum Tengah RT 01 RW 03 No.84</t>
  </si>
  <si>
    <t>Cicurug - Sukabumi 43359</t>
  </si>
  <si>
    <t>Jl. Raya Siliwangi No. 264 Cicurug Sukabumi</t>
  </si>
  <si>
    <t>3202164509880001</t>
  </si>
  <si>
    <t>Kp.Kaum Tengah Rt.01/03, Cicurug, Sukabumi</t>
  </si>
  <si>
    <t>59.499.674.6-405.000</t>
  </si>
  <si>
    <t>Ditafajaryanti0509@gmail.com</t>
  </si>
  <si>
    <t>Akademi Pimpinan Perusahaan
 Jurusan Sumber Daya Manusia, Lulus 2009</t>
  </si>
  <si>
    <t>Serang</t>
  </si>
  <si>
    <t>29 Juni 199</t>
  </si>
  <si>
    <t>BKP Blok 1C/B 4A Rt/Rw 001/001 Kel Marga Tani, Kec. Kramatwatu</t>
  </si>
  <si>
    <t>Kab. Serang</t>
  </si>
  <si>
    <t>3604056906910003</t>
  </si>
  <si>
    <t>BKP Blok 1C/B 4A Rt/Rw 001/001 Kel Marga Tani, Kec. Kramatwatu, Kab. Serang</t>
  </si>
  <si>
    <t>73.699.697.6-401.000</t>
  </si>
  <si>
    <t>ratuanitha@yahoo.co.id</t>
  </si>
  <si>
    <t>Sl,Pendidikan Bahasa Inggris</t>
  </si>
  <si>
    <t>Universitas Sultan Ageng Tirtayas</t>
  </si>
  <si>
    <t>Cilegon</t>
  </si>
  <si>
    <t>Komp. Pondok Cilegon Indah Cluster Carita Blok E19 No.16 RT.003/007</t>
  </si>
  <si>
    <t>Cilegon - Banten</t>
  </si>
  <si>
    <t>Jl. Panglima Polim No. 51 Cilegon</t>
  </si>
  <si>
    <t>3672024807800001</t>
  </si>
  <si>
    <t>79.632.313.7-417.000</t>
  </si>
  <si>
    <t>Komp. Pondok Cilegon Indah blok B28 No.03 RT.01/05</t>
  </si>
  <si>
    <t>gesang22swadesi@yahoo.co.id</t>
  </si>
  <si>
    <t>S1 Teknik Elektro</t>
  </si>
  <si>
    <t>Sekolah Tinggi Teknologi Nasional Yogyakarta
 Teknik Elektro Lulus 2008</t>
  </si>
  <si>
    <t>Perumahan Taman Krakatau Blok L3 No.17 Margatani Kramatwatu</t>
  </si>
  <si>
    <t>Jombang Cilegon - Banten</t>
  </si>
  <si>
    <t>3672054704830002</t>
  </si>
  <si>
    <t>79.632.347.5-417.000</t>
  </si>
  <si>
    <t>Jl. Pegantungan Baru RT.03 RW.14, Jombang Wetan, Jombang Cilegon, Banten</t>
  </si>
  <si>
    <t>yantie83ajah@gmail.com</t>
  </si>
  <si>
    <t>D3 Jur. Manajemen Informatika</t>
  </si>
  <si>
    <t>AMIK Serang
 Jurusan Manajemen Informatika Lulus 2005</t>
  </si>
  <si>
    <t>4 Februari 1978</t>
  </si>
  <si>
    <t>Jl. RA Kosasih Gg. Juli No. 14 Rt 05/13 Kel. Cisarua Kec. Cikole</t>
  </si>
  <si>
    <t>Kota Sukabumi</t>
  </si>
  <si>
    <t>Jl. Siliwangi No. 66 Cianjur</t>
  </si>
  <si>
    <t>3272020402780021</t>
  </si>
  <si>
    <t>Jl. Ra Kosasih Gg. Juli No. 14 Rt 05/13 Kel. Cisarua Kec. Cikole Kota Sukabumi</t>
  </si>
  <si>
    <t>54.347.963.8-405.000</t>
  </si>
  <si>
    <t>byrcls@gmail.com</t>
  </si>
  <si>
    <t>LP3I JAKARTA
 Jurusan Komputer Akuntansi Lulus 2002</t>
  </si>
  <si>
    <t>NEW</t>
  </si>
  <si>
    <t>Cianjur</t>
  </si>
  <si>
    <t>17 Mei 1981</t>
  </si>
  <si>
    <t>Gg. Laksana II RT/RW 002/016 Kel. Sayang Kec. Cianjur</t>
  </si>
  <si>
    <t>3203011705810006</t>
  </si>
  <si>
    <t>80.629.643.0-406.000</t>
  </si>
  <si>
    <t>mikasaandripuri17@gmail.com</t>
  </si>
  <si>
    <t>S1 B Inggris</t>
  </si>
  <si>
    <t>STKIP Siliwangi Bandung</t>
  </si>
  <si>
    <t>SD St. Antonius Medan</t>
  </si>
  <si>
    <t>Jahacoren Parhusip, A.Md.Kom</t>
  </si>
  <si>
    <t>Simanggule</t>
  </si>
  <si>
    <t>1 Mei 1988</t>
  </si>
  <si>
    <t>Jl. Tangguk Bongkar VI Mandala</t>
  </si>
  <si>
    <t>Medan</t>
  </si>
  <si>
    <t>Jl. Sriwijaya No. 7 Medan 20153</t>
  </si>
  <si>
    <t>15 Mei 2018</t>
  </si>
  <si>
    <t>1271060105880006</t>
  </si>
  <si>
    <t>Jl.Purwosari Gg. Baru RT 11 RW 11 Pulo Brayan Bengkel Medan Timur</t>
  </si>
  <si>
    <t>46.002.881.4-112.000</t>
  </si>
  <si>
    <t>Jl.Alumunium Raya Gg.Martabe LK XX</t>
  </si>
  <si>
    <t>jahacoren@gmail.com</t>
  </si>
  <si>
    <t>AMIK Logika
 Jurusan Manajemen Informatika, Lulus 2011</t>
  </si>
  <si>
    <t>Yulisa Trisnawati, S.Kom</t>
  </si>
  <si>
    <t>Banda Aceh</t>
  </si>
  <si>
    <t>20 Juli 1986</t>
  </si>
  <si>
    <t>Jl. Jamin Ginting Gang. Swadaya No. 1 C Padang Bulan Medan</t>
  </si>
  <si>
    <t>1271076007860006</t>
  </si>
  <si>
    <t>Jl. Rantang Lrg Gereja No. 18-A</t>
  </si>
  <si>
    <t>45.972.164.3-121.000</t>
  </si>
  <si>
    <t>Jl.Bawang 5 No.11 Perumnas Simalingkar</t>
  </si>
  <si>
    <t>rayupanhut@yahoo.co.id</t>
  </si>
  <si>
    <t>STMIK Sisingamangaraja XII Medan
 Jurusan Sistem Informasi, Lulus 2009</t>
  </si>
  <si>
    <t>Sisangkae</t>
  </si>
  <si>
    <t>27 Agustus 1993</t>
  </si>
  <si>
    <t>Jl. Parang II Kec. Medan Selayang</t>
  </si>
  <si>
    <t>Kota Medan</t>
  </si>
  <si>
    <t>1216046708930003</t>
  </si>
  <si>
    <t>Sisangkae Desa Paranginan Utara Kec. Paranginan Kab. Humbang Hasundutan</t>
  </si>
  <si>
    <t>81.644.795.7-127.000</t>
  </si>
  <si>
    <t>Sisangkae Paranginan Utara, Paranginan Kab. Humbang Hasundutan Sumatera Utara</t>
  </si>
  <si>
    <t>jenitaompusunggu@gmail.com</t>
  </si>
  <si>
    <t>D4</t>
  </si>
  <si>
    <t>Politeknik Negeri Batam Jur. Teknik Multimedia dan Jaringan</t>
  </si>
  <si>
    <t>17 Oktober 1993</t>
  </si>
  <si>
    <t>JL.PINTU AIR IV GG.GARU NO.23</t>
  </si>
  <si>
    <t>0813-6140-6791</t>
  </si>
  <si>
    <t>1271111710930002</t>
  </si>
  <si>
    <t>41.387.532.9-121.000</t>
  </si>
  <si>
    <t>dianpasca@gmail.com</t>
  </si>
  <si>
    <t>Universitas Methodist Indonesia Medan</t>
  </si>
  <si>
    <t>Seri Amal/SMA Cahaya</t>
  </si>
  <si>
    <t>Pagarbatu</t>
  </si>
  <si>
    <t>6 Oktober 1986</t>
  </si>
  <si>
    <t>Komplek Taman Sekata Indah Blok AA No. 12 Tj. Anom Deliserdang</t>
  </si>
  <si>
    <t>Anom Deliserdang</t>
  </si>
  <si>
    <t>Jl. Hayam Wuruk No. 11 Medan</t>
  </si>
  <si>
    <t>1202044610860003</t>
  </si>
  <si>
    <t>Jl. Menteng Raya No. 259</t>
  </si>
  <si>
    <t>okta.htg@gmail.com</t>
  </si>
  <si>
    <t>S-1</t>
  </si>
  <si>
    <t>STMIK Sisingamangaraja XII Medan</t>
  </si>
  <si>
    <t>Sidempuan</t>
  </si>
  <si>
    <t>13 Oktober 1987</t>
  </si>
  <si>
    <t>Jl. Pintu Air IV Simalingkar B Gg. Kelapa Kel. Kuala Berkala, Kec. Medan Johor</t>
  </si>
  <si>
    <t>1271115310870001</t>
  </si>
  <si>
    <t>esterm1310@gmail.com</t>
  </si>
  <si>
    <t>S1 Jur. Sistem Informasi</t>
  </si>
  <si>
    <t>Univ. Methodist Indonesia, Lulus 2011</t>
  </si>
  <si>
    <t>Seri Amal/SD St. Ignatius Medan</t>
  </si>
  <si>
    <t>Situnggaling</t>
  </si>
  <si>
    <t>8 Maret 1989</t>
  </si>
  <si>
    <t>Jl. Besar Namorambe, Gg Tani Bersaudara Lk. VII. Kel / Desa : Deli Tua, Deli Tua</t>
  </si>
  <si>
    <t>Deli Tua</t>
  </si>
  <si>
    <t>Jl. Karyawisata No. 6 Medan Johor</t>
  </si>
  <si>
    <t>1802074803890005</t>
  </si>
  <si>
    <t>Jl.Pahlawan Gg.Gembira No.12 Medan</t>
  </si>
  <si>
    <t>73.872.629.8-113.000</t>
  </si>
  <si>
    <t>merita.ulina@gmail.com</t>
  </si>
  <si>
    <t>S1 Managemen Ekonomi</t>
  </si>
  <si>
    <t>LMII</t>
  </si>
  <si>
    <t>Seri Amal/SD St. Yoseph Sidikalang</t>
  </si>
  <si>
    <t>Sidikalang</t>
  </si>
  <si>
    <t>27 Desember 1998</t>
  </si>
  <si>
    <t>Jl. Danau Toba, Sidikalang</t>
  </si>
  <si>
    <t>Dairi</t>
  </si>
  <si>
    <t>1211016712980002</t>
  </si>
  <si>
    <t>Jl. Danau Toba, Sidikalang, Kab. Dairi</t>
  </si>
  <si>
    <t>tiosinurat7@gmail.com</t>
  </si>
  <si>
    <t>S1 Pertanian</t>
  </si>
  <si>
    <t>UGM</t>
  </si>
  <si>
    <t>Seri Amal/SMA St. Petrus Sidikalang</t>
  </si>
  <si>
    <t>Sediamo Manik S. Kom</t>
  </si>
  <si>
    <t>Tuhtuhan</t>
  </si>
  <si>
    <t>Huta Rakyat, Sidikalang, Dairi</t>
  </si>
  <si>
    <t>sidikalang</t>
  </si>
  <si>
    <t>Jl. Parongil No. 97 Sidikalang</t>
  </si>
  <si>
    <t>1110022904930003</t>
  </si>
  <si>
    <t>Tuhtuhan, Aceh Singkil, Nanggroe Aceh Darussalam</t>
  </si>
  <si>
    <t>sediamo.mnk28@gmail.com</t>
  </si>
  <si>
    <t>STMIK Triguna Dharma Medan</t>
  </si>
  <si>
    <t>Padang</t>
  </si>
  <si>
    <t>23 Maret 1972</t>
  </si>
  <si>
    <t>Jl. H Pentul II Buntu RT/RW 007/010 Gandaria Utara, Kebayoran Baru</t>
  </si>
  <si>
    <t>25 Juli 2022</t>
  </si>
  <si>
    <t>3174073103720003</t>
  </si>
  <si>
    <t>34.141.929.9-019.000</t>
  </si>
  <si>
    <t>Jl. H Pentul II Buntu No 50 Buntu radio Dalam RT/RW 007/010 Gandaria Utara, Kebayoran Baru</t>
  </si>
  <si>
    <t>rudhyat45@gmail.com</t>
  </si>
  <si>
    <t>STIMIK Jakarta</t>
  </si>
  <si>
    <t>SMA Al Izhar Jaksel</t>
  </si>
  <si>
    <t>31 Agustus 1987</t>
  </si>
  <si>
    <t>Komp. Kunciran Mas Permai Blok K 26 No. 8</t>
  </si>
  <si>
    <t>Tangerang 15144</t>
  </si>
  <si>
    <t>Jl. RS Fatmawati Raya No. Kav. 49 Pondok Labu - Jakarta Selatan</t>
  </si>
  <si>
    <t>3671113108870001</t>
  </si>
  <si>
    <t>Jl. Lawu III Blok K 26 No. 8 RT 010/002 Kel. Kinciran Indah Kec. Pinang Tangerang</t>
  </si>
  <si>
    <t>88.338.871.2-031.000</t>
  </si>
  <si>
    <t>Kemanggisan RT 008 RW 017 Palmerah, Jakarta Barat</t>
  </si>
  <si>
    <t>kurwan123@gmail.com</t>
  </si>
  <si>
    <t>S2</t>
  </si>
  <si>
    <t>Univ. Budi Luhur Jur. Sistem Informasi, Lulus 2017</t>
  </si>
  <si>
    <t>SD-SMP-SMK Aloydia Bekasi</t>
  </si>
  <si>
    <t>Hendri Triatmojo</t>
  </si>
  <si>
    <t>29 Desember 1987</t>
  </si>
  <si>
    <t>Villa Mas Garden Jl.Mutiara Blok B No.86 Rt.02/09 Kel.Perwira, Kec.Bekasi Utara</t>
  </si>
  <si>
    <t>0812-84545824</t>
  </si>
  <si>
    <t>Taman Harapan Baru Blok D11/1 Medan Satria Bekasi 17131</t>
  </si>
  <si>
    <t>3275032912870005</t>
  </si>
  <si>
    <t>36.734.141.9-407.000</t>
  </si>
  <si>
    <t>Jl.Mutiara Blok B/86 Villa Mas Garden Rt.02/09, Perwira, Bekasi Utara</t>
  </si>
  <si>
    <t>triatmojohendri@gmail.com</t>
  </si>
  <si>
    <t>Universitas Gunadarma
 Jurusan Manajemen Informatika Lulus 2010</t>
  </si>
  <si>
    <t>SMP Al Izhar Pondok Labu</t>
  </si>
  <si>
    <t>Akses UI Gg Jamir No 45 Pondok Cina Beji</t>
  </si>
  <si>
    <t>30 Mei 2022</t>
  </si>
  <si>
    <t>3276060709960002</t>
  </si>
  <si>
    <t>96.789.829.7-448.000</t>
  </si>
  <si>
    <t>Jalan Komjen (Pol) M. Jasin GG. Jamir No. 37 RT 006 RW. 004, Sawangan Depok</t>
  </si>
  <si>
    <t>rahmanfadul@gmail.com</t>
  </si>
  <si>
    <t>Universitas Gunadarma</t>
  </si>
  <si>
    <t>SD Kartika</t>
  </si>
  <si>
    <t>Pondok Maharta 14 Blok B30/27 RT 07 RW 10 Kel/Desa Pondok Kacang Timur, Kec. Pndok Aren</t>
  </si>
  <si>
    <t>Komp. Kodam Jaya Bintaro Jakarta Selatan</t>
  </si>
  <si>
    <t>8 Juli 2019</t>
  </si>
  <si>
    <t>3674036511870006</t>
  </si>
  <si>
    <t>Pondok Maharta 14 Blok B30/27 RT 07 RW 10 Kel/Desa Pondok Kacang Timur, Kec. Pndok Aren Tangerang</t>
  </si>
  <si>
    <t>83.565.202.5-453.000</t>
  </si>
  <si>
    <t>vitatyasjunaedy123@gmail.com</t>
  </si>
  <si>
    <t>S1 Ekonomi Manajemen (Human Resources Management) STIE Adhy Commerce Bekasi</t>
  </si>
  <si>
    <t>2006-2011</t>
  </si>
  <si>
    <t>Bumi Mas Raya Blok B2 No.2 Cikokol Tangerang</t>
  </si>
  <si>
    <t>3671012211980001</t>
  </si>
  <si>
    <t>stevenjames98@gmail.com</t>
  </si>
  <si>
    <t>Bina Nusantara</t>
  </si>
  <si>
    <t>Silangkitang</t>
  </si>
  <si>
    <t>3 Maret 1998</t>
  </si>
  <si>
    <t>Jl. Jamin Ginting Gang Sederhana No.12 Medan Baru</t>
  </si>
  <si>
    <t>1202104303980001</t>
  </si>
  <si>
    <t>Pea Tingko I, Desa Sibaragas, Kec. Pagaran, Kab Tapanuli Utara</t>
  </si>
  <si>
    <t>65.532.175.0-121.000</t>
  </si>
  <si>
    <t>sisterlbn@gmail.com</t>
  </si>
  <si>
    <t>S1. Teknik Informatika</t>
  </si>
  <si>
    <t>STMIK Pelita Nusantara</t>
  </si>
  <si>
    <t>25 Januari 1979</t>
  </si>
  <si>
    <t>Jl. Purnama, Perum. BMP IV No. 40. Dusun. Bencah Limbat. Desa. Pandau Jaya. Kec. Siak Hulu, Kab. Kampar. Riau</t>
  </si>
  <si>
    <t>Pekanbaru - Riau</t>
  </si>
  <si>
    <t>1408042501790005</t>
  </si>
  <si>
    <t>Maredan RT 003 RW 001 Kel. Maredan Kec. Tualang - Kab. Siak</t>
  </si>
  <si>
    <t>69.020.221.3-222.000</t>
  </si>
  <si>
    <t>Ds. Maredan RT.002. RW.001, Maredan, Tualang, Kab. Siak 28771</t>
  </si>
  <si>
    <t>anto.evendi@gmail.com</t>
  </si>
  <si>
    <t>S1 Teknik Informatika STMIK AMIK Riau Pekanbaru</t>
  </si>
  <si>
    <t>Lulus 2014 Jur. Teknik Informatika</t>
  </si>
  <si>
    <t>Risky</t>
  </si>
  <si>
    <t>Muhammad</t>
  </si>
  <si>
    <t>Air Panas</t>
  </si>
  <si>
    <t>14 Juli 1986</t>
  </si>
  <si>
    <t>Jl. Garuda Sakti Km.1 Perum Firdaus Permai E-5 RT.001 RW.008 Kel. Tuah Madani Kec. Tuah Madani – Pekanbaru</t>
  </si>
  <si>
    <t>Tampan - Pekanbaru</t>
  </si>
  <si>
    <t>1401101407860008</t>
  </si>
  <si>
    <t>Jl. Garuda Sakti Km.1 Perum Firdaus Permai E-5 RT.001 RW.008 Kel. Bukit Kratai Kec. Rumbio Jaya Kab. Kampar – Pekanbaru</t>
  </si>
  <si>
    <t>71.903.325.0-221.000</t>
  </si>
  <si>
    <t>Sumber Makmur No. RT.002 RW.001 Kel. Sumber Makmur Kec. Tapung</t>
  </si>
  <si>
    <t>gelora.surya@gmail.com</t>
  </si>
  <si>
    <t>STMIK AMIK Riau Pekanbaru</t>
  </si>
  <si>
    <t>Siak</t>
  </si>
  <si>
    <t>Asrama Putra Santo Yosef Duri, Jl. Gajah Mada / KTP : Jl. Indragiri RT 003 RW 001 Kampung Rempak, Siak</t>
  </si>
  <si>
    <t>Pekanbaru</t>
  </si>
  <si>
    <t>1408010911960002</t>
  </si>
  <si>
    <t>Jl. Indragiri, Siak Sri Indrapura</t>
  </si>
  <si>
    <t>sabrian91@guru.smp.belajar.id</t>
  </si>
  <si>
    <t>S1 Sistem Informasi</t>
  </si>
  <si>
    <t>UIN Suska Riau</t>
  </si>
  <si>
    <t>SMP-SMA St. Yosep Duri</t>
  </si>
  <si>
    <t>1 Mei 1997</t>
  </si>
  <si>
    <t>Jl. Kayangan Gg. Pari Rt/Rw 003/015 Kel Air Jamban, Kec Mandau</t>
  </si>
  <si>
    <t>Kab. Bengkalis</t>
  </si>
  <si>
    <t>1403090105970011</t>
  </si>
  <si>
    <t>Jl. Kayangan Gg. Pari Rt/Rw 003/015 Kel Air Jamban, Kec Mandau, Kab. Bengkalis</t>
  </si>
  <si>
    <t>96.523.892.6-219.000</t>
  </si>
  <si>
    <t>ilham01597@gmail.com</t>
  </si>
  <si>
    <t>Universitas Islam Negeri Sultan Syarif Kasim Riau</t>
  </si>
  <si>
    <t>Jl. Kemandoran Pluis RT 03 RW 14 Grogol Utara</t>
  </si>
  <si>
    <t>Kebayoran Lama - Jakarta Selatan</t>
  </si>
  <si>
    <t>3174051311900006</t>
  </si>
  <si>
    <t>Jl. Kemandoran Pluis RT 03 RW 14 Grogol Utara Kebayoran Lama-akarta Selatan</t>
  </si>
  <si>
    <t>81.444.146.5-013.000</t>
  </si>
  <si>
    <t>toniwijayanto13@gmail.com</t>
  </si>
  <si>
    <t>04 Junii 1981</t>
  </si>
  <si>
    <t>Komplek BBD Blok F. No. 12 Rt.002 Rw. 03 Ciganjur Jagakarsa Jakarta Selatan</t>
  </si>
  <si>
    <t>Jakarta Selatan 12630</t>
  </si>
  <si>
    <t>3174094406810002</t>
  </si>
  <si>
    <t>misstere04@gmail.com</t>
  </si>
  <si>
    <t>Akta IV UNJ, S1 Univ. Gunadarma</t>
  </si>
  <si>
    <t>Fak. Ekonomi Manajemen</t>
  </si>
  <si>
    <t>Reza Farhan Muliawan, S. Kom</t>
  </si>
  <si>
    <t>1 Februari 1990</t>
  </si>
  <si>
    <t>JL. H. EMAN II RT.001/008 NO. 70 PONDOK PINANG, KEB. LAMA. JAKARTA SELATAN, 12310</t>
  </si>
  <si>
    <t>3174050102900004</t>
  </si>
  <si>
    <t>JL. H. EMAN II RT.001/006 NO. 70 PONDOK PINANG, KEB. LAMA. JAKARTA SELATAN, 12310</t>
  </si>
  <si>
    <t>45.472.946.8.013.000</t>
  </si>
  <si>
    <t>rezafm90@gmail.com</t>
  </si>
  <si>
    <t>Sistem Informatika</t>
  </si>
  <si>
    <t>Gunung Pamela</t>
  </si>
  <si>
    <t>15 Juli 1992</t>
  </si>
  <si>
    <t>Jl. Timbul III No. 23, Pedongkelan jakarta barat</t>
  </si>
  <si>
    <t>Jl.Rahayu No.22 Jelambar Grogol</t>
  </si>
  <si>
    <t>3173015507921001</t>
  </si>
  <si>
    <t>Kapuk RT 006 RW 012 No. 258 Kel. Kapuk Kec. Cengkareng Jakbar</t>
  </si>
  <si>
    <t>86.144.021.2-034.000</t>
  </si>
  <si>
    <t>rianahutapea@gmail.com</t>
  </si>
  <si>
    <t>BSI Jur. Komp. Akuntansi , Lulus 2016</t>
  </si>
  <si>
    <t>3 Juli 1972</t>
  </si>
  <si>
    <t>Jl Ciujung 1 No. 9 Kel. Karawaci Baru Kec. Karawaci</t>
  </si>
  <si>
    <t>3671070307720005</t>
  </si>
  <si>
    <t>Jl Ciujung 1 No. 9 Kel. Karawaci Baru Kec. Karawaci Kota Tangerang</t>
  </si>
  <si>
    <t>44.260.419.5-402.000</t>
  </si>
  <si>
    <t>Yurnalissyam@yahoo.co.id</t>
  </si>
  <si>
    <t>D3 Manajemen Informatika</t>
  </si>
  <si>
    <t>YPTK Padang</t>
  </si>
  <si>
    <t>Sisarahili</t>
  </si>
  <si>
    <t>6 Agustus 1994</t>
  </si>
  <si>
    <t>Jl. Bangun Nusa Raya No. 86 RT 004 RW 03 - Cengkareng Timur</t>
  </si>
  <si>
    <t>1204064608940005</t>
  </si>
  <si>
    <t>Jl. Rw. Bahagia Raya No. 14, Rt.6/Rw. 2, Grogol, Kec. Grogol petamburan, Jakarta Barat</t>
  </si>
  <si>
    <t>agusmawati.68@gmail.com</t>
  </si>
  <si>
    <t>D3 Akademi Komputerisasi Akuntansi STMIK Pranata Indonesia</t>
  </si>
  <si>
    <t>Ijazah tgl 23 Des 2017</t>
  </si>
  <si>
    <t>Jl. Gaperta Ujung GG. Baru no. 11, Tanjung Gusta, Medan Helvetia</t>
  </si>
  <si>
    <t>Jl. Gaperta Ujung GG. Baru no. 11 Medan</t>
  </si>
  <si>
    <t>ciciflorencia23@gmail.com</t>
  </si>
  <si>
    <t>S1 teknik Informatika</t>
  </si>
  <si>
    <t>Universitas Methodist Indonesia</t>
  </si>
  <si>
    <t>Jl. Kesatuan Rt.004 Rw.012 No. 42, Rawa Buaya, Cengkareng</t>
  </si>
  <si>
    <t>3173010611910002</t>
  </si>
  <si>
    <t>Jl. Kesatuan Rt.004 Rw.012 No. 42, Rawa Buaya, Cengkareng, Jakarta Barat</t>
  </si>
  <si>
    <t>adi.kurnia611@gmail.com</t>
  </si>
  <si>
    <t>Jl. Setia Budi Gg. Seroja, Tanjung Sari, Medan Selayang</t>
  </si>
  <si>
    <t>1271216305990003</t>
  </si>
  <si>
    <t>Jl. Setia Budi Gg. Seroja, Tanjung Sari, Medan Selayang, Medan</t>
  </si>
  <si>
    <t>nissi_p19@yahoo.com</t>
  </si>
  <si>
    <t>Sekolah Tinggi Managemen Informatika dan Komputer Pelita Nusantara</t>
  </si>
  <si>
    <t>Condet GG.Asem No.48 Batu Ampar, Kramat Jati</t>
  </si>
  <si>
    <t>3175040611940009</t>
  </si>
  <si>
    <t>Condet GG.Asem No.48 Batu Ampar, Kramat Jati, Jakarta Timur</t>
  </si>
  <si>
    <t>60.311.249.1-005.000</t>
  </si>
  <si>
    <t>alfonirawan10@gmail.com</t>
  </si>
  <si>
    <t>UNJ</t>
  </si>
  <si>
    <t>SMP- SMA Permai Nasional</t>
  </si>
  <si>
    <t>Maryke</t>
  </si>
  <si>
    <t>4 Desember 1992</t>
  </si>
  <si>
    <t>Jl. Lebai Hasan Rt/RW 005/002, Sungai Pinang, Bungo Bani</t>
  </si>
  <si>
    <t>Bungo, Jambi</t>
  </si>
  <si>
    <t>1205220412920001</t>
  </si>
  <si>
    <t>Jl. Lebai Hasan Rt/RW 005/002, Sungai Pinang, Bungo Bani, Bungo, Jambi</t>
  </si>
  <si>
    <t>81.928.252.6-119.000</t>
  </si>
  <si>
    <t>Dusun Durian Mulo Namo Teras, Kutambaru, Langkat, Sumatra Utara</t>
  </si>
  <si>
    <t>desanamoteras45@gmail.com</t>
  </si>
  <si>
    <t>STIMIK KAPUTAMA Binjai</t>
  </si>
  <si>
    <t>Kwala Bangka</t>
  </si>
  <si>
    <t>11 Januari 1986</t>
  </si>
  <si>
    <t>Piayu Asri II BLK. Z No. 206 RT 005 RW 004 Kel. Duriangkang Kec. Sungai Beduk Batam / Jl. Martaip Selatan No. 40 Jakarta Barat</t>
  </si>
  <si>
    <t>Jl. Martaip Selatan No. 40 Jakarta Barat</t>
  </si>
  <si>
    <t>Jl.Otista 1 No 3. Balimester – Jkt Timur</t>
  </si>
  <si>
    <t>2171075101869012</t>
  </si>
  <si>
    <t>Piayu Asri II BLK. Z No. 206 RT 005 RW 004 Kel. Duriangkang Kec. Sungai Beduk Batam</t>
  </si>
  <si>
    <t>97.305.828.2-215.000</t>
  </si>
  <si>
    <t>Piayu Asri Blok Z No. 206</t>
  </si>
  <si>
    <t>tio11jan@gmail.com</t>
  </si>
  <si>
    <t>AMIK Tridharma Pekanbaru</t>
  </si>
  <si>
    <t>Jl. Pulau Bintan VI No 436 Rt. 006/016 Kel. Aren Jaya Kec. Bekasi Timur</t>
  </si>
  <si>
    <t>3171032811880001</t>
  </si>
  <si>
    <t>rastioharyono56@gmail.com</t>
  </si>
  <si>
    <t>S1 Ilmu Pendidkan dan Pendidikan Sosial</t>
  </si>
  <si>
    <t>29 Desember 1998</t>
  </si>
  <si>
    <t>Jl. Gereja HKI No 9, RT 003/ RW 008, Cililitan, Kramat Jati</t>
  </si>
  <si>
    <t>3175042912980004</t>
  </si>
  <si>
    <t>Jl. Gereja HKI No 9, RT 003/ RW 008, Cililitan, Kramat Jati, Jakarta Timur</t>
  </si>
  <si>
    <t>juergensinaga9@gmail.com</t>
  </si>
  <si>
    <t>S1 Ilmu dan Teknik Komputer</t>
  </si>
  <si>
    <t>Kembangan Kutu Rt 07 Rw – Kel Sumbermulo Kecamatan Bambanglipuro</t>
  </si>
  <si>
    <t>Bantul</t>
  </si>
  <si>
    <t>3671074804800001</t>
  </si>
  <si>
    <t>Kembangan Kutu Rt 07 Rw – Kel Sumbermulo Kecamatan Bambanglipuro, Bantul</t>
  </si>
  <si>
    <t>48.843.999.3-402.000</t>
  </si>
  <si>
    <t>Jl Cimone Permai V no 138 Tangerang</t>
  </si>
  <si>
    <t>kumalaningrum.alb@gmail.com</t>
  </si>
  <si>
    <t>S1 Ilmu Komunikasi</t>
  </si>
  <si>
    <t>Universitas Sahid Jakarta</t>
  </si>
  <si>
    <t>12 Desember 1993</t>
  </si>
  <si>
    <t>Duwuran RT 01, Parangtritis, Kretek, Bantul</t>
  </si>
  <si>
    <t>Yogyakarta</t>
  </si>
  <si>
    <t>3402031212930001</t>
  </si>
  <si>
    <t>80.697.282.4-543.000</t>
  </si>
  <si>
    <t>Duwuran RT 01, Parangtritis, Kretek, Bantul, Yogyakarta</t>
  </si>
  <si>
    <t>andiset1993@gmail.com</t>
  </si>
  <si>
    <t>S.Pd</t>
  </si>
  <si>
    <t>Muhammad Hilman Fakhriza</t>
  </si>
  <si>
    <t>19 Oktober 1989</t>
  </si>
  <si>
    <t>Jalan Gurami 4 RT.07 RW.07 Kel. Kayuringin Jaya Kec.Bekasi Selatan</t>
  </si>
  <si>
    <t>3275041910890014</t>
  </si>
  <si>
    <t>Jalan Gurami 4 RT.07 RW.07 Kel. Kayuringin Jaya Kec.Bekasi Selatan, Kota Bekasi</t>
  </si>
  <si>
    <t>45.089.402.7-432.000</t>
  </si>
  <si>
    <t>: Jalan Gurami 4 RT.07 RW.07 Kel. Kayuringin Jaya Kec.Bekasi Selatan, Kota Bekas</t>
  </si>
  <si>
    <t>hilmanrhiza@gmail.com</t>
  </si>
  <si>
    <t>STIMIK Nusa Mandiri</t>
  </si>
  <si>
    <t>Mutiara Anggreni Sirait</t>
  </si>
  <si>
    <t>06 Agustus 1994</t>
  </si>
  <si>
    <t>Jl. Jamin Ginting No. 19</t>
  </si>
  <si>
    <t>0852-60378402</t>
  </si>
  <si>
    <t>1271074608940001</t>
  </si>
  <si>
    <t>Jl. Jamin Ginting No. 19 Lau Cih - Medan Tuntungan</t>
  </si>
  <si>
    <t>91.936.980.1-121.000</t>
  </si>
  <si>
    <t>m.sirait@ymail.com</t>
  </si>
  <si>
    <t>S1 Komp-Teknik Informatika Univ. Methodist Indonesia</t>
  </si>
  <si>
    <t>Lulus 2017</t>
  </si>
  <si>
    <t>Stevani Cristin Putri Br Sembiring</t>
  </si>
  <si>
    <t>Selampe</t>
  </si>
  <si>
    <t>31 Juli 1994</t>
  </si>
  <si>
    <t>Jl.Budi Mulia Gg F No.09 RT.011/RW.006 Pademangan Barat</t>
  </si>
  <si>
    <t>1401127107940003</t>
  </si>
  <si>
    <t>Jl.Budi Mulia Gg F No.09 RT.011/RW.006 Pademangan Barat, Jakarta Utara</t>
  </si>
  <si>
    <t>96.893.750.8-044.000</t>
  </si>
  <si>
    <t>cristinstevani861@gmail.com</t>
  </si>
  <si>
    <t>STMIK KAPUTAMA BINJAI, SUMATERA UTARA</t>
  </si>
  <si>
    <t>20 Mei 1992</t>
  </si>
  <si>
    <t>AFD III Kebun Terantam RT.003 / RW.001 Kasikan Kec. Tapung hulu Kab. Kampar</t>
  </si>
  <si>
    <t>Riau</t>
  </si>
  <si>
    <t>1205032005920003</t>
  </si>
  <si>
    <t>AFD III Kebun Terantam RT.003 / RW.001 Kasikan Kec. Tapung hulu Kab. Kampar, Riau</t>
  </si>
  <si>
    <t>ewa.putrasembiring@gmail.com</t>
  </si>
  <si>
    <t>STMIK Mikroskil</t>
  </si>
  <si>
    <t>SUB</t>
  </si>
  <si>
    <t>Mojokerto</t>
  </si>
  <si>
    <t>30 Juni 1989</t>
  </si>
  <si>
    <t>Sekiping RT 002/RW 001 Dawarblandong</t>
  </si>
  <si>
    <t>3516163006890001</t>
  </si>
  <si>
    <t>Sekiping RT 002/RW 001 Dawarblandong Mojokerto</t>
  </si>
  <si>
    <t>46.560.770.3-602.000</t>
  </si>
  <si>
    <t>yoga.ayp@gmail.com</t>
  </si>
  <si>
    <t>Institut Teknologi Adhi Tama Surabaya Teknik Informatika</t>
  </si>
  <si>
    <t>SDK SANTO YOSEF</t>
  </si>
  <si>
    <t>19 Juni 1986</t>
  </si>
  <si>
    <t>Ds Gempol Gunting RT 10 RW 05 Gempol Klutuk Tarik</t>
  </si>
  <si>
    <t>3515015906860001</t>
  </si>
  <si>
    <t>Ds Gempol Gunting RT 10 RW 05 Gempol Klutuk Tarik Sidoarjo</t>
  </si>
  <si>
    <t>79.893.289.3-603.000</t>
  </si>
  <si>
    <t>bundarasya.iap@gmail.com</t>
  </si>
  <si>
    <t>Univ. Negeri Surabaya FKIP Teknologi Pendidikan</t>
  </si>
  <si>
    <t>TK/SD/SMP Happy Family School</t>
  </si>
  <si>
    <t>Mike Novita Lusiana P.</t>
  </si>
  <si>
    <t>Graha Surabaya Residence no. 16 RT 02/RW 03</t>
  </si>
  <si>
    <t>Jl. Embong Sawo no. 2</t>
  </si>
  <si>
    <t>19 Maret 2019</t>
  </si>
  <si>
    <t>1016264711880003</t>
  </si>
  <si>
    <t>Sumber Rejo Indah RT 002/RW 003 Pakal, Surabaya</t>
  </si>
  <si>
    <t>mikenovita2@gmail.com</t>
  </si>
  <si>
    <t>D1</t>
  </si>
  <si>
    <t>LPGTK Tadika Puri Bandung</t>
  </si>
  <si>
    <t>Batu</t>
  </si>
  <si>
    <t>20 Agustus 1990</t>
  </si>
  <si>
    <t>Jl. WR Supratman I/3</t>
  </si>
  <si>
    <t>Ngaglik Batu</t>
  </si>
  <si>
    <t>Jl. Panglima Sudirman 59A Batu</t>
  </si>
  <si>
    <t>24 Maret 2020</t>
  </si>
  <si>
    <t>3579012008900004</t>
  </si>
  <si>
    <t>Jl. WR Supratman I/3 Ngaglik Batu</t>
  </si>
  <si>
    <t>edwin123bernardo@gmail.com</t>
  </si>
  <si>
    <t>Wernes Education Center Malang Informatika</t>
  </si>
  <si>
    <t>TK SDK RA Kartini</t>
  </si>
  <si>
    <t>Tambak Asri 32/9 Rt/Rw 034/006, Kel. Morokrembangan, Kec. Krembangan</t>
  </si>
  <si>
    <t>3578150309800003</t>
  </si>
  <si>
    <t>Tambak Asri 32/9 Rt/Rw 034/006, Kel. Morokrembangan, Kec. Krembangan, Surabaya</t>
  </si>
  <si>
    <t>ysamuel45@yahoo.co.id</t>
  </si>
  <si>
    <t>Kediri</t>
  </si>
  <si>
    <t>22 Desember 1996</t>
  </si>
  <si>
    <t>Dsn. Tunggulsari RT 02 RW 01 Dsn. Mekarsari</t>
  </si>
  <si>
    <t>Kec. Kedungwaru, Kab. Tulungagung</t>
  </si>
  <si>
    <t>01 Juli 2021</t>
  </si>
  <si>
    <t>3504036312980002</t>
  </si>
  <si>
    <t>Dsn. Tunggulsari RT 02 RW 01 Dsn. Mekarsari Kec. Kedungwaru, Kab. Tulungagung</t>
  </si>
  <si>
    <t>agnidevia8@gmail.com</t>
  </si>
  <si>
    <t>Sarjana Pendidikan Teknologi Informasi</t>
  </si>
  <si>
    <t>SD Santo Carolus Sby</t>
  </si>
  <si>
    <t>17 Februari 1971</t>
  </si>
  <si>
    <t>Jl. Kavling Mentari III/23 Rt/Rw 001/013 Kel. Tambak Rejo, Kec Waru</t>
  </si>
  <si>
    <t>3515185702710005</t>
  </si>
  <si>
    <t>Jl. Kavling Mentari III/23 Rt/Rw 001/013 Kel. Tambak Rejo, Kec Waru, Sidoarjo</t>
  </si>
  <si>
    <t>26.077.025.0-643.000</t>
  </si>
  <si>
    <t>Hendraswaripoppy@gmail.com</t>
  </si>
  <si>
    <t>IKIP Yogyakarta</t>
  </si>
  <si>
    <t>SMP Santo Carolus &amp; Santo Yosef</t>
  </si>
  <si>
    <t>Nginden Tembusan 21 Rt/Rw 001/001 Kel. Nginden Jangkungan, Kec. Sukolilo</t>
  </si>
  <si>
    <t>3578092709750001</t>
  </si>
  <si>
    <t>Nginden Tembusan 21 Rt/Rw 001/001 Kel. Nginden Jangkungan, Kec. Sukolilo, Surabaya</t>
  </si>
  <si>
    <t>26.114.403.4-606.000</t>
  </si>
  <si>
    <t>riosepta@yahoo.com</t>
  </si>
  <si>
    <t>S1 Teknik Informatika Komputer</t>
  </si>
  <si>
    <t>Universitas Dr. Soetomo Surabaya</t>
  </si>
  <si>
    <t>SDK COR JE SU MALANG</t>
  </si>
  <si>
    <t>13 Februari 1997</t>
  </si>
  <si>
    <t>Sidomulyo Rt/Rw 001/010, Kel.Sidomulyo, Kec. Batu</t>
  </si>
  <si>
    <t>3579015302970002</t>
  </si>
  <si>
    <t>Sidomulyo Rt/Rw 001/010, Kel.Sidomulyo, Kec. Batu, Batu</t>
  </si>
  <si>
    <t>veronicahoran678@gmail.com</t>
  </si>
  <si>
    <t>Institut Asia Malang</t>
  </si>
  <si>
    <t>30 Januari 1999</t>
  </si>
  <si>
    <t>Dsn. Kertorejo Rt/Rw 002/003, Ds. Kertorejo, Kec. Ngoro</t>
  </si>
  <si>
    <t>3517037001990004</t>
  </si>
  <si>
    <t>Dsn. Kertorejo Rt/Rw 002/003, Ds. Kertorejo, Kec. Ngoro, Kab. Jombang</t>
  </si>
  <si>
    <t>megaelsya1@gmail.com</t>
  </si>
  <si>
    <t>Univ PGRI Adi Buana Surabaya</t>
  </si>
  <si>
    <t>Moch. Iswan</t>
  </si>
  <si>
    <t>6 Juli 1974</t>
  </si>
  <si>
    <t>Genteng Kulon 12 Rt/Rw 004/005 Kec. Genteng</t>
  </si>
  <si>
    <t>3578070607740003</t>
  </si>
  <si>
    <t>Genteng Kulon 12 Rt/Rw 004/005 Kec. Genteng, Surabaya</t>
  </si>
  <si>
    <t>07.880.202.2-611.000</t>
  </si>
  <si>
    <t>iswanorsili@gmail.com</t>
  </si>
  <si>
    <t>Unitomo Surabaya</t>
  </si>
  <si>
    <t>SMP SMA SAB</t>
  </si>
  <si>
    <t>30 Oktober1989</t>
  </si>
  <si>
    <t>Dinoyo Sekolahan III/20, Surabaya</t>
  </si>
  <si>
    <t>3578053010890001</t>
  </si>
  <si>
    <t>59.765.244.5-607.000</t>
  </si>
  <si>
    <t>yohanesoktavianto@gmail.com</t>
  </si>
  <si>
    <t>SMK</t>
  </si>
  <si>
    <t>IKIP Widyadarma</t>
  </si>
  <si>
    <t>Haris Ikhsan Kusmianto</t>
  </si>
  <si>
    <t>Eriza Rahma Isman P</t>
  </si>
  <si>
    <t>Mudrika Adriana</t>
  </si>
  <si>
    <t>No: 01/Diginusa-Akd/SPK-P/VII/2022</t>
  </si>
  <si>
    <t>Daftar Sekolah Prioritas 2022/2023</t>
  </si>
  <si>
    <t>Grade A: 150,000,000 - 100,000,000</t>
  </si>
  <si>
    <t>Regina Pacis Bogor</t>
  </si>
  <si>
    <t>Perguruan Anakku</t>
  </si>
  <si>
    <t>TK Al Izhar Pondok Labu</t>
  </si>
  <si>
    <t>SD Al Izhar Pondok Labu</t>
  </si>
  <si>
    <t>SMA Al Izhar Pondok Labu</t>
  </si>
  <si>
    <t>Permai</t>
  </si>
  <si>
    <t>Seri Amal</t>
  </si>
  <si>
    <t>SMA St Petru Sidikalang</t>
  </si>
  <si>
    <t>Grade B: 100,000,000 - 50,000,000</t>
  </si>
  <si>
    <t>Tarakanita Surabaya</t>
  </si>
  <si>
    <t>TK Carolus</t>
  </si>
  <si>
    <t>TK Kartini</t>
  </si>
  <si>
    <t>Prayoga Riau</t>
  </si>
  <si>
    <t>Karya Sang Timur JKT</t>
  </si>
  <si>
    <t>Abdi Siswa</t>
  </si>
  <si>
    <t>Grade C: 50,000,000 - 25,000,000</t>
  </si>
  <si>
    <t>Tarakanita Magelang</t>
  </si>
  <si>
    <t>YPII</t>
  </si>
  <si>
    <t>Yayasan Asti Dharma Cab. Grogol &amp; Cibubur</t>
  </si>
  <si>
    <t>Yayasan Pendidikan Penabur Bogor &amp; Cianjur</t>
  </si>
  <si>
    <t>Grade D: 25,000,000 - 1,000,000</t>
  </si>
  <si>
    <t>SD Fransiskus Kp. Ambon</t>
  </si>
  <si>
    <t>YPAK - TK Miryam SD Aloysius</t>
  </si>
  <si>
    <t>TOTAL</t>
  </si>
  <si>
    <t xml:space="preserve">  </t>
  </si>
  <si>
    <t>DATA LAYANAN CUSTOMER DIGINUSA - TAB 23/24</t>
  </si>
  <si>
    <t>LKS - Guru - Komputer</t>
  </si>
  <si>
    <t>Data Customer Retention TIK - TAB 23/24</t>
  </si>
  <si>
    <t>Data PIC Akademik Sekolah</t>
  </si>
  <si>
    <t>Data Customer Existing TIK - TAB 23/24</t>
  </si>
  <si>
    <t>Data Pengiriman LKS</t>
  </si>
  <si>
    <t>Data New Customer TIK &amp; Robotik - TAB 23/24</t>
  </si>
  <si>
    <t>Data Guru</t>
  </si>
  <si>
    <t>(blank)</t>
  </si>
  <si>
    <t xml:space="preserve">Sales &amp; Marketing Section </t>
  </si>
  <si>
    <t xml:space="preserve">Academic &amp; Digital Program Section </t>
  </si>
  <si>
    <t xml:space="preserve">Technical Support Section </t>
  </si>
  <si>
    <t>IDY SETIADI</t>
  </si>
  <si>
    <t>BOAZ SUBROTO</t>
  </si>
  <si>
    <t>ENDRIK TIUS DANU Y</t>
  </si>
  <si>
    <t>TRI BAYU RIATMADI</t>
  </si>
  <si>
    <t>FREDERICA INDRAWATI</t>
  </si>
  <si>
    <t>SUROTO</t>
  </si>
  <si>
    <t>WIJAYA WARDHANA</t>
  </si>
  <si>
    <t>SUPRAPTO</t>
  </si>
  <si>
    <t>HENRY WIBOWO</t>
  </si>
  <si>
    <t>MUCHAMMAD FAUZI</t>
  </si>
  <si>
    <t>DESI KARTIKA SARI</t>
  </si>
  <si>
    <t>THREESNA SETYADY</t>
  </si>
  <si>
    <t>YULISTIAN NURUL KUSUMAH</t>
  </si>
  <si>
    <t>SRI WAHYUNI</t>
  </si>
  <si>
    <t>MARTINUS HERIS HIMAWAN</t>
  </si>
  <si>
    <t>PRISCILLA PERDANA PUTRI (Superintendent)</t>
  </si>
  <si>
    <t>WISNU DEWA ADJI MARYADI (Superintendent)</t>
  </si>
  <si>
    <t>JOKO SUMARSONO</t>
  </si>
  <si>
    <t>ANGGA NUR HANDIKA</t>
  </si>
  <si>
    <t>DONI ABDILLAH SIREGAR</t>
  </si>
  <si>
    <t>YONI TRI KUSHENDARTO</t>
  </si>
  <si>
    <t>WISNU DEWA ADJIMARYADI</t>
  </si>
  <si>
    <t>NADIA AZKA FIKRIA</t>
  </si>
  <si>
    <t>YUSUF UNGGUL BUDIMAN</t>
  </si>
  <si>
    <t>SRY RAHAYU</t>
  </si>
  <si>
    <t>HERMAWAN</t>
  </si>
  <si>
    <t>FANI MUZANI</t>
  </si>
  <si>
    <t>FLORENTINA REBECCA</t>
  </si>
  <si>
    <t>HELEN</t>
  </si>
  <si>
    <t>ABDUL LATIEF (Superintendent)</t>
  </si>
  <si>
    <t>MULYADI</t>
  </si>
  <si>
    <t>DWI SUSANTO</t>
  </si>
  <si>
    <t>STEPANUS SUDARMONO</t>
  </si>
  <si>
    <t>ZAENAL MUTAQIM</t>
  </si>
  <si>
    <t>FADHIL</t>
  </si>
  <si>
    <t>VALENTINO</t>
  </si>
  <si>
    <t>WAHYU</t>
  </si>
  <si>
    <t>JENDRI</t>
  </si>
  <si>
    <t>AIRLANGGA</t>
  </si>
  <si>
    <t>KARIM</t>
  </si>
  <si>
    <t>DODI</t>
  </si>
  <si>
    <t>PRIYO HARDIAN NUGROHO</t>
  </si>
  <si>
    <t>MANAGER</t>
  </si>
  <si>
    <t>Struktur Organisasi</t>
  </si>
  <si>
    <t>Catatan:</t>
  </si>
  <si>
    <t>Para superintendent punya hak untuk menentukan pembagian sekolah yang akan dikelola oleh masing-masing officernya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</si>
</sst>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164" formatCode="_-* #,##0_-;\-* #,##0_-;_-* &quot;-&quot;_-;_-@"/>
    <numFmt numFmtId="165" formatCode="mmmm\ yyyy"/>
    <numFmt numFmtId="167" formatCode="d\ mmmm\ yyyy"/>
    <numFmt numFmtId="168" formatCode="d\ mmm\ yyyy"/>
    <numFmt numFmtId="169" formatCode="d\-mmm\-yy"/>
    <numFmt numFmtId="170" formatCode="dd\ mmmm\ yyyy"/>
  </numFmts>
  <fonts count="60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24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rgb="FF000000"/>
      <name val="Docs-Calibri"/>
    </font>
    <font>
      <sz val="12"/>
      <color theme="1"/>
      <name val="Calibri"/>
      <family val="2"/>
    </font>
    <font>
      <sz val="10"/>
      <color rgb="FF000000"/>
      <name val="Arial"/>
      <family val="2"/>
      <scheme val="minor"/>
    </font>
    <font>
      <sz val="11"/>
      <color rgb="FF333333"/>
      <name val="Calibri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strike/>
      <sz val="10"/>
      <color theme="1"/>
      <name val="Arial"/>
      <family val="2"/>
      <scheme val="minor"/>
    </font>
    <font>
      <i/>
      <sz val="10"/>
      <color rgb="FFFF0000"/>
      <name val="Arial"/>
      <family val="2"/>
    </font>
    <font>
      <i/>
      <sz val="10"/>
      <color rgb="FFFF0000"/>
      <name val="Arial"/>
      <family val="2"/>
      <scheme val="minor"/>
    </font>
    <font>
      <b/>
      <sz val="10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i/>
      <sz val="10"/>
      <color rgb="FF000000"/>
      <name val="Arial"/>
      <family val="2"/>
    </font>
    <font>
      <u/>
      <sz val="10"/>
      <color rgb="FF0000FF"/>
      <name val="Arial"/>
      <family val="2"/>
    </font>
    <font>
      <u/>
      <sz val="10"/>
      <color rgb="FF000000"/>
      <name val="Arial"/>
      <family val="2"/>
    </font>
    <font>
      <sz val="10"/>
      <color rgb="FF00FF00"/>
      <name val="Arial"/>
      <family val="2"/>
      <scheme val="minor"/>
    </font>
    <font>
      <u/>
      <sz val="10"/>
      <color rgb="FF000000"/>
      <name val="Arial"/>
      <family val="2"/>
    </font>
    <font>
      <i/>
      <sz val="8"/>
      <color rgb="FF000000"/>
      <name val="Arial"/>
      <family val="2"/>
      <scheme val="minor"/>
    </font>
    <font>
      <sz val="8"/>
      <color theme="1"/>
      <name val="Tahoma"/>
      <family val="2"/>
    </font>
    <font>
      <sz val="8"/>
      <color rgb="FF000000"/>
      <name val="Tahoma"/>
      <family val="2"/>
    </font>
    <font>
      <b/>
      <sz val="8"/>
      <color rgb="FF000000"/>
      <name val="Tahoma"/>
      <family val="2"/>
    </font>
    <font>
      <sz val="12"/>
      <color rgb="FF000000"/>
      <name val="&quot;Times New Roman&quot;"/>
    </font>
    <font>
      <b/>
      <i/>
      <sz val="8"/>
      <color rgb="FF000000"/>
      <name val="Tahoma"/>
      <family val="2"/>
    </font>
    <font>
      <u/>
      <sz val="12"/>
      <color rgb="FF0563C1"/>
      <name val="&quot;Times New Roman&quot;"/>
    </font>
    <font>
      <u/>
      <sz val="11"/>
      <color rgb="FF0000FF"/>
      <name val="Calibri"/>
      <family val="2"/>
    </font>
    <font>
      <b/>
      <sz val="8"/>
      <color rgb="FFFF0000"/>
      <name val="Tahoma"/>
      <family val="2"/>
    </font>
    <font>
      <u/>
      <sz val="8"/>
      <color rgb="FF0000FF"/>
      <name val="Tahoma"/>
      <family val="2"/>
    </font>
    <font>
      <i/>
      <sz val="8"/>
      <color rgb="FF000000"/>
      <name val="Tahoma"/>
      <family val="2"/>
    </font>
    <font>
      <u/>
      <sz val="8"/>
      <color rgb="FF0000FF"/>
      <name val="Tahoma"/>
      <family val="2"/>
    </font>
    <font>
      <u/>
      <sz val="8"/>
      <color rgb="FF0563C1"/>
      <name val="Tahoma"/>
      <family val="2"/>
    </font>
    <font>
      <sz val="8"/>
      <color rgb="FF222222"/>
      <name val="Tahoma"/>
      <family val="2"/>
    </font>
    <font>
      <sz val="8"/>
      <color rgb="FFFF0000"/>
      <name val="Tahoma"/>
      <family val="2"/>
    </font>
    <font>
      <u/>
      <sz val="8"/>
      <color rgb="FFFF0000"/>
      <name val="Tahoma"/>
      <family val="2"/>
    </font>
    <font>
      <u/>
      <sz val="8"/>
      <color rgb="FF0563C1"/>
      <name val="Tahoma"/>
      <family val="2"/>
    </font>
    <font>
      <u/>
      <sz val="8"/>
      <color rgb="FFFF0000"/>
      <name val="Tahoma"/>
      <family val="2"/>
    </font>
    <font>
      <u/>
      <sz val="8"/>
      <color rgb="FF0000FF"/>
      <name val="Tahoma"/>
      <family val="2"/>
    </font>
    <font>
      <sz val="8"/>
      <color rgb="FF5E5E5E"/>
      <name val="Tahoma"/>
      <family val="2"/>
    </font>
    <font>
      <b/>
      <sz val="18"/>
      <color rgb="FFFFFFFF"/>
      <name val="Arial"/>
      <family val="2"/>
      <scheme val="minor"/>
    </font>
    <font>
      <b/>
      <sz val="10"/>
      <color rgb="FFFFFFFF"/>
      <name val="Arial"/>
      <family val="2"/>
      <scheme val="minor"/>
    </font>
    <font>
      <b/>
      <sz val="14"/>
      <color rgb="FFFFFFFF"/>
      <name val="Arial"/>
      <family val="2"/>
      <scheme val="minor"/>
    </font>
    <font>
      <b/>
      <sz val="14"/>
      <color theme="1"/>
      <name val="Arial"/>
      <family val="2"/>
      <scheme val="minor"/>
    </font>
    <font>
      <sz val="10"/>
      <color rgb="FFFFFFFF"/>
      <name val="Arial"/>
      <family val="2"/>
      <scheme val="minor"/>
    </font>
    <font>
      <b/>
      <sz val="12"/>
      <color rgb="FFFFFFFF"/>
      <name val="Arial"/>
      <family val="2"/>
      <scheme val="minor"/>
    </font>
    <font>
      <b/>
      <sz val="11"/>
      <color rgb="FFFFFFFF"/>
      <name val="Arial"/>
      <family val="2"/>
      <scheme val="minor"/>
    </font>
    <font>
      <u/>
      <sz val="10"/>
      <color rgb="FF1155CC"/>
      <name val="Arial"/>
      <family val="2"/>
    </font>
    <font>
      <sz val="10"/>
      <color rgb="FF000000"/>
      <name val="Arial, sans-serif"/>
    </font>
    <font>
      <b/>
      <sz val="10"/>
      <color theme="1"/>
      <name val="Arial"/>
      <family val="2"/>
    </font>
    <font>
      <u/>
      <sz val="10"/>
      <color rgb="FF1155CC"/>
      <name val="Arial, sans-serif"/>
    </font>
  </fonts>
  <fills count="1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D5A6BD"/>
        <bgColor rgb="FFD5A6BD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theme="6"/>
        <bgColor theme="6"/>
      </patternFill>
    </fill>
    <fill>
      <patternFill patternType="solid">
        <fgColor rgb="FF6FA8DC"/>
        <bgColor rgb="FF6FA8DC"/>
      </patternFill>
    </fill>
    <fill>
      <patternFill patternType="solid">
        <fgColor rgb="FF93C47D"/>
        <bgColor rgb="FF93C47D"/>
      </patternFill>
    </fill>
    <fill>
      <patternFill patternType="solid">
        <fgColor rgb="FFDD7E6B"/>
        <bgColor rgb="FFDD7E6B"/>
      </patternFill>
    </fill>
    <fill>
      <patternFill patternType="solid">
        <fgColor theme="9"/>
        <bgColor theme="9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FF0000"/>
      </top>
      <bottom style="thin">
        <color rgb="FF000000"/>
      </bottom>
      <diagonal/>
    </border>
    <border>
      <left/>
      <right/>
      <top style="thick">
        <color rgb="FFFF0000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3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41" fontId="5" fillId="0" borderId="2" xfId="0" applyNumberFormat="1" applyFont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7" fillId="0" borderId="2" xfId="0" applyFont="1" applyBorder="1" applyAlignment="1">
      <alignment horizontal="left" vertical="center"/>
    </xf>
    <xf numFmtId="0" fontId="7" fillId="3" borderId="2" xfId="0" applyFont="1" applyFill="1" applyBorder="1" applyAlignment="1">
      <alignment wrapText="1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/>
    <xf numFmtId="0" fontId="7" fillId="0" borderId="2" xfId="0" applyFont="1" applyBorder="1" applyAlignment="1">
      <alignment horizontal="center"/>
    </xf>
    <xf numFmtId="3" fontId="7" fillId="0" borderId="2" xfId="0" applyNumberFormat="1" applyFont="1" applyBorder="1" applyAlignment="1">
      <alignment horizontal="center" wrapText="1"/>
    </xf>
    <xf numFmtId="0" fontId="8" fillId="0" borderId="2" xfId="0" applyFont="1" applyBorder="1"/>
    <xf numFmtId="3" fontId="7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8" fillId="0" borderId="3" xfId="0" applyFont="1" applyBorder="1"/>
    <xf numFmtId="0" fontId="9" fillId="3" borderId="0" xfId="0" applyFont="1" applyFill="1" applyAlignment="1">
      <alignment horizontal="left"/>
    </xf>
    <xf numFmtId="0" fontId="7" fillId="3" borderId="2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center"/>
    </xf>
    <xf numFmtId="3" fontId="7" fillId="3" borderId="2" xfId="0" applyNumberFormat="1" applyFont="1" applyFill="1" applyBorder="1" applyAlignment="1">
      <alignment horizontal="center"/>
    </xf>
    <xf numFmtId="0" fontId="7" fillId="2" borderId="2" xfId="0" applyFont="1" applyFill="1" applyBorder="1"/>
    <xf numFmtId="0" fontId="1" fillId="4" borderId="2" xfId="0" applyFont="1" applyFill="1" applyBorder="1"/>
    <xf numFmtId="0" fontId="1" fillId="4" borderId="2" xfId="0" applyFont="1" applyFill="1" applyBorder="1" applyAlignment="1">
      <alignment horizontal="center" vertical="center"/>
    </xf>
    <xf numFmtId="0" fontId="10" fillId="0" borderId="4" xfId="0" applyFont="1" applyBorder="1"/>
    <xf numFmtId="0" fontId="7" fillId="0" borderId="3" xfId="0" applyFont="1" applyBorder="1"/>
    <xf numFmtId="0" fontId="7" fillId="3" borderId="2" xfId="0" applyFont="1" applyFill="1" applyBorder="1"/>
    <xf numFmtId="0" fontId="1" fillId="5" borderId="0" xfId="0" applyFont="1" applyFill="1"/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wrapText="1"/>
    </xf>
    <xf numFmtId="0" fontId="7" fillId="0" borderId="3" xfId="0" applyFont="1" applyBorder="1" applyAlignment="1">
      <alignment horizontal="center"/>
    </xf>
    <xf numFmtId="0" fontId="8" fillId="0" borderId="2" xfId="0" applyFont="1" applyBorder="1" applyAlignment="1">
      <alignment wrapText="1"/>
    </xf>
    <xf numFmtId="0" fontId="11" fillId="0" borderId="2" xfId="0" applyFont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7" fillId="0" borderId="2" xfId="0" applyFont="1" applyBorder="1" applyAlignment="1">
      <alignment vertical="center"/>
    </xf>
    <xf numFmtId="3" fontId="7" fillId="0" borderId="2" xfId="0" applyNumberFormat="1" applyFont="1" applyBorder="1"/>
    <xf numFmtId="0" fontId="7" fillId="6" borderId="2" xfId="0" applyFont="1" applyFill="1" applyBorder="1" applyAlignment="1">
      <alignment horizontal="left" vertical="center"/>
    </xf>
    <xf numFmtId="0" fontId="1" fillId="6" borderId="2" xfId="0" applyFont="1" applyFill="1" applyBorder="1"/>
    <xf numFmtId="0" fontId="7" fillId="6" borderId="2" xfId="0" applyFont="1" applyFill="1" applyBorder="1"/>
    <xf numFmtId="0" fontId="7" fillId="6" borderId="2" xfId="0" applyFont="1" applyFill="1" applyBorder="1" applyAlignment="1">
      <alignment horizontal="center" vertical="center"/>
    </xf>
    <xf numFmtId="0" fontId="7" fillId="5" borderId="2" xfId="0" applyFont="1" applyFill="1" applyBorder="1"/>
    <xf numFmtId="0" fontId="7" fillId="6" borderId="3" xfId="0" applyFont="1" applyFill="1" applyBorder="1"/>
    <xf numFmtId="0" fontId="7" fillId="6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/>
    </xf>
    <xf numFmtId="3" fontId="7" fillId="6" borderId="3" xfId="0" applyNumberFormat="1" applyFont="1" applyFill="1" applyBorder="1" applyAlignment="1">
      <alignment horizontal="center"/>
    </xf>
    <xf numFmtId="0" fontId="1" fillId="6" borderId="0" xfId="0" applyFont="1" applyFill="1"/>
    <xf numFmtId="0" fontId="7" fillId="6" borderId="2" xfId="0" applyFont="1" applyFill="1" applyBorder="1" applyAlignment="1">
      <alignment horizontal="center"/>
    </xf>
    <xf numFmtId="3" fontId="7" fillId="6" borderId="2" xfId="0" applyNumberFormat="1" applyFont="1" applyFill="1" applyBorder="1" applyAlignment="1">
      <alignment horizontal="center"/>
    </xf>
    <xf numFmtId="0" fontId="12" fillId="0" borderId="2" xfId="0" applyFont="1" applyBorder="1"/>
    <xf numFmtId="0" fontId="7" fillId="0" borderId="3" xfId="0" applyFont="1" applyBorder="1" applyAlignment="1">
      <alignment vertical="top"/>
    </xf>
    <xf numFmtId="0" fontId="7" fillId="0" borderId="3" xfId="0" applyFont="1" applyBorder="1" applyAlignment="1">
      <alignment vertical="top" wrapText="1"/>
    </xf>
    <xf numFmtId="0" fontId="7" fillId="7" borderId="2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12" fillId="0" borderId="3" xfId="0" applyFont="1" applyBorder="1"/>
    <xf numFmtId="0" fontId="12" fillId="0" borderId="3" xfId="0" applyFont="1" applyBorder="1" applyAlignment="1">
      <alignment vertical="top"/>
    </xf>
    <xf numFmtId="0" fontId="11" fillId="0" borderId="1" xfId="0" applyFont="1" applyBorder="1" applyAlignment="1">
      <alignment vertical="center"/>
    </xf>
    <xf numFmtId="0" fontId="6" fillId="3" borderId="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/>
    </xf>
    <xf numFmtId="3" fontId="7" fillId="0" borderId="2" xfId="0" applyNumberFormat="1" applyFont="1" applyBorder="1" applyAlignment="1">
      <alignment horizontal="right"/>
    </xf>
    <xf numFmtId="0" fontId="6" fillId="3" borderId="2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 wrapText="1"/>
    </xf>
    <xf numFmtId="0" fontId="7" fillId="7" borderId="2" xfId="0" applyFont="1" applyFill="1" applyBorder="1" applyAlignment="1">
      <alignment horizontal="left"/>
    </xf>
    <xf numFmtId="0" fontId="7" fillId="7" borderId="2" xfId="0" applyFont="1" applyFill="1" applyBorder="1" applyAlignment="1">
      <alignment horizontal="left" wrapText="1"/>
    </xf>
    <xf numFmtId="0" fontId="6" fillId="7" borderId="2" xfId="0" applyFont="1" applyFill="1" applyBorder="1" applyAlignment="1">
      <alignment horizontal="left" wrapText="1"/>
    </xf>
    <xf numFmtId="0" fontId="7" fillId="7" borderId="2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wrapText="1"/>
    </xf>
    <xf numFmtId="0" fontId="7" fillId="0" borderId="2" xfId="0" applyFont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3" fontId="7" fillId="0" borderId="1" xfId="0" applyNumberFormat="1" applyFont="1" applyBorder="1" applyAlignment="1">
      <alignment horizontal="center"/>
    </xf>
    <xf numFmtId="0" fontId="13" fillId="0" borderId="2" xfId="0" applyFont="1" applyBorder="1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center" wrapText="1"/>
    </xf>
    <xf numFmtId="0" fontId="7" fillId="0" borderId="6" xfId="0" applyFont="1" applyBorder="1"/>
    <xf numFmtId="0" fontId="1" fillId="0" borderId="1" xfId="0" applyFont="1" applyBorder="1" applyAlignment="1">
      <alignment vertical="center" wrapText="1"/>
    </xf>
    <xf numFmtId="0" fontId="7" fillId="0" borderId="4" xfId="0" applyFont="1" applyBorder="1"/>
    <xf numFmtId="0" fontId="1" fillId="0" borderId="2" xfId="0" applyFont="1" applyBorder="1" applyAlignment="1">
      <alignment vertical="center" wrapText="1"/>
    </xf>
    <xf numFmtId="0" fontId="7" fillId="0" borderId="6" xfId="0" applyFont="1" applyBorder="1" applyAlignment="1">
      <alignment horizontal="left" wrapText="1"/>
    </xf>
    <xf numFmtId="0" fontId="7" fillId="3" borderId="6" xfId="0" applyFont="1" applyFill="1" applyBorder="1" applyAlignment="1">
      <alignment wrapText="1"/>
    </xf>
    <xf numFmtId="3" fontId="1" fillId="0" borderId="2" xfId="0" applyNumberFormat="1" applyFont="1" applyBorder="1" applyAlignment="1">
      <alignment horizontal="center"/>
    </xf>
    <xf numFmtId="0" fontId="12" fillId="3" borderId="0" xfId="0" applyFont="1" applyFill="1" applyAlignment="1">
      <alignment horizontal="left"/>
    </xf>
    <xf numFmtId="0" fontId="1" fillId="0" borderId="2" xfId="0" applyFont="1" applyBorder="1" applyAlignment="1">
      <alignment horizontal="left"/>
    </xf>
    <xf numFmtId="0" fontId="12" fillId="3" borderId="2" xfId="0" applyFont="1" applyFill="1" applyBorder="1" applyAlignment="1">
      <alignment horizontal="left"/>
    </xf>
    <xf numFmtId="0" fontId="14" fillId="0" borderId="2" xfId="0" applyFont="1" applyBorder="1" applyAlignment="1">
      <alignment wrapText="1"/>
    </xf>
    <xf numFmtId="0" fontId="7" fillId="0" borderId="6" xfId="0" applyFont="1" applyBorder="1" applyAlignment="1">
      <alignment horizontal="left"/>
    </xf>
    <xf numFmtId="4" fontId="7" fillId="0" borderId="2" xfId="0" applyNumberFormat="1" applyFont="1" applyBorder="1"/>
    <xf numFmtId="0" fontId="15" fillId="0" borderId="2" xfId="0" applyFont="1" applyBorder="1" applyAlignment="1">
      <alignment horizontal="center" vertical="center"/>
    </xf>
    <xf numFmtId="0" fontId="15" fillId="0" borderId="2" xfId="0" applyFont="1" applyBorder="1"/>
    <xf numFmtId="0" fontId="15" fillId="0" borderId="2" xfId="0" applyFont="1" applyBorder="1" applyAlignment="1">
      <alignment horizontal="center"/>
    </xf>
    <xf numFmtId="0" fontId="7" fillId="0" borderId="4" xfId="0" applyFont="1" applyBorder="1" applyAlignment="1">
      <alignment horizontal="left"/>
    </xf>
    <xf numFmtId="4" fontId="7" fillId="0" borderId="2" xfId="0" applyNumberFormat="1" applyFont="1" applyBorder="1" applyAlignment="1">
      <alignment wrapText="1"/>
    </xf>
    <xf numFmtId="3" fontId="1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3" fontId="15" fillId="0" borderId="2" xfId="0" applyNumberFormat="1" applyFont="1" applyBorder="1" applyAlignment="1">
      <alignment horizontal="center"/>
    </xf>
    <xf numFmtId="0" fontId="15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wrapText="1"/>
    </xf>
    <xf numFmtId="3" fontId="1" fillId="0" borderId="2" xfId="0" applyNumberFormat="1" applyFont="1" applyBorder="1" applyAlignment="1">
      <alignment horizontal="center" vertical="center"/>
    </xf>
    <xf numFmtId="0" fontId="16" fillId="0" borderId="2" xfId="0" applyFont="1" applyBorder="1"/>
    <xf numFmtId="0" fontId="7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wrapText="1"/>
    </xf>
    <xf numFmtId="3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 wrapText="1"/>
    </xf>
    <xf numFmtId="3" fontId="1" fillId="0" borderId="0" xfId="0" applyNumberFormat="1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15" fillId="0" borderId="0" xfId="0" applyFont="1"/>
    <xf numFmtId="3" fontId="8" fillId="0" borderId="2" xfId="0" applyNumberFormat="1" applyFont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0" fontId="11" fillId="0" borderId="2" xfId="0" applyFont="1" applyBorder="1" applyAlignment="1">
      <alignment vertical="center"/>
    </xf>
    <xf numFmtId="0" fontId="8" fillId="0" borderId="6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164" fontId="7" fillId="0" borderId="2" xfId="0" applyNumberFormat="1" applyFont="1" applyBorder="1" applyAlignment="1">
      <alignment horizontal="right" wrapText="1"/>
    </xf>
    <xf numFmtId="3" fontId="7" fillId="0" borderId="2" xfId="0" applyNumberFormat="1" applyFont="1" applyBorder="1" applyAlignment="1">
      <alignment horizontal="right" wrapText="1"/>
    </xf>
    <xf numFmtId="3" fontId="7" fillId="3" borderId="2" xfId="0" applyNumberFormat="1" applyFont="1" applyFill="1" applyBorder="1" applyAlignment="1">
      <alignment horizontal="right"/>
    </xf>
    <xf numFmtId="0" fontId="10" fillId="0" borderId="2" xfId="0" applyFont="1" applyBorder="1" applyAlignment="1">
      <alignment vertical="center"/>
    </xf>
    <xf numFmtId="0" fontId="7" fillId="5" borderId="2" xfId="0" applyFont="1" applyFill="1" applyBorder="1" applyAlignment="1">
      <alignment horizontal="left" vertical="center"/>
    </xf>
    <xf numFmtId="0" fontId="8" fillId="5" borderId="2" xfId="0" applyFont="1" applyFill="1" applyBorder="1"/>
    <xf numFmtId="0" fontId="7" fillId="5" borderId="2" xfId="0" applyFont="1" applyFill="1" applyBorder="1" applyAlignment="1">
      <alignment wrapText="1"/>
    </xf>
    <xf numFmtId="0" fontId="7" fillId="5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7" fillId="5" borderId="2" xfId="0" applyFont="1" applyFill="1" applyBorder="1" applyAlignment="1">
      <alignment horizontal="center"/>
    </xf>
    <xf numFmtId="3" fontId="7" fillId="5" borderId="2" xfId="0" applyNumberFormat="1" applyFont="1" applyFill="1" applyBorder="1" applyAlignment="1">
      <alignment horizontal="center"/>
    </xf>
    <xf numFmtId="0" fontId="8" fillId="6" borderId="2" xfId="0" applyFont="1" applyFill="1" applyBorder="1"/>
    <xf numFmtId="0" fontId="7" fillId="6" borderId="2" xfId="0" applyFont="1" applyFill="1" applyBorder="1" applyAlignment="1">
      <alignment wrapText="1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7" fillId="6" borderId="5" xfId="0" applyFont="1" applyFill="1" applyBorder="1"/>
    <xf numFmtId="0" fontId="7" fillId="6" borderId="5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/>
    </xf>
    <xf numFmtId="3" fontId="7" fillId="6" borderId="5" xfId="0" applyNumberFormat="1" applyFont="1" applyFill="1" applyBorder="1" applyAlignment="1">
      <alignment horizontal="center"/>
    </xf>
    <xf numFmtId="0" fontId="7" fillId="0" borderId="7" xfId="0" applyFont="1" applyBorder="1"/>
    <xf numFmtId="0" fontId="7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/>
    </xf>
    <xf numFmtId="3" fontId="7" fillId="0" borderId="7" xfId="0" applyNumberFormat="1" applyFont="1" applyBorder="1" applyAlignment="1">
      <alignment horizontal="center"/>
    </xf>
    <xf numFmtId="0" fontId="1" fillId="0" borderId="8" xfId="0" applyFont="1" applyBorder="1"/>
    <xf numFmtId="3" fontId="7" fillId="2" borderId="2" xfId="0" applyNumberFormat="1" applyFont="1" applyFill="1" applyBorder="1" applyAlignment="1">
      <alignment horizontal="right"/>
    </xf>
    <xf numFmtId="0" fontId="1" fillId="6" borderId="1" xfId="0" applyFont="1" applyFill="1" applyBorder="1"/>
    <xf numFmtId="3" fontId="7" fillId="6" borderId="2" xfId="0" applyNumberFormat="1" applyFont="1" applyFill="1" applyBorder="1" applyAlignment="1">
      <alignment horizontal="right"/>
    </xf>
    <xf numFmtId="0" fontId="6" fillId="0" borderId="2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41" fontId="3" fillId="0" borderId="2" xfId="0" applyNumberFormat="1" applyFont="1" applyBorder="1" applyAlignment="1">
      <alignment horizontal="center"/>
    </xf>
    <xf numFmtId="0" fontId="15" fillId="0" borderId="3" xfId="0" applyFont="1" applyBorder="1" applyAlignment="1">
      <alignment horizontal="left" vertical="center"/>
    </xf>
    <xf numFmtId="0" fontId="15" fillId="0" borderId="3" xfId="0" applyFont="1" applyBorder="1" applyAlignment="1">
      <alignment horizontal="center" vertical="center"/>
    </xf>
    <xf numFmtId="167" fontId="1" fillId="0" borderId="2" xfId="0" applyNumberFormat="1" applyFont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41" fontId="1" fillId="0" borderId="2" xfId="0" applyNumberFormat="1" applyFont="1" applyBorder="1"/>
    <xf numFmtId="3" fontId="1" fillId="0" borderId="2" xfId="0" applyNumberFormat="1" applyFont="1" applyBorder="1"/>
    <xf numFmtId="0" fontId="1" fillId="0" borderId="2" xfId="0" quotePrefix="1" applyFont="1" applyBorder="1" applyAlignment="1">
      <alignment horizontal="center" vertical="center"/>
    </xf>
    <xf numFmtId="0" fontId="1" fillId="4" borderId="2" xfId="0" applyFont="1" applyFill="1" applyBorder="1" applyAlignment="1">
      <alignment vertical="center"/>
    </xf>
    <xf numFmtId="3" fontId="1" fillId="4" borderId="2" xfId="0" applyNumberFormat="1" applyFont="1" applyFill="1" applyBorder="1" applyAlignment="1">
      <alignment horizontal="center" vertical="center"/>
    </xf>
    <xf numFmtId="41" fontId="1" fillId="4" borderId="2" xfId="0" applyNumberFormat="1" applyFont="1" applyFill="1" applyBorder="1"/>
    <xf numFmtId="0" fontId="1" fillId="8" borderId="2" xfId="0" applyFont="1" applyFill="1" applyBorder="1" applyAlignment="1">
      <alignment horizontal="center" vertical="center"/>
    </xf>
    <xf numFmtId="4" fontId="1" fillId="0" borderId="2" xfId="0" applyNumberFormat="1" applyFont="1" applyBorder="1" applyAlignment="1">
      <alignment horizontal="center"/>
    </xf>
    <xf numFmtId="167" fontId="1" fillId="0" borderId="2" xfId="0" applyNumberFormat="1" applyFont="1" applyBorder="1" applyAlignment="1">
      <alignment horizontal="center" vertical="center"/>
    </xf>
    <xf numFmtId="0" fontId="1" fillId="4" borderId="2" xfId="0" applyFont="1" applyFill="1" applyBorder="1" applyAlignment="1">
      <alignment wrapText="1"/>
    </xf>
    <xf numFmtId="167" fontId="1" fillId="4" borderId="2" xfId="0" applyNumberFormat="1" applyFont="1" applyFill="1" applyBorder="1" applyAlignment="1">
      <alignment horizontal="center" vertical="center"/>
    </xf>
    <xf numFmtId="41" fontId="1" fillId="0" borderId="0" xfId="0" applyNumberFormat="1" applyFont="1"/>
    <xf numFmtId="0" fontId="1" fillId="0" borderId="3" xfId="0" applyFont="1" applyBorder="1"/>
    <xf numFmtId="3" fontId="1" fillId="0" borderId="3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/>
    <xf numFmtId="167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167" fontId="1" fillId="0" borderId="2" xfId="0" applyNumberFormat="1" applyFont="1" applyBorder="1"/>
    <xf numFmtId="0" fontId="1" fillId="0" borderId="3" xfId="0" applyFont="1" applyBorder="1" applyAlignment="1">
      <alignment horizontal="center"/>
    </xf>
    <xf numFmtId="0" fontId="3" fillId="0" borderId="0" xfId="0" applyFont="1"/>
    <xf numFmtId="0" fontId="3" fillId="0" borderId="2" xfId="0" applyFont="1" applyBorder="1" applyAlignment="1">
      <alignment horizontal="center" wrapText="1"/>
    </xf>
    <xf numFmtId="0" fontId="3" fillId="0" borderId="2" xfId="0" applyFont="1" applyBorder="1"/>
    <xf numFmtId="0" fontId="4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4" fillId="0" borderId="2" xfId="0" quotePrefix="1" applyFont="1" applyBorder="1" applyAlignment="1">
      <alignment horizontal="center"/>
    </xf>
    <xf numFmtId="0" fontId="18" fillId="0" borderId="2" xfId="0" applyFont="1" applyBorder="1" applyAlignment="1">
      <alignment wrapText="1"/>
    </xf>
    <xf numFmtId="0" fontId="4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3" xfId="0" quotePrefix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19" fillId="0" borderId="2" xfId="0" applyFont="1" applyBorder="1"/>
    <xf numFmtId="0" fontId="18" fillId="0" borderId="2" xfId="0" applyFont="1" applyBorder="1" applyAlignment="1">
      <alignment horizontal="left" vertical="center" wrapText="1"/>
    </xf>
    <xf numFmtId="0" fontId="1" fillId="0" borderId="1" xfId="0" quotePrefix="1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/>
    </xf>
    <xf numFmtId="3" fontId="4" fillId="0" borderId="3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left" wrapText="1"/>
    </xf>
    <xf numFmtId="3" fontId="1" fillId="0" borderId="2" xfId="0" applyNumberFormat="1" applyFont="1" applyBorder="1" applyAlignment="1">
      <alignment horizontal="center" wrapText="1"/>
    </xf>
    <xf numFmtId="3" fontId="1" fillId="0" borderId="3" xfId="0" applyNumberFormat="1" applyFont="1" applyBorder="1" applyAlignment="1">
      <alignment horizontal="center" vertical="center"/>
    </xf>
    <xf numFmtId="3" fontId="21" fillId="0" borderId="1" xfId="0" applyNumberFormat="1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/>
    </xf>
    <xf numFmtId="0" fontId="1" fillId="0" borderId="0" xfId="0" applyFont="1" applyAlignment="1">
      <alignment vertical="center"/>
    </xf>
    <xf numFmtId="165" fontId="8" fillId="0" borderId="2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/>
    </xf>
    <xf numFmtId="165" fontId="1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22" fillId="0" borderId="0" xfId="0" applyFont="1" applyAlignment="1">
      <alignment horizontal="center"/>
    </xf>
    <xf numFmtId="0" fontId="15" fillId="0" borderId="2" xfId="0" quotePrefix="1" applyFont="1" applyBorder="1" applyAlignment="1">
      <alignment horizontal="center"/>
    </xf>
    <xf numFmtId="0" fontId="4" fillId="0" borderId="2" xfId="0" applyFont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vertical="center" wrapText="1"/>
    </xf>
    <xf numFmtId="3" fontId="4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3" fontId="11" fillId="0" borderId="1" xfId="0" applyNumberFormat="1" applyFont="1" applyBorder="1" applyAlignment="1">
      <alignment horizontal="center" vertical="center" wrapText="1"/>
    </xf>
    <xf numFmtId="3" fontId="23" fillId="0" borderId="1" xfId="0" applyNumberFormat="1" applyFont="1" applyBorder="1" applyAlignment="1">
      <alignment horizontal="center" vertical="center" wrapText="1"/>
    </xf>
    <xf numFmtId="3" fontId="21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1" fillId="0" borderId="2" xfId="0" quotePrefix="1" applyFont="1" applyBorder="1" applyAlignment="1">
      <alignment horizontal="center"/>
    </xf>
    <xf numFmtId="0" fontId="1" fillId="7" borderId="2" xfId="0" applyFont="1" applyFill="1" applyBorder="1" applyAlignment="1">
      <alignment wrapText="1"/>
    </xf>
    <xf numFmtId="0" fontId="23" fillId="0" borderId="2" xfId="0" applyFont="1" applyBorder="1" applyAlignment="1">
      <alignment horizontal="center" vertical="center" wrapText="1"/>
    </xf>
    <xf numFmtId="3" fontId="1" fillId="0" borderId="2" xfId="0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1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3" fontId="11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2" xfId="0" applyFont="1" applyBorder="1" applyAlignment="1">
      <alignment wrapText="1"/>
    </xf>
    <xf numFmtId="0" fontId="1" fillId="9" borderId="1" xfId="0" applyFont="1" applyFill="1" applyBorder="1" applyAlignment="1">
      <alignment vertical="center"/>
    </xf>
    <xf numFmtId="0" fontId="1" fillId="9" borderId="2" xfId="0" applyFont="1" applyFill="1" applyBorder="1"/>
    <xf numFmtId="0" fontId="1" fillId="9" borderId="2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3" fontId="1" fillId="9" borderId="2" xfId="0" applyNumberFormat="1" applyFont="1" applyFill="1" applyBorder="1" applyAlignment="1">
      <alignment horizontal="center" vertical="center"/>
    </xf>
    <xf numFmtId="3" fontId="1" fillId="9" borderId="1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/>
    </xf>
    <xf numFmtId="0" fontId="3" fillId="10" borderId="2" xfId="0" applyFont="1" applyFill="1" applyBorder="1"/>
    <xf numFmtId="3" fontId="1" fillId="0" borderId="0" xfId="0" applyNumberFormat="1" applyFont="1" applyAlignment="1">
      <alignment horizontal="center" vertical="center" wrapText="1"/>
    </xf>
    <xf numFmtId="3" fontId="1" fillId="0" borderId="5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3" fontId="7" fillId="0" borderId="1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/>
    </xf>
    <xf numFmtId="0" fontId="25" fillId="0" borderId="1" xfId="0" applyFont="1" applyBorder="1" applyAlignment="1">
      <alignment vertical="center"/>
    </xf>
    <xf numFmtId="0" fontId="26" fillId="0" borderId="2" xfId="0" applyFont="1" applyBorder="1" applyAlignment="1">
      <alignment horizontal="center"/>
    </xf>
    <xf numFmtId="3" fontId="21" fillId="0" borderId="2" xfId="0" applyNumberFormat="1" applyFont="1" applyBorder="1" applyAlignment="1">
      <alignment horizontal="center"/>
    </xf>
    <xf numFmtId="0" fontId="1" fillId="11" borderId="1" xfId="0" applyFont="1" applyFill="1" applyBorder="1" applyAlignment="1">
      <alignment vertical="center"/>
    </xf>
    <xf numFmtId="0" fontId="1" fillId="11" borderId="2" xfId="0" applyFont="1" applyFill="1" applyBorder="1"/>
    <xf numFmtId="0" fontId="1" fillId="11" borderId="2" xfId="0" applyFont="1" applyFill="1" applyBorder="1" applyAlignment="1">
      <alignment wrapText="1"/>
    </xf>
    <xf numFmtId="0" fontId="1" fillId="11" borderId="2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3" fontId="1" fillId="11" borderId="2" xfId="0" applyNumberFormat="1" applyFont="1" applyFill="1" applyBorder="1" applyAlignment="1">
      <alignment horizontal="center" vertical="center"/>
    </xf>
    <xf numFmtId="3" fontId="1" fillId="11" borderId="1" xfId="0" applyNumberFormat="1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/>
    </xf>
    <xf numFmtId="0" fontId="8" fillId="11" borderId="2" xfId="0" applyFont="1" applyFill="1" applyBorder="1" applyAlignment="1">
      <alignment wrapText="1"/>
    </xf>
    <xf numFmtId="0" fontId="1" fillId="11" borderId="2" xfId="0" applyFont="1" applyFill="1" applyBorder="1" applyAlignment="1">
      <alignment vertical="center"/>
    </xf>
    <xf numFmtId="0" fontId="4" fillId="11" borderId="2" xfId="0" applyFont="1" applyFill="1" applyBorder="1" applyAlignment="1">
      <alignment horizontal="left" vertical="center"/>
    </xf>
    <xf numFmtId="3" fontId="1" fillId="11" borderId="2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wrapText="1"/>
    </xf>
    <xf numFmtId="0" fontId="1" fillId="11" borderId="2" xfId="0" applyFont="1" applyFill="1" applyBorder="1" applyAlignment="1">
      <alignment vertical="center" wrapText="1"/>
    </xf>
    <xf numFmtId="0" fontId="1" fillId="11" borderId="2" xfId="0" applyFont="1" applyFill="1" applyBorder="1" applyAlignment="1">
      <alignment horizontal="center" wrapText="1"/>
    </xf>
    <xf numFmtId="3" fontId="1" fillId="11" borderId="2" xfId="0" applyNumberFormat="1" applyFont="1" applyFill="1" applyBorder="1" applyAlignment="1">
      <alignment horizontal="center"/>
    </xf>
    <xf numFmtId="0" fontId="1" fillId="11" borderId="1" xfId="0" applyFont="1" applyFill="1" applyBorder="1"/>
    <xf numFmtId="0" fontId="8" fillId="11" borderId="1" xfId="0" applyFont="1" applyFill="1" applyBorder="1" applyAlignment="1">
      <alignment wrapText="1"/>
    </xf>
    <xf numFmtId="0" fontId="8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8" fillId="0" borderId="1" xfId="0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11" fillId="0" borderId="1" xfId="0" applyFont="1" applyBorder="1"/>
    <xf numFmtId="0" fontId="11" fillId="0" borderId="2" xfId="0" applyFont="1" applyBorder="1" applyAlignment="1">
      <alignment vertical="center" wrapText="1"/>
    </xf>
    <xf numFmtId="3" fontId="11" fillId="0" borderId="2" xfId="0" applyNumberFormat="1" applyFont="1" applyBorder="1" applyAlignment="1">
      <alignment horizontal="center" vertical="center"/>
    </xf>
    <xf numFmtId="167" fontId="11" fillId="0" borderId="1" xfId="0" applyNumberFormat="1" applyFont="1" applyBorder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" fillId="0" borderId="5" xfId="0" applyFont="1" applyBorder="1" applyAlignment="1">
      <alignment wrapText="1"/>
    </xf>
    <xf numFmtId="3" fontId="21" fillId="0" borderId="2" xfId="0" applyNumberFormat="1" applyFont="1" applyBorder="1" applyAlignment="1">
      <alignment horizontal="center" vertical="center" wrapText="1"/>
    </xf>
    <xf numFmtId="3" fontId="21" fillId="0" borderId="5" xfId="0" applyNumberFormat="1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/>
    </xf>
    <xf numFmtId="3" fontId="11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1" fillId="0" borderId="1" xfId="0" quotePrefix="1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0" fontId="23" fillId="0" borderId="2" xfId="0" applyFont="1" applyBorder="1" applyAlignment="1">
      <alignment horizontal="center" wrapText="1"/>
    </xf>
    <xf numFmtId="4" fontId="1" fillId="0" borderId="2" xfId="0" applyNumberFormat="1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11" fillId="0" borderId="0" xfId="0" applyFont="1"/>
    <xf numFmtId="3" fontId="1" fillId="0" borderId="3" xfId="0" applyNumberFormat="1" applyFont="1" applyBorder="1" applyAlignment="1">
      <alignment horizontal="center" vertical="center" wrapText="1"/>
    </xf>
    <xf numFmtId="0" fontId="15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0" fontId="11" fillId="0" borderId="2" xfId="0" quotePrefix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3" fontId="11" fillId="0" borderId="5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3" fontId="11" fillId="0" borderId="3" xfId="0" applyNumberFormat="1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167" fontId="11" fillId="0" borderId="2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3" fontId="29" fillId="0" borderId="2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3" fontId="11" fillId="0" borderId="2" xfId="0" applyNumberFormat="1" applyFont="1" applyBorder="1" applyAlignment="1">
      <alignment horizontal="center" wrapText="1"/>
    </xf>
    <xf numFmtId="3" fontId="11" fillId="0" borderId="3" xfId="0" applyNumberFormat="1" applyFont="1" applyBorder="1" applyAlignment="1">
      <alignment horizontal="center" wrapText="1"/>
    </xf>
    <xf numFmtId="0" fontId="11" fillId="0" borderId="3" xfId="0" applyFont="1" applyBorder="1" applyAlignment="1">
      <alignment vertical="center"/>
    </xf>
    <xf numFmtId="0" fontId="11" fillId="0" borderId="3" xfId="0" applyFont="1" applyBorder="1" applyAlignment="1">
      <alignment horizontal="center"/>
    </xf>
    <xf numFmtId="0" fontId="27" fillId="0" borderId="1" xfId="0" applyFont="1" applyBorder="1" applyAlignment="1">
      <alignment vertical="center"/>
    </xf>
    <xf numFmtId="3" fontId="11" fillId="0" borderId="2" xfId="0" applyNumberFormat="1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/>
    </xf>
    <xf numFmtId="3" fontId="1" fillId="0" borderId="0" xfId="0" applyNumberFormat="1" applyFont="1"/>
    <xf numFmtId="0" fontId="7" fillId="0" borderId="2" xfId="0" applyFont="1" applyBorder="1" applyAlignment="1">
      <alignment vertical="top"/>
    </xf>
    <xf numFmtId="49" fontId="7" fillId="3" borderId="2" xfId="0" applyNumberFormat="1" applyFont="1" applyFill="1" applyBorder="1"/>
    <xf numFmtId="0" fontId="31" fillId="3" borderId="2" xfId="0" applyFont="1" applyFill="1" applyBorder="1" applyAlignment="1">
      <alignment horizontal="center"/>
    </xf>
    <xf numFmtId="0" fontId="31" fillId="3" borderId="6" xfId="0" applyFont="1" applyFill="1" applyBorder="1" applyAlignment="1">
      <alignment horizontal="center"/>
    </xf>
    <xf numFmtId="0" fontId="32" fillId="3" borderId="6" xfId="0" applyFont="1" applyFill="1" applyBorder="1" applyAlignment="1">
      <alignment horizontal="center"/>
    </xf>
    <xf numFmtId="0" fontId="31" fillId="3" borderId="0" xfId="0" applyFont="1" applyFill="1" applyAlignment="1">
      <alignment horizontal="center"/>
    </xf>
    <xf numFmtId="0" fontId="33" fillId="3" borderId="3" xfId="0" applyFont="1" applyFill="1" applyBorder="1" applyAlignment="1">
      <alignment horizontal="center"/>
    </xf>
    <xf numFmtId="0" fontId="32" fillId="3" borderId="4" xfId="0" applyFont="1" applyFill="1" applyBorder="1" applyAlignment="1">
      <alignment horizontal="center"/>
    </xf>
    <xf numFmtId="0" fontId="31" fillId="3" borderId="4" xfId="0" applyFont="1" applyFill="1" applyBorder="1" applyAlignment="1">
      <alignment horizontal="left"/>
    </xf>
    <xf numFmtId="0" fontId="31" fillId="3" borderId="4" xfId="0" applyFont="1" applyFill="1" applyBorder="1" applyAlignment="1">
      <alignment horizontal="center"/>
    </xf>
    <xf numFmtId="0" fontId="31" fillId="3" borderId="4" xfId="0" applyFont="1" applyFill="1" applyBorder="1"/>
    <xf numFmtId="0" fontId="33" fillId="3" borderId="4" xfId="0" applyFont="1" applyFill="1" applyBorder="1" applyAlignment="1">
      <alignment horizontal="left"/>
    </xf>
    <xf numFmtId="0" fontId="33" fillId="3" borderId="4" xfId="0" applyFont="1" applyFill="1" applyBorder="1"/>
    <xf numFmtId="0" fontId="33" fillId="0" borderId="0" xfId="0" applyFont="1"/>
    <xf numFmtId="167" fontId="31" fillId="3" borderId="4" xfId="0" applyNumberFormat="1" applyFont="1" applyFill="1" applyBorder="1"/>
    <xf numFmtId="0" fontId="34" fillId="3" borderId="4" xfId="0" applyFont="1" applyFill="1" applyBorder="1"/>
    <xf numFmtId="0" fontId="35" fillId="3" borderId="4" xfId="0" applyFont="1" applyFill="1" applyBorder="1"/>
    <xf numFmtId="0" fontId="36" fillId="3" borderId="4" xfId="0" applyFont="1" applyFill="1" applyBorder="1"/>
    <xf numFmtId="0" fontId="37" fillId="3" borderId="4" xfId="0" applyFont="1" applyFill="1" applyBorder="1"/>
    <xf numFmtId="0" fontId="38" fillId="3" borderId="4" xfId="0" applyFont="1" applyFill="1" applyBorder="1"/>
    <xf numFmtId="0" fontId="31" fillId="3" borderId="4" xfId="0" applyFont="1" applyFill="1" applyBorder="1" applyAlignment="1">
      <alignment horizontal="right"/>
    </xf>
    <xf numFmtId="0" fontId="39" fillId="3" borderId="4" xfId="0" applyFont="1" applyFill="1" applyBorder="1" applyAlignment="1">
      <alignment horizontal="center"/>
    </xf>
    <xf numFmtId="0" fontId="31" fillId="3" borderId="3" xfId="0" applyFont="1" applyFill="1" applyBorder="1" applyAlignment="1">
      <alignment horizontal="center"/>
    </xf>
    <xf numFmtId="0" fontId="31" fillId="3" borderId="0" xfId="0" applyFont="1" applyFill="1"/>
    <xf numFmtId="0" fontId="40" fillId="3" borderId="4" xfId="0" applyFont="1" applyFill="1" applyBorder="1"/>
    <xf numFmtId="0" fontId="30" fillId="3" borderId="4" xfId="0" applyFont="1" applyFill="1" applyBorder="1" applyAlignment="1">
      <alignment horizontal="left"/>
    </xf>
    <xf numFmtId="0" fontId="41" fillId="3" borderId="4" xfId="0" applyFont="1" applyFill="1" applyBorder="1"/>
    <xf numFmtId="167" fontId="31" fillId="3" borderId="4" xfId="0" applyNumberFormat="1" applyFont="1" applyFill="1" applyBorder="1" applyAlignment="1">
      <alignment horizontal="center"/>
    </xf>
    <xf numFmtId="0" fontId="31" fillId="3" borderId="4" xfId="0" quotePrefix="1" applyFont="1" applyFill="1" applyBorder="1"/>
    <xf numFmtId="168" fontId="31" fillId="3" borderId="4" xfId="0" applyNumberFormat="1" applyFont="1" applyFill="1" applyBorder="1"/>
    <xf numFmtId="0" fontId="42" fillId="3" borderId="4" xfId="0" applyFont="1" applyFill="1" applyBorder="1"/>
    <xf numFmtId="0" fontId="31" fillId="3" borderId="0" xfId="0" applyFont="1" applyFill="1" applyAlignment="1">
      <alignment horizontal="left"/>
    </xf>
    <xf numFmtId="0" fontId="43" fillId="3" borderId="4" xfId="0" applyFont="1" applyFill="1" applyBorder="1"/>
    <xf numFmtId="0" fontId="43" fillId="3" borderId="4" xfId="0" applyFont="1" applyFill="1" applyBorder="1" applyAlignment="1">
      <alignment horizontal="left"/>
    </xf>
    <xf numFmtId="0" fontId="43" fillId="3" borderId="4" xfId="0" applyFont="1" applyFill="1" applyBorder="1" applyAlignment="1">
      <alignment horizontal="center"/>
    </xf>
    <xf numFmtId="0" fontId="44" fillId="3" borderId="4" xfId="0" applyFont="1" applyFill="1" applyBorder="1"/>
    <xf numFmtId="0" fontId="43" fillId="3" borderId="0" xfId="0" applyFont="1" applyFill="1"/>
    <xf numFmtId="169" fontId="31" fillId="3" borderId="4" xfId="0" applyNumberFormat="1" applyFont="1" applyFill="1" applyBorder="1" applyAlignment="1">
      <alignment horizontal="center"/>
    </xf>
    <xf numFmtId="0" fontId="30" fillId="3" borderId="4" xfId="0" applyFont="1" applyFill="1" applyBorder="1"/>
    <xf numFmtId="0" fontId="30" fillId="3" borderId="4" xfId="0" applyFont="1" applyFill="1" applyBorder="1" applyAlignment="1">
      <alignment horizontal="center"/>
    </xf>
    <xf numFmtId="0" fontId="30" fillId="3" borderId="0" xfId="0" applyFont="1" applyFill="1"/>
    <xf numFmtId="170" fontId="31" fillId="3" borderId="4" xfId="0" applyNumberFormat="1" applyFont="1" applyFill="1" applyBorder="1"/>
    <xf numFmtId="0" fontId="45" fillId="3" borderId="4" xfId="0" applyFont="1" applyFill="1" applyBorder="1"/>
    <xf numFmtId="167" fontId="43" fillId="3" borderId="4" xfId="0" applyNumberFormat="1" applyFont="1" applyFill="1" applyBorder="1" applyAlignment="1">
      <alignment horizontal="center"/>
    </xf>
    <xf numFmtId="0" fontId="46" fillId="3" borderId="4" xfId="0" applyFont="1" applyFill="1" applyBorder="1"/>
    <xf numFmtId="0" fontId="42" fillId="3" borderId="4" xfId="0" applyFont="1" applyFill="1" applyBorder="1" applyAlignment="1">
      <alignment horizontal="left"/>
    </xf>
    <xf numFmtId="0" fontId="47" fillId="3" borderId="4" xfId="0" applyFont="1" applyFill="1" applyBorder="1"/>
    <xf numFmtId="0" fontId="48" fillId="3" borderId="4" xfId="0" applyFont="1" applyFill="1" applyBorder="1"/>
    <xf numFmtId="15" fontId="31" fillId="3" borderId="4" xfId="0" applyNumberFormat="1" applyFont="1" applyFill="1" applyBorder="1" applyAlignment="1">
      <alignment horizontal="center"/>
    </xf>
    <xf numFmtId="0" fontId="31" fillId="0" borderId="0" xfId="0" applyFont="1"/>
    <xf numFmtId="0" fontId="31" fillId="2" borderId="0" xfId="0" applyFont="1" applyFill="1"/>
    <xf numFmtId="0" fontId="31" fillId="2" borderId="0" xfId="0" applyFont="1" applyFill="1" applyAlignment="1">
      <alignment horizontal="left"/>
    </xf>
    <xf numFmtId="0" fontId="49" fillId="12" borderId="0" xfId="0" applyFont="1" applyFill="1" applyAlignment="1">
      <alignment horizontal="center"/>
    </xf>
    <xf numFmtId="0" fontId="50" fillId="12" borderId="0" xfId="0" applyFont="1" applyFill="1"/>
    <xf numFmtId="0" fontId="50" fillId="1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1" fillId="13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6" fillId="3" borderId="2" xfId="0" applyFont="1" applyFill="1" applyBorder="1"/>
    <xf numFmtId="0" fontId="1" fillId="0" borderId="0" xfId="0" applyFont="1" applyAlignment="1">
      <alignment horizontal="left"/>
    </xf>
    <xf numFmtId="0" fontId="1" fillId="14" borderId="2" xfId="0" applyFont="1" applyFill="1" applyBorder="1" applyAlignment="1">
      <alignment horizontal="center"/>
    </xf>
    <xf numFmtId="0" fontId="1" fillId="14" borderId="2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/>
    </xf>
    <xf numFmtId="3" fontId="1" fillId="14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/>
    <xf numFmtId="0" fontId="1" fillId="15" borderId="2" xfId="0" applyFont="1" applyFill="1" applyBorder="1" applyAlignment="1">
      <alignment horizontal="center"/>
    </xf>
    <xf numFmtId="3" fontId="1" fillId="15" borderId="2" xfId="0" applyNumberFormat="1" applyFont="1" applyFill="1" applyBorder="1" applyAlignment="1">
      <alignment horizontal="center"/>
    </xf>
    <xf numFmtId="0" fontId="6" fillId="3" borderId="3" xfId="0" applyFont="1" applyFill="1" applyBorder="1"/>
    <xf numFmtId="0" fontId="1" fillId="3" borderId="0" xfId="0" applyFont="1" applyFill="1"/>
    <xf numFmtId="0" fontId="51" fillId="3" borderId="0" xfId="0" applyFont="1" applyFill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3" fillId="3" borderId="0" xfId="0" applyFont="1" applyFill="1"/>
    <xf numFmtId="0" fontId="53" fillId="16" borderId="0" xfId="0" applyFont="1" applyFill="1"/>
    <xf numFmtId="0" fontId="54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51" fillId="16" borderId="0" xfId="0" applyFont="1" applyFill="1" applyAlignment="1">
      <alignment horizontal="center" vertical="center"/>
    </xf>
    <xf numFmtId="0" fontId="0" fillId="0" borderId="0" xfId="0"/>
    <xf numFmtId="0" fontId="54" fillId="16" borderId="0" xfId="0" applyFont="1" applyFill="1" applyAlignment="1">
      <alignment horizontal="center"/>
    </xf>
    <xf numFmtId="0" fontId="54" fillId="12" borderId="0" xfId="0" applyFont="1" applyFill="1" applyAlignment="1">
      <alignment horizontal="center"/>
    </xf>
    <xf numFmtId="0" fontId="55" fillId="12" borderId="0" xfId="0" applyFont="1" applyFill="1" applyAlignment="1">
      <alignment horizontal="center"/>
    </xf>
    <xf numFmtId="3" fontId="7" fillId="0" borderId="1" xfId="0" applyNumberFormat="1" applyFont="1" applyBorder="1" applyAlignment="1">
      <alignment horizontal="right"/>
    </xf>
    <xf numFmtId="0" fontId="17" fillId="0" borderId="5" xfId="0" applyFont="1" applyBorder="1"/>
    <xf numFmtId="0" fontId="17" fillId="0" borderId="3" xfId="0" applyFont="1" applyBorder="1"/>
    <xf numFmtId="3" fontId="7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3" fontId="4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3" fontId="1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3" borderId="1" xfId="0" applyFont="1" applyFill="1" applyBorder="1" applyAlignment="1">
      <alignment horizontal="center" vertical="center"/>
    </xf>
    <xf numFmtId="0" fontId="0" fillId="0" borderId="9" xfId="0" pivotButton="1" applyBorder="1"/>
    <xf numFmtId="0" fontId="0" fillId="0" borderId="10" xfId="0" pivotButton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7" fillId="0" borderId="19" xfId="0" applyFont="1" applyBorder="1"/>
    <xf numFmtId="0" fontId="7" fillId="0" borderId="19" xfId="0" applyFont="1" applyFill="1" applyBorder="1" applyAlignment="1">
      <alignment vertical="top"/>
    </xf>
    <xf numFmtId="0" fontId="7" fillId="0" borderId="1" xfId="0" applyFont="1" applyBorder="1" applyAlignment="1">
      <alignment vertical="top"/>
    </xf>
    <xf numFmtId="0" fontId="7" fillId="0" borderId="3" xfId="0" applyFont="1" applyBorder="1" applyAlignment="1">
      <alignment vertical="center"/>
    </xf>
    <xf numFmtId="0" fontId="0" fillId="0" borderId="19" xfId="0" applyBorder="1"/>
    <xf numFmtId="0" fontId="7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152400</xdr:colOff>
      <xdr:row>0</xdr:row>
      <xdr:rowOff>0</xdr:rowOff>
    </xdr:from>
    <xdr:ext cx="5715000" cy="1476375"/>
    <xdr:pic>
      <xdr:nvPicPr>
        <xdr:cNvPr id="106101147" name="Chart2" title="Chart">
          <a:extLst>
            <a:ext uri="{FF2B5EF4-FFF2-40B4-BE49-F238E27FC236}">
              <a16:creationId xmlns:a16="http://schemas.microsoft.com/office/drawing/2014/main" id="{00000000-0008-0000-0100-00009BF95206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152400</xdr:colOff>
      <xdr:row>7</xdr:row>
      <xdr:rowOff>180975</xdr:rowOff>
    </xdr:from>
    <xdr:ext cx="5715000" cy="3533775"/>
    <xdr:pic>
      <xdr:nvPicPr>
        <xdr:cNvPr id="1509366937" name="Chart6" title="Chart">
          <a:extLst>
            <a:ext uri="{FF2B5EF4-FFF2-40B4-BE49-F238E27FC236}">
              <a16:creationId xmlns:a16="http://schemas.microsoft.com/office/drawing/2014/main" id="{00000000-0008-0000-0100-0000991CF759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94</xdr:row>
      <xdr:rowOff>190500</xdr:rowOff>
    </xdr:from>
    <xdr:ext cx="5715000" cy="3533775"/>
    <xdr:pic>
      <xdr:nvPicPr>
        <xdr:cNvPr id="1923825342" name="Chart8" title="Chart">
          <a:extLst>
            <a:ext uri="{FF2B5EF4-FFF2-40B4-BE49-F238E27FC236}">
              <a16:creationId xmlns:a16="http://schemas.microsoft.com/office/drawing/2014/main" id="{00000000-0008-0000-0100-0000BE3EAB72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209550</xdr:colOff>
      <xdr:row>0</xdr:row>
      <xdr:rowOff>190500</xdr:rowOff>
    </xdr:from>
    <xdr:ext cx="5715000" cy="3533775"/>
    <xdr:pic>
      <xdr:nvPicPr>
        <xdr:cNvPr id="1016833961" name="Chart3" title="Chart">
          <a:extLst>
            <a:ext uri="{FF2B5EF4-FFF2-40B4-BE49-F238E27FC236}">
              <a16:creationId xmlns:a16="http://schemas.microsoft.com/office/drawing/2014/main" id="{00000000-0008-0000-0200-0000A9A79B3C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161925</xdr:colOff>
      <xdr:row>1</xdr:row>
      <xdr:rowOff>9525</xdr:rowOff>
    </xdr:from>
    <xdr:ext cx="5715000" cy="3533775"/>
    <xdr:pic>
      <xdr:nvPicPr>
        <xdr:cNvPr id="1522970992" name="Chart4" title="Chart">
          <a:extLst>
            <a:ext uri="{FF2B5EF4-FFF2-40B4-BE49-F238E27FC236}">
              <a16:creationId xmlns:a16="http://schemas.microsoft.com/office/drawing/2014/main" id="{00000000-0008-0000-0300-000070B1C65A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</xdr:row>
      <xdr:rowOff>38100</xdr:rowOff>
    </xdr:from>
    <xdr:ext cx="3829050" cy="2543175"/>
    <xdr:pic>
      <xdr:nvPicPr>
        <xdr:cNvPr id="88746869" name="Chart5" title="Chart">
          <a:extLst>
            <a:ext uri="{FF2B5EF4-FFF2-40B4-BE49-F238E27FC236}">
              <a16:creationId xmlns:a16="http://schemas.microsoft.com/office/drawing/2014/main" id="{00000000-0008-0000-0400-0000752B4A05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38100</xdr:rowOff>
    </xdr:from>
    <xdr:ext cx="3829050" cy="2543175"/>
    <xdr:pic>
      <xdr:nvPicPr>
        <xdr:cNvPr id="1008438011" name="Chart7" title="Chart">
          <a:extLst>
            <a:ext uri="{FF2B5EF4-FFF2-40B4-BE49-F238E27FC236}">
              <a16:creationId xmlns:a16="http://schemas.microsoft.com/office/drawing/2014/main" id="{00000000-0008-0000-0400-0000FB8A1B3C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21</xdr:row>
      <xdr:rowOff>200025</xdr:rowOff>
    </xdr:from>
    <xdr:ext cx="6743700" cy="2543175"/>
    <xdr:pic>
      <xdr:nvPicPr>
        <xdr:cNvPr id="1081891014" name="Chart9" title="Chart">
          <a:extLst>
            <a:ext uri="{FF2B5EF4-FFF2-40B4-BE49-F238E27FC236}">
              <a16:creationId xmlns:a16="http://schemas.microsoft.com/office/drawing/2014/main" id="{00000000-0008-0000-0400-0000C6587C40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</xdr:row>
      <xdr:rowOff>85725</xdr:rowOff>
    </xdr:from>
    <xdr:ext cx="6743700" cy="2543175"/>
    <xdr:pic>
      <xdr:nvPicPr>
        <xdr:cNvPr id="1289954188" name="Chart11" title="Chart">
          <a:extLst>
            <a:ext uri="{FF2B5EF4-FFF2-40B4-BE49-F238E27FC236}">
              <a16:creationId xmlns:a16="http://schemas.microsoft.com/office/drawing/2014/main" id="{00000000-0008-0000-0400-00008C23E34C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37</xdr:row>
      <xdr:rowOff>57150</xdr:rowOff>
    </xdr:from>
    <xdr:ext cx="6743700" cy="3533775"/>
    <xdr:pic>
      <xdr:nvPicPr>
        <xdr:cNvPr id="1448641194" name="Chart12" title="Chart">
          <a:extLst>
            <a:ext uri="{FF2B5EF4-FFF2-40B4-BE49-F238E27FC236}">
              <a16:creationId xmlns:a16="http://schemas.microsoft.com/office/drawing/2014/main" id="{00000000-0008-0000-0400-0000AA825856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</xdr:row>
      <xdr:rowOff>57150</xdr:rowOff>
    </xdr:from>
    <xdr:ext cx="3829050" cy="3533775"/>
    <xdr:pic>
      <xdr:nvPicPr>
        <xdr:cNvPr id="432827427" name="Chart14" title="Chart">
          <a:extLst>
            <a:ext uri="{FF2B5EF4-FFF2-40B4-BE49-F238E27FC236}">
              <a16:creationId xmlns:a16="http://schemas.microsoft.com/office/drawing/2014/main" id="{00000000-0008-0000-0400-0000236CCC19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142875</xdr:colOff>
      <xdr:row>1</xdr:row>
      <xdr:rowOff>28575</xdr:rowOff>
    </xdr:from>
    <xdr:ext cx="5715000" cy="3533775"/>
    <xdr:pic>
      <xdr:nvPicPr>
        <xdr:cNvPr id="1290437420" name="Chart10" title="Chart">
          <a:extLst>
            <a:ext uri="{FF2B5EF4-FFF2-40B4-BE49-F238E27FC236}">
              <a16:creationId xmlns:a16="http://schemas.microsoft.com/office/drawing/2014/main" id="{00000000-0008-0000-0700-00002C83EA4C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1485900</xdr:colOff>
      <xdr:row>4</xdr:row>
      <xdr:rowOff>152400</xdr:rowOff>
    </xdr:from>
    <xdr:to>
      <xdr:col>5</xdr:col>
      <xdr:colOff>927100</xdr:colOff>
      <xdr:row>8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55217D91-1772-AA3E-06E8-A85F771F25E9}"/>
            </a:ext>
          </a:extLst>
        </xdr:cNvPr>
        <xdr:cNvCxnSpPr/>
      </xdr:nvCxnSpPr>
      <xdr:spPr>
        <a:xfrm>
          <a:off x="6070600" y="812800"/>
          <a:ext cx="3225800" cy="50800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1358900</xdr:colOff>
      <xdr:row>4</xdr:row>
      <xdr:rowOff>152400</xdr:rowOff>
    </xdr:from>
    <xdr:to>
      <xdr:col>3</xdr:col>
      <xdr:colOff>1460500</xdr:colOff>
      <xdr:row>8</xdr:row>
      <xdr:rowOff>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FF7CE126-FA7F-984C-B2AF-326112A65ABE}"/>
            </a:ext>
          </a:extLst>
        </xdr:cNvPr>
        <xdr:cNvCxnSpPr/>
      </xdr:nvCxnSpPr>
      <xdr:spPr>
        <a:xfrm flipV="1">
          <a:off x="2184400" y="812800"/>
          <a:ext cx="3860800" cy="50800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1460500</xdr:colOff>
      <xdr:row>4</xdr:row>
      <xdr:rowOff>139700</xdr:rowOff>
    </xdr:from>
    <xdr:to>
      <xdr:col>3</xdr:col>
      <xdr:colOff>1460500</xdr:colOff>
      <xdr:row>8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5982830A-7603-484F-88F4-5ADB5B043081}"/>
            </a:ext>
          </a:extLst>
        </xdr:cNvPr>
        <xdr:cNvCxnSpPr/>
      </xdr:nvCxnSpPr>
      <xdr:spPr>
        <a:xfrm>
          <a:off x="6045200" y="800100"/>
          <a:ext cx="0" cy="52070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114300</xdr:colOff>
      <xdr:row>0</xdr:row>
      <xdr:rowOff>0</xdr:rowOff>
    </xdr:from>
    <xdr:ext cx="5715000" cy="3533775"/>
    <xdr:pic>
      <xdr:nvPicPr>
        <xdr:cNvPr id="1776259171" name="Chart13" title="Chart">
          <a:extLst>
            <a:ext uri="{FF2B5EF4-FFF2-40B4-BE49-F238E27FC236}">
              <a16:creationId xmlns:a16="http://schemas.microsoft.com/office/drawing/2014/main" id="{00000000-0008-0000-1800-00006390DF69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Priyo Hardian" refreshedDate="46303.461222453705" refreshedVersion="8" recordCount="139" xr:uid="{00000000-000A-0000-FFFF-FFFF03000000}">
  <cacheSource type="worksheet">
    <worksheetSource ref="A1:AH140" sheet="Data Guru BSW"/>
  </cacheSource>
  <cacheFields count="34">
    <cacheField name="NO" numFmtId="0">
      <sharedItems containsString="0" containsBlank="1" containsNumber="1" containsInteger="1" minValue="1" maxValue="127"/>
    </cacheField>
    <cacheField name="KET" numFmtId="0">
      <sharedItems containsBlank="1"/>
    </cacheField>
    <cacheField name="LOKASI" numFmtId="0">
      <sharedItems containsBlank="1"/>
    </cacheField>
    <cacheField name="No. Kontrak" numFmtId="0">
      <sharedItems containsString="0" containsBlank="1" containsNumber="1" containsInteger="1" minValue="1" maxValue="127"/>
    </cacheField>
    <cacheField name="BLN" numFmtId="0">
      <sharedItems containsBlank="1"/>
    </cacheField>
    <cacheField name="THN" numFmtId="0">
      <sharedItems containsString="0" containsBlank="1" containsNumber="1" containsInteger="1" minValue="2019" maxValue="2023"/>
    </cacheField>
    <cacheField name="NAMA" numFmtId="0">
      <sharedItems containsBlank="1" count="139">
        <s v="Riani Christina Tarigan"/>
        <s v="Indah Royani"/>
        <s v="Retty Narmijiani Victorya"/>
        <s v="Deasy Mulyani"/>
        <s v="Debby Sri Wanthy"/>
        <s v="Dessy Malahayati"/>
        <s v="Luluk Umi Habibah"/>
        <s v="Mochammad Fahmy Rizal"/>
        <s v="Agit Raharja"/>
        <s v="Suryandari"/>
        <s v="Inna Septy Wiamriyani"/>
        <s v="Fachrudin"/>
        <s v="Afendi"/>
        <s v="Olyverus Paebesi"/>
        <s v="Avelina Meni"/>
        <s v="Nurhalina Situmorang"/>
        <s v="Dini Moviani"/>
        <s v="Danner Hutauruk"/>
        <s v="Dewi Hariyanti"/>
        <s v="Rian Adiputra"/>
        <s v="Rudi Novianto"/>
        <s v="Lutfi Maulana Virgiansyah"/>
        <s v="Dongsi Surya Mega Waty"/>
        <s v="Devina Candrawati"/>
        <s v="Aji Setiawan"/>
        <s v="Lukas Santoso"/>
        <s v="Izzan Naufal Arifin"/>
        <s v="Tri Suranto"/>
        <s v="Rizqi Sandytama Yoga"/>
        <s v="Mashadi"/>
        <s v="Fransiskus Ony Febriyanto"/>
        <s v="Petrus Paulus Mbette S"/>
        <s v="Catharina Mulyanti"/>
        <s v="Fenita Halawa"/>
        <s v="Eva Rudwi Santi"/>
        <s v="Suwarti"/>
        <s v="Puji Pratama"/>
        <s v="Mardiana Hutasoit"/>
        <s v="Hari Sem Pandapotan"/>
        <s v="Aloysius Allen Ardi Dian Permana"/>
        <s v="Rumondang Verawati"/>
        <s v="Ribka Br. Brahmana, Spt"/>
        <s v="Titik Sumiyati"/>
        <s v="Sasi Juniarti"/>
        <s v="Posma Rido Damanik"/>
        <s v="Adrianus Hia"/>
        <s v="Deiske Daisy Lumangkun"/>
        <s v="Roy Martin"/>
        <s v="Lasriama"/>
        <s v="Shinta Prasetiawati"/>
        <s v="Maximayelus Huku"/>
        <s v="Luciana Yuniari Murwanti, SE"/>
        <s v="Yashinta Mulya Sari"/>
        <s v="Amrizal A."/>
        <s v="Sara Yolanda"/>
        <s v="Lenny Elfrida"/>
        <s v="Bryan Julius"/>
        <s v="Julianti Siringoringo"/>
        <s v="Nadia Stifani"/>
        <s v="Vivia Sukma Nanda"/>
        <s v="Theresia Silvia"/>
        <s v="Sandy Firmansyah"/>
        <s v="Dita Fajaryanti"/>
        <s v="Asri Lestari"/>
        <s v="Ratu Anita Lestari"/>
        <s v="Gesang Swadesi"/>
        <s v="Aprillianti"/>
        <s v="Budi Yuana Romli"/>
        <s v="Mikasa Andripuri"/>
        <s v="Jahacoren Parhusip, A.Md.Kom"/>
        <s v="Yulisa Trisnawati, S.Kom"/>
        <s v="Jenita Ompusunggu"/>
        <s v="Dian Pasca Silalahi"/>
        <s v="Oktaviani Hutagalung"/>
        <s v="Ester Manullang"/>
        <s v="Merita Girsang"/>
        <s v="Tio Eka Natalia Sinurat"/>
        <s v="Sediamo Manik S. Kom"/>
        <s v="Rudhy Thenu"/>
        <s v="One Kurniawan"/>
        <s v="Hendri Triatmojo"/>
        <s v="Fadhlurrahman"/>
        <s v="Kushestiningtyas Novita"/>
        <s v="Steven James"/>
        <s v="Sister P Lumbantoruan"/>
        <s v="Anto Evendi, S.Kom"/>
        <s v="Risky"/>
        <s v="Muhammad"/>
        <s v="Suryadi, S.Kom"/>
        <s v="Sabrian"/>
        <s v="Muhammad Ilham"/>
        <s v="Toni Wijayanto"/>
        <s v="Theresiea"/>
        <s v="Reza Farhan Muliawan, S. Kom"/>
        <s v="Riana Hutapea"/>
        <s v="Yurnalis Syam"/>
        <s v="Agusmawati Zandroto"/>
        <s v="Ahmad Ariadi"/>
        <s v="Cici Florencia Febryanna Siagian"/>
        <s v="Adi Kurniawan"/>
        <s v="Nissi Pangaribuan"/>
        <s v="Alfon Irawan Trihadmojo"/>
        <s v="Sahta Tarigan"/>
        <s v="Waitiomasli Tamba"/>
        <s v="Rastio Haryono"/>
        <s v="Juergen Nathanael Obednego"/>
        <s v="Afri Kumala Ningrum"/>
        <s v="Andi Setiawan"/>
        <s v="Muhammad Hilman Fakhriza"/>
        <s v="Mutiara Anggreni Sirait"/>
        <s v="Stevani Cristin Putri Br Sembiring"/>
        <s v="Ewa Pradana Putra Sembiring"/>
        <s v="Eka Supriyati"/>
        <s v="Aji Yoga Pratama"/>
        <s v="Intan Ayu Permata"/>
        <s v="Mike Novita Lusiana P."/>
        <s v="Edwin Christian Bernardo"/>
        <s v="Yosua Samuel Purba"/>
        <s v="Devia Agni Purwita Intan"/>
        <s v="Poppy Hendraswari"/>
        <s v="Rio Septa Wardhana"/>
        <s v="Veronika Entya Febria"/>
        <s v="Elsya Mega Novita Yanti"/>
        <s v="Moch. Iswan"/>
        <s v="Yohanes Oktavianto"/>
        <s v="Bayu Tirta Sartama"/>
        <s v="Ucok Meydian"/>
        <s v="Zuraidah Farah"/>
        <s v="Abisatyo Lenggono"/>
        <s v="Kuriyah"/>
        <s v="Sekar Ayu"/>
        <s v="Jejeh Fauziah"/>
        <s v="Haris Ikhsan Kusmianto"/>
        <s v="Eriza Rahma Isman P"/>
        <s v="Fani Muhzani"/>
        <s v="Sry Rahayu"/>
        <s v="Mudrika Adriana"/>
        <s v="Adam"/>
        <m/>
      </sharedItems>
    </cacheField>
    <cacheField name="T4" numFmtId="0">
      <sharedItems containsBlank="1"/>
    </cacheField>
    <cacheField name="TGL LAHIR" numFmtId="0">
      <sharedItems containsDate="1" containsBlank="1" containsMixedTypes="1" minDate="1975-11-30T00:00:00" maxDate="1900-01-08T09:41:04"/>
    </cacheField>
    <cacheField name="ALAMAT1" numFmtId="0">
      <sharedItems containsBlank="1"/>
    </cacheField>
    <cacheField name="ALAMAT2" numFmtId="0">
      <sharedItems containsBlank="1"/>
    </cacheField>
    <cacheField name="TELP" numFmtId="0">
      <sharedItems containsBlank="1" containsMixedTypes="1" containsNumber="1" containsInteger="1" minValue="8563307176" maxValue="89682719184"/>
    </cacheField>
    <cacheField name="HARI" numFmtId="0">
      <sharedItems containsBlank="1"/>
    </cacheField>
    <cacheField name="TGL KONTRAK" numFmtId="0">
      <sharedItems containsBlank="1"/>
    </cacheField>
    <cacheField name="BULAN" numFmtId="0">
      <sharedItems containsBlank="1"/>
    </cacheField>
    <cacheField name="TAHUN" numFmtId="0">
      <sharedItems containsBlank="1"/>
    </cacheField>
    <cacheField name="SEKOLAH/YAYASAN" numFmtId="0">
      <sharedItems containsBlank="1" containsMixedTypes="1" containsNumber="1" containsInteger="1" minValue="0" maxValue="0" count="89">
        <s v="TK-SD Mahatma Gading School Jakarta"/>
        <s v="SMP-SMA-SMKK Bhetel Jakarta"/>
        <s v="SD Bunda Hati Kudus Kota Wisata"/>
        <s v="SD Xaverius 1 Jambi"/>
        <s v="Yayasan Margie"/>
        <s v="Yay. Tarakanita"/>
        <s v="TK-SD Mardi Yuana Depok"/>
        <s v="TK-SD Pusaka Abadi"/>
        <s v="SMP-SMA Pusaka Abadi"/>
        <s v="Melania"/>
        <s v="TK-SD-SMP-SMA-SMK Fransiskus Kramat"/>
        <s v="TK-SMA Immanuel"/>
        <s v="SDK Sang Timur Tomang"/>
        <s v="TK-SD Abdi Siswa Taman Aries"/>
        <s v="SMP-SMA Abdi Siswa Bintaro"/>
        <s v="SD - SMP Abdi Siswa Taman Aries"/>
        <s v="SMP - SMA Abdi Siswa Patra"/>
        <s v="SD Tarakanita Solo"/>
        <s v="SMP Tarakanita Solo"/>
        <s v="SMA Tarakanita Magelang dan SMP Benowo"/>
        <s v="SMP Tarakanita Magelang"/>
        <s v="SMK Tarakanita Magelang"/>
        <s v="SD Tarakanita Magelang"/>
        <s v="TK-SD Al Izhar Pondok Labu"/>
        <s v="SD-SMP-SMK Alodia Bekasi"/>
        <s v="SD BHK Grogol"/>
        <s v="TK - SD Bunda Hati Kudus Kota Wisata"/>
        <s v="SD Bhakti Tugas"/>
        <s v="SMA Mahatma Gading School"/>
        <s v="TK-SD Mahatma Gading Interschool"/>
        <s v="SD Mahatma Gading"/>
        <s v="TK-SD Regina Pacis Bogor"/>
        <s v="SMP-SMA Regina Pacis Bogor"/>
        <s v="TK-SD-SMP BPK Penabur Bogor"/>
        <s v="TK-SD Cahaya Sakti"/>
        <s v="TK-SD Amore"/>
        <s v="SD-SMP-SMA Amore"/>
        <s v="SMK Fransiskus Kampung Ambon"/>
        <s v="SD Bhakti Kemanggisan"/>
        <s v="SD MY Depok"/>
        <s v="SMP MY Bogor"/>
        <s v="SMPK Sang Timur Karang Tengah"/>
        <s v="SMA MY Bogor"/>
        <s v="TK-SD Mardi Yuana Cicurug"/>
        <n v="0"/>
        <s v="TK Mardi Yuana Cilegon"/>
        <s v="SD Mardi Yuana Cilegon"/>
        <s v="TK-SD-SMP Mardi Yuana Cianjur"/>
        <s v="SMP Mardi Yuana Cipanas"/>
        <s v="SD St. Antonius Medan"/>
        <s v="Seri Amal/SMA Cahaya"/>
        <s v="Seri Amal/SD St. Ignatius Medan"/>
        <s v="Seri Amal/SD St. Yoseph Sidikalang"/>
        <s v="Seri Amal/SMA St. Petrus Sidikalang"/>
        <s v="SMP-SMA Fransiskus Kp. Ambon"/>
        <s v="SMA Al Izhar Jaksel"/>
        <s v="SD-SMP-SMK Aloydia Bekasi"/>
        <s v="SMP Al Izhar Pondok Labu"/>
        <s v="SD Kartika"/>
        <s v="SMP Permai Inter"/>
        <s v="SD Permai Inter"/>
        <s v="SMP St. Maria Pekanbaru"/>
        <s v="SMP St. Yosef Duri"/>
        <s v="SMP-SMA St. Yosep Duri"/>
        <s v="TK-SD Al Izhar Jaksel"/>
        <s v="SMP Al Izhar Jaksel"/>
        <s v="TK BHK Grogol"/>
        <s v="SMP BHK Grogol"/>
        <s v="TK SD Permai Nasional"/>
        <s v="SMP SMA Permai Nasional"/>
        <s v="SMP- SMA Permai Nasional"/>
        <s v="SD Sang Timur Cakung"/>
        <s v="SD Marsudirini Yogyakarta"/>
        <s v="SD SMP Spring Garden"/>
        <s v="TK SD Galatia Bekasi"/>
        <s v="SMP SMA Galatia Bekasi"/>
        <s v="SMAK SANTO CAROLUS"/>
        <s v="SDK SANTO YOSEF"/>
        <s v="TK/SD/SMP Happy Family School"/>
        <s v="SDK Sang Timur Batu"/>
        <s v="TK SDK RA Kartini"/>
        <s v="SMA St. Aquino Tulungagung"/>
        <s v="SD Santo Carolus Sby"/>
        <s v="SMP Santo Carolus &amp; Santo Yosef"/>
        <s v="SDK COR JE SU MALANG"/>
        <s v="SD Santa Maria Surabaya"/>
        <s v="SMP SMA Margie"/>
        <s v="SMP SMA SAB"/>
        <m/>
      </sharedItems>
    </cacheField>
    <cacheField name="ALAMAT SEKOLAH" numFmtId="0">
      <sharedItems containsBlank="1"/>
    </cacheField>
    <cacheField name="TGL SURAT" numFmtId="0">
      <sharedItems containsBlank="1"/>
    </cacheField>
    <cacheField name="AWAL" numFmtId="0">
      <sharedItems containsBlank="1"/>
    </cacheField>
    <cacheField name="AKHIR" numFmtId="0">
      <sharedItems containsBlank="1"/>
    </cacheField>
    <cacheField name="TGL PERJ" numFmtId="0">
      <sharedItems containsDate="1" containsBlank="1" containsMixedTypes="1" minDate="2018-04-23T00:00:00" maxDate="2022-07-19T00:00:00"/>
    </cacheField>
    <cacheField name="NO. KTP" numFmtId="0">
      <sharedItems containsBlank="1" containsMixedTypes="1" containsNumber="1" containsInteger="1" minValue="127103410295001" maxValue="3174052507710010"/>
    </cacheField>
    <cacheField name="Alamat KTP" numFmtId="0">
      <sharedItems containsBlank="1"/>
    </cacheField>
    <cacheField name="NPWP" numFmtId="0">
      <sharedItems containsBlank="1" containsMixedTypes="1" containsNumber="1" containsInteger="1" minValue="491560421048000" maxValue="957671365513000"/>
    </cacheField>
    <cacheField name="Alamat NPWP" numFmtId="0">
      <sharedItems containsBlank="1"/>
    </cacheField>
    <cacheField name="email" numFmtId="0">
      <sharedItems containsBlank="1"/>
    </cacheField>
    <cacheField name="PENDIDIKAN" numFmtId="0">
      <sharedItems containsBlank="1"/>
    </cacheField>
    <cacheField name="KETERANGAN" numFmtId="0">
      <sharedItems containsBlank="1"/>
    </cacheField>
    <cacheField name="Bpk/Ibu" numFmtId="0">
      <sharedItems containsBlank="1"/>
    </cacheField>
    <cacheField name="Start" numFmtId="0">
      <sharedItems containsDate="1" containsBlank="1" containsMixedTypes="1" minDate="1899-12-31T00:00:00" maxDate="2021-07-24T00:00:00"/>
    </cacheField>
    <cacheField name="Status Kerja" numFmtId="0">
      <sharedItems containsBlank="1" count="2">
        <m/>
        <s v="Resign"/>
      </sharedItems>
    </cacheField>
    <cacheField name="Status Pernikahan" numFmtId="0">
      <sharedItems containsBlank="1"/>
    </cacheField>
    <cacheField name="Anak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Priyo Hardian" refreshedDate="46303.461222569444" refreshedVersion="8" recordCount="1064" xr:uid="{00000000-000A-0000-FFFF-FFFF02000000}">
  <cacheSource type="worksheet">
    <worksheetSource ref="A1:T1065" sheet="Data Master Pelanggan"/>
  </cacheSource>
  <cacheFields count="20">
    <cacheField name="No" numFmtId="0">
      <sharedItems containsString="0" containsBlank="1" containsNumber="1" containsInteger="1" minValue="1" maxValue="416"/>
    </cacheField>
    <cacheField name="No Perjanjian" numFmtId="0">
      <sharedItems containsBlank="1"/>
    </cacheField>
    <cacheField name="Nama Yayasan" numFmtId="0">
      <sharedItems containsBlank="1"/>
    </cacheField>
    <cacheField name="Nama Ketua Yayasan" numFmtId="0">
      <sharedItems containsBlank="1"/>
    </cacheField>
    <cacheField name="Nama Sekolah" numFmtId="0">
      <sharedItems containsBlank="1" count="409">
        <s v="TK Regina Pacis Bogor"/>
        <s v="SD Regina Pacis Bogor"/>
        <s v="SMP Regina Pacis Bogor"/>
        <s v="SMA Regina Pacis Bogor"/>
        <s v="TK Al Izhar"/>
        <s v="SD Al Izhar"/>
        <s v="SMP Al Izhar"/>
        <s v="SMA Al Izhar"/>
        <s v="SD Permai Inter"/>
        <s v="SMP Permai Inter"/>
        <s v="TK Permai"/>
        <s v="SD Permai"/>
        <s v="SMP Permai"/>
        <s v="SMA Permai"/>
        <s v="SD St Yoseph Sidikalang"/>
        <s v="SMA St Petrus Sidikalang"/>
        <s v="SMP St Paulus Sidikalang"/>
        <s v="TK Fajar Medan"/>
        <s v="TK Ignatius Medan"/>
        <s v="SD St Ignatius Medan"/>
        <s v="SMP Ignatius Medan"/>
        <s v="SMA Ignatius Medan"/>
        <s v="SD St Antonius Medan"/>
        <s v="SMP Cahaya"/>
        <s v="SMA Cahaya"/>
        <s v="SMA St. Carolus - Surabaya"/>
        <s v="SMP St. Carolus - Surabaya"/>
        <s v="SD St. Carolus - Surabaya"/>
        <s v="SMP St. Yosef - Surabaya"/>
        <s v="SD St. Yosef - Surabaya"/>
        <s v="SDK R.A Kartini - Surabaya"/>
        <s v="SMP St. Maria PKU"/>
        <s v="SMA St. Maria PKU"/>
        <s v="SMP St. Yosep Duri"/>
        <s v="SMA St. Yosep Duri"/>
        <s v="TK Sang Timur Ciledug"/>
        <s v="SD Sang Timur Ciledug"/>
        <s v="SMP Sang Timur Ciledug"/>
        <s v="SDK Sang Timur Tomang"/>
        <s v="TK Sang Timur Cakung"/>
        <s v="SD Sang Timur Cakung"/>
        <s v="SMA Abdi Siswa Patra"/>
        <s v="SMP Abdi Siswa Patra"/>
        <s v="SMA Abdi Siswa Bintaro"/>
        <s v="SMP Abdi Siswa Bintaro"/>
        <s v="TK Abdi Siswa Tmn.Aries"/>
        <s v="SD Abdi Siswa Tmn.Aries"/>
        <s v="SMP Abdi Siswa Tmn.Aries"/>
        <s v="SD Tarakanita Magelang"/>
        <s v="SMP Tarakanita Magelang"/>
        <s v="SMA Tarakanita Magelang"/>
        <s v="SMK X Pius Magelang"/>
        <s v="SD Tarakanita Solo Baru"/>
        <s v="SMP Tarakanita Solo Baru"/>
        <s v="TK Tarakanita Solo Baru"/>
        <s v="SMP Tarakanita Pendowo Ngablak"/>
        <s v="TK Sinar Matahari"/>
        <s v="SD Kebon Dalem"/>
        <s v="SMP Kebon Dalem"/>
        <s v="SMA Kebon Dalem"/>
        <s v="TK Kebon Dalem 2"/>
        <s v="SD Kebon Dalem 2"/>
        <s v="TK Cahaya Nur"/>
        <s v="SD Cahaya Nur"/>
        <s v="SD Marsudi Utami"/>
        <s v="SMP Marsudi Utami"/>
        <s v="TK Cor Jesu"/>
        <s v="SD Pangudi Utami"/>
        <s v="TK Maria Bintang Laut"/>
        <s v="SD Maria Bintang Laut"/>
        <s v="SMP Waringin"/>
        <s v="SMA Trinitas"/>
        <s v="TK Santo Yoseph"/>
        <s v="SD Santo Yoseph"/>
        <s v="SMP Santo Yoseph"/>
        <s v="TK Miriam"/>
        <s v="TK Trinitas"/>
        <s v="SD Trinitas"/>
        <s v="TK MY Cilegon"/>
        <s v="SD MY Cilegon"/>
        <s v="SMP MY Cilegon"/>
        <s v="TK MY Depok"/>
        <s v="SD MY Depok"/>
        <s v="SMP MY Depok"/>
        <s v="SMA MY Depok"/>
        <s v="SD MY Bogor"/>
        <s v="SMP MY Bogor"/>
        <s v="SMA MY Bogor"/>
        <s v="TK MY Cicurug"/>
        <s v="SD MY Cicurug"/>
        <s v="TK MY Cianjur"/>
        <s v="SD MY Cianjur"/>
        <s v="SMP MY Cipanas"/>
        <s v="TK MY Cibadak"/>
        <s v="SD MY Cibadak"/>
        <s v="TK MY Serang"/>
        <s v="SD MY Serang"/>
        <s v="SMP MY Serang"/>
        <s v="SMA MY Serang"/>
        <s v="SD MY Rangkasbitung"/>
        <s v="SMP MY Rangkasbitung"/>
        <s v="SD Bhakti"/>
        <s v="TK Providentia"/>
        <s v="SD Providentia"/>
        <s v="TK Mahatma Gading Internasional"/>
        <s v="SD Mahatma Gading Internasional"/>
        <s v="TK Mahatma Gading"/>
        <s v="SD Mahatma Gading"/>
        <s v="SMP Mahatma Gading"/>
        <s v="SMA Mahatma Gading"/>
        <s v="TK BHK Cibubur"/>
        <s v="SD BHK Cibubur"/>
        <s v="TK BHK Grogol"/>
        <s v="SD BHK Grogol"/>
        <s v="SMP BHK Grogol"/>
        <s v="TK BPK Penabur Bogor"/>
        <s v="SD BPK Penabur Bogor"/>
        <s v="SMP BPK Penabur Bogor"/>
        <s v="TK BPK Penabur Cianjur"/>
        <s v="SD BPK Penabur Cianjur"/>
        <s v="SMP BPK Penabur Cianjur"/>
        <s v="SMA BPK Penabur Cianjur"/>
        <s v="TK St.Fransiskus Kramat"/>
        <s v="SD St.Fransiskus Kramat"/>
        <s v="SMP St.Fransiskus Kramat"/>
        <s v="SMA St. Fransiskus Kramat"/>
        <s v="SMK St.Fransiskus Kramat"/>
        <s v="SMA St. Fransiskus Kp. Ambon"/>
        <s v="SMK St. Fransiskus Kp. Ambon"/>
        <s v="SD Fransiskus III Kayu Putih"/>
        <s v="SD Charitas Jkt"/>
        <s v="SMP Charitas Jkt"/>
        <s v="SMA Charitas Jkt"/>
        <s v="TK Galatia Cengkareng"/>
        <s v="SD Galatia Cengkareng"/>
        <s v="SMP Galatia Cengkareng"/>
        <s v="SMA Galatia Cengkareng"/>
        <s v="TK Galatia Bekasi"/>
        <s v="SD Galatia Bekasi"/>
        <s v="SMP Galatia Bekasi"/>
        <s v="SMA Galatia Bekasi"/>
        <s v="SD Galatia Jelambar"/>
        <s v="TK Methodist 6 Medan"/>
        <s v="SD Metodhist 6 Medan"/>
        <s v="SMP Methodist 6 Medan"/>
        <s v="SMA Methodist 6 Medan"/>
        <s v="TK Immanuel Jelambar"/>
        <s v="SD Immanuel Jelambar"/>
        <s v="SMP Immanuel Jelambar"/>
        <s v="SMA Immanuel Jelambar"/>
        <s v="SD Kartika Pesanggrahan"/>
        <s v="TK Amore"/>
        <s v="SD Amore"/>
        <s v="SMP Amore"/>
        <s v="SMA Amore"/>
        <s v="TK PUSAKA ABADI JAKARTA"/>
        <s v="SD PUSAKA ABADI JAKARTA"/>
        <s v="SMP Pusaka Abadi"/>
        <s v="SMA Pusaka Abadi"/>
        <s v="TK Rigatrik"/>
        <s v="TK Paulus Sunter"/>
        <s v="SD St.Paulus Sunter"/>
        <s v="SMP St.Paulus Sunter"/>
        <s v="SD Joanes Bosco Yogya"/>
        <s v="TK Bethel Jakarta"/>
        <s v="SD BETHEL JAKARTA"/>
        <s v="SMP BETHEL JAKARTA"/>
        <s v="SMA BETHEL JAKARTA"/>
        <s v="SMK BETHEL JAKARTA"/>
        <s v="SD Bhakti Tugas"/>
        <s v="TK Xaverius Ambon"/>
        <s v="TK PERMATA MONIKA BEKASI"/>
        <s v="SD PERMATA MONIKA BEKASI"/>
        <s v="SD Singa School"/>
        <s v="TK NURUL FALAH ISLAMIC EDUCATION"/>
        <s v="SD Paskalis"/>
        <s v="SD Mikael"/>
        <s v="SD Alodia"/>
        <s v="SMP Alodia"/>
        <s v="SD Spring Garden"/>
        <s v="SMP Spring Garden"/>
        <s v="SD Fioreti Tigaraksa"/>
        <s v="SMP Fioreti Tigaraksa"/>
        <s v="SD St.Bellarminus Bekasi"/>
        <s v="SMP St.Bellarminus Bekasi"/>
        <s v="SMA St.Bellarminus Bekasi"/>
        <s v="SMP Xaverius teluk betung"/>
        <s v="YPAK - TK Miryam "/>
        <s v="YPAK - SD Aloysius"/>
        <s v="SMP Yoannes XIII Semarang"/>
        <s v="SMA Sint Lui Semarang"/>
        <s v="SD Dewi Kunti"/>
        <s v="SMP Dewi Kunti"/>
        <s v="TK Baptis Elim"/>
        <s v="SD Baptis Elim"/>
        <s v="SMP Baptis Elim"/>
        <s v="TK Al Masih"/>
        <s v="SD Al Masih"/>
        <s v="SMP Al Masih"/>
        <s v="SMA Al Masih"/>
        <s v="TK Patria Dharma"/>
        <s v="SD Patria Dharma"/>
        <s v="SD BPK Penabur Metro"/>
        <s v="SMP BPK Penabur Metro"/>
        <s v="SD Marsudirini Yogya"/>
        <s v="SD Agatha Palembang"/>
        <s v="TK Melania Percetakan Negara"/>
        <s v="SD Melania Percetakan Negara"/>
        <s v="SMP Melania Percetakan Negara"/>
        <s v="TK Melania Mangga Besar"/>
        <s v="SD Melania Mangga Besar"/>
        <s v="SMP Melania Mangga Besar"/>
        <s v="TK St.Maria Prabumulih"/>
        <s v="SD St.Maria Prabumulih"/>
        <s v="SMP St.Maria Prabumulih"/>
        <s v="SD Jaya Monthessori"/>
        <s v="SD Xaverius 1 Palembang"/>
        <s v="SMP Xaverius 6 Palembang"/>
        <s v="TK Taruna Bangsa"/>
        <s v="SD Taruna Bangsa"/>
        <s v="SD Stella Maris GS"/>
        <s v="SMP Stella Maris GS"/>
        <s v="SMA Stella Maris GS"/>
        <s v="SD Xaverius 2 Jambi"/>
        <s v="SD Xaverius Kuala Tungkal"/>
        <s v="SD Xaverius 1 Jambi"/>
        <s v="TK Anugerah Abadi"/>
        <s v="SD Anugerah Abadi"/>
        <s v="SMP Anugerah Abadi"/>
        <s v="SD Seraphine"/>
        <s v="SMP Seraphine"/>
        <s v="SD St.Maria Juanda"/>
        <s v="SD Ign. Slamet Riyadi Karawang"/>
        <s v="SD Taruna Bakti Bandung"/>
        <s v="SD Marsudirini BSB"/>
        <s v="SDK Sang Timur Batu"/>
        <s v="SDK Santa Maria Tlg"/>
        <s v="SMAK St.Tomas Aquino Tulungagung"/>
        <s v="TK Kalam Kudus Ambon"/>
        <s v="SD Kalam Kudus Ambon"/>
        <s v="SMP Kalam Kudus Ambon"/>
        <s v="SMA Kalam Kudus Ambon"/>
        <s v="SMA Semen Gresik"/>
        <s v="SD Anak Bangsa"/>
        <s v="SMP Anak Bangsa"/>
        <s v="SMA Anak Bangsa"/>
        <s v="TK Margie"/>
        <s v="SD Margie"/>
        <s v="SMP Margie"/>
        <s v="SMA Margie"/>
        <s v="SD HFS"/>
        <s v="SMP HFS"/>
        <s v="TK Luveta"/>
        <s v="SD Luveta"/>
        <s v="SD St. Maria - Surabaya"/>
        <s v="SMP Bunda Kandung"/>
        <s v="SMA Bunda Kandung"/>
        <s v="SMA Yadika 1"/>
        <s v="SMPK Santa Maria - Tulungagung "/>
        <s v="SD Santo Antonius dari Padua - Tangerang"/>
        <s v="SDIT Ar Rayyan - Surabaya"/>
        <s v="John Paul's Primary School - Bekasi "/>
        <s v="SD Ignatius Slamet Riyadi - Karawang"/>
        <s v="SMP Ignatius Slamet Riyadi - Karawang"/>
        <s v="SDK Santa Maria - Tulungagung"/>
        <s v="SD Marsudirini Pemuda - Semarang"/>
        <s v="SMK Tarakanita Lab 1"/>
        <s v="SD Xaverius 1 - Jambi"/>
        <s v="SD Cor Jesu Malang"/>
        <s v="SMP Tarakanita 2 - Pluit"/>
        <s v="SMK IPT Karangpanas - Semarang"/>
        <s v="SD Marsudirini Cor Jesu - Semarang"/>
        <s v="TK Kristen Tunas Harapan - Bogor"/>
        <s v="SD Kristen Tunas Harapan - Bogor"/>
        <s v="SMP Kristen Tunas Harapan - Bogor"/>
        <s v="SMA Kristen Tunas Harapan - Bogor"/>
        <s v="SD St Maria Juanda"/>
        <s v="SMA 1 Barunawati - Jakarta Barat"/>
        <s v="TK Cahaya Sakti - Jatinegara"/>
        <s v="SD Cahaya Sakti - Jatinegara"/>
        <s v="SMP Xaverius 1 - Bandar Lampung"/>
        <s v="SD Islam Az Zahro - Gresik"/>
        <s v="TK BPK Penabur - Sentul"/>
        <s v="SMP BPK Penabur - Sentul"/>
        <s v="SMP Providentia - Jakarta Barat"/>
        <s v="SMA Providentia - Jakarta Barat"/>
        <s v="Robologee"/>
        <s v="SD BHK - Grogol"/>
        <s v="Santo Paulus - Sunter"/>
        <s v="SMKS Yadika 3 - Jakarta"/>
        <s v="SMKS Yadika 6 - Bekasi"/>
        <s v="SMAS Yadika 4 - Bekasi"/>
        <s v="SMA YPHB - Bogor"/>
        <s v="TK BHK - Grogol"/>
        <s v="TK Ignatius Slamet Riyadi - Karawang"/>
        <s v="SDK St. Antonius - Cakranegara"/>
        <s v="SD St. Theresia - Jakarta"/>
        <s v="SMA Yadika 1 - Jakarta Barat"/>
        <s v="SMK Yadika 2 - Jakarta Barat"/>
        <s v="SMA Yadika 5 - Jakarta Barat"/>
        <s v="SMK Yadika 10 - Tangerang"/>
        <s v="Santo Markus - Kramat Jati"/>
        <s v="SMA Tarakanita 2 - Pluit"/>
        <s v="Sekolah Permai"/>
        <s v="Xaverius Tanjung Karang"/>
        <s v="SD Xaverius Panjang"/>
        <s v="SD Xaverius 1 Teluk Betung"/>
        <s v="SMP Santo Paulus - Sidikalang"/>
        <s v="SD Barunawati"/>
        <s v="SD Santo Paulus - Sidikalang"/>
        <s v="SD Xaverius Way Halim - Bandar Lampung"/>
        <s v="SD Bunga Bangsa - Surabaya"/>
        <s v="SD Marsudirini BSB - Semarang "/>
        <s v="SD 1 Charitas - Blitang"/>
        <s v="SMP 1 Charitas - Blitang"/>
        <s v="TK St. Theresia - Cimahi"/>
        <s v="SD BHK - Cibubur"/>
        <s v="TK Stella Maris - BSD"/>
        <s v="SD Stella Maris - BSD"/>
        <s v="SMP Stella Maris - BSD"/>
        <s v="SMA Stella Maris - BSD"/>
        <s v="TK Santo Yosep - Pekalongan"/>
        <s v="SD Pius - Pekalongan"/>
        <s v="SMP Pius - Pekalongan"/>
        <s v="SMP Galatia 2 - Jelambar"/>
        <s v="SD Nurul Falah Islamic Education Center - Bekasi"/>
        <s v="TK Marsudi Utami - Semarang"/>
        <s v="TK St. Agatha - Palembang"/>
        <s v="TK Singa School"/>
        <s v="Yayasan Widya Maria - Prabumulih"/>
        <s v="TK MY Rangkasbitung"/>
        <s v="TK Stella Maris - Gading Serpong"/>
        <s v="SD Pondok Pesantren Al-Qur'an Tansyitul Mutak'allimin - Citayem"/>
        <s v="SDK Sang Timur - Tomang"/>
        <s v="SMA Kebon Dalem - Semarang"/>
        <s v="SD Kebon Dalem 2 - Semarang"/>
        <s v="SD Pangudi Utami - Temanggung"/>
        <s v="TK Santo Fransiskus III Kayu Putih"/>
        <s v="Yayasan Xaverius Tanjung Karang"/>
        <s v="Yayasan Lembaga Miryam"/>
        <s v="SD Stella Maris - Gading Serpong"/>
        <s v="TK Santo Yoseph - Jakarta"/>
        <s v="SD Santo Yoseph - Jakarta"/>
        <s v="TK Regina Pacis - Bogor"/>
        <s v="SD Regina Pacis - Bogor"/>
        <s v="SMP Regina Pacis - Bogor"/>
        <s v="SMA Regina Pacis - Bogor"/>
        <s v="SMKS Yadika Soreang Bandung"/>
        <s v="SMA Ignatius - Medan"/>
        <s v="SMA St. Petrus - Sidikalang"/>
        <s v="SD Ignatius - Medan"/>
        <s v="SD Tarakanita 1 - Barito"/>
        <s v="TK Charitas Jkt"/>
        <s v="SD 2 Charitas - Blitang"/>
        <s v="SMP 2 Charitas - Blitang"/>
        <s v="SMP Stella Matutina - Salatiga"/>
        <s v="Sekolah SD Abdi Wacana - Bogor"/>
        <s v="SD Marsudirini - Yogyakarta"/>
        <s v="TK Mater Dei Marsudirini"/>
        <s v="TK Taruna Bakti"/>
        <s v="TK Bethel - Petamburan"/>
        <s v="SD Bethel - Petamburan"/>
        <s v="SLTP Bethel - Petamburan"/>
        <s v="SMU Bethel - Petamburan"/>
        <s v="SMK Bethel - Petamburan"/>
        <s v="SD Candle Tree School"/>
        <s v="SMA Candle Tree School"/>
        <s v="SD Santo Paulus - Sunter"/>
        <s v="SMP Santo Paulus - Sunter"/>
        <s v="SD YPPK St. Sisilia - Manokwari"/>
        <s v="SD St. Carolus - Surabaya "/>
        <s v="SMA St.. Carolus - Surabaya"/>
        <s v="TK Sang Timur - Cakung"/>
        <s v="TK Katolik Bunda Hati Kudus - Grogol"/>
        <m/>
        <s v="TK Marsudirini Cor Jesu - Semarang"/>
        <s v="SD Katolik Bunda Hati Kudus - Grogol"/>
        <s v="TK BPK Penabur - Cianjur"/>
        <s v="SD BPK Penabur - Cianjur"/>
        <s v="SMP BPK Penabur - Cianjur"/>
        <s v="SMA BPK Penabur - Cianjur"/>
        <s v="SD Telkom - Batam"/>
        <s v="TK Nurul Falah"/>
        <s v="SD Nurul Falah"/>
        <s v="SD Xaverius 1 - Palembang"/>
        <s v="SMP Xaverius 6 - Palembang"/>
        <s v="SMP St. Yoseph - Jakarta"/>
        <s v="TK BHK Kota Wisata - Cibubur"/>
        <s v="SMK Tarakanita - Jakarta"/>
        <s v="SD St. Antonius dari Padua"/>
        <s v="TK Margie - Surabaya"/>
        <s v="SD Margie - Surabaya"/>
        <s v="SMP Margie - Surabaya"/>
        <s v="SMA Margie - Surabaya"/>
        <s v="SD Paskalis Tanah Tinggi"/>
        <s v="SD Michael"/>
        <s v="SD Permai Internasional - Pluit"/>
        <s v="SMP Permai Internasional - Pluit"/>
        <s v="SMA Permai Internasional - Pluit"/>
        <s v="SMA Yadika I - Jakarta Barat"/>
        <s v="SD Xaverius 2 - Jambi"/>
        <s v="TK Al Masih - Jakarta Barat"/>
        <s v="SD Al Masih - Jakarta Barat"/>
        <s v="SMP Al Masih - Jakarta Barat"/>
        <s v="SMA Al Masih - Jakarta Barat"/>
        <s v="TK Miryam - Semarang"/>
        <s v="SD St. Aloysius - Semarang"/>
        <s v="SMP Yoannes XXIII - Semarang"/>
        <s v="SMA St.  Louis - Semarang"/>
      </sharedItems>
    </cacheField>
    <cacheField name="Grade" numFmtId="0">
      <sharedItems containsBlank="1"/>
    </cacheField>
    <cacheField name="Kepala Sekolah" numFmtId="0">
      <sharedItems containsBlank="1"/>
    </cacheField>
    <cacheField name="Email" numFmtId="0">
      <sharedItems containsNonDate="0" containsString="0" containsBlank="1"/>
    </cacheField>
    <cacheField name="Masa Kerja Sama" numFmtId="0">
      <sharedItems containsBlank="1" containsMixedTypes="1" containsNumber="1" containsInteger="1" minValue="0" maxValue="5"/>
    </cacheField>
    <cacheField name="Awal Kerja Sama" numFmtId="0">
      <sharedItems containsDate="1" containsBlank="1" containsMixedTypes="1" minDate="1900-01-05T18:40:04" maxDate="1900-01-06T14:40:04"/>
    </cacheField>
    <cacheField name="Akhir Kerja Sama" numFmtId="0">
      <sharedItems containsDate="1" containsBlank="1" containsMixedTypes="1" minDate="1900-01-06T06:40:04" maxDate="1900-01-06T22:40:04"/>
    </cacheField>
    <cacheField name="Status Kerja Sama" numFmtId="0">
      <sharedItems containsBlank="1" count="4">
        <s v="Existing"/>
        <s v="Retention"/>
        <m/>
        <s v="New"/>
      </sharedItems>
    </cacheField>
    <cacheField name="Jenis Kerja Sama" numFmtId="0">
      <sharedItems containsBlank="1"/>
    </cacheField>
    <cacheField name="Produk TIK" numFmtId="0">
      <sharedItems containsBlank="1"/>
    </cacheField>
    <cacheField name="Iuran Siswa/ Bulan" numFmtId="0">
      <sharedItems containsBlank="1" containsMixedTypes="1" containsNumber="1" minValue="7000" maxValue="305800000"/>
    </cacheField>
    <cacheField name="Omzet Perbulan" numFmtId="0">
      <sharedItems containsBlank="1" containsMixedTypes="1" containsNumber="1" containsInteger="1" minValue="10000" maxValue="362099990"/>
    </cacheField>
    <cacheField name="Harga Jual LKS" numFmtId="0">
      <sharedItems containsBlank="1" containsMixedTypes="1" containsNumber="1" containsInteger="1" minValue="15" maxValue="57500000"/>
    </cacheField>
    <cacheField name="Teknisi" numFmtId="0">
      <sharedItems containsBlank="1"/>
    </cacheField>
    <cacheField name="Sales" numFmtId="0">
      <sharedItems containsBlank="1"/>
    </cacheField>
    <cacheField name="Akademi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Priyo Hardian" refreshedDate="46303.461222685182" refreshedVersion="8" recordCount="1064" xr:uid="{00000000-000A-0000-FFFF-FFFF01000000}">
  <cacheSource type="worksheet">
    <worksheetSource ref="B1:W1065" sheet="Data Master Pelanggan"/>
  </cacheSource>
  <cacheFields count="22">
    <cacheField name="No Perjanjian" numFmtId="0">
      <sharedItems containsBlank="1"/>
    </cacheField>
    <cacheField name="Nama Yayasan" numFmtId="0">
      <sharedItems containsBlank="1"/>
    </cacheField>
    <cacheField name="Nama Ketua Yayasan" numFmtId="0">
      <sharedItems containsBlank="1"/>
    </cacheField>
    <cacheField name="Nama Sekolah" numFmtId="0">
      <sharedItems containsBlank="1" count="409">
        <s v="TK Regina Pacis Bogor"/>
        <s v="SD Regina Pacis Bogor"/>
        <s v="SMP Regina Pacis Bogor"/>
        <s v="SMA Regina Pacis Bogor"/>
        <s v="TK Al Izhar"/>
        <s v="SD Al Izhar"/>
        <s v="SMP Al Izhar"/>
        <s v="SMA Al Izhar"/>
        <s v="SD Permai Inter"/>
        <s v="SMP Permai Inter"/>
        <s v="TK Permai"/>
        <s v="SD Permai"/>
        <s v="SMP Permai"/>
        <s v="SMA Permai"/>
        <s v="SD St Yoseph Sidikalang"/>
        <s v="SMA St Petrus Sidikalang"/>
        <s v="SMP St Paulus Sidikalang"/>
        <s v="TK Fajar Medan"/>
        <s v="TK Ignatius Medan"/>
        <s v="SD St Ignatius Medan"/>
        <s v="SMP Ignatius Medan"/>
        <s v="SMA Ignatius Medan"/>
        <s v="SD St Antonius Medan"/>
        <s v="SMP Cahaya"/>
        <s v="SMA Cahaya"/>
        <s v="SMA St. Carolus - Surabaya"/>
        <s v="SMP St. Carolus - Surabaya"/>
        <s v="SD St. Carolus - Surabaya"/>
        <s v="SMP St. Yosef - Surabaya"/>
        <s v="SD St. Yosef - Surabaya"/>
        <s v="SDK R.A Kartini - Surabaya"/>
        <s v="SMP St. Maria PKU"/>
        <s v="SMA St. Maria PKU"/>
        <s v="SMP St. Yosep Duri"/>
        <s v="SMA St. Yosep Duri"/>
        <s v="TK Sang Timur Ciledug"/>
        <s v="SD Sang Timur Ciledug"/>
        <s v="SMP Sang Timur Ciledug"/>
        <s v="SDK Sang Timur Tomang"/>
        <s v="TK Sang Timur Cakung"/>
        <s v="SD Sang Timur Cakung"/>
        <s v="SMA Abdi Siswa Patra"/>
        <s v="SMP Abdi Siswa Patra"/>
        <s v="SMA Abdi Siswa Bintaro"/>
        <s v="SMP Abdi Siswa Bintaro"/>
        <s v="TK Abdi Siswa Tmn.Aries"/>
        <s v="SD Abdi Siswa Tmn.Aries"/>
        <s v="SMP Abdi Siswa Tmn.Aries"/>
        <s v="SD Tarakanita Magelang"/>
        <s v="SMP Tarakanita Magelang"/>
        <s v="SMA Tarakanita Magelang"/>
        <s v="SMK X Pius Magelang"/>
        <s v="SD Tarakanita Solo Baru"/>
        <s v="SMP Tarakanita Solo Baru"/>
        <s v="TK Tarakanita Solo Baru"/>
        <s v="SMP Tarakanita Pendowo Ngablak"/>
        <s v="TK Sinar Matahari"/>
        <s v="SD Kebon Dalem"/>
        <s v="SMP Kebon Dalem"/>
        <s v="SMA Kebon Dalem"/>
        <s v="TK Kebon Dalem 2"/>
        <s v="SD Kebon Dalem 2"/>
        <s v="TK Cahaya Nur"/>
        <s v="SD Cahaya Nur"/>
        <s v="SD Marsudi Utami"/>
        <s v="SMP Marsudi Utami"/>
        <s v="TK Cor Jesu"/>
        <s v="SD Pangudi Utami"/>
        <s v="TK Maria Bintang Laut"/>
        <s v="SD Maria Bintang Laut"/>
        <s v="SMP Waringin"/>
        <s v="SMA Trinitas"/>
        <s v="TK Santo Yoseph"/>
        <s v="SD Santo Yoseph"/>
        <s v="SMP Santo Yoseph"/>
        <s v="TK Miriam"/>
        <s v="TK Trinitas"/>
        <s v="SD Trinitas"/>
        <s v="TK MY Cilegon"/>
        <s v="SD MY Cilegon"/>
        <s v="SMP MY Cilegon"/>
        <s v="TK MY Depok"/>
        <s v="SD MY Depok"/>
        <s v="SMP MY Depok"/>
        <s v="SMA MY Depok"/>
        <s v="SD MY Bogor"/>
        <s v="SMP MY Bogor"/>
        <s v="SMA MY Bogor"/>
        <s v="TK MY Cicurug"/>
        <s v="SD MY Cicurug"/>
        <s v="TK MY Cianjur"/>
        <s v="SD MY Cianjur"/>
        <s v="SMP MY Cipanas"/>
        <s v="TK MY Cibadak"/>
        <s v="SD MY Cibadak"/>
        <s v="TK MY Serang"/>
        <s v="SD MY Serang"/>
        <s v="SMP MY Serang"/>
        <s v="SMA MY Serang"/>
        <s v="SD MY Rangkasbitung"/>
        <s v="SMP MY Rangkasbitung"/>
        <s v="SD Bhakti"/>
        <s v="TK Providentia"/>
        <s v="SD Providentia"/>
        <s v="TK Mahatma Gading Internasional"/>
        <s v="SD Mahatma Gading Internasional"/>
        <s v="TK Mahatma Gading"/>
        <s v="SD Mahatma Gading"/>
        <s v="SMP Mahatma Gading"/>
        <s v="SMA Mahatma Gading"/>
        <s v="TK BHK Cibubur"/>
        <s v="SD BHK Cibubur"/>
        <s v="TK BHK Grogol"/>
        <s v="SD BHK Grogol"/>
        <s v="SMP BHK Grogol"/>
        <s v="TK BPK Penabur Bogor"/>
        <s v="SD BPK Penabur Bogor"/>
        <s v="SMP BPK Penabur Bogor"/>
        <s v="TK BPK Penabur Cianjur"/>
        <s v="SD BPK Penabur Cianjur"/>
        <s v="SMP BPK Penabur Cianjur"/>
        <s v="SMA BPK Penabur Cianjur"/>
        <s v="TK St.Fransiskus Kramat"/>
        <s v="SD St.Fransiskus Kramat"/>
        <s v="SMP St.Fransiskus Kramat"/>
        <s v="SMA St. Fransiskus Kramat"/>
        <s v="SMK St.Fransiskus Kramat"/>
        <s v="SMA St. Fransiskus Kp. Ambon"/>
        <s v="SMK St. Fransiskus Kp. Ambon"/>
        <s v="SD Fransiskus III Kayu Putih"/>
        <s v="SD Charitas Jkt"/>
        <s v="SMP Charitas Jkt"/>
        <s v="SMA Charitas Jkt"/>
        <s v="TK Galatia Cengkareng"/>
        <s v="SD Galatia Cengkareng"/>
        <s v="SMP Galatia Cengkareng"/>
        <s v="SMA Galatia Cengkareng"/>
        <s v="TK Galatia Bekasi"/>
        <s v="SD Galatia Bekasi"/>
        <s v="SMP Galatia Bekasi"/>
        <s v="SMA Galatia Bekasi"/>
        <s v="SD Galatia Jelambar"/>
        <s v="TK Methodist 6 Medan"/>
        <s v="SD Metodhist 6 Medan"/>
        <s v="SMP Methodist 6 Medan"/>
        <s v="SMA Methodist 6 Medan"/>
        <s v="TK Immanuel Jelambar"/>
        <s v="SD Immanuel Jelambar"/>
        <s v="SMP Immanuel Jelambar"/>
        <s v="SMA Immanuel Jelambar"/>
        <s v="SD Kartika Pesanggrahan"/>
        <s v="TK Amore"/>
        <s v="SD Amore"/>
        <s v="SMP Amore"/>
        <s v="SMA Amore"/>
        <s v="TK PUSAKA ABADI JAKARTA"/>
        <s v="SD PUSAKA ABADI JAKARTA"/>
        <s v="SMP Pusaka Abadi"/>
        <s v="SMA Pusaka Abadi"/>
        <s v="TK Rigatrik"/>
        <s v="TK Paulus Sunter"/>
        <s v="SD St.Paulus Sunter"/>
        <s v="SMP St.Paulus Sunter"/>
        <s v="SD Joanes Bosco Yogya"/>
        <s v="TK Bethel Jakarta"/>
        <s v="SD BETHEL JAKARTA"/>
        <s v="SMP BETHEL JAKARTA"/>
        <s v="SMA BETHEL JAKARTA"/>
        <s v="SMK BETHEL JAKARTA"/>
        <s v="SD Bhakti Tugas"/>
        <s v="TK Xaverius Ambon"/>
        <s v="TK PERMATA MONIKA BEKASI"/>
        <s v="SD PERMATA MONIKA BEKASI"/>
        <s v="SD Singa School"/>
        <s v="TK NURUL FALAH ISLAMIC EDUCATION"/>
        <s v="SD Paskalis"/>
        <s v="SD Mikael"/>
        <s v="SD Alodia"/>
        <s v="SMP Alodia"/>
        <s v="SD Spring Garden"/>
        <s v="SMP Spring Garden"/>
        <s v="SD Fioreti Tigaraksa"/>
        <s v="SMP Fioreti Tigaraksa"/>
        <s v="SD St.Bellarminus Bekasi"/>
        <s v="SMP St.Bellarminus Bekasi"/>
        <s v="SMA St.Bellarminus Bekasi"/>
        <s v="SMP Xaverius teluk betung"/>
        <s v="YPAK - TK Miryam "/>
        <s v="YPAK - SD Aloysius"/>
        <s v="SMP Yoannes XIII Semarang"/>
        <s v="SMA Sint Lui Semarang"/>
        <s v="SD Dewi Kunti"/>
        <s v="SMP Dewi Kunti"/>
        <s v="TK Baptis Elim"/>
        <s v="SD Baptis Elim"/>
        <s v="SMP Baptis Elim"/>
        <s v="TK Al Masih"/>
        <s v="SD Al Masih"/>
        <s v="SMP Al Masih"/>
        <s v="SMA Al Masih"/>
        <s v="TK Patria Dharma"/>
        <s v="SD Patria Dharma"/>
        <s v="SD BPK Penabur Metro"/>
        <s v="SMP BPK Penabur Metro"/>
        <s v="SD Marsudirini Yogya"/>
        <s v="SD Agatha Palembang"/>
        <s v="TK Melania Percetakan Negara"/>
        <s v="SD Melania Percetakan Negara"/>
        <s v="SMP Melania Percetakan Negara"/>
        <s v="TK Melania Mangga Besar"/>
        <s v="SD Melania Mangga Besar"/>
        <s v="SMP Melania Mangga Besar"/>
        <s v="TK St.Maria Prabumulih"/>
        <s v="SD St.Maria Prabumulih"/>
        <s v="SMP St.Maria Prabumulih"/>
        <s v="SD Jaya Monthessori"/>
        <s v="SD Xaverius 1 Palembang"/>
        <s v="SMP Xaverius 6 Palembang"/>
        <s v="TK Taruna Bangsa"/>
        <s v="SD Taruna Bangsa"/>
        <s v="SD Stella Maris GS"/>
        <s v="SMP Stella Maris GS"/>
        <s v="SMA Stella Maris GS"/>
        <s v="SD Xaverius 2 Jambi"/>
        <s v="SD Xaverius Kuala Tungkal"/>
        <s v="SD Xaverius 1 Jambi"/>
        <s v="TK Anugerah Abadi"/>
        <s v="SD Anugerah Abadi"/>
        <s v="SMP Anugerah Abadi"/>
        <s v="SD Seraphine"/>
        <s v="SMP Seraphine"/>
        <s v="SD St.Maria Juanda"/>
        <s v="SD Ign. Slamet Riyadi Karawang"/>
        <s v="SD Taruna Bakti Bandung"/>
        <s v="SD Marsudirini BSB"/>
        <s v="SDK Sang Timur Batu"/>
        <s v="SDK Santa Maria Tlg"/>
        <s v="SMAK St.Tomas Aquino Tulungagung"/>
        <s v="TK Kalam Kudus Ambon"/>
        <s v="SD Kalam Kudus Ambon"/>
        <s v="SMP Kalam Kudus Ambon"/>
        <s v="SMA Kalam Kudus Ambon"/>
        <s v="SMA Semen Gresik"/>
        <s v="SD Anak Bangsa"/>
        <s v="SMP Anak Bangsa"/>
        <s v="SMA Anak Bangsa"/>
        <s v="TK Margie"/>
        <s v="SD Margie"/>
        <s v="SMP Margie"/>
        <s v="SMA Margie"/>
        <s v="SD HFS"/>
        <s v="SMP HFS"/>
        <s v="TK Luveta"/>
        <s v="SD Luveta"/>
        <s v="SD St. Maria - Surabaya"/>
        <s v="SMP Bunda Kandung"/>
        <s v="SMA Bunda Kandung"/>
        <s v="SMA Yadika 1"/>
        <s v="SMPK Santa Maria - Tulungagung "/>
        <s v="SD Santo Antonius dari Padua - Tangerang"/>
        <s v="SDIT Ar Rayyan - Surabaya"/>
        <s v="John Paul's Primary School - Bekasi "/>
        <s v="SD Ignatius Slamet Riyadi - Karawang"/>
        <s v="SMP Ignatius Slamet Riyadi - Karawang"/>
        <s v="SDK Santa Maria - Tulungagung"/>
        <s v="SD Marsudirini Pemuda - Semarang"/>
        <s v="SMK Tarakanita Lab 1"/>
        <s v="SD Xaverius 1 - Jambi"/>
        <s v="SD Cor Jesu Malang"/>
        <s v="SMP Tarakanita 2 - Pluit"/>
        <s v="SMK IPT Karangpanas - Semarang"/>
        <s v="SD Marsudirini Cor Jesu - Semarang"/>
        <s v="TK Kristen Tunas Harapan - Bogor"/>
        <s v="SD Kristen Tunas Harapan - Bogor"/>
        <s v="SMP Kristen Tunas Harapan - Bogor"/>
        <s v="SMA Kristen Tunas Harapan - Bogor"/>
        <s v="SD St Maria Juanda"/>
        <s v="SMA 1 Barunawati - Jakarta Barat"/>
        <s v="TK Cahaya Sakti - Jatinegara"/>
        <s v="SD Cahaya Sakti - Jatinegara"/>
        <s v="SMP Xaverius 1 - Bandar Lampung"/>
        <s v="SD Islam Az Zahro - Gresik"/>
        <s v="TK BPK Penabur - Sentul"/>
        <s v="SMP BPK Penabur - Sentul"/>
        <s v="SMP Providentia - Jakarta Barat"/>
        <s v="SMA Providentia - Jakarta Barat"/>
        <s v="Robologee"/>
        <s v="SD BHK - Grogol"/>
        <s v="Santo Paulus - Sunter"/>
        <s v="SMKS Yadika 3 - Jakarta"/>
        <s v="SMKS Yadika 6 - Bekasi"/>
        <s v="SMAS Yadika 4 - Bekasi"/>
        <s v="SMA YPHB - Bogor"/>
        <s v="TK BHK - Grogol"/>
        <s v="TK Ignatius Slamet Riyadi - Karawang"/>
        <s v="SDK St. Antonius - Cakranegara"/>
        <s v="SD St. Theresia - Jakarta"/>
        <s v="SMA Yadika 1 - Jakarta Barat"/>
        <s v="SMK Yadika 2 - Jakarta Barat"/>
        <s v="SMA Yadika 5 - Jakarta Barat"/>
        <s v="SMK Yadika 10 - Tangerang"/>
        <s v="Santo Markus - Kramat Jati"/>
        <s v="SMA Tarakanita 2 - Pluit"/>
        <s v="Sekolah Permai"/>
        <s v="Xaverius Tanjung Karang"/>
        <s v="SD Xaverius Panjang"/>
        <s v="SD Xaverius 1 Teluk Betung"/>
        <s v="SMP Santo Paulus - Sidikalang"/>
        <s v="SD Barunawati"/>
        <s v="SD Santo Paulus - Sidikalang"/>
        <s v="SD Xaverius Way Halim - Bandar Lampung"/>
        <s v="SD Bunga Bangsa - Surabaya"/>
        <s v="SD Marsudirini BSB - Semarang "/>
        <s v="SD 1 Charitas - Blitang"/>
        <s v="SMP 1 Charitas - Blitang"/>
        <s v="TK St. Theresia - Cimahi"/>
        <s v="SD BHK - Cibubur"/>
        <s v="TK Stella Maris - BSD"/>
        <s v="SD Stella Maris - BSD"/>
        <s v="SMP Stella Maris - BSD"/>
        <s v="SMA Stella Maris - BSD"/>
        <s v="TK Santo Yosep - Pekalongan"/>
        <s v="SD Pius - Pekalongan"/>
        <s v="SMP Pius - Pekalongan"/>
        <s v="SMP Galatia 2 - Jelambar"/>
        <s v="SD Nurul Falah Islamic Education Center - Bekasi"/>
        <s v="TK Marsudi Utami - Semarang"/>
        <s v="TK St. Agatha - Palembang"/>
        <s v="TK Singa School"/>
        <s v="Yayasan Widya Maria - Prabumulih"/>
        <s v="TK MY Rangkasbitung"/>
        <s v="TK Stella Maris - Gading Serpong"/>
        <s v="SD Pondok Pesantren Al-Qur'an Tansyitul Mutak'allimin - Citayem"/>
        <s v="SDK Sang Timur - Tomang"/>
        <s v="SMA Kebon Dalem - Semarang"/>
        <s v="SD Kebon Dalem 2 - Semarang"/>
        <s v="SD Pangudi Utami - Temanggung"/>
        <s v="TK Santo Fransiskus III Kayu Putih"/>
        <s v="Yayasan Xaverius Tanjung Karang"/>
        <s v="Yayasan Lembaga Miryam"/>
        <s v="SD Stella Maris - Gading Serpong"/>
        <s v="TK Santo Yoseph - Jakarta"/>
        <s v="SD Santo Yoseph - Jakarta"/>
        <s v="TK Regina Pacis - Bogor"/>
        <s v="SD Regina Pacis - Bogor"/>
        <s v="SMP Regina Pacis - Bogor"/>
        <s v="SMA Regina Pacis - Bogor"/>
        <s v="SMKS Yadika Soreang Bandung"/>
        <s v="SMA Ignatius - Medan"/>
        <s v="SMA St. Petrus - Sidikalang"/>
        <s v="SD Ignatius - Medan"/>
        <s v="SD Tarakanita 1 - Barito"/>
        <s v="TK Charitas Jkt"/>
        <s v="SD 2 Charitas - Blitang"/>
        <s v="SMP 2 Charitas - Blitang"/>
        <s v="SMP Stella Matutina - Salatiga"/>
        <s v="Sekolah SD Abdi Wacana - Bogor"/>
        <s v="SD Marsudirini - Yogyakarta"/>
        <s v="TK Mater Dei Marsudirini"/>
        <s v="TK Taruna Bakti"/>
        <s v="TK Bethel - Petamburan"/>
        <s v="SD Bethel - Petamburan"/>
        <s v="SLTP Bethel - Petamburan"/>
        <s v="SMU Bethel - Petamburan"/>
        <s v="SMK Bethel - Petamburan"/>
        <s v="SD Candle Tree School"/>
        <s v="SMA Candle Tree School"/>
        <s v="SD Santo Paulus - Sunter"/>
        <s v="SMP Santo Paulus - Sunter"/>
        <s v="SD YPPK St. Sisilia - Manokwari"/>
        <s v="SD St. Carolus - Surabaya "/>
        <s v="SMA St.. Carolus - Surabaya"/>
        <s v="TK Sang Timur - Cakung"/>
        <s v="TK Katolik Bunda Hati Kudus - Grogol"/>
        <m/>
        <s v="TK Marsudirini Cor Jesu - Semarang"/>
        <s v="SD Katolik Bunda Hati Kudus - Grogol"/>
        <s v="TK BPK Penabur - Cianjur"/>
        <s v="SD BPK Penabur - Cianjur"/>
        <s v="SMP BPK Penabur - Cianjur"/>
        <s v="SMA BPK Penabur - Cianjur"/>
        <s v="SD Telkom - Batam"/>
        <s v="TK Nurul Falah"/>
        <s v="SD Nurul Falah"/>
        <s v="SD Xaverius 1 - Palembang"/>
        <s v="SMP Xaverius 6 - Palembang"/>
        <s v="SMP St. Yoseph - Jakarta"/>
        <s v="TK BHK Kota Wisata - Cibubur"/>
        <s v="SMK Tarakanita - Jakarta"/>
        <s v="SD St. Antonius dari Padua"/>
        <s v="TK Margie - Surabaya"/>
        <s v="SD Margie - Surabaya"/>
        <s v="SMP Margie - Surabaya"/>
        <s v="SMA Margie - Surabaya"/>
        <s v="SD Paskalis Tanah Tinggi"/>
        <s v="SD Michael"/>
        <s v="SD Permai Internasional - Pluit"/>
        <s v="SMP Permai Internasional - Pluit"/>
        <s v="SMA Permai Internasional - Pluit"/>
        <s v="SMA Yadika I - Jakarta Barat"/>
        <s v="SD Xaverius 2 - Jambi"/>
        <s v="TK Al Masih - Jakarta Barat"/>
        <s v="SD Al Masih - Jakarta Barat"/>
        <s v="SMP Al Masih - Jakarta Barat"/>
        <s v="SMA Al Masih - Jakarta Barat"/>
        <s v="TK Miryam - Semarang"/>
        <s v="SD St. Aloysius - Semarang"/>
        <s v="SMP Yoannes XXIII - Semarang"/>
        <s v="SMA St.  Louis - Semarang"/>
      </sharedItems>
    </cacheField>
    <cacheField name="Grade" numFmtId="0">
      <sharedItems containsBlank="1"/>
    </cacheField>
    <cacheField name="Kepala Sekolah" numFmtId="0">
      <sharedItems containsBlank="1"/>
    </cacheField>
    <cacheField name="Email" numFmtId="0">
      <sharedItems containsNonDate="0" containsString="0" containsBlank="1"/>
    </cacheField>
    <cacheField name="Masa Kerja Sama" numFmtId="0">
      <sharedItems containsBlank="1" containsMixedTypes="1" containsNumber="1" containsInteger="1" minValue="0" maxValue="5"/>
    </cacheField>
    <cacheField name="Awal Kerja Sama" numFmtId="0">
      <sharedItems containsDate="1" containsBlank="1" containsMixedTypes="1" minDate="1900-01-05T18:40:04" maxDate="1900-01-06T14:40:04"/>
    </cacheField>
    <cacheField name="Akhir Kerja Sama" numFmtId="0">
      <sharedItems containsDate="1" containsBlank="1" containsMixedTypes="1" minDate="1900-01-06T06:40:04" maxDate="1900-01-06T22:40:04"/>
    </cacheField>
    <cacheField name="Status Kerja Sama" numFmtId="0">
      <sharedItems containsBlank="1" count="4">
        <s v="Existing"/>
        <s v="Retention"/>
        <m/>
        <s v="New"/>
      </sharedItems>
    </cacheField>
    <cacheField name="Jenis Kerja Sama" numFmtId="0">
      <sharedItems containsBlank="1"/>
    </cacheField>
    <cacheField name="Produk TIK" numFmtId="0">
      <sharedItems containsBlank="1"/>
    </cacheField>
    <cacheField name="Iuran Siswa/ Bulan" numFmtId="0">
      <sharedItems containsBlank="1" containsMixedTypes="1" containsNumber="1" minValue="7000" maxValue="305800000"/>
    </cacheField>
    <cacheField name="Omzet Perbulan" numFmtId="0">
      <sharedItems containsBlank="1" containsMixedTypes="1" containsNumber="1" containsInteger="1" minValue="10000" maxValue="362099990"/>
    </cacheField>
    <cacheField name="Harga Jual LKS" numFmtId="0">
      <sharedItems containsBlank="1" containsMixedTypes="1" containsNumber="1" containsInteger="1" minValue="15" maxValue="57500000"/>
    </cacheField>
    <cacheField name="Teknisi" numFmtId="0">
      <sharedItems containsBlank="1" count="30">
        <s v="Wahyu Piki Julianto"/>
        <s v="Dwi "/>
        <s v="Dwi"/>
        <s v="Calon"/>
        <s v="Syahrul Mubaroq"/>
        <s v="Jenderi Nadeak"/>
        <s v="Herlangga"/>
        <m/>
        <s v="Dodi Kusumo Adi"/>
        <s v="Abdul Rohman"/>
        <s v="Mulyadi"/>
        <s v="Zainla Mutaqin"/>
        <s v="M Nurfi Karim"/>
        <s v="Asep Suryana"/>
        <s v="Dwi Susanto"/>
        <s v="Zainal Mutaqin"/>
        <s v="Jendri Nadeak"/>
        <s v="Sudarmono"/>
        <s v="Stefanus Sudarmono"/>
        <s v="Elias Lake"/>
        <s v="Herlangga Satriyanto"/>
        <s v="Dodi Kusuma Adi "/>
        <s v="Abdul Latief"/>
        <s v="LKS Smart Program Rp25.000"/>
        <s v="Dodi"/>
        <s v="Fadhil"/>
        <s v="Nurfi"/>
        <s v="Latief"/>
        <s v="Sudar"/>
        <s v="Elias"/>
      </sharedItems>
    </cacheField>
    <cacheField name="Sales" numFmtId="0">
      <sharedItems containsBlank="1" count="18">
        <s v="Henry"/>
        <s v="Idy"/>
        <s v="Pami"/>
        <s v="Danu"/>
        <s v="Bayu"/>
        <s v="Prapto"/>
        <s v="Wijaya"/>
        <s v="Desi"/>
        <s v="Threesna"/>
        <s v="Mery"/>
        <m/>
        <s v="Rika"/>
        <s v="Yulis"/>
        <s v="Fauzi"/>
        <s v="Fauzy"/>
        <s v="Reza"/>
        <s v="Suroto"/>
        <s v="Fadhil"/>
      </sharedItems>
    </cacheField>
    <cacheField name="Akademik" numFmtId="0">
      <sharedItems containsBlank="1" count="18">
        <s v="Yusuf"/>
        <s v="Joko"/>
        <s v="Doni"/>
        <s v="Unggul"/>
        <s v="Sapar"/>
        <s v="Fani"/>
        <s v="Vita"/>
        <s v="Angga"/>
        <s v="Pak Sapar"/>
        <m/>
        <s v="Ayu"/>
        <s v="Burhan"/>
        <s v="Nadia"/>
        <s v="Wisnu"/>
        <s v="Adam"/>
        <s v="Yoni"/>
        <s v="Angga "/>
        <s v="Asep"/>
      </sharedItems>
    </cacheField>
    <cacheField name="Min. Jumlah Siswa" numFmtId="0">
      <sharedItems containsBlank="1" containsMixedTypes="1" containsNumber="1" containsInteger="1" minValue="10" maxValue="1022"/>
    </cacheField>
    <cacheField name="Guru" numFmtId="0">
      <sharedItems containsBlank="1"/>
    </cacheField>
    <cacheField name="LK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">
  <r>
    <n v="1"/>
    <m/>
    <s v="TK-SD Mahatma Gading School Jakarta"/>
    <n v="1"/>
    <s v="VII"/>
    <n v="2022"/>
    <x v="0"/>
    <s v="Kabanjahe"/>
    <s v="1 Agustus 1974"/>
    <s v="Komp. Depnakertrans No.80, Rt.11/05 Jaka Sampurna"/>
    <s v="Bekasi Barat 17137"/>
    <s v="0812-8118762"/>
    <s v="Senin"/>
    <s v="Delapan belas"/>
    <s v="Juli"/>
    <s v="Dua ribu dua puluh dua"/>
    <x v="0"/>
    <s v="Komp. Villa Gading Indah Blok D Kelapa Gading Jakarta Utara 14240"/>
    <s v="18 Juli 2022"/>
    <s v="18 Juli 2022"/>
    <s v="24 Juni 2023"/>
    <s v="1 Juli 2016"/>
    <s v="3275021609760022"/>
    <s v="Komp. Depnakertrans No.80, Rt.11/05, jaka Sampurna, Bekasi Barat 17137"/>
    <s v="24.985.317.7-432.000"/>
    <s v="Jl.Narogong elok XV F35 No.5 BTN Narogong Indah Rt.02/13, Pengasinan Rawalumbu Bekasi"/>
    <s v="are_rct2003@yahoo.com"/>
    <s v="Sarjana"/>
    <s v="Universitas Negeri Jakarta_x000a_ Jurusan Fakultas Ekonomi Lulus 1999"/>
    <m/>
    <m/>
    <x v="0"/>
    <m/>
    <m/>
  </r>
  <r>
    <n v="2"/>
    <m/>
    <s v="SMP-SMA-SMKK Bhetel Jakarta"/>
    <n v="2"/>
    <s v="VII"/>
    <n v="2022"/>
    <x v="1"/>
    <s v="Tangerang"/>
    <d v="1977-04-15T00:00:00"/>
    <s v="Jl. HOS. Cokroaminoto RT 001 RW 04 No. 52 Larangan Utara"/>
    <s v="Jakarta 15154"/>
    <s v="021-7319868, 0812-9890560"/>
    <s v="Senin"/>
    <s v="Delapan belas"/>
    <s v="Juli"/>
    <s v="Dua ribu dua puluh dua"/>
    <x v="1"/>
    <s v="Jl. KS Tubun No. 253 Petamburan Jakarta Telp. (021)5480727"/>
    <s v="18 Juli 2022"/>
    <s v="18 Juli 2022"/>
    <s v="24 Juni 2023"/>
    <s v="1 Juli 2018"/>
    <s v="3671135504770008"/>
    <s v="Jl.HOS Cokroaminoto Rt.01/04 No.52, Larangan Utara, Larangan 15154"/>
    <s v="87.339.957.0-416.000"/>
    <s v="Jl.HOS Cokroaminoto Rt.01/04 No.52, Larangan Utara, Larangan 15154, Tanggerang"/>
    <s v="indahokd@gmail.com"/>
    <s v="S1"/>
    <s v="STMIK Budi Luhur_x000a_ Jurusan Manajemen Informatika Lulus 1999"/>
    <m/>
    <m/>
    <x v="0"/>
    <m/>
    <m/>
  </r>
  <r>
    <n v="3"/>
    <m/>
    <s v="SD Bunda Hati Kudus Kota Wisata"/>
    <n v="3"/>
    <s v="VII"/>
    <n v="2022"/>
    <x v="2"/>
    <s v="Madiun"/>
    <s v="25 Februari 1967"/>
    <s v="Perum Cileungsi Hijau Blok. I 1/12 Cileungsi"/>
    <s v="Bogor Jawa Barat"/>
    <s v="0812-98161558"/>
    <s v="Senin"/>
    <s v="Delapan belas"/>
    <s v="Juli"/>
    <s v="Dua ribu dua puluh dua"/>
    <x v="2"/>
    <s v="Jl. Transyogi Km.6 Kota Wisata Gunung Putri Bogor"/>
    <s v="18 Juli 2022"/>
    <s v="18 Juli 2022"/>
    <s v="24 Juni 2023"/>
    <s v="1 Juli 2018"/>
    <s v="3201076502670004"/>
    <s v="Cileungsi Hijau Blok I 1/12, Rt.02/14, Cileungsi, Cileungsi, Cibubur"/>
    <s v="26.143.251.2-436.000"/>
    <s v="Perum Cileungsi Hijau Blok I 1/12, Cileungsi, Cibubur"/>
    <s v="rettymanoppo@yahoo.com"/>
    <s v="S1"/>
    <s v="Universitas PalangkaRaya - KalTeng_x000a_ Jurusan Bahasa Inggris Lulus 1992"/>
    <m/>
    <m/>
    <x v="0"/>
    <m/>
    <m/>
  </r>
  <r>
    <n v="4"/>
    <m/>
    <s v="SD Xaverius 1 Jambi"/>
    <n v="4"/>
    <s v="VII"/>
    <n v="2022"/>
    <x v="3"/>
    <s v="Palembang"/>
    <s v="20 Oktober 1979"/>
    <s v="Perum. Kampung Sejati, Kulin Jaya II RT 01 Blok Cempaka No. 17 Desa Tangkit Kec. Sungai Gelam, Kab. Muara"/>
    <s v="Jambi"/>
    <s v="0852-69460285"/>
    <s v="Senin"/>
    <s v="Delapan belas"/>
    <s v="Juli"/>
    <s v="Dua ribu dua puluh dua"/>
    <x v="3"/>
    <s v="Jl. Abdul Rahman Saleh No. 20 Kel. Thehok Kec. Jambi Selatan Jambi"/>
    <s v="18 Juli 2022"/>
    <s v="18 Juli 2022"/>
    <s v="24 Juni 2023"/>
    <s v="1 Agustus 2017"/>
    <s v="1571026010790061"/>
    <s v="Jl.Teuku Sulaiman, Rt.027, No.43 Tambak Sari, Jambi Selatan"/>
    <s v="15.082.839.0-331.000"/>
    <s v="Jl.Teuku Sulaiman, Rt.027, No.43 Tambak Sari, Jambi Selatan"/>
    <s v="deasymulyani0@gmail.com"/>
    <s v="S1"/>
    <s v="Universitas Tamansiswa Palembang_x000a_ Jurusan Ilmu Hukum, Lulus 2002"/>
    <m/>
    <m/>
    <x v="0"/>
    <m/>
    <m/>
  </r>
  <r>
    <n v="5"/>
    <m/>
    <s v="SD Xaverius 1 Jambi"/>
    <n v="5"/>
    <s v="VII"/>
    <n v="2022"/>
    <x v="4"/>
    <s v="Balikpapan"/>
    <d v="1979-09-17T00:00:00"/>
    <s v="Perum. Permata Sari Blok B No. 09 RT 037 Kel. Kenali Asam Bawah Kec. Kota Baru"/>
    <s v="Jambi"/>
    <s v="0821-81638221"/>
    <s v="Senin"/>
    <s v="Delapan belas"/>
    <s v="Juli"/>
    <s v="Dua ribu dua puluh dua"/>
    <x v="3"/>
    <s v="Jambi"/>
    <s v="18 Juli 2022"/>
    <s v="18 Juli 2022"/>
    <s v="24 Juni 2023"/>
    <s v="1 Agustus 2017"/>
    <s v="1571025709790061"/>
    <s v="Perum. Permata Sari Blok B No. 09 RT 037 Kel. Kenali Asam Bawah Kec. Kota Baru, Jambi"/>
    <s v="15.082.838.2-331.000"/>
    <s v="Jl.RB.Siagian Rt.09 Kel.Pasir Putih Kec.Jambi Selatan"/>
    <s v="wanthysimanjuntak@yahoo.com"/>
    <s v="D3"/>
    <s v="STMIK Nurdin Hamzah, Jur. Manajemen Informatika, Lulus 2002"/>
    <m/>
    <m/>
    <x v="0"/>
    <m/>
    <m/>
  </r>
  <r>
    <n v="6"/>
    <m/>
    <s v="TK-SD Margie Surabaya"/>
    <n v="6"/>
    <s v="VIII"/>
    <n v="2022"/>
    <x v="5"/>
    <s v="Situbondo"/>
    <s v="18 Desember 1982"/>
    <s v="Pondok Benowo Indah Blok DH/19"/>
    <s v="Surabaya"/>
    <n v="81330061255"/>
    <s v="Senin"/>
    <s v="Satu"/>
    <s v="Agustus"/>
    <s v="Dua ribu dua puluh dua"/>
    <x v="4"/>
    <s v="Jl. Kupang Indah IX/19 Sby"/>
    <s v="1 Agustus 2022"/>
    <s v="1 Agustus 2022"/>
    <s v="31 Juli 2023"/>
    <s v="10 Juli 2019"/>
    <s v="3578305812920001"/>
    <s v="Pondok Benowo Indah Blok DH/19 Surabaya"/>
    <s v="08.561.433.7-604.000"/>
    <s v="Pondok Benowo Indah Blok DH/19 Surabaya"/>
    <s v="malahayati_82@yahoo.co.id"/>
    <s v="S1"/>
    <s v="Univ. Negeri Surabaya FKIP Administrasi Negara"/>
    <s v="Menikah"/>
    <n v="2"/>
    <x v="0"/>
    <m/>
    <m/>
  </r>
  <r>
    <n v="7"/>
    <m/>
    <s v="SMPK SANTO CAROLUS"/>
    <n v="7"/>
    <s v="VII"/>
    <n v="2022"/>
    <x v="6"/>
    <s v="Jombang"/>
    <s v="27 Agustus 1973"/>
    <s v="Taman Gununganyar B 26"/>
    <s v="Surabaya"/>
    <n v="88801428880"/>
    <s v="Senin"/>
    <s v="Delapan belas"/>
    <s v="Juli"/>
    <s v="Dua ribu dua puluh dua"/>
    <x v="5"/>
    <s v="Jl. Jemur Andayani XXI/9"/>
    <s v="18 Juli 2022"/>
    <s v="18 Juli 2022"/>
    <s v="24 Juni 2023"/>
    <s v="14 Februari 2020"/>
    <s v="3517146708730001"/>
    <s v="Taman Gununganyar B 26 Surabaya"/>
    <s v="26.096.448.1.602-000"/>
    <s v="Jl. Raya Rejoagung 18 RT 01/RW 10 Ploso Jombang"/>
    <s v="habibie073@gmail.com"/>
    <s v="S1"/>
    <s v="Univ. Pembangunan Nasional Surabaya Teknik Manajemen Industri"/>
    <s v="Menikah"/>
    <n v="1"/>
    <x v="0"/>
    <m/>
    <m/>
  </r>
  <r>
    <n v="8"/>
    <m/>
    <s v="SMAK SANTO CAROLUS"/>
    <n v="8"/>
    <s v="VII"/>
    <n v="2022"/>
    <x v="7"/>
    <s v="Surabaya"/>
    <s v="30 Mei 1977"/>
    <s v="Jl. Pulo Tegalsari I/6"/>
    <s v="Surabaya"/>
    <n v="81330023731"/>
    <s v="Senin"/>
    <s v="Delapan belas"/>
    <s v="Juli"/>
    <s v="Dua ribu dua puluh dua"/>
    <x v="5"/>
    <s v="Jl. Jemur Andayani XXI/9"/>
    <s v="18 Juli 2022"/>
    <s v="18 Juli 2022"/>
    <s v="24 Juni 2023"/>
    <s v="14 Februari 2020"/>
    <s v="3578043005770002"/>
    <s v="Jl. Pulo Tegalsari I/6 Surabaya"/>
    <s v="08.635.551.8-609.000"/>
    <s v="Jl. Pulo Tegalsari I/6 Surabaya"/>
    <s v="reza.pulo@gmail.com"/>
    <s v="S1"/>
    <s v="Institut Teknologi Adhi Tama Surabaya Teknik Kimia"/>
    <s v="Lajang"/>
    <n v="0"/>
    <x v="0"/>
    <m/>
    <m/>
  </r>
  <r>
    <n v="9"/>
    <m/>
    <s v="SMPK SANTO YOSEF"/>
    <n v="9"/>
    <s v="VII"/>
    <n v="2022"/>
    <x v="8"/>
    <s v="Gunungkidul"/>
    <s v="20 Oktober 1970"/>
    <s v="Perum Jaya Regency Blok L 25A RT 06 RW 16 Pepe, Sedati, Sidoarjo"/>
    <s v="Sidoarjo"/>
    <n v="8563307176"/>
    <s v="Senin"/>
    <s v="Delapan belas"/>
    <s v="Juli"/>
    <s v="Dua ribu dua puluh dua"/>
    <x v="5"/>
    <s v="Jl. Jemur Andayani XXI/9"/>
    <s v="18 Juli 2022"/>
    <s v="18 Juli 2022"/>
    <s v="24 Juni 2023"/>
    <s v="14 Februari 2020"/>
    <s v="3403022010700001"/>
    <s v="Perum Jaya Regency Blok L 25A RT 06 RW 16 Pepe, Sedati, Sidoarjo"/>
    <s v="26.076.392.5-545.000"/>
    <s v="Ngeblak RT 02 RW 01 Katongan Nglipar Gunungkidul Yogyakarta"/>
    <s v="ag1ed70@gmail.com"/>
    <s v="S1"/>
    <s v="Univ. Gajah Mada Yogyakarta Sastra Daerah"/>
    <s v="Menikah"/>
    <n v="2"/>
    <x v="0"/>
    <m/>
    <m/>
  </r>
  <r>
    <n v="10"/>
    <m/>
    <s v="SMPK SANTO YOSEF"/>
    <n v="10"/>
    <s v="VII"/>
    <n v="2022"/>
    <x v="9"/>
    <s v="Magelang"/>
    <s v="27 Oktober 1972"/>
    <s v="Jl. Waringin no. 4 E Surabaya"/>
    <s v="Surabaya"/>
    <n v="89682719184"/>
    <s v="Senin"/>
    <s v="Delapan belas"/>
    <s v="Juli"/>
    <s v="Dua ribu dua puluh dua"/>
    <x v="5"/>
    <s v="Jl. Jemur Andayani XXI/9"/>
    <s v="18 Juli 2022"/>
    <s v="18 Juli 2022"/>
    <s v="24 Juni 2023"/>
    <s v="14 Februari 2020"/>
    <s v="3578046710720002"/>
    <s v="Jl. Waringin no. 4E Surabaya"/>
    <s v="08.635.527.8-609.000"/>
    <s v="Jl. Waringin no. 4E Surabaya"/>
    <s v="ndari.bsw@gmail.com"/>
    <s v="D3"/>
    <s v="STIE Yogyakarta Akuntansi"/>
    <s v="Menikah"/>
    <n v="3"/>
    <x v="0"/>
    <m/>
    <m/>
  </r>
  <r>
    <n v="11"/>
    <m/>
    <s v="TK-SD Mardi Yuana Depok"/>
    <n v="11"/>
    <s v="VII"/>
    <n v="2019"/>
    <x v="10"/>
    <s v="Tangerang"/>
    <d v="1983-09-25T00:00:00"/>
    <s v="Taman Sari, Bukit Damai A09/06A, Rt.07/06"/>
    <s v="Depok"/>
    <s v="0822-31105524"/>
    <s v="Senin"/>
    <s v="Dua puluh dua"/>
    <s v="Juli"/>
    <s v="Dua ribu sembilan belas"/>
    <x v="6"/>
    <s v="Jl. Cempaka No 5 Depok Jawa Barat"/>
    <s v="22 Juli 2019"/>
    <s v="22 Juli 2019"/>
    <s v="21 Juni 2020"/>
    <s v="14 Juli 2018"/>
    <s v="3201116509830002"/>
    <s v="TamanSari, Bukit Damai A09/06A, Rt.07/06"/>
    <s v="26.102.475.6-403.000"/>
    <s v="Perum Taman Sari Bukit Damai Blok A9 No.06"/>
    <s v="inna.swy.is@gmail.com"/>
    <s v="S1"/>
    <s v="STIMIK KUWERA_x000a_ Jurusan Sistem Informasi, Lulus 2006"/>
    <m/>
    <m/>
    <x v="0"/>
    <m/>
    <m/>
  </r>
  <r>
    <n v="1"/>
    <m/>
    <s v="TK-SD Pusaka Abadi"/>
    <n v="1"/>
    <s v="VII"/>
    <n v="2023"/>
    <x v="11"/>
    <s v="Jakarta"/>
    <d v="1978-04-30T00:00:00"/>
    <s v="Jl.Papanggo 2C No. 56B Rt.05/03 PapanggoTanjung Priok"/>
    <s v="Jakarta Utara"/>
    <s v="021-6514464, Hp 081317736262"/>
    <s v="Senin"/>
    <s v="Tujuh Belas"/>
    <s v="Juli"/>
    <s v="Dua ribu dua puluh tiga"/>
    <x v="7"/>
    <s v="Jl. V No. 28 Teluk Gong Jakarta Utara"/>
    <s v="17 Juli 2023"/>
    <s v="17 Juli 2023"/>
    <s v="23 Juni 2023"/>
    <s v="1 Agustus 2016"/>
    <s v="3172024607810003"/>
    <s v="Jl.Papanggo 2C No.56B Rt.05/03, Papanggo,Tanjung Priok, Jakarta Utara"/>
    <n v="491560421048000"/>
    <s v="Jl.Papanggo 2C No. 56B Rt.05/03 PapanggoTanjung Priok"/>
    <s v="Fahrudin_av78@yahoo.com"/>
    <s v="D3 STMIK Jakarta (STI&amp;K)_x000a_ Jurusan Teknik Komputer, Lulus 2002"/>
    <m/>
    <s v="Bpk."/>
    <m/>
    <x v="0"/>
    <m/>
    <m/>
  </r>
  <r>
    <n v="2"/>
    <m/>
    <s v="SMP-SMA Pusaka Abadi"/>
    <n v="2"/>
    <s v="VII"/>
    <n v="2023"/>
    <x v="12"/>
    <s v="Lampung"/>
    <s v="14 Mei 1974"/>
    <s v="Jl. Kapuk Raya No. 85 RT 010/01 Kel. Kapuk Kec. Cengkareng"/>
    <s v="Jakarta Barat"/>
    <s v="0858-13522789"/>
    <s v="Senin"/>
    <s v="Tujuh Belas"/>
    <s v="Juli"/>
    <s v="Dua ribu dua puluh tiga"/>
    <x v="8"/>
    <s v="Jl. V No. 28 Teluk Gong Jakarta Utara"/>
    <s v="17 Juli 2023"/>
    <s v="17 Juli 2023"/>
    <s v="23 Juni 2023"/>
    <s v="1 Juli 2019"/>
    <s v="3173011405740021"/>
    <s v="Kapuk RT.010 / RW.001 , Kapuk, Jakarta-Barat"/>
    <s v="80.890.150.8-034.000"/>
    <s v="JL. KAPUK NO.85 RT.010 RW.001 KAPUK CENGKARENG JAKARTA BARAT"/>
    <s v="afendi2684@gmail.com"/>
    <s v="S1"/>
    <s v="Universitas Budi Luhur"/>
    <s v="Bpk."/>
    <m/>
    <x v="0"/>
    <m/>
    <m/>
  </r>
  <r>
    <n v="3"/>
    <m/>
    <s v="Melania"/>
    <n v="3"/>
    <s v="VII"/>
    <n v="2023"/>
    <x v="13"/>
    <s v="Boronubaen"/>
    <s v="11 Juni 1993"/>
    <s v="Jln. Kayu manis VIII No 13"/>
    <s v="Jl. Masjid I Jatiwaringin Pondok Gede-Bekasi"/>
    <s v="081 290 553 113"/>
    <s v="Senin"/>
    <s v="Tujuh Belas"/>
    <s v="Juli"/>
    <s v="Dua ribu dua puluh tiga"/>
    <x v="9"/>
    <s v="Percetakan Negara dan Mangga Besar"/>
    <s v="17 Juli 2023"/>
    <s v="17 Juli 2023"/>
    <s v="23 Juni 2023"/>
    <s v="1 Agustus 2016"/>
    <s v="5303061106930001"/>
    <s v="Kota Wisata Blok H 10/26 RT 006 RW 024 Ciangsana Gunung Putri Bogor"/>
    <s v="-"/>
    <m/>
    <s v="olyverhbp76@gmail.com"/>
    <s v="S1 SI STMIK Mercusuar Pondok Gede Bekasi"/>
    <s v="Sistem Informasi"/>
    <s v="Bpk."/>
    <m/>
    <x v="0"/>
    <m/>
    <m/>
  </r>
  <r>
    <n v="4"/>
    <m/>
    <s v="TK-SD-SMP-SMA-SMK Fransiskus Kramat"/>
    <n v="4"/>
    <s v="VII"/>
    <n v="2023"/>
    <x v="14"/>
    <s v="Cancar"/>
    <s v="2 Maret 1991"/>
    <s v="Kp. Pertanian Selatan No. 22 RT 001 RW 003 Klender, Duren Sawit"/>
    <s v="Jakarta Timur"/>
    <s v="0813-14861774"/>
    <s v="Senin"/>
    <s v="Tujuh Belas"/>
    <s v="Juli"/>
    <s v="Dua ribu dua puluh tiga"/>
    <x v="10"/>
    <s v="Jl. Kramat Raya No. 67 Jakarta Pusat"/>
    <s v="17 Juli 2023"/>
    <s v="17 Juli 2023"/>
    <s v="23 Juni 2023"/>
    <s v="1 Juli 2017"/>
    <s v="5310034203910003"/>
    <m/>
    <s v="86.217.269.9-008.000"/>
    <s v="Kp.Pertanian Selatan No.22 RT.001 RW.003 Klender Duren Sawit Jakarta Timur"/>
    <s v="velin0391@gmail.com"/>
    <s v="D3 Komp. Akuntansi"/>
    <s v="Bina Sarana Informatika (BSI)"/>
    <s v="Ibu"/>
    <m/>
    <x v="0"/>
    <m/>
    <m/>
  </r>
  <r>
    <n v="5"/>
    <m/>
    <s v="TK-SD-SMP-SMA-SMK Fransiskus Kramat"/>
    <n v="5"/>
    <s v="VII"/>
    <n v="2023"/>
    <x v="15"/>
    <s v="Sihorbo"/>
    <s v="29 Januari 1999"/>
    <s v="Jl. Raden Saleh Gg 2 Jakarta Pusat"/>
    <s v="Jakarta Pusat"/>
    <s v="0822-83064974"/>
    <s v="Senin"/>
    <s v="Tujuh Belas"/>
    <s v="Juli"/>
    <s v="Dua ribu dua puluh tiga"/>
    <x v="10"/>
    <s v="Jl. Kramat Raya No. 67 Jakarta Pusat"/>
    <s v="17 Juli 2023"/>
    <s v="17 Juli 2023"/>
    <s v="23 Juni 2023"/>
    <s v="10 Februari 2022"/>
    <s v="1216096901990001"/>
    <s v="Rura Tanjung, Kec. Pakkat, Kab. Humbang Hasundutan"/>
    <s v="63.460.726.1-127-000"/>
    <s v="Rutta Tanjung"/>
    <s v="nurhalina890@gmail.com"/>
    <s v="S1"/>
    <s v="Sistem Informasi"/>
    <s v="Ibu"/>
    <m/>
    <x v="0"/>
    <m/>
    <m/>
  </r>
  <r>
    <n v="6"/>
    <m/>
    <s v="TK-SMA Immanuel"/>
    <n v="6"/>
    <s v="VII"/>
    <n v="2023"/>
    <x v="16"/>
    <s v="Pemalang"/>
    <s v="7 Agustus 1985"/>
    <s v="Jl. Anoa II/G Rt/Rw 002/008 Cikarang Baru, Kel. Jaya Mukti Kec. Cikarang Pusat"/>
    <s v="Bekasi"/>
    <n v="89667349322"/>
    <s v="Senin"/>
    <s v="Tujuh Belas"/>
    <s v="Juli"/>
    <s v="Dua ribu dua puluh tiga"/>
    <x v="11"/>
    <m/>
    <s v="17 Juli 2023"/>
    <s v="17 Juli 2023"/>
    <s v="23 Juni 2023"/>
    <d v="2022-07-18T00:00:00"/>
    <s v="3216084708850007"/>
    <m/>
    <s v="-"/>
    <m/>
    <s v="edyny85@gmail.com"/>
    <s v="Si Komputer"/>
    <s v="Stmik widuri, stimik MH. Thamrin"/>
    <s v="Ibu"/>
    <m/>
    <x v="0"/>
    <m/>
    <m/>
  </r>
  <r>
    <n v="7"/>
    <m/>
    <s v="SDK Sang Timur Tomang"/>
    <n v="7"/>
    <s v="VII"/>
    <n v="2023"/>
    <x v="17"/>
    <s v="Tarutung"/>
    <s v="6 Juli 1981"/>
    <s v="Kp. Babakan No.181 RT 001/008, Sukatani Tapos"/>
    <s v="Depok Jawa Barat"/>
    <s v="0812-80554119"/>
    <s v="Senin"/>
    <s v="Tujuh Belas"/>
    <s v="Juli"/>
    <s v="Dua ribu dua puluh tiga"/>
    <x v="12"/>
    <s v="Jl. Karmel Kebon Jeruk"/>
    <s v="17 Juli 2023"/>
    <s v="17 Juli 2023"/>
    <s v="23 Juni 2023"/>
    <s v="9 Mei 2018"/>
    <s v="3276050607810018"/>
    <s v="Kp.Babakan No.181 RT 001/008, Sukatani, Tapos, Depok Jawa Barat"/>
    <s v="76.286.528.5-412.000"/>
    <s v="Jl. GG.Masjid Cisalak RT.002 RW.004, Cisalak, Sukmajaya, Depok Jawa Barat"/>
    <s v="danerht7@gmail.com"/>
    <s v="S1"/>
    <s v="Universitas Indraprasta PGRI_x000a_ Jurusan Teknik Informatika"/>
    <s v="Bpk."/>
    <m/>
    <x v="1"/>
    <m/>
    <m/>
  </r>
  <r>
    <n v="8"/>
    <m/>
    <s v="TK-SD Abdi Siswa Taman Aries"/>
    <n v="8"/>
    <s v="VII"/>
    <n v="2023"/>
    <x v="18"/>
    <s v="Jakarta"/>
    <s v="08 Oktober 1981"/>
    <s v="Jl Bojong Raya Rt 9/4 No 51 Rawabuaya, Cengkareng"/>
    <s v="Jakarta Barat"/>
    <s v="0888-09636122"/>
    <s v="Senin"/>
    <s v="Tujuh Belas"/>
    <s v="Juli"/>
    <s v="Dua ribu dua puluh tiga"/>
    <x v="13"/>
    <s v="Komplek Taman Aries Blok E No. 9/1, Meruya Utara, Kembangan, RT.6/RW.8, Meruya Utara, Kec. Kembangan, Kota Jakarta Barat, Daerah Khusus Ibukota Jakarta 11620"/>
    <s v="17 Juli 2023"/>
    <s v="17 Juli 2023"/>
    <s v="23 Juni 2023"/>
    <m/>
    <s v="3173014810810018"/>
    <s v="JLN. BOJONG PULO RT 009 RW 004 N0.13 RAWA BUAYA, CENGKARENG, JAKBAR"/>
    <m/>
    <m/>
    <s v="dewihariyanti08@gmail.com"/>
    <s v="S1"/>
    <s v="Universitas Budi Luhur"/>
    <s v="Ibu"/>
    <m/>
    <x v="0"/>
    <m/>
    <m/>
  </r>
  <r>
    <n v="9"/>
    <m/>
    <s v="SMP-SMA Abdi Siswa Bintaro"/>
    <n v="9"/>
    <s v="VII"/>
    <n v="2023"/>
    <x v="19"/>
    <s v="Jakarta"/>
    <s v="2 Juli 1993"/>
    <s v="Jl. Tomang Tinggi IX/23 RT 009 RW 007, Kelurahan Tomang, Kecamatan Grogol"/>
    <s v="Jakarta"/>
    <n v="81282086416"/>
    <s v="Senin"/>
    <s v="Tujuh Belas"/>
    <s v="Juli"/>
    <s v="Dua ribu dua puluh tiga"/>
    <x v="14"/>
    <m/>
    <s v="17 Juli 2023"/>
    <s v="17 Juli 2023"/>
    <s v="23 Juni 2023"/>
    <d v="2022-07-18T00:00:00"/>
    <s v="3173020207930004"/>
    <s v="Jl. Tomang Tinggi IX/23 RT 009 RW 007, Kelurahan Tomang, Kecamatan Grogol"/>
    <s v="94.688.657.9-036.000"/>
    <s v=": Jl. Tomang Tinggi IX/23 RT 009 RW 007, Kelurahan Tomang, Kecamatan Grogol"/>
    <s v="riannadiputra@gmail.com"/>
    <s v="S1 Sistem Informasi Manajemen"/>
    <s v="STIMIK Indonesia"/>
    <s v="Bpk"/>
    <m/>
    <x v="0"/>
    <m/>
    <m/>
  </r>
  <r>
    <n v="10"/>
    <m/>
    <s v="SD - SMP Abdi Siswa Taman Aries"/>
    <n v="10"/>
    <s v="VII"/>
    <n v="2023"/>
    <x v="20"/>
    <s v="Kendal"/>
    <n v="33548"/>
    <s v="Kethukan RT 4 RW 2 Desa Mulyosari Sukorejo"/>
    <s v="Kendal"/>
    <n v="82334455273"/>
    <s v="Senin"/>
    <s v="Tujuh Belas"/>
    <s v="Juli"/>
    <s v="Dua ribu dua puluh tiga"/>
    <x v="15"/>
    <s v="Komplek Taman Aries Blok E No. 9/1, Meruya Utara, Kembangan, RT.6/RW.8, Meruya Utara, Kec. Kembangan, Kota Jakarta Barat, Daerah Khusus Ibukota Jakarta 11620"/>
    <s v="17 Juli 2023"/>
    <s v="17 Juli 2023"/>
    <s v="23 Juni 2023"/>
    <d v="2022-07-18T00:00:00"/>
    <s v="3324030611910001"/>
    <s v="Kethukan RT 4 RW 2 Desa Mulyosari Sukorejo, Kab. Kendal"/>
    <n v="957671365513000"/>
    <s v="Kethukan RT 4 RW 2 Desa Mulyosari Sukorejo, Kab. Kendal"/>
    <s v="rudinovianto273@gmail.com"/>
    <s v="S1 Teknik Informatika"/>
    <s v="STIMIK AMIKOM Jogja"/>
    <m/>
    <m/>
    <x v="1"/>
    <m/>
    <m/>
  </r>
  <r>
    <n v="11"/>
    <m/>
    <s v="SMP - SMA Abdi Siswa Patra"/>
    <n v="11"/>
    <s v="VII"/>
    <n v="2023"/>
    <x v="21"/>
    <s v="Bekasi"/>
    <s v="14 Juli 1998"/>
    <s v="Jalan Kancil IX Blok F Nomor 64 RT 006 RW 007 Desa Sertajaya Kecamatan Cikarang Timur"/>
    <s v="Kabupaten Bekasi"/>
    <s v="0815-1391-0020"/>
    <s v="Senin"/>
    <s v="Tujuh Belas"/>
    <s v="Juli"/>
    <s v="Dua ribu dua puluh tiga"/>
    <x v="16"/>
    <m/>
    <s v="17 Juli 2023"/>
    <s v="17 Juli 2023"/>
    <s v="23 Juni 2023"/>
    <d v="2022-07-18T00:00:00"/>
    <s v="3216111407980001"/>
    <s v="Jalan Kancil IX Blok F Nomor 64 RT 006 RW 007 Desa Sertajaya Kecamatan Cikarang Timur Kabupaten Bekasi"/>
    <s v="95.849.536.8-414.000"/>
    <s v="Jalan Kancil IX Blok F Nomor 64 RT 006 RW 007 Desa Sertajaya Kecamatan Cikarang Timur Kabupaten Bekasi"/>
    <s v="virgiansyah_lutfimaulana@yahoo.com"/>
    <s v="S1 Pendidikan Teknik Elektronika"/>
    <s v="Universitas Negeri Yogyakarta"/>
    <m/>
    <m/>
    <x v="0"/>
    <m/>
    <m/>
  </r>
  <r>
    <n v="12"/>
    <m/>
    <s v="SDK Sang Timur Tomang"/>
    <n v="12"/>
    <s v="VII"/>
    <n v="2023"/>
    <x v="22"/>
    <s v="Jakarta"/>
    <d v="1983-11-03T00:00:00"/>
    <s v="Jl. Warung Pojok No. 128 Rt 006 / 005 Semanan Kalideres Jakarta Barat"/>
    <s v="Jakarta Barat"/>
    <s v="0822-99000265"/>
    <s v="Senin"/>
    <s v="Tujuh Belas"/>
    <s v="Juli"/>
    <s v="Dua ribu dua puluh tiga"/>
    <x v="12"/>
    <s v="Jl. Karmel Kebon Jeruk"/>
    <s v="17 Juli 2023"/>
    <s v="17 Juli 2023"/>
    <s v="23 Juni 2023"/>
    <s v="1 Juli 2020"/>
    <s v="3173064311830003"/>
    <s v="Jl. Warung Pojok No. 128 Rt 006 / 005 Semanan Kalideres Jakarta Barat"/>
    <s v="89.214.560.8-085.000"/>
    <s v="Kp. Asem RT 006 RW 005 Semanan Kali Deres Jakarta Barat"/>
    <s v="ds.megawaty@gmail.com"/>
    <s v="S1 Teknik Informatika"/>
    <s v="Univ. Trisakti"/>
    <s v="Ibu"/>
    <m/>
    <x v="1"/>
    <m/>
    <n v="1"/>
  </r>
  <r>
    <n v="13"/>
    <m/>
    <s v="SD Tarakanita Solo"/>
    <n v="13"/>
    <s v="VII"/>
    <n v="2023"/>
    <x v="23"/>
    <s v="Surakarta"/>
    <d v="1994-04-30T00:00:00"/>
    <s v="Bibis Luhur RT 06 RW 21 Nusukan Banjarsari"/>
    <s v="Surakarta 57135"/>
    <s v="0857-43325547"/>
    <s v="Senin"/>
    <s v="Tujuh Belas"/>
    <s v="Juli"/>
    <s v="Dua ribu dua puluh tiga"/>
    <x v="17"/>
    <s v="Jl. Nusa Indah II Solo Baru Grogol - Sukoharjo 57552"/>
    <s v="17 Juli 2023"/>
    <s v="17 Juli 2023"/>
    <s v="23 Juni 2023"/>
    <s v="1 Agustus 2017"/>
    <s v="3372057004940006"/>
    <s v="Bibis Luhur RT 06 RW XXI Nusukan Banjarsari Surakarta 57135"/>
    <s v="90.480.371.5-526.000"/>
    <s v="Bibis Luhur RT 06 RW 21 Nusukan Banjarsari Surakarta"/>
    <s v="mimiow.saiiands@gmail.com"/>
    <s v="S1 Sistem Informasi STMIK Duta Bangsa Surakarta"/>
    <m/>
    <s v="Ibu"/>
    <d v="2021-07-23T00:00:00"/>
    <x v="0"/>
    <m/>
    <m/>
  </r>
  <r>
    <n v="14"/>
    <m/>
    <s v="SMP Tarakanita Solo"/>
    <n v="14"/>
    <s v="VII"/>
    <n v="2023"/>
    <x v="24"/>
    <s v="Surakarta"/>
    <s v="19 Juni 1989"/>
    <s v="Mina Padi RT/RW 005/009, Kel. Nusukan, Kec. Banjarsari"/>
    <s v="Surakarta"/>
    <s v="0813-31096301"/>
    <s v="Senin"/>
    <s v="Tujuh Belas"/>
    <s v="Juli"/>
    <s v="Dua ribu dua puluh tiga"/>
    <x v="18"/>
    <s v="Jl. Nusa Indah II Solo Baru Grogol - Sukoharjo 57552"/>
    <s v="17 Juli 2023"/>
    <s v="17 Juli 2023"/>
    <s v="23 Juni 2023"/>
    <s v="3 Januari 2022"/>
    <s v="3372051906890002"/>
    <s v="Mina Padi RT/RW 005/009, Kel. Nusukan, Kec. Banjarsari"/>
    <m/>
    <m/>
    <s v="ajiallukman@gmail.com"/>
    <s v="S1 ( Sistem Informasi )"/>
    <s v="STMIK AUB / ( UNDHA ) Universitas Dharma AUB"/>
    <s v="Bpk."/>
    <m/>
    <x v="0"/>
    <m/>
    <m/>
  </r>
  <r>
    <n v="15"/>
    <m/>
    <s v="SMA Tarakanita Magelang dan SMP Benowo"/>
    <n v="15"/>
    <s v="VII"/>
    <n v="2023"/>
    <x v="25"/>
    <s v="Wonogiri"/>
    <s v="31 Mei 1996"/>
    <s v="Jl. Bimo 28B RT 03 RW 39 Manisrejo, Depok, Sleman DI Yogyakarta"/>
    <s v="KTP : Jl. Parangkusumo 8 RT 01 RW 01 Sondakan, Laweyan, Surakarta"/>
    <s v="0895-25308672 / 089664235501"/>
    <s v="Senin"/>
    <s v="Tujuh Belas"/>
    <s v="Juli"/>
    <s v="Dua ribu dua puluh tiga"/>
    <x v="19"/>
    <s v="Jl. Bringin VI dan Jl. Merapisari Ngablak Magelang"/>
    <s v="17 Juli 2023"/>
    <s v="17 Juli 2023"/>
    <s v="23 Juni 2023"/>
    <s v="1 Juli 2017"/>
    <s v="3372012105960001"/>
    <s v="KTP : Jl. Parangkusumo 8 RT 01 RW 01 Sondakan, Laweyan, Surakarta"/>
    <s v="-"/>
    <s v="-"/>
    <s v="mozeslukas@gmail.com"/>
    <s v="S1"/>
    <s v="Universitas Amikom Yogyakarta"/>
    <s v="Bpk."/>
    <d v="2021-07-23T00:00:00"/>
    <x v="1"/>
    <m/>
    <m/>
  </r>
  <r>
    <n v="16"/>
    <m/>
    <s v="SMP Tarakanita Magelang"/>
    <n v="16"/>
    <s v="VII"/>
    <n v="2023"/>
    <x v="26"/>
    <s v="Oku"/>
    <s v="4 Desember 1995"/>
    <s v="Dk. Krajan RT 002 RW 002 Bumiayu-Brebes Selatan"/>
    <s v="Kost Binar Pagi (Bakpia Srikanti 174) : Banyakan RT 1 RW 1 Mertoyudan-Magelang"/>
    <s v="0858-69640949 (WA), 0813-81606949"/>
    <s v="Senin"/>
    <s v="Tujuh Belas"/>
    <s v="Juli"/>
    <s v="Dua ribu dua puluh tiga"/>
    <x v="20"/>
    <s v="Magelang"/>
    <s v="17 Juli 2023"/>
    <s v="17 Juli 2023"/>
    <s v="23 Juni 2023"/>
    <s v="1 Juli 2020"/>
    <s v="3329030412950001"/>
    <s v="Dk. Krajan RT 002 RW 002 Bumiayu-Brebes Selatan"/>
    <s v="-"/>
    <s v="-"/>
    <s v="izzannaufal08@gmail.com"/>
    <s v="S1"/>
    <s v="Informatika Univ. Amikom Yogyakarta Tahun 2020, ijazah sedang proses"/>
    <s v="Bpk"/>
    <m/>
    <x v="1"/>
    <s v="Lajang"/>
    <n v="0"/>
  </r>
  <r>
    <n v="17"/>
    <m/>
    <s v="SMK Tarakanita Magelang"/>
    <n v="17"/>
    <s v="VII"/>
    <n v="2023"/>
    <x v="27"/>
    <m/>
    <m/>
    <m/>
    <m/>
    <m/>
    <m/>
    <s v="Tujuh Belas"/>
    <m/>
    <s v="Dua ribu dua puluh tiga"/>
    <x v="21"/>
    <m/>
    <m/>
    <m/>
    <m/>
    <m/>
    <m/>
    <m/>
    <m/>
    <m/>
    <m/>
    <m/>
    <m/>
    <m/>
    <m/>
    <x v="0"/>
    <m/>
    <m/>
  </r>
  <r>
    <n v="18"/>
    <m/>
    <s v="SD Tarakanita Magelang"/>
    <n v="18"/>
    <s v="VII"/>
    <n v="2023"/>
    <x v="28"/>
    <s v="Ponorogo"/>
    <s v="18 Februari 1990"/>
    <s v="Jl. Sampurna Perum Griya purnomo A8 pekutan Rt2 Rw 1 Bayan"/>
    <s v="Purworejo"/>
    <n v="83844600001"/>
    <s v="Senin"/>
    <s v="Tujuh Belas"/>
    <s v="Agustus"/>
    <s v="Dua ribu dua puluh tiga"/>
    <x v="22"/>
    <m/>
    <s v="17 Juli 2023"/>
    <s v="17 Juli 2023"/>
    <s v="23 Juni 2023"/>
    <s v="1 Agustus 2022"/>
    <s v="3502151802900001"/>
    <s v="Jl. Sampurna Perum Griya purnomo A8 pekutan Rt2 Rw 1 Bayan Purworejo"/>
    <s v="46.418.845.7-647.000"/>
    <s v="Dkh Ngasinan Rt1 rw2 Sukorejo Ponorogo"/>
    <s v="yogaphotowork@gmail.com"/>
    <s v="S1 Komputer"/>
    <s v="AMIKOM Yogyakarta"/>
    <m/>
    <m/>
    <x v="0"/>
    <m/>
    <m/>
  </r>
  <r>
    <n v="19"/>
    <m/>
    <s v="TK-SD Al Izhar Pondok Labu"/>
    <n v="19"/>
    <s v="VII"/>
    <n v="2023"/>
    <x v="29"/>
    <m/>
    <m/>
    <m/>
    <m/>
    <m/>
    <m/>
    <s v="Tujuh Belas"/>
    <m/>
    <s v="Dua ribu dua puluh tiga"/>
    <x v="23"/>
    <m/>
    <m/>
    <m/>
    <m/>
    <m/>
    <m/>
    <m/>
    <m/>
    <m/>
    <m/>
    <m/>
    <m/>
    <m/>
    <m/>
    <x v="0"/>
    <m/>
    <m/>
  </r>
  <r>
    <n v="20"/>
    <m/>
    <s v="SD-SMP-SMK Alodia Bekasi"/>
    <n v="20"/>
    <s v="VII"/>
    <n v="2023"/>
    <x v="30"/>
    <s v="Tangerang"/>
    <n v="30370"/>
    <s v="Bekasi Griya Pratama, Blok F8. No.11, RT.06,RW.034 Desa Sumber Jaya, Tambun Selatan,"/>
    <s v="Tambun selatan"/>
    <s v="0812-93811064, 0813-15425554, 085156872154"/>
    <s v="Senin"/>
    <s v="Tujuh Belas"/>
    <s v="Juli"/>
    <s v="Dua ribu dua puluh tiga"/>
    <x v="24"/>
    <s v="Jl. Bulevar Hijau Blok A1 No. 1, Bekasi Barat"/>
    <s v="17 Juli 2023"/>
    <s v="17 Juli 2023"/>
    <s v="23 Juni 2023"/>
    <s v="1 Juli 2015"/>
    <s v="3276022302830001"/>
    <s v="Jl. Pertengahan Gg. Rela No. 31 RT 002/003 Cijantung, Pasar rebo Jakarta Timur"/>
    <s v="36.523.211.5-009.000"/>
    <s v="Jl. Pertengahan Gg. Rela No. 31 RT 002/003 Cijantung, Pasar rebo Jakarta Timur"/>
    <s v="fransony69@gmail.com"/>
    <s v="D3"/>
    <s v="UPN Veteran Jkt, Jur. Manajemen Informatika, Lulus 2005"/>
    <s v="Bpk."/>
    <m/>
    <x v="0"/>
    <m/>
    <m/>
  </r>
  <r>
    <n v="21"/>
    <m/>
    <s v="SD BHK Grogol"/>
    <n v="21"/>
    <s v="VII"/>
    <n v="2023"/>
    <x v="31"/>
    <s v="Jakarta"/>
    <s v="7 Juli 1977"/>
    <s v="Jl. Warung Asem No.12, Rt.02/04, Rawa Bunga"/>
    <s v="Jatinegara, Jakarta Timur"/>
    <s v="0858-10911550"/>
    <s v="Senin"/>
    <s v="Tujuh Belas"/>
    <s v="Juli"/>
    <s v="Dua ribu dua puluh tiga"/>
    <x v="25"/>
    <s v="Jl. Rahayu No. 22 Jelambar Grogol Jakarta Barat 11460"/>
    <s v="17 Juli 2023"/>
    <s v="17 Juli 2023"/>
    <s v="23 Juni 2023"/>
    <s v="1 Juli 2020"/>
    <s v="3175050707770023"/>
    <s v="Jl. Warung Asem No.12, Rt.02/04, Rawa Bunga, Jatinegara, Jakarta Timur"/>
    <s v="64.071.850.8-002.000"/>
    <s v="Jl. Warung Asem No.12, Rt.02/04, Rawa Bunga, Jatinegara, Jakarta Timur 13350"/>
    <s v="petrus@engineer.com"/>
    <s v="PascaSarjana (S2)"/>
    <s v="Universitas Indraprasta PGRI_x000a_ Jurusan Pendidikan Bahasa Indonesia Lulus 2016"/>
    <s v="Bpk."/>
    <m/>
    <x v="0"/>
    <m/>
    <m/>
  </r>
  <r>
    <n v="22"/>
    <m/>
    <s v="SD Bunda Hati Kudus Kota Wisata"/>
    <n v="22"/>
    <s v="VII"/>
    <n v="2023"/>
    <x v="32"/>
    <s v="Jakarta"/>
    <s v="1 Desember 1977"/>
    <s v="Jl Cendrawasih Blok BS No 14 Bumi Dirgantara Permai"/>
    <s v="Jati Sari Bekasi"/>
    <s v="0218452915 / 0813-82124770"/>
    <s v="Senin"/>
    <s v="Tujuh Belas"/>
    <s v="Juli"/>
    <s v="Dua ribu dua puluh tiga"/>
    <x v="2"/>
    <s v="Jl. Transyogi Km.6 Kota Wisata Gunung Putri Bogor"/>
    <s v="17 Juli 2023"/>
    <s v="17 Juli 2023"/>
    <s v="23 Juni 2023"/>
    <s v="22 Februari 2018"/>
    <s v="3275094112770005"/>
    <s v="Jl. Cendrawasih Blok BS No.14 BDP Jatisari"/>
    <s v="73.284.098.8-432.000"/>
    <s v="Jl. Cendrawasih Blok BS No.14 BDP Jatisari"/>
    <s v="catharina.mulyanti@yahoo.com/catrinmulyanti@gmail.com"/>
    <s v="D3"/>
    <s v="STIE Bhakti Pembangunan Jurusan MKP Lulus 2001"/>
    <s v="Ibu"/>
    <m/>
    <x v="0"/>
    <m/>
    <m/>
  </r>
  <r>
    <n v="23"/>
    <m/>
    <s v="SD Bunda Hati Kudus Kota Wisata"/>
    <n v="23"/>
    <s v="VII"/>
    <n v="2023"/>
    <x v="33"/>
    <s v="Hiliuso"/>
    <d v="1987-09-08T00:00:00"/>
    <s v="Perum. Griya Cileungsi 3"/>
    <s v="Bekasi"/>
    <s v="0852-16047041"/>
    <s v="Senin"/>
    <s v="Tujuh Belas"/>
    <s v="Juli"/>
    <s v="Dua ribu dua puluh tiga"/>
    <x v="2"/>
    <s v="Jl. Transyogi Km.6 Kota Wisata Gunung Putri Bogor"/>
    <s v="17 Juli 2023"/>
    <s v="17 Juli 2023"/>
    <s v="23 Juni 2023"/>
    <s v="22 Februari 2018"/>
    <s v="3275074809870007"/>
    <s v="Jl. Yon Armed RT 003/004 Cikiwul Bekasi"/>
    <s v="71.153.515.3-432.000"/>
    <s v="Jl. Yon Armed RT 003/004 Cikiwul Bekasi"/>
    <s v="lioraqianzy@gmail.com"/>
    <s v="S1"/>
    <s v="STMIK Pranata Indonesia, Jur. Sistem Informasi, Lulus 2014"/>
    <s v="Ibu"/>
    <m/>
    <x v="0"/>
    <m/>
    <m/>
  </r>
  <r>
    <n v="24"/>
    <m/>
    <s v="TK - SD Bunda Hati Kudus Kota Wisata"/>
    <n v="24"/>
    <s v="VII"/>
    <n v="2023"/>
    <x v="34"/>
    <s v="Jakarta"/>
    <d v="1975-11-30T00:00:00"/>
    <s v="Jl. Servatius RT 03 RW 04 Jati Melati Pondok Melati Bekasi"/>
    <s v="KTP: Jl. Dukuh V RT 007/ RW 005 No. 17 Kramatjati Jakarta Timur"/>
    <s v="0813-10946362"/>
    <s v="Senin"/>
    <s v="Tujuh Belas"/>
    <s v="Juli"/>
    <s v="Dua ribu dua puluh tiga"/>
    <x v="26"/>
    <s v="Jl. Transyogi Km.6 Kota Wisata Gunung Putri Bogor"/>
    <s v="17 Juli 2023"/>
    <s v="17 Juli 2023"/>
    <s v="23 Juni 2023"/>
    <m/>
    <s v="3175047011750006"/>
    <s v="Jl. Dukuh V Rt.007/005 Kel.Dukuh Kramat Jati"/>
    <s v="79.622.130.7-005.000"/>
    <s v="Jl. Dukuh V No.17 Rt.007/005 Dukuh, Kramat Jati, JakTim"/>
    <s v="evaecha75@gmail.com"/>
    <s v="S1"/>
    <s v="STMIK Mercusuar_x000a_ Jurusan Sistem Informasi Lulus 2016"/>
    <s v="Ibu"/>
    <m/>
    <x v="0"/>
    <m/>
    <m/>
  </r>
  <r>
    <n v="25"/>
    <m/>
    <s v="SD Bhakti Tugas"/>
    <n v="25"/>
    <s v="VII"/>
    <n v="2023"/>
    <x v="35"/>
    <s v="Jakarta"/>
    <s v="2 Agustus 1972"/>
    <s v="Jl. Karang Tengah Raya No.55"/>
    <s v="Jakarta Selatan"/>
    <s v="0818-06860633"/>
    <s v="Senin"/>
    <s v="Tujuh Belas"/>
    <s v="Juli"/>
    <s v="Dua ribu dua puluh tiga"/>
    <x v="27"/>
    <s v="Komplek Bea dan Cukai jl. Ragunan No. 18 Psr.Minggu Jakarta Selatan"/>
    <s v="17 Juli 2023"/>
    <s v="17 Juli 2023"/>
    <s v="23 Juni 2023"/>
    <s v="1 Agustus 2016"/>
    <s v="3174060801770004"/>
    <s v="Jl. Rs.Fatmawati No.10, Rt.06/10, Pondok Labu, Jakarta Selatan"/>
    <s v="26.140.575.7-016.000"/>
    <s v="Jl. Rs.Fatmawati No.10, Rt.06/10, Pondok Labu, Jakarta Selatan"/>
    <s v="iwayicamian@gmail.com"/>
    <s v="D3"/>
    <s v="UPN Veteran Jakarta_x000a_ Jurusan Manajemen Informatika, Lulus 1999"/>
    <s v="Ibu"/>
    <m/>
    <x v="0"/>
    <m/>
    <m/>
  </r>
  <r>
    <n v="26"/>
    <m/>
    <s v="SD Xaverius 1 Jambi"/>
    <n v="26"/>
    <s v="VII"/>
    <n v="2023"/>
    <x v="36"/>
    <s v="Bukit Tinggi"/>
    <n v="34819"/>
    <s v="Mendalo darat, Rt 24 Rw 01 Desa Mendalo darat, Kecamatan Jambi Luar Kota"/>
    <s v="Muaro Jambi"/>
    <s v="0813-73527194"/>
    <s v="Senin"/>
    <s v="Tujuh Belas"/>
    <s v="Juli"/>
    <s v="Dua ribu dua puluh tiga"/>
    <x v="3"/>
    <s v="Jl. Abdul Rahman Saleh No. 20 Kel. Thehok Kec. Jambi Selatan - Jambi"/>
    <s v="17 Juli 2023"/>
    <s v="17 Juli 2023"/>
    <s v="23 Juni 2023"/>
    <d v="2022-04-19T00:00:00"/>
    <s v="1505013004950001"/>
    <s v="Perum Villa Karya mandiri, Mendalo Darat, Muaro Jambi"/>
    <m/>
    <m/>
    <s v="pujipratamaaa@gmail.com"/>
    <s v="S1"/>
    <s v="Universitas Sriwijaya"/>
    <m/>
    <m/>
    <x v="0"/>
    <m/>
    <m/>
  </r>
  <r>
    <n v="27"/>
    <m/>
    <s v="SD Xaverius 1 Jambi"/>
    <n v="27"/>
    <s v="VII"/>
    <n v="2023"/>
    <x v="37"/>
    <s v="Gempolan"/>
    <d v="1979-11-01T00:00:00"/>
    <s v="Jl. Mayjend. Soetoyo No. 42 RT. 08 Kel. Pematang sulur Kec. Telanai Pura"/>
    <s v="Jambi"/>
    <s v="0852-68885479"/>
    <s v="Senin"/>
    <s v="Tujuh Belas"/>
    <s v="Juli"/>
    <s v="Dua ribu dua puluh tiga"/>
    <x v="3"/>
    <s v="Jl. Abdul Rahman Saleh No. 20 Kel. Thehok Kec. Jambi Selatan - Jambi"/>
    <s v="17 Juli 2023"/>
    <s v="17 Juli 2023"/>
    <s v="23 Juni 2023"/>
    <s v="22 Mei 2017"/>
    <s v="1571014111790081"/>
    <s v="Jl. Mayjend. Soetoyo No. 42 RT. 08 Kel. Pematang sulur Kec. Telanai Pura"/>
    <s v="15.082.841.6-331.000"/>
    <s v="Jl. Mayjend. Sutoyo No. 42 RT 08 Pematang Sulur Telanaipura Kota Jambi"/>
    <s v="mardianahutasoit03@gmail.com"/>
    <s v="D3"/>
    <s v="PTKI Medan Jurusan Teknologi Kimia Industri, Lulus 2002"/>
    <s v="Ibu"/>
    <m/>
    <x v="0"/>
    <m/>
    <m/>
  </r>
  <r>
    <n v="28"/>
    <m/>
    <s v="SMA Mahatma Gading School"/>
    <n v="28"/>
    <s v="VII"/>
    <n v="2023"/>
    <x v="38"/>
    <s v="Depok"/>
    <n v="36269"/>
    <s v="Kp. Ciherang Rt/Rw 004/007, Sukatani, Tapos"/>
    <s v="Depok"/>
    <n v="85718784574"/>
    <s v="Senin"/>
    <s v="Tujuh Belas"/>
    <s v="Juli"/>
    <s v="Dua ribu dua puluh tiga"/>
    <x v="28"/>
    <m/>
    <s v="17 Juli 2023"/>
    <s v="17 Juli 2023"/>
    <s v="23 Juni 2023"/>
    <s v="18 Juli 2022"/>
    <s v="3276101904990003"/>
    <s v="Kp. Ciherang Rt/Rw 004/007, Sukatani, Tapos, Kota Depok"/>
    <s v="86.423.035.4-412.000"/>
    <s v="Kp. Ciherang Rt/Rw 004/007, Sukatani, Tapos, Kota Depok"/>
    <s v="harisem31@gmail.com"/>
    <s v="S1 Teknik Informatika"/>
    <s v="Universitas Indraprasta PGRI"/>
    <m/>
    <m/>
    <x v="0"/>
    <m/>
    <m/>
  </r>
  <r>
    <n v="29"/>
    <m/>
    <s v="TK-SD Mahatma Gading Interschool"/>
    <n v="29"/>
    <s v="VII"/>
    <n v="2023"/>
    <x v="39"/>
    <s v="Surabaya"/>
    <d v="1981-09-08T00:00:00"/>
    <s v="Taman Bougenville Estate B3 No.02 Rt.02 Rw.05 Jatibening"/>
    <s v="Pondok Gede - Bekasi 17412"/>
    <s v="0857-19402421"/>
    <s v="Senin"/>
    <s v="Tujuh Belas"/>
    <s v="Juli"/>
    <s v="Dua ribu dua puluh tiga"/>
    <x v="29"/>
    <s v="Jl. Boulevard BGR, Komp. Villa Gading Indah Blok D Kelapa Gading Jakarta Utara 14240"/>
    <s v="17 Juli 2023"/>
    <s v="17 Juli 2023"/>
    <s v="23 Juni 2023"/>
    <s v="1 Juli 2016"/>
    <s v="3578100809810001"/>
    <s v="Taman Bougenville Estate B3 No.02 Rt.02 Rw.05 Jatibening, Pondok Gede - Bekasi 17412"/>
    <s v="74.097.857.2-432.000"/>
    <s v="Taman Bougenville Estate B3 No.02 Rt.02 Rw.05 Jatibening, Pondok Gede - Bekasi 17412"/>
    <s v="aloysius.allen@gmail.com"/>
    <s v="S1 - Ekonomi"/>
    <s v="STIE TOTAL WIN_x000a_ Jurusan Ekonomi Manajemen Lulus 2008"/>
    <s v="Bpk."/>
    <m/>
    <x v="0"/>
    <m/>
    <m/>
  </r>
  <r>
    <n v="30"/>
    <m/>
    <s v="SD Mahatma Gading"/>
    <n v="30"/>
    <s v="VII"/>
    <n v="2023"/>
    <x v="40"/>
    <s v="Jakarta"/>
    <s v="13 Agustus 1980"/>
    <s v="Jl. Raya Pelabuhan Lorong V/105 B RT 012 RW 05 Kel. Koja Tanjung Priok"/>
    <s v="Jakarta Utara"/>
    <s v="0812-94002068"/>
    <s v="Senin"/>
    <s v="Tujuh Belas"/>
    <s v="Juli"/>
    <s v="Dua ribu dua puluh tiga"/>
    <x v="30"/>
    <s v="Komplek Vila Gading Indah Blok D, Jl. Boulevard BGR Kelapa Gading Jakarta Utara"/>
    <s v="17 Juli 2023"/>
    <s v="17 Juli 2023"/>
    <s v="23 Juni 2023"/>
    <s v="1 Juli 2016"/>
    <s v="3172035308800009"/>
    <s v="Jl. Raya Pelabuhan Lorong V/105 B RT 012 RW 05 Kel. Koja Tanjung Priok"/>
    <m/>
    <m/>
    <s v="V_lubis@yahoo.com"/>
    <s v="D3 Akademi Sekretari dan Manajemen Don Bosco"/>
    <s v="Ijazah tgl 26 Okt 2001"/>
    <s v="Ibu"/>
    <m/>
    <x v="0"/>
    <m/>
    <m/>
  </r>
  <r>
    <n v="31"/>
    <m/>
    <s v="TK-SD Regina Pacis Bogor"/>
    <n v="31"/>
    <s v="VII"/>
    <n v="2023"/>
    <x v="41"/>
    <s v="Kabanjahe"/>
    <s v="2 Oktober 1987"/>
    <s v="Jl. Abadi No.15 Kompleks Kedung Badak Baru, Rt.10/06"/>
    <s v="Kedung, Tanah Sareal - Bogor"/>
    <s v="021-8664545, 0852-15014387"/>
    <s v="Senin"/>
    <s v="Tujuh Belas"/>
    <s v="Juli"/>
    <s v="Dua ribu dua puluh tiga"/>
    <x v="31"/>
    <s v="Jl. Ir. H. Juanda No. 2 Bogor"/>
    <s v="17 Juli 2023"/>
    <s v="17 Juli 2023"/>
    <s v="23 Juni 2023"/>
    <s v="1 Juli 2016"/>
    <s v="3271034210870004"/>
    <s v="Jl. Abadi No.15 Komplek Kedung Badak Baru, Rt.10/06, Kedung, Tanah Sareal, Bogor"/>
    <s v="59.215.771.3-404.000"/>
    <s v="Jl. Malabar No.16, Rt.01/04, Babakan, Bogor Tengah, Bogor"/>
    <s v="ribka.brahmana@yahoo.com"/>
    <s v="Sarjana"/>
    <s v="Institut Pertanian Bogor (IPB)_x000a_ Jurusan Peternakan, Lulus 2012"/>
    <s v="Ibu"/>
    <m/>
    <x v="0"/>
    <m/>
    <m/>
  </r>
  <r>
    <n v="32"/>
    <m/>
    <s v="TK-SD Regina Pacis Bogor"/>
    <n v="32"/>
    <s v="VII"/>
    <n v="2023"/>
    <x v="42"/>
    <s v="Gunung Kidul"/>
    <s v="7 Februari 1984"/>
    <s v="Taman Griya Kencana Blok A.5 No.15"/>
    <s v="Kencana, Tanah Sareal, Bogor"/>
    <s v="0817-0404513"/>
    <s v="Senin"/>
    <s v="Tujuh Belas"/>
    <s v="Juli"/>
    <s v="Dua ribu dua puluh tiga"/>
    <x v="31"/>
    <s v="Jl. Ir. H. Juanda No. 2 Bogor"/>
    <s v="17 Juli 2023"/>
    <s v="17 Juli 2023"/>
    <s v="23 Juni 2023"/>
    <s v="1 Juli 2016"/>
    <s v="3404114702840002"/>
    <s v="Taman Griya Kencana Blok A.5 No.15, Kencana, Tanah Sareal, Bogor"/>
    <s v="55.655.603.3-404.000"/>
    <s v="Taman Griya Kencana Blok A.5 No.15, Kencana, Tanah Sareal, Bogor"/>
    <s v="sumiyatirecis@gmail.com"/>
    <s v="D3"/>
    <s v="STMIK AMIKOM Yogyakarta_x000a_ Jurusan Management Informatika, Lulus 2005"/>
    <s v="Ibu"/>
    <m/>
    <x v="0"/>
    <m/>
    <m/>
  </r>
  <r>
    <n v="33"/>
    <m/>
    <s v="TK-SD Regina Pacis Bogor"/>
    <n v="33"/>
    <s v="VII"/>
    <n v="2023"/>
    <x v="43"/>
    <s v="Jakarta"/>
    <s v="5 Juni 1975"/>
    <s v="Perum Kostrad Blok S No 2, RT/RW 001/011, Cijujung"/>
    <s v="Sukaraja"/>
    <s v="0878-80985983"/>
    <s v="Senin"/>
    <s v="Tujuh Belas"/>
    <s v="Juli"/>
    <s v="Dua ribu dua puluh tiga"/>
    <x v="31"/>
    <s v="Jl. H. Juanda Bogor"/>
    <s v="17 Juli 2023"/>
    <s v="17 Juli 2023"/>
    <s v="23 Juni 2023"/>
    <s v="3 Januari 2022"/>
    <s v="3201044506750015"/>
    <s v="Perum Kostrad Blok S No 2 RT/RW 001/011, Cijujung, Sukaraja, Kab. Bogor"/>
    <s v="26.146.171.9.412.001"/>
    <s v="Komp. Paspampres Blok G No. 11 Rt 02/08, Kampung Kelor, Kota Depok"/>
    <s v="sasiartanto530@gmail.com"/>
    <s v="S.1 Ekonomi Pendidikan"/>
    <s v="Universitas Indraprasta Jakarta"/>
    <m/>
    <m/>
    <x v="0"/>
    <m/>
    <m/>
  </r>
  <r>
    <n v="34"/>
    <m/>
    <s v="TK-SD Regina Pacis Bogor"/>
    <n v="34"/>
    <s v="VII"/>
    <n v="2023"/>
    <x v="44"/>
    <s v="Galang"/>
    <s v="4 Mei 1993"/>
    <s v="JL KH Muhidin Bubulak Poncol RT 1 RW 5 Kel. Kencana Kec. Tanah Sareal"/>
    <s v="Bogor"/>
    <s v="0895616814709 / 0812-80544573"/>
    <s v="Senin"/>
    <s v="Tujuh Belas"/>
    <s v="Juli"/>
    <s v="Dua ribu dua puluh tiga"/>
    <x v="31"/>
    <s v="Jl. H. Juanda Bogor"/>
    <s v="17 Juli 2023"/>
    <s v="17 Juli 2023"/>
    <s v="23 Juni 2023"/>
    <s v="31 Januari 2022"/>
    <s v="1207190405930002"/>
    <s v="JL KH Muhidin Bubulak Poncol RT 1 RW 5 Kel. Kencana Kec. Tanah Sareal, Bogor"/>
    <s v="82.457.654.0.404.000"/>
    <s v="Kedunghalang RT 004 RW 001Kedunghalang Bogor Utara, Kota Bogor"/>
    <s v="posma.d@gmail.com"/>
    <s v="S1"/>
    <s v="UNIVERSITAS MERCU BUANA JAKARTA"/>
    <m/>
    <m/>
    <x v="0"/>
    <m/>
    <m/>
  </r>
  <r>
    <n v="35"/>
    <m/>
    <s v="SMP-SMA Regina Pacis Bogor"/>
    <n v="35"/>
    <s v="VII"/>
    <n v="2023"/>
    <x v="45"/>
    <s v="Nias"/>
    <s v="8 Juli 1992"/>
    <s v="Jl. Sukamulya no. 105 RT1/5 Sukasari"/>
    <s v="Bogor"/>
    <s v="0813-82353182"/>
    <s v="Senin"/>
    <s v="Tujuh Belas"/>
    <s v="Juli"/>
    <s v="Dua ribu dua puluh tiga"/>
    <x v="32"/>
    <s v="Jl. Ir. H. Juanda No. 2 Bogor"/>
    <s v="17 Juli 2023"/>
    <s v="17 Juli 2023"/>
    <s v="23 Juni 2023"/>
    <s v="1 Juli 2016"/>
    <s v="1207280807920002"/>
    <s v="Jl. Saorma No. 11 Kalisari Jakarta Timur"/>
    <s v="78.813.560.7404.000"/>
    <s v="Jl. Bangka No. 15 RT2/3 Baranangsiang, Bogor Timur"/>
    <s v="Adrianushia@gmail.com"/>
    <s v="S1"/>
    <s v="Institut Pertanian Bogor_x000a_ Jurusan Agribisnis Lulus 2016"/>
    <s v="Bpk."/>
    <m/>
    <x v="0"/>
    <m/>
    <m/>
  </r>
  <r>
    <n v="36"/>
    <m/>
    <s v="SMP-SMA Regina Pacis Bogor"/>
    <n v="36"/>
    <s v="VII"/>
    <n v="2023"/>
    <x v="46"/>
    <s v="Jakarta"/>
    <s v="29 Desember 1976"/>
    <s v="Perum. Bumi Pertiwi Cilebut C/5 Sukaraja"/>
    <s v="Cilebut Timur - Bogor 16310"/>
    <s v="0815-9734457"/>
    <s v="Senin"/>
    <s v="Tujuh Belas"/>
    <s v="Juli"/>
    <s v="Dua ribu dua puluh tiga"/>
    <x v="32"/>
    <s v="Jl. Ir. H. Juanda No. 2 Bogor"/>
    <s v="17 Juli 2023"/>
    <s v="17 Juli 2023"/>
    <s v="23 Juni 2023"/>
    <s v="1 Juli 2016"/>
    <s v="3174026912760002"/>
    <s v="Jl.Papandayan No.27 Rt.11/05, Pasar Manggis, Setia Budi, Jakarta Selatan"/>
    <s v="47.298.943.3-018.000"/>
    <s v="Jl.Papandayan No.27, Jakarta Selatan"/>
    <s v="deiske_daisy@yahoo.com"/>
    <s v="S1"/>
    <s v="Univ. Patra Jasa_x000a_ Jurusan Akuntansi Komputer, Lulus 1999"/>
    <s v="Ibu"/>
    <m/>
    <x v="0"/>
    <m/>
    <m/>
  </r>
  <r>
    <n v="37"/>
    <m/>
    <s v="SMP-SMA Regina Pacis Bogor"/>
    <n v="37"/>
    <s v="VII"/>
    <n v="2023"/>
    <x v="47"/>
    <s v="Bogor"/>
    <s v="20 Juli 1987"/>
    <s v="KP. Ceringin RT.02/11 Desa Ragajaya Kec. BojongGede"/>
    <s v="Bogor 16320"/>
    <s v="0896-49993422"/>
    <s v="Senin"/>
    <s v="Tujuh Belas"/>
    <s v="Juli"/>
    <s v="Dua ribu dua puluh tiga"/>
    <x v="32"/>
    <s v="Jl. Ir. H. Juanda No. 2 Bogor"/>
    <s v="17 Juli 2023"/>
    <s v="17 Juli 2023"/>
    <s v="23 Juni 2023"/>
    <s v="1 Juli 2016"/>
    <s v="3201132007870002"/>
    <s v="KP. Ceringin RT.02/11 Desa Ragajaya Kec. BojongGede, Bogor 16320"/>
    <s v="66.320.947.6-403.000"/>
    <s v="KP. Ceringin RT.02/11 Desa Ragajaya Kec. BojongGede, Bogor 16320"/>
    <s v="roy.martin46@yahoo.com"/>
    <s v="Strata 1 ( S1 )"/>
    <s v="Universitas Nasional Jakarta_x000a_ Jurusan Teknik Informatika Lulus 2013"/>
    <s v="Bpk."/>
    <m/>
    <x v="0"/>
    <m/>
    <m/>
  </r>
  <r>
    <n v="38"/>
    <m/>
    <s v="SMP-SMA Regina Pacis Bogor"/>
    <n v="38"/>
    <s v="VII"/>
    <n v="2023"/>
    <x v="48"/>
    <s v="Jakarta"/>
    <d v="1991-09-22T00:00:00"/>
    <s v="Kp. Lulut RT 02/01 No. 83 Klapanunggal"/>
    <s v="Bogor 16710"/>
    <s v="0812-80585594"/>
    <s v="Senin"/>
    <s v="Tujuh Belas"/>
    <s v="Juli"/>
    <s v="Dua ribu dua puluh tiga"/>
    <x v="32"/>
    <s v="Jl. Ir. H. Juanda No. 2 Bogor"/>
    <s v="17 Juli 2023"/>
    <s v="17 Juli 2023"/>
    <s v="23 Juni 2023"/>
    <s v="1 Juli 2016"/>
    <s v="3201326209910001"/>
    <s v="Kp. Lulut RT 02/01 No. 83 Klapanunggal Bogor 16710"/>
    <s v="70.657.286.4-436.000"/>
    <s v="Kp. Lulut RT 02/01 No. 83 Klapanunggal Bogor 16710"/>
    <s v="sinaga.lasriama@gmail.com ; lasriama@reginapacis.sch.id"/>
    <s v="S1 Matematika"/>
    <s v="STKIP Kusuma Negara Pend. Matematika, tahun 2016"/>
    <s v="Ibu"/>
    <m/>
    <x v="0"/>
    <m/>
    <m/>
  </r>
  <r>
    <n v="39"/>
    <m/>
    <s v="TK-SD-SMP BPK Penabur Bogor"/>
    <n v="39"/>
    <s v="VII"/>
    <n v="2023"/>
    <x v="49"/>
    <s v="Jakarta"/>
    <d v="1987-04-22T00:00:00"/>
    <s v="Jl.Gas Alam Gg.Kapitan 2, No.26, Rt.05/04 Sukatani"/>
    <s v="Tapos - Depok"/>
    <s v="021- 8747434 / 0812-80452792, 0856-1192562"/>
    <s v="Senin"/>
    <s v="Tujuh Belas"/>
    <s v="Juli"/>
    <s v="Dua ribu dua puluh tiga"/>
    <x v="33"/>
    <s v="Jl. Paledang Gang Buntu No. 1 Bogor"/>
    <s v="17 Juli 2023"/>
    <s v="17 Juli 2023"/>
    <s v="23 Juni 2023"/>
    <s v="15 Juli 2017"/>
    <s v="3276026204870015"/>
    <s v="Jl.Gas Alam No.26, Rt.05/04, Sukatani, Tapos, Depok"/>
    <s v="36.216.173.9-412.000"/>
    <s v="Jl.Gas Alam gg. Kapitan II RT.005 RW.004 No.86 Sukatani Tapos-Depok"/>
    <s v="shintaprasetiawati@gmail.com"/>
    <s v="D3"/>
    <s v="BSI_x000a_ Jurusan Komputer Akuntansi, Lulus 2010"/>
    <s v="Ibu"/>
    <m/>
    <x v="0"/>
    <m/>
    <m/>
  </r>
  <r>
    <n v="40"/>
    <m/>
    <s v="TK-SD-SMP BPK Penabur Bogor"/>
    <n v="40"/>
    <s v="VII"/>
    <n v="2023"/>
    <x v="50"/>
    <s v="Flores"/>
    <s v="25 Juli 1971"/>
    <s v="Puri Artah Sentosa Blok I4 No.19 Bojong Gede"/>
    <s v="Bogor - Jawa Barat"/>
    <s v="0813-18080111"/>
    <s v="Senin"/>
    <s v="Tujuh Belas"/>
    <s v="Juli"/>
    <s v="Dua ribu dua puluh tiga"/>
    <x v="33"/>
    <s v="Jl. Paledang Gang Buntu No. 1 Bogor"/>
    <s v="17 Juli 2023"/>
    <s v="17 Juli 2023"/>
    <s v="23 Juni 2023"/>
    <s v="15 Juli 2017"/>
    <n v="3174052507710010"/>
    <s v="Jl.Simprug Golf XV/36, Rt.01/08,Grogol selatan, Kebayoran Lama, Jakarta Selatan"/>
    <s v="17.077.684.3-013.000"/>
    <s v="Simprug golf XV/36 Grogol Selatan Kebayoran Lama Jakarta Selatan DKI JAKARTA 12220"/>
    <s v="maximayelus.huku@bogor.bpkpenabur.or.id"/>
    <s v="Strata 1"/>
    <s v="Universitas Bung Karno Jakarta_x000a_ Jurusan Ilmu Komunikasi, Lulus 2004"/>
    <s v="Bpk."/>
    <m/>
    <x v="0"/>
    <m/>
    <m/>
  </r>
  <r>
    <n v="41"/>
    <m/>
    <s v="TK-SD Cahaya Sakti"/>
    <n v="41"/>
    <s v="VII"/>
    <n v="2023"/>
    <x v="51"/>
    <s v="Purworejo"/>
    <s v="30 Juni 1968"/>
    <s v="Jl. Gotong Royong No. 24 RT 006/ RW 001 Kel. Baru, Kec. Pasar Rebo"/>
    <s v="Jakarta Timur"/>
    <n v="88225835292"/>
    <s v="Senin"/>
    <s v="Tujuh Belas"/>
    <s v="Agustus"/>
    <s v="Dua ribu dua puluh tiga"/>
    <x v="34"/>
    <m/>
    <s v="17 Juli 2023"/>
    <s v="17 Juli 2023"/>
    <s v="23 Juni 2023"/>
    <s v="1 Agustus 2022"/>
    <s v="3175057006680004"/>
    <s v="Jl. Gotong Royong No. 24 RT 006/ RW 001 Kel. Baru, Kec. Pasar Rebo, Jakarta Timur"/>
    <s v="68.317.746.3-009.000"/>
    <s v="Jl. Gotong Royong No. 24 RT 006/ RW 001 Kel. Baru, Kec. Pasar Rebo, Jakarta, Timur"/>
    <s v="lyuniarim@gmail.com"/>
    <s v="S1"/>
    <s v="Universitas Kertanegara"/>
    <m/>
    <m/>
    <x v="0"/>
    <m/>
    <m/>
  </r>
  <r>
    <n v="42"/>
    <m/>
    <s v="TK-SD Amore"/>
    <n v="42"/>
    <s v="VII"/>
    <n v="2023"/>
    <x v="52"/>
    <s v="Tangerang"/>
    <s v="13 Juli 1997"/>
    <s v="Jl. Maharta 13A Blok B 28 No. 5 RT 11 RW 10 Pondok Kacang Timur Tangerang /"/>
    <s v="KTP : Jl. Pahala 1 No. 58 RT 01 RW 08 Karang Tengah Tangerang"/>
    <s v="0877-72886665"/>
    <s v="Senin"/>
    <s v="Tujuh Belas"/>
    <s v="Juli"/>
    <s v="Dua ribu dua puluh tiga"/>
    <x v="35"/>
    <s v="Permata I Blok A1 No. 29 Karang Mulya, Karang Tengah, Tangerang-Banten"/>
    <s v="17 Juli 2023"/>
    <s v="17 Juli 2023"/>
    <s v="23 Juni 2023"/>
    <s v="1 Juli 2020"/>
    <s v="3671125307970004"/>
    <s v="KTP : Jl. Pahala 1 No. 58 RT 01 RW 08 Karang Tengah Tangerang"/>
    <s v="-"/>
    <s v="-"/>
    <s v="yashintamsari@gmail.com"/>
    <s v="S1"/>
    <m/>
    <s v="Ibu"/>
    <d v="2021-07-23T00:00:00"/>
    <x v="0"/>
    <m/>
    <m/>
  </r>
  <r>
    <n v="43"/>
    <m/>
    <s v="SD-SMP-SMA Amore"/>
    <n v="43"/>
    <s v="VII"/>
    <n v="2023"/>
    <x v="53"/>
    <s v="Palembang"/>
    <s v="29 Juli 1969"/>
    <s v="Jl. Prambanan Raya No. 49 Cibodas Kec. Cibodas"/>
    <s v="Kota Tangerang"/>
    <s v="0821-22461822 / 0857-82032236"/>
    <s v="Senin"/>
    <s v="Tujuh Belas"/>
    <s v="Juli"/>
    <s v="Dua ribu dua puluh tiga"/>
    <x v="36"/>
    <s v="Permata I Blok A1 No. 29 Karang Mulya, Karang Tengah, Tangerang-Banten"/>
    <s v="17 Juli 2023"/>
    <s v="17 Juli 2023"/>
    <s v="23 Juni 2023"/>
    <s v="1 Juli 2020"/>
    <s v="3671092907690005"/>
    <s v="Jl. Prambanan Raya No. 49 Cibodas Kec. Cibodas"/>
    <s v="57.096.121.9-402.000"/>
    <s v="Jl. Prambanan Raya No. 49 Cibodas Kec. Cibodas"/>
    <s v="amrizal29@gmail.com"/>
    <s v="S1"/>
    <m/>
    <s v="Bpk."/>
    <d v="2021-07-23T00:00:00"/>
    <x v="0"/>
    <m/>
    <m/>
  </r>
  <r>
    <n v="44"/>
    <m/>
    <s v="SMK Fransiskus Kampung Ambon"/>
    <n v="44"/>
    <s v="VII"/>
    <n v="2023"/>
    <x v="54"/>
    <s v="Bogor"/>
    <s v="03 Agustus 1996"/>
    <s v="Permata Hijau Permai Blok 11 No. 14 Kaliabang Tengah, Bekasi Utara"/>
    <s v="Bekasi Utara"/>
    <s v="0855-91485508"/>
    <s v="Senin"/>
    <s v="Tujuh Belas"/>
    <s v="Juli"/>
    <s v="Dua ribu dua puluh tiga"/>
    <x v="37"/>
    <s v="Jl. Bangunan Barat No. 29 Kampung Ambon Jakarta Timur"/>
    <s v="17 Juli 2023"/>
    <s v="17 Juli 2023"/>
    <s v="23 Juni 2023"/>
    <s v="29 Juni 2018"/>
    <s v="3275034308960019"/>
    <s v="Perum. Taman Wisma Asri Blok B6 No. 16 Teluk Pucung, Bekasi Utara"/>
    <s v="93.150.911.1-407.000"/>
    <s v="Perum. Taman Wisma Asri Blok B6 No. 16 Teluk Pucung, Bekasi Utara"/>
    <s v="ofcsarayolanda@gmail.com"/>
    <s v="S1"/>
    <s v="Universitas Negeri Jakarta"/>
    <s v="Ibu"/>
    <d v="2021-07-23T00:00:00"/>
    <x v="1"/>
    <m/>
    <m/>
  </r>
  <r>
    <n v="45"/>
    <m/>
    <s v="SD Bhakti Kemanggisan"/>
    <n v="45"/>
    <s v="VII"/>
    <n v="2023"/>
    <x v="55"/>
    <s v="Jakarta"/>
    <s v="16 Maret 1983"/>
    <s v="Jl. Kampung Utan Bahagia RT 013 RW 07 No. 85"/>
    <s v="Cengkareng - Jakarta Barat"/>
    <s v="0859-21425353"/>
    <s v="Senin"/>
    <s v="Tujuh Belas"/>
    <s v="Juli"/>
    <s v="Dua ribu dua puluh tiga"/>
    <x v="38"/>
    <s v="Jl. Bhakti IV No. 3 Kemanggisan Palmerah - Jakarta Barat"/>
    <s v="17 Juli 2023"/>
    <s v="17 Juli 2023"/>
    <s v="23 Juni 2023"/>
    <s v="1 Juli 2016"/>
    <s v="3173015603830019"/>
    <s v="Rawa Buaya RT 07 RW 011 Rawa Buaya, Cengkareng - Jakarta Barat"/>
    <s v="67.895.932.1-034.000"/>
    <s v="Rawa Buaya RT 07 RW 011 Rawa Buaya, Cengkareng - Jakarta Barat"/>
    <s v="angeltevani28@gmail.com"/>
    <s v="D3"/>
    <s v="Manajemen STAD&quot;S ASMI Jurusan Manajemen Perkantoran, lulus 2004"/>
    <s v="Ibu"/>
    <m/>
    <x v="0"/>
    <m/>
    <m/>
  </r>
  <r>
    <n v="46"/>
    <m/>
    <s v="SD Bhakti Kemanggisan"/>
    <n v="46"/>
    <s v="VII"/>
    <n v="2023"/>
    <x v="56"/>
    <s v="Jakarta"/>
    <s v="25 Juli 1994"/>
    <s v="Bali Matraman Jl. Bedeng No. 27 RT 001 RW 010 Manggarai Selatan"/>
    <s v="Tebet - Jakarta Selatan"/>
    <s v="0818-07934797"/>
    <s v="Senin"/>
    <s v="Tujuh Belas"/>
    <s v="Juli"/>
    <s v="Dua ribu dua puluh tiga"/>
    <x v="38"/>
    <s v="Jl. Bhakti IV No. 3 Kemanggisan Palmerah - Jakarta Barat"/>
    <s v="17 Juli 2023"/>
    <s v="17 Juli 2023"/>
    <s v="23 Juni 2023"/>
    <s v="2 Februari 2022"/>
    <s v="3174012507940002"/>
    <s v="Bali Matraman Jl. Bedeng No. 27 RT 001 RW 010 Manggarai Selatan Tebet, Jaksel"/>
    <s v="84.690.685.7-015.000"/>
    <m/>
    <s v="bryan.hendra25@gmail.com"/>
    <s v="S1"/>
    <m/>
    <m/>
    <m/>
    <x v="0"/>
    <m/>
    <m/>
  </r>
  <r>
    <n v="47"/>
    <m/>
    <s v="SD MY Depok"/>
    <n v="47"/>
    <s v="VII"/>
    <n v="2023"/>
    <x v="57"/>
    <s v="Samosir"/>
    <s v="2 Juli 1992"/>
    <s v="Jl. Mawar No.12, Rt.02/08, Depok Pancoran Mas"/>
    <s v="Depok"/>
    <s v="082274686022/085211151285"/>
    <s v="Senin"/>
    <s v="Tujuh Belas"/>
    <s v="Juli"/>
    <s v="Dua ribu dua puluh tiga"/>
    <x v="39"/>
    <s v="Jln Cempaka N0 4-5 Depok"/>
    <s v="17 Juli 2023"/>
    <s v="17 Juli 2023"/>
    <s v="23 Juni 2023"/>
    <s v="26 Februari 2018"/>
    <s v="3172034207920005"/>
    <s v="Kp.Tanah Merah Bawah, Jl.Perjuangan III, Rt.03/10, Kel Rawa Badak Selatan, Kec.Koja"/>
    <s v="71.962.413.2-045.000"/>
    <s v="Kp.Tanah Merah Bawah, Jl.Plumpang B No.58 Rt.03/10"/>
    <s v="juliantisarah92@gmail.com"/>
    <s v="S1"/>
    <s v="Universitas Indraprasta PGRI_x000a_ Jurusan Teknik Informatika, Lulus 2014"/>
    <s v="Ibu"/>
    <m/>
    <x v="0"/>
    <m/>
    <m/>
  </r>
  <r>
    <n v="48"/>
    <m/>
    <s v="SD MY Depok"/>
    <n v="48"/>
    <s v="VII"/>
    <n v="2023"/>
    <x v="58"/>
    <s v="Duri"/>
    <s v="5 Agustus 1999"/>
    <s v="Jl. Jawa Kelurahan Gajah Sakti, Kec. Mandau"/>
    <s v="Bengkalis"/>
    <n v="87894664316"/>
    <s v="Senin"/>
    <s v="Tujuh Belas"/>
    <s v="Juli"/>
    <s v="Dua ribu dua puluh tiga"/>
    <x v="39"/>
    <s v="Jln Cempaka N0 4-5 Depok"/>
    <s v="17 Juli 2023"/>
    <s v="17 Juli 2023"/>
    <s v="23 Juni 2023"/>
    <d v="2022-07-18T00:00:00"/>
    <s v="1403094508990004"/>
    <s v="Jl. Jawa Kelurahan GAJAH SAKTI KECAMATAN MANDAU kabupaten Bengkalis"/>
    <s v="-"/>
    <s v="-"/>
    <s v="nadiastifani05@gmail.com"/>
    <s v="S1 Teknik Informatik"/>
    <s v="STMIK AMIK"/>
    <s v="Ibu"/>
    <m/>
    <x v="1"/>
    <m/>
    <m/>
  </r>
  <r>
    <n v="49"/>
    <m/>
    <s v="SMP MY Bogor"/>
    <n v="49"/>
    <s v="VII"/>
    <n v="2023"/>
    <x v="59"/>
    <s v="Bogor"/>
    <d v="1994-09-02T00:00:00"/>
    <s v="Jl. Bubulah No. 107 RT.04 RW. 01 Kel. Kebon Pedes, Kec. Tanah Sareal Bogor 16162"/>
    <s v="Kel. Kebon Pedes Kec. Tanah Sareal-Bogor 16162"/>
    <s v="0898-3916556"/>
    <s v="Senin"/>
    <s v="Tujuh Belas"/>
    <s v="Juli"/>
    <s v="Dua ribu dua puluh tiga"/>
    <x v="40"/>
    <s v="Graha Raya Bunga, Kav M9 No.1, Pondok Jagung Timur, Kec. Serpong Utara, Kota Tangerang Selatan Prov. Banten"/>
    <s v="17 Juli 2023"/>
    <s v="17 Juli 2023"/>
    <s v="23 Juni 2023"/>
    <s v="1 Juli 2019"/>
    <s v="3276054209940001"/>
    <s v="Pondok Rumput Gg. Ikan Mas No.9 RT 004 RW 005 Kel. Kebon Pedes, Kec. Tanah Sareal Bogor 16162"/>
    <s v="92.481.983.2-404.000"/>
    <s v="Perumahan Mina Bhakti No.122A RT 006 RW 003 Cikaret, Bogor Selatan Kota Bogor, Jawa Barat"/>
    <s v="bijoulight9427@gmail.com"/>
    <s v="S1 TI"/>
    <s v="Univ. Indraprasta PGRI"/>
    <s v="Ibu"/>
    <m/>
    <x v="0"/>
    <m/>
    <m/>
  </r>
  <r>
    <n v="50"/>
    <m/>
    <s v="SMPK Sang Timur Karang Tengah"/>
    <n v="50"/>
    <s v="VII"/>
    <n v="2023"/>
    <x v="60"/>
    <s v="Bekasi"/>
    <s v="22 Maret 1995"/>
    <s v="Jl. Murai 2 No. 405 RT 005 RW 003 Kel. Kayuringin Jaya"/>
    <s v="Bekasi Selatan"/>
    <s v="0858-19063813 / 085777870395"/>
    <s v="Senin"/>
    <s v="Tujuh Belas"/>
    <s v="Juli"/>
    <s v="Dua ribu dua puluh tiga"/>
    <x v="41"/>
    <s v="Jl. Barata Pahala No. 37 Karang Tengah - Ciledug"/>
    <s v="17 Juli 2023"/>
    <s v="17 Juli 2023"/>
    <s v="23 Juni 2023"/>
    <s v="26 Februari 2018"/>
    <s v="3275046203950007"/>
    <s v="Jl. Murai 2 No. 405 RT 005 RW 003 Kel. Kayuringin Jaya"/>
    <s v="-"/>
    <s v="-"/>
    <s v="thereshiasilvia@gmail.com"/>
    <s v="S1 Pendidikan Elektronika"/>
    <m/>
    <s v="Ibu"/>
    <d v="2021-07-23T00:00:00"/>
    <x v="0"/>
    <m/>
    <m/>
  </r>
  <r>
    <n v="51"/>
    <m/>
    <s v="SMA MY Bogor"/>
    <n v="51"/>
    <s v="VII"/>
    <n v="2023"/>
    <x v="61"/>
    <s v="Jakarta"/>
    <d v="1991-09-10T00:00:00"/>
    <s v="Gg. Masjid Cisalak RT 001 RW 008 No. 12 Kel. Cisalak"/>
    <s v="Kec. Sukmajaya - Depok"/>
    <s v="0813-14123886"/>
    <s v="Senin"/>
    <s v="Tujuh Belas"/>
    <s v="Juli"/>
    <s v="Dua ribu dua puluh tiga"/>
    <x v="42"/>
    <s v="Jl. Siliwangi No. 50 Bogor"/>
    <s v="17 Juli 2023"/>
    <s v="17 Juli 2023"/>
    <s v="23 Juni 2023"/>
    <s v="26 Februari 2018"/>
    <s v="3276021009910018"/>
    <s v="Gg. Masjid Cisalak RT 001 RW 008 No. 12 Kel. Cisalak, Sukmajaya - Depok"/>
    <s v="74.744.268.9-412.000"/>
    <s v="Kelapa Dua No. 162 RT 004 RW 009 Kel. Tugu, Cimanggis -Depok"/>
    <s v="sandyfirmansyah@gmail.com"/>
    <s v="S1 Sistem Informasi Univ. Gunadarma"/>
    <s v="Lulus 2018"/>
    <s v="Bpk."/>
    <m/>
    <x v="0"/>
    <m/>
    <m/>
  </r>
  <r>
    <n v="52"/>
    <m/>
    <s v="TK-SD Mardi Yuana Cicurug"/>
    <n v="52"/>
    <s v="VII"/>
    <n v="2023"/>
    <x v="62"/>
    <s v="Sukabumi"/>
    <d v="1988-09-05T00:00:00"/>
    <s v="Kp.Kaum Tengah RT 01 RW 03 No.84"/>
    <s v="Cicurug - Sukabumi 43359"/>
    <s v="0812-81389590"/>
    <s v="Senin"/>
    <s v="Tujuh Belas"/>
    <s v="Juli"/>
    <s v="Dua ribu dua puluh tiga"/>
    <x v="43"/>
    <s v="Jl. Raya Siliwangi No. 264 Cicurug Sukabumi"/>
    <s v="17 Juli 2023"/>
    <s v="17 Juli 2023"/>
    <s v="23 Juni 2023"/>
    <s v="26 Februari 2018"/>
    <s v="3202164509880001"/>
    <s v="Kp.Kaum Tengah Rt.01/03, Cicurug, Sukabumi"/>
    <s v="59.499.674.6-405.000"/>
    <s v="Kp.Kaum Tengah Rt.01/03, Cicurug, Sukabumi"/>
    <s v="Ditafajaryanti0509@gmail.com"/>
    <s v="D3"/>
    <s v="Akademi Pimpinan Perusahaan_x000a_ Jurusan Sumber Daya Manusia, Lulus 2009"/>
    <s v="Ibu"/>
    <m/>
    <x v="0"/>
    <m/>
    <m/>
  </r>
  <r>
    <n v="53"/>
    <m/>
    <m/>
    <n v="53"/>
    <s v="VII"/>
    <n v="2023"/>
    <x v="63"/>
    <m/>
    <m/>
    <m/>
    <m/>
    <m/>
    <m/>
    <s v="Tujuh Belas"/>
    <m/>
    <s v="Dua ribu dua puluh tiga"/>
    <x v="44"/>
    <m/>
    <m/>
    <m/>
    <m/>
    <m/>
    <m/>
    <m/>
    <m/>
    <m/>
    <m/>
    <m/>
    <m/>
    <m/>
    <m/>
    <x v="0"/>
    <m/>
    <m/>
  </r>
  <r>
    <n v="54"/>
    <m/>
    <s v="TK Mardi Yuana Cilegon"/>
    <n v="54"/>
    <s v="VII"/>
    <n v="2023"/>
    <x v="64"/>
    <s v="Serang"/>
    <s v="29 Juni 199"/>
    <s v="BKP Blok 1C/B 4A Rt/Rw 001/001 Kel Marga Tani, Kec. Kramatwatu"/>
    <s v="Kab. Serang"/>
    <n v="81381006037"/>
    <s v="Senin"/>
    <s v="Tujuh Belas"/>
    <s v="Juli"/>
    <s v="Dua ribu dua puluh tiga"/>
    <x v="45"/>
    <m/>
    <s v="17 Juli 2023"/>
    <s v="17 Juli 2023"/>
    <s v="23 Juni 2023"/>
    <d v="2022-07-18T00:00:00"/>
    <s v="3604056906910003"/>
    <s v="BKP Blok 1C/B 4A Rt/Rw 001/001 Kel Marga Tani, Kec. Kramatwatu, Kab. Serang"/>
    <s v="73.699.697.6-401.000"/>
    <s v="BKP Blok 1C/B 4A Rt/Rw 001/001 Kel Marga Tani, Kec. Kramatwatu, Kab. Serang"/>
    <s v="ratuanitha@yahoo.co.id"/>
    <s v="Sl,Pendidikan Bahasa Inggris"/>
    <s v="Universitas Sultan Ageng Tirtayas"/>
    <s v="Ibu"/>
    <m/>
    <x v="0"/>
    <m/>
    <m/>
  </r>
  <r>
    <n v="55"/>
    <m/>
    <s v="SD Mardi Yuana Cilegon"/>
    <n v="55"/>
    <s v="VII"/>
    <n v="2023"/>
    <x v="65"/>
    <s v="Cilegon"/>
    <d v="1982-11-25T00:00:00"/>
    <s v="Komp. Pondok Cilegon Indah Cluster Carita Blok E19 No.16 RT.003/007"/>
    <s v="Cilegon - Banten"/>
    <s v="0818-04188926, 0813-11016863"/>
    <s v="Senin"/>
    <s v="Tujuh Belas"/>
    <s v="Juli"/>
    <s v="Dua ribu dua puluh tiga"/>
    <x v="46"/>
    <s v="Jl. Panglima Polim No. 51 Cilegon"/>
    <s v="17 Juli 2023"/>
    <s v="17 Juli 2023"/>
    <s v="23 Juni 2023"/>
    <s v="26 Februari 2018"/>
    <s v="3672024807800001"/>
    <s v="Komp. Pondok Cilegon Indah Cluster Carita Blok E19 No.16 RT.003/007"/>
    <s v="79.632.313.7-417.000"/>
    <s v="Komp. Pondok Cilegon Indah blok B28 No.03 RT.01/05"/>
    <s v="gesang22swadesi@yahoo.co.id"/>
    <s v="S1 Teknik Elektro"/>
    <s v="Sekolah Tinggi Teknologi Nasional Yogyakarta_x000a_ Teknik Elektro Lulus 2008"/>
    <s v="Bpk."/>
    <m/>
    <x v="0"/>
    <m/>
    <m/>
  </r>
  <r>
    <n v="56"/>
    <m/>
    <s v="SD Mardi Yuana Cilegon"/>
    <n v="56"/>
    <s v="VII"/>
    <n v="2023"/>
    <x v="66"/>
    <s v="Pemalang"/>
    <d v="1983-04-07T00:00:00"/>
    <s v="Perumahan Taman Krakatau Blok L3 No.17 Margatani Kramatwatu"/>
    <s v="Jombang Cilegon - Banten"/>
    <n v="87771775979"/>
    <s v="Senin"/>
    <s v="Tujuh Belas"/>
    <s v="Juli"/>
    <s v="Dua ribu dua puluh tiga"/>
    <x v="46"/>
    <s v="Jl. Panglima Polim No. 51 Cilegon"/>
    <s v="17 Juli 2023"/>
    <s v="17 Juli 2023"/>
    <s v="23 Juni 2023"/>
    <s v="26 Februari 2018"/>
    <s v="3672054704830002"/>
    <s v="Perumahan Taman Krakatau Blok L3 No.17 Margatani Kramatwatu"/>
    <s v="79.632.347.5-417.000"/>
    <s v="Jl. Pegantungan Baru RT.03 RW.14, Jombang Wetan, Jombang Cilegon, Banten"/>
    <s v="yantie83ajah@gmail.com"/>
    <s v="D3 Jur. Manajemen Informatika"/>
    <s v="AMIK Serang_x000a_ Jurusan Manajemen Informatika Lulus 2005"/>
    <s v="Ibu"/>
    <m/>
    <x v="0"/>
    <m/>
    <m/>
  </r>
  <r>
    <n v="57"/>
    <m/>
    <s v="TK-SD-SMP Mardi Yuana Cianjur"/>
    <n v="57"/>
    <s v="VII"/>
    <n v="2023"/>
    <x v="67"/>
    <s v="Sukabumi"/>
    <s v="4 Februari 1978"/>
    <s v="Jl. RA Kosasih Gg. Juli No. 14 Rt 05/13 Kel. Cisarua Kec. Cikole"/>
    <s v="Kota Sukabumi"/>
    <s v="0857-23143053"/>
    <s v="Senin"/>
    <s v="Tujuh Belas"/>
    <s v="Juli"/>
    <s v="Dua ribu dua puluh tiga"/>
    <x v="47"/>
    <s v="Jl. Siliwangi No. 66 Cianjur"/>
    <s v="17 Juli 2023"/>
    <s v="17 Juli 2023"/>
    <s v="23 Juni 2023"/>
    <s v="26 Februari 2018"/>
    <s v="3272020402780021"/>
    <s v="Jl. Ra Kosasih Gg. Juli No. 14 Rt 05/13 Kel. Cisarua Kec. Cikole Kota Sukabumi"/>
    <s v="54.347.963.8-405.000"/>
    <s v="Jl. Ra Kosasih Gg. Juli No. 14 Rt 05/13 Kel. Cisarua Kec. Cikole Kota Sukabumi"/>
    <s v="byrcls@gmail.com"/>
    <s v="D3"/>
    <s v="LP3I JAKARTA_x000a_ Jurusan Komputer Akuntansi Lulus 2002"/>
    <s v="Bpk."/>
    <m/>
    <x v="0"/>
    <m/>
    <m/>
  </r>
  <r>
    <n v="58"/>
    <s v="NEW"/>
    <s v="SMP Mardi Yuana Cipanas"/>
    <n v="58"/>
    <s v="VII"/>
    <n v="2023"/>
    <x v="68"/>
    <s v="Cianjur"/>
    <s v="17 Mei 1981"/>
    <s v="Gg. Laksana II RT/RW 002/016 Kel. Sayang Kec. Cianjur"/>
    <s v="Cianjur"/>
    <n v="85720911109"/>
    <s v="Senin"/>
    <s v="Tujuh Belas"/>
    <s v="Agustus"/>
    <s v="Dua ribu dua puluh tiga"/>
    <x v="48"/>
    <m/>
    <s v="17 Juli 2023"/>
    <s v="17 Juli 2023"/>
    <s v="23 Juni 2023"/>
    <s v="1 Agustus 2022"/>
    <s v="3203011705810006"/>
    <s v="Gg. Laksana II RT/RW 002/016 Kel. Sayang Kec. Cianjur"/>
    <s v="80.629.643.0-406.000"/>
    <s v="Gg. Laksana II RT/RW 002/016 Kel. Sayang Kec. Cianjur"/>
    <s v="mikasaandripuri17@gmail.com"/>
    <s v="S1 B Inggris"/>
    <s v="STKIP Siliwangi Bandung"/>
    <m/>
    <m/>
    <x v="0"/>
    <m/>
    <m/>
  </r>
  <r>
    <n v="59"/>
    <m/>
    <s v="SD St. Antonius Medan"/>
    <n v="59"/>
    <s v="VII"/>
    <n v="2023"/>
    <x v="69"/>
    <s v="Simanggule"/>
    <s v="1 Mei 1988"/>
    <s v="Jl. Tangguk Bongkar VI Mandala"/>
    <s v="Medan"/>
    <s v="0812-60337553"/>
    <s v="Senin"/>
    <s v="Tujuh Belas"/>
    <s v="Juli"/>
    <s v="Dua ribu dua puluh tiga"/>
    <x v="49"/>
    <s v="Jl. Sriwijaya No. 7 Medan 20153"/>
    <s v="17 Juli 2023"/>
    <s v="17 Juli 2023"/>
    <s v="23 Juni 2023"/>
    <s v="15 Mei 2018"/>
    <s v="1271060105880006"/>
    <s v="Jl.Purwosari Gg. Baru RT 11 RW 11 Pulo Brayan Bengkel Medan Timur"/>
    <s v="46.002.881.4-112.000"/>
    <s v="Jl.Alumunium Raya Gg.Martabe LK XX"/>
    <s v="jahacoren@gmail.com"/>
    <s v="D3"/>
    <s v="AMIK Logika_x000a_ Jurusan Manajemen Informatika, Lulus 2011"/>
    <s v="Bpk."/>
    <m/>
    <x v="0"/>
    <m/>
    <m/>
  </r>
  <r>
    <n v="60"/>
    <m/>
    <s v="SD St. Antonius Medan"/>
    <n v="60"/>
    <s v="VII"/>
    <n v="2023"/>
    <x v="70"/>
    <s v="Banda Aceh"/>
    <s v="20 Juli 1986"/>
    <s v="Jl. Jamin Ginting Gang. Swadaya No. 1 C Padang Bulan Medan"/>
    <s v="Medan"/>
    <s v="0823-66601486 / 0852 7008 8538"/>
    <s v="Senin"/>
    <s v="Tujuh Belas"/>
    <s v="Juli"/>
    <s v="Dua ribu dua puluh tiga"/>
    <x v="49"/>
    <s v="Jl. Sriwijaya No. 7 Medan 20153"/>
    <s v="17 Juli 2023"/>
    <s v="17 Juli 2023"/>
    <s v="23 Juni 2023"/>
    <s v="15 Mei 2018"/>
    <s v="1271076007860006"/>
    <s v="Jl. Rantang Lrg Gereja No. 18-A"/>
    <s v="45.972.164.3-121.000"/>
    <s v="Jl.Bawang 5 No.11 Perumnas Simalingkar"/>
    <s v="rayupanhut@yahoo.co.id"/>
    <s v="S1"/>
    <s v="STMIK Sisingamangaraja XII Medan_x000a_ Jurusan Sistem Informasi, Lulus 2009"/>
    <s v="Ibu"/>
    <m/>
    <x v="0"/>
    <m/>
    <m/>
  </r>
  <r>
    <n v="61"/>
    <m/>
    <s v="SD St. Antonius Medan"/>
    <n v="61"/>
    <s v="VII"/>
    <n v="2023"/>
    <x v="71"/>
    <s v="Sisangkae"/>
    <s v="27 Agustus 1993"/>
    <s v="Jl. Parang II Kec. Medan Selayang"/>
    <s v="Kota Medan"/>
    <s v="0812-75453258"/>
    <s v="Senin"/>
    <s v="Tujuh Belas"/>
    <s v="Juli"/>
    <s v="Dua ribu dua puluh tiga"/>
    <x v="49"/>
    <s v="Jl. Sriwijaya No. 7 Medan 20153"/>
    <s v="17 Juli 2023"/>
    <s v="17 Juli 2023"/>
    <s v="23 Juni 2023"/>
    <s v="15 Mei 2018"/>
    <s v="1216046708930003"/>
    <s v="Sisangkae Desa Paranginan Utara Kec. Paranginan Kab. Humbang Hasundutan"/>
    <s v="81.644.795.7-127.000"/>
    <s v="Sisangkae Paranginan Utara, Paranginan Kab. Humbang Hasundutan Sumatera Utara"/>
    <s v="jenitaompusunggu@gmail.com"/>
    <s v="D4"/>
    <s v="Politeknik Negeri Batam Jur. Teknik Multimedia dan Jaringan"/>
    <s v="Ibu"/>
    <m/>
    <x v="0"/>
    <m/>
    <m/>
  </r>
  <r>
    <n v="62"/>
    <s v="NEW"/>
    <s v="SD St. Antonius Medan"/>
    <n v="62"/>
    <s v="VII"/>
    <n v="2023"/>
    <x v="72"/>
    <s v="Medan"/>
    <s v="17 Oktober 1993"/>
    <s v="JL.PINTU AIR IV GG.GARU NO.23"/>
    <s v="Medan"/>
    <s v="0813-6140-6791"/>
    <s v="Senin"/>
    <s v="Tujuh Belas"/>
    <s v="Juli"/>
    <s v="Dua ribu dua puluh tiga"/>
    <x v="49"/>
    <m/>
    <s v="17 Juli 2023"/>
    <s v="17 Juli 2023"/>
    <s v="23 Juni 2023"/>
    <d v="2022-07-18T00:00:00"/>
    <s v="1271111710930002"/>
    <m/>
    <s v="41.387.532.9-121.000"/>
    <s v="JL.PINTU AIR IV GG.GARU NO.23"/>
    <s v="dianpasca@gmail.com"/>
    <s v="S1 Teknik Informatika"/>
    <s v="Universitas Methodist Indonesia Medan"/>
    <m/>
    <m/>
    <x v="0"/>
    <m/>
    <m/>
  </r>
  <r>
    <n v="63"/>
    <m/>
    <s v="Seri Amal/SMA Cahaya"/>
    <n v="63"/>
    <s v="VII"/>
    <n v="2023"/>
    <x v="73"/>
    <s v="Pagarbatu"/>
    <s v="6 Oktober 1986"/>
    <s v="Komplek Taman Sekata Indah Blok AA No. 12 Tj. Anom Deliserdang"/>
    <s v="Anom Deliserdang"/>
    <s v="0853-72653633"/>
    <s v="Senin"/>
    <s v="Tujuh Belas"/>
    <s v="Juli"/>
    <s v="Dua ribu dua puluh tiga"/>
    <x v="50"/>
    <s v="Jl. Hayam Wuruk No. 11 Medan"/>
    <s v="17 Juli 2023"/>
    <s v="17 Juli 2023"/>
    <s v="23 Juni 2023"/>
    <s v="15 Mei 2018"/>
    <s v="1202044610860003"/>
    <s v="Jl. Menteng Raya No. 259"/>
    <m/>
    <m/>
    <s v="okta.htg@gmail.com"/>
    <s v="S-1"/>
    <s v="STMIK Sisingamangaraja XII Medan"/>
    <s v="Ibu"/>
    <m/>
    <x v="0"/>
    <m/>
    <m/>
  </r>
  <r>
    <n v="64"/>
    <m/>
    <s v="Seri Amal/SMA Cahaya"/>
    <n v="64"/>
    <s v="VII"/>
    <n v="2023"/>
    <x v="74"/>
    <s v="Sidempuan"/>
    <s v="13 Oktober 1987"/>
    <s v="Jl. Pintu Air IV Simalingkar B Gg. Kelapa Kel. Kuala Berkala, Kec. Medan Johor"/>
    <s v="Medan"/>
    <s v="0852-70613843"/>
    <s v="Senin"/>
    <s v="Tujuh Belas"/>
    <s v="Juli"/>
    <s v="Dua ribu dua puluh tiga"/>
    <x v="50"/>
    <s v="Jl. Hayam Wuruk No. 11 Medan"/>
    <s v="17 Juli 2023"/>
    <s v="17 Juli 2023"/>
    <s v="23 Juni 2023"/>
    <s v="15 Mei 2018"/>
    <s v="1271115310870001"/>
    <s v="Jl. Pintu Air IV Simalingkar B Gg. Kelapa Kel. Kuala Berkala, Kec. Medan Johor"/>
    <s v="-"/>
    <s v="-"/>
    <s v="esterm1310@gmail.com"/>
    <s v="S1 Jur. Sistem Informasi"/>
    <s v="Univ. Methodist Indonesia, Lulus 2011"/>
    <s v="Ibu"/>
    <m/>
    <x v="0"/>
    <m/>
    <m/>
  </r>
  <r>
    <n v="65"/>
    <m/>
    <s v="Seri Amal/SD St. Ignatius Medan"/>
    <n v="65"/>
    <s v="VII"/>
    <n v="2023"/>
    <x v="75"/>
    <s v="Situnggaling"/>
    <s v="8 Maret 1989"/>
    <s v="Jl. Besar Namorambe, Gg Tani Bersaudara Lk. VII. Kel / Desa : Deli Tua, Deli Tua"/>
    <s v="Deli Tua"/>
    <s v="0812-78099787"/>
    <s v="Senin"/>
    <s v="Tujuh Belas"/>
    <s v="Juli"/>
    <s v="Dua ribu dua puluh tiga"/>
    <x v="51"/>
    <s v="Jl. Karyawisata No. 6 Medan Johor"/>
    <s v="17 Juli 2023"/>
    <s v="17 Juli 2023"/>
    <s v="23 Juni 2023"/>
    <s v="15 Mei 2018"/>
    <s v="1802074803890005"/>
    <s v="Jl.Pahlawan Gg.Gembira No.12 Medan"/>
    <s v="73.872.629.8-113.000"/>
    <s v="Jl.Pahlawan Gg.Gembira No.12 Medan"/>
    <s v="merita.ulina@gmail.com"/>
    <s v="S1 Managemen Ekonomi"/>
    <s v="LMII"/>
    <s v="Ibu"/>
    <m/>
    <x v="0"/>
    <m/>
    <m/>
  </r>
  <r>
    <n v="66"/>
    <m/>
    <s v="Seri Amal/SD St. Yoseph Sidikalang"/>
    <n v="66"/>
    <s v="VII"/>
    <n v="2023"/>
    <x v="76"/>
    <s v="Sidikalang"/>
    <s v="27 Desember 1998"/>
    <s v="Jl. Danau Toba, Sidikalang"/>
    <s v="Dairi"/>
    <n v="81325291723"/>
    <s v="Senin"/>
    <s v="Tujuh Belas"/>
    <s v="Juli"/>
    <s v="Dua ribu dua puluh tiga"/>
    <x v="52"/>
    <s v="Jl. Margasilima No. 18 Sidikalang"/>
    <s v="17 Juli 2023"/>
    <s v="17 Juli 2023"/>
    <s v="23 Juni 2023"/>
    <s v="15 Mei 2018"/>
    <s v="1211016712980002"/>
    <s v="Jl. Danau Toba, Sidikalang, Kab. Dairi"/>
    <s v="-"/>
    <s v="-"/>
    <s v="tiosinurat7@gmail.com"/>
    <s v="S1 Pertanian"/>
    <s v="UGM"/>
    <m/>
    <m/>
    <x v="0"/>
    <m/>
    <m/>
  </r>
  <r>
    <n v="67"/>
    <m/>
    <s v="Seri Amal/SMA St. Petrus Sidikalang"/>
    <n v="67"/>
    <s v="VII"/>
    <n v="2023"/>
    <x v="77"/>
    <s v="Tuhtuhan"/>
    <d v="1993-04-28T00:00:00"/>
    <s v="Huta Rakyat, Sidikalang, Dairi"/>
    <s v="sidikalang"/>
    <s v="0823-70699328, 082362596871"/>
    <s v="Senin"/>
    <s v="Tujuh Belas"/>
    <s v="Juli"/>
    <s v="Dua ribu dua puluh tiga"/>
    <x v="53"/>
    <s v="Jl. Parongil No. 97 Sidikalang"/>
    <s v="17 Juli 2023"/>
    <s v="17 Juli 2023"/>
    <s v="23 Juni 2023"/>
    <s v="15 Mei 2018"/>
    <s v="1110022904930003"/>
    <s v="Tuhtuhan, Aceh Singkil, Nanggroe Aceh Darussalam"/>
    <s v="-"/>
    <m/>
    <s v="sediamo.mnk28@gmail.com"/>
    <s v="S1"/>
    <s v="STMIK Triguna Dharma Medan"/>
    <s v="Bpk."/>
    <m/>
    <x v="0"/>
    <m/>
    <m/>
  </r>
  <r>
    <n v="68"/>
    <s v="NEW"/>
    <s v="SMP-SMA Fransiskus Kp. Ambon"/>
    <n v="68"/>
    <s v="VII"/>
    <n v="2023"/>
    <x v="78"/>
    <s v="Padang"/>
    <s v="23 Maret 1972"/>
    <s v="Jl. H Pentul II Buntu RT/RW 007/010 Gandaria Utara, Kebayoran Baru"/>
    <s v="Jakarta"/>
    <n v="81319474103"/>
    <s v="Senin"/>
    <s v="Tujuh Belas"/>
    <s v="Juli"/>
    <s v="Dua ribu dua puluh tiga"/>
    <x v="54"/>
    <m/>
    <s v="17 Juli 2023"/>
    <s v="17 Juli 2023"/>
    <s v="23 Juni 2023"/>
    <s v="25 Juli 2022"/>
    <s v="3174073103720003"/>
    <s v="Jl. H Pentul II Buntu RT/RW 007/010 Gandaria Utara, Kebayoran Baru"/>
    <s v="34.141.929.9-019.000"/>
    <s v="Jl. H Pentul II Buntu No 50 Buntu radio Dalam RT/RW 007/010 Gandaria Utara, Kebayoran Baru"/>
    <s v="rudhyat45@gmail.com"/>
    <s v="D3"/>
    <s v="STIMIK Jakarta"/>
    <m/>
    <m/>
    <x v="0"/>
    <m/>
    <m/>
  </r>
  <r>
    <n v="69"/>
    <m/>
    <s v="SMA Al Izhar Jaksel"/>
    <n v="69"/>
    <s v="VII"/>
    <n v="2023"/>
    <x v="79"/>
    <s v="Jakarta"/>
    <s v="31 Agustus 1987"/>
    <s v="Komp. Kunciran Mas Permai Blok K 26 No. 8"/>
    <s v="Tangerang 15144"/>
    <s v="0813-17451131"/>
    <s v="Senin"/>
    <s v="Tujuh Belas"/>
    <s v="Juli"/>
    <s v="Dua ribu dua puluh tiga"/>
    <x v="55"/>
    <s v="Jl. RS Fatmawati Raya No. Kav. 49 Pondok Labu - Jakarta Selatan"/>
    <s v="17 Juli 2023"/>
    <s v="17 Juli 2023"/>
    <s v="23 Juni 2023"/>
    <s v="1 Juli 2020"/>
    <s v="3671113108870001"/>
    <s v="Jl. Lawu III Blok K 26 No. 8 RT 010/002 Kel. Kinciran Indah Kec. Pinang Tangerang"/>
    <s v="88.338.871.2-031.000"/>
    <s v="Kemanggisan RT 008 RW 017 Palmerah, Jakarta Barat"/>
    <s v="kurwan123@gmail.com"/>
    <s v="S2"/>
    <s v="Univ. Budi Luhur Jur. Sistem Informasi, Lulus 2017"/>
    <s v="Bpk."/>
    <m/>
    <x v="0"/>
    <m/>
    <m/>
  </r>
  <r>
    <n v="70"/>
    <m/>
    <s v="SD-SMP-SMK Aloydia Bekasi"/>
    <n v="70"/>
    <s v="VII"/>
    <n v="2023"/>
    <x v="80"/>
    <s v="Jakarta"/>
    <s v="29 Desember 1987"/>
    <s v="Villa Mas Garden Jl.Mutiara Blok B No.86 Rt.02/09 Kel.Perwira, Kec.Bekasi Utara"/>
    <s v="Bekasi"/>
    <s v="0812-84545824"/>
    <s v="Senin"/>
    <s v="Tujuh Belas"/>
    <s v="Juli"/>
    <s v="Dua ribu dua puluh tiga"/>
    <x v="56"/>
    <s v="Taman Harapan Baru Blok D11/1 Medan Satria Bekasi 17131"/>
    <s v="17 Juli 2023"/>
    <s v="17 Juli 2023"/>
    <s v="23 Juni 2023"/>
    <s v="1 Juli 2016"/>
    <s v="3275032912870005"/>
    <s v="Villa Mas Garden Jl.Mutiara Blok B No.86 Rt.02/09 Kel.Perwira, Kec.Bekasi Utara"/>
    <s v="36.734.141.9-407.000"/>
    <s v="Jl.Mutiara Blok B/86 Villa Mas Garden Rt.02/09, Perwira, Bekasi Utara"/>
    <s v="triatmojohendri@gmail.com"/>
    <s v="D3"/>
    <s v="Universitas Gunadarma_x000a_ Jurusan Manajemen Informatika Lulus 2010"/>
    <s v="Bpk."/>
    <m/>
    <x v="0"/>
    <m/>
    <m/>
  </r>
  <r>
    <n v="71"/>
    <m/>
    <s v="SMP Al Izhar Pondok Labu"/>
    <n v="71"/>
    <s v="VII"/>
    <n v="2023"/>
    <x v="81"/>
    <s v="Depok"/>
    <n v="35315"/>
    <s v="Akses UI Gg Jamir No 45 Pondok Cina Beji"/>
    <s v="Depok"/>
    <n v="81387244011"/>
    <s v="Senin"/>
    <s v="Tujuh Belas"/>
    <s v="Juli"/>
    <s v="Dua ribu dua puluh tiga"/>
    <x v="57"/>
    <m/>
    <s v="17 Juli 2023"/>
    <s v="17 Juli 2023"/>
    <s v="23 Juni 2023"/>
    <s v="30 Mei 2022"/>
    <s v="3276060709960002"/>
    <s v="Akses UI Gg Jamir No 45 Pondok Cina Beji"/>
    <s v="96.789.829.7-448.000"/>
    <s v="Jalan Komjen (Pol) M. Jasin GG. Jamir No. 37 RT 006 RW. 004, Sawangan Depok"/>
    <s v="rahmanfadul@gmail.com"/>
    <s v="S1"/>
    <s v="Universitas Gunadarma"/>
    <m/>
    <m/>
    <x v="1"/>
    <m/>
    <m/>
  </r>
  <r>
    <n v="72"/>
    <m/>
    <s v="SD Kartika"/>
    <n v="72"/>
    <s v="VII"/>
    <n v="2023"/>
    <x v="82"/>
    <s v="Jakarta"/>
    <d v="1987-11-25T00:00:00"/>
    <s v="Pondok Maharta 14 Blok B30/27 RT 07 RW 10 Kel/Desa Pondok Kacang Timur, Kec. Pndok Aren"/>
    <s v="Tangerang"/>
    <s v="0852-15904059/0857-16128558"/>
    <s v="Senin"/>
    <s v="Tujuh Belas"/>
    <s v="Juli"/>
    <s v="Dua ribu dua puluh tiga"/>
    <x v="58"/>
    <s v="Komp. Kodam Jaya Bintaro Jakarta Selatan"/>
    <s v="17 Juli 2023"/>
    <s v="17 Juli 2023"/>
    <s v="23 Juni 2023"/>
    <s v="8 Juli 2019"/>
    <s v="3674036511870006"/>
    <s v="Pondok Maharta 14 Blok B30/27 RT 07 RW 10 Kel/Desa Pondok Kacang Timur, Kec. Pndok Aren Tangerang"/>
    <s v="83.565.202.5-453.000"/>
    <s v="Pondok Maharta 14 Blok B30/27 RT 07 RW 10 Kel/Desa Pondok Kacang Timur, Kec. Pndok Aren Tangerang"/>
    <s v="vitatyasjunaedy123@gmail.com"/>
    <s v="S1 Ekonomi Manajemen (Human Resources Management) STIE Adhy Commerce Bekasi"/>
    <s v="2006-2011"/>
    <s v="Ibu"/>
    <m/>
    <x v="0"/>
    <m/>
    <m/>
  </r>
  <r>
    <n v="73"/>
    <s v="NEW"/>
    <s v="SMP Permai Inter"/>
    <n v="73"/>
    <s v="VII"/>
    <n v="2023"/>
    <x v="83"/>
    <s v="Jakarta"/>
    <d v="1998-11-22T00:00:00"/>
    <s v="Bumi Mas Raya Blok B2 No.2 Cikokol Tangerang"/>
    <s v="Tangerang"/>
    <n v="81519975710"/>
    <s v="Senin"/>
    <s v="Tujuh Belas"/>
    <s v="Agustus"/>
    <s v="Dua ribu dua puluh tiga"/>
    <x v="59"/>
    <m/>
    <s v="17 Juli 2023"/>
    <s v="17 Juli 2023"/>
    <s v="23 Juni 2023"/>
    <s v="1 Agustus 2022"/>
    <s v="3671012211980001"/>
    <s v="Bumi Mas Raya Blok B2 No.2 Cikokol Tangerang"/>
    <s v="-"/>
    <s v="-"/>
    <s v="stevenjames98@gmail.com"/>
    <s v="S1"/>
    <s v="Bina Nusantara"/>
    <m/>
    <m/>
    <x v="1"/>
    <m/>
    <m/>
  </r>
  <r>
    <n v="74"/>
    <s v="NEW"/>
    <s v="SD Permai Inter"/>
    <n v="74"/>
    <s v="VII"/>
    <n v="2023"/>
    <x v="84"/>
    <s v="Silangkitang"/>
    <s v="3 Maret 1998"/>
    <s v="Jl. Jamin Ginting Gang Sederhana No.12 Medan Baru"/>
    <s v="Medan"/>
    <n v="82167157295"/>
    <s v="Senin"/>
    <s v="Tujuh Belas"/>
    <s v="Juli"/>
    <s v="Dua ribu dua puluh tiga"/>
    <x v="60"/>
    <m/>
    <s v="17 Juli 2023"/>
    <s v="17 Juli 2023"/>
    <s v="23 Juni 2023"/>
    <d v="2022-07-18T00:00:00"/>
    <s v="1202104303980001"/>
    <s v="Pea Tingko I, Desa Sibaragas, Kec. Pagaran, Kab Tapanuli Utara"/>
    <s v="65.532.175.0-121.000"/>
    <s v="Pea Tingko I, Desa Sibaragas, Kec. Pagaran, Kab Tapanuli Utara"/>
    <s v="sisterlbn@gmail.com"/>
    <s v="S1. Teknik Informatika"/>
    <s v="STMIK Pelita Nusantara"/>
    <m/>
    <m/>
    <x v="1"/>
    <m/>
    <m/>
  </r>
  <r>
    <n v="75"/>
    <m/>
    <s v="SMP St. Maria Pekanbaru"/>
    <n v="75"/>
    <s v="VII"/>
    <n v="2023"/>
    <x v="85"/>
    <s v="Padang"/>
    <s v="25 Januari 1979"/>
    <s v="Jl. Purnama, Perum. BMP IV No. 40. Dusun. Bencah Limbat. Desa. Pandau Jaya. Kec. Siak Hulu, Kab. Kampar. Riau"/>
    <s v="Pekanbaru - Riau"/>
    <s v="0812-68984569"/>
    <s v="Senin"/>
    <s v="Tujuh Belas"/>
    <s v="Juli"/>
    <s v="Dua ribu dua puluh tiga"/>
    <x v="61"/>
    <m/>
    <s v="17 Juli 2023"/>
    <s v="17 Juli 2023"/>
    <s v="23 Juni 2023"/>
    <s v="1 Juli 2019"/>
    <s v="1408042501790005"/>
    <s v="Maredan RT 003 RW 001 Kel. Maredan Kec. Tualang - Kab. Siak"/>
    <s v="69.020.221.3-222.000"/>
    <s v="Ds. Maredan RT.002. RW.001, Maredan, Tualang, Kab. Siak 28771"/>
    <s v="anto.evendi@gmail.com"/>
    <s v="S1 Teknik Informatika STMIK AMIK Riau Pekanbaru"/>
    <s v="Lulus 2014 Jur. Teknik Informatika"/>
    <s v="Bpk."/>
    <m/>
    <x v="0"/>
    <m/>
    <m/>
  </r>
  <r>
    <n v="76"/>
    <m/>
    <m/>
    <n v="76"/>
    <s v="VII"/>
    <n v="2023"/>
    <x v="86"/>
    <m/>
    <m/>
    <m/>
    <m/>
    <m/>
    <m/>
    <s v="Tujuh Belas"/>
    <m/>
    <s v="Dua ribu dua puluh tiga"/>
    <x v="44"/>
    <m/>
    <m/>
    <m/>
    <m/>
    <m/>
    <m/>
    <m/>
    <m/>
    <m/>
    <m/>
    <m/>
    <m/>
    <m/>
    <m/>
    <x v="0"/>
    <m/>
    <m/>
  </r>
  <r>
    <n v="77"/>
    <m/>
    <m/>
    <n v="77"/>
    <s v="VII"/>
    <n v="2023"/>
    <x v="87"/>
    <m/>
    <m/>
    <m/>
    <m/>
    <m/>
    <m/>
    <s v="Tujuh Belas"/>
    <m/>
    <s v="Dua ribu dua puluh tiga"/>
    <x v="44"/>
    <m/>
    <m/>
    <m/>
    <m/>
    <m/>
    <m/>
    <m/>
    <m/>
    <m/>
    <m/>
    <m/>
    <m/>
    <m/>
    <m/>
    <x v="0"/>
    <m/>
    <m/>
  </r>
  <r>
    <n v="78"/>
    <m/>
    <s v="SMP St. Yosef Duri"/>
    <n v="78"/>
    <s v="VII"/>
    <n v="2023"/>
    <x v="88"/>
    <s v="Air Panas"/>
    <s v="14 Juli 1986"/>
    <s v="Jl. Garuda Sakti Km.1 Perum Firdaus Permai E-5 RT.001 RW.008 Kel. Tuah Madani Kec. Tuah Madani – Pekanbaru"/>
    <s v="Tampan - Pekanbaru"/>
    <s v="0853-65078000"/>
    <s v="Senin"/>
    <s v="Tujuh Belas"/>
    <s v="Juli"/>
    <s v="Dua ribu dua puluh tiga"/>
    <x v="62"/>
    <m/>
    <s v="17 Juli 2023"/>
    <s v="17 Juli 2023"/>
    <s v="23 Juni 2023"/>
    <s v="1 Juli 2019"/>
    <s v="1401101407860008"/>
    <s v="Jl. Garuda Sakti Km.1 Perum Firdaus Permai E-5 RT.001 RW.008 Kel. Bukit Kratai Kec. Rumbio Jaya Kab. Kampar – Pekanbaru"/>
    <s v="71.903.325.0-221.000"/>
    <s v="Sumber Makmur No. RT.002 RW.001 Kel. Sumber Makmur Kec. Tapung"/>
    <s v="gelora.surya@gmail.com"/>
    <s v="S1 Teknik Informatika"/>
    <s v="STMIK AMIK Riau Pekanbaru"/>
    <s v="Bpk."/>
    <m/>
    <x v="0"/>
    <m/>
    <m/>
  </r>
  <r>
    <n v="79"/>
    <m/>
    <s v="SMP St. Yosef Duri"/>
    <n v="79"/>
    <s v="VII"/>
    <n v="2023"/>
    <x v="89"/>
    <s v="Siak"/>
    <d v="1996-11-09T00:00:00"/>
    <s v="Asrama Putra Santo Yosef Duri, Jl. Gajah Mada / KTP : Jl. Indragiri RT 003 RW 001 Kampung Rempak, Siak"/>
    <s v="Pekanbaru"/>
    <s v="0895-621326153 / 087836749967"/>
    <s v="Senin"/>
    <s v="Tujuh Belas"/>
    <s v="Juli"/>
    <s v="Dua ribu dua puluh tiga"/>
    <x v="62"/>
    <m/>
    <s v="17 Juli 2023"/>
    <s v="17 Juli 2023"/>
    <s v="23 Juni 2023"/>
    <s v="1 Juli 2019"/>
    <s v="1408010911960002"/>
    <s v="Jl. Indragiri, Siak Sri Indrapura"/>
    <s v="-"/>
    <m/>
    <s v="sabrian91@guru.smp.belajar.id"/>
    <s v="S1 Sistem Informasi"/>
    <s v="UIN Suska Riau"/>
    <s v="Bpk."/>
    <m/>
    <x v="0"/>
    <m/>
    <m/>
  </r>
  <r>
    <n v="80"/>
    <m/>
    <s v="SMP-SMA St. Yosep Duri"/>
    <n v="80"/>
    <s v="VII"/>
    <n v="2023"/>
    <x v="90"/>
    <s v="Duri"/>
    <s v="1 Mei 1997"/>
    <s v="Jl. Kayangan Gg. Pari Rt/Rw 003/015 Kel Air Jamban, Kec Mandau"/>
    <s v="Kab. Bengkalis"/>
    <n v="82285874670"/>
    <s v="Senin"/>
    <s v="Tujuh Belas"/>
    <s v="Juli"/>
    <s v="Dua ribu dua puluh tiga"/>
    <x v="63"/>
    <m/>
    <s v="17 Juli 2023"/>
    <s v="17 Juli 2023"/>
    <s v="23 Juni 2023"/>
    <d v="2022-07-18T00:00:00"/>
    <s v="1403090105970011"/>
    <s v="Jl. Kayangan Gg. Pari Rt/Rw 003/015 Kel Air Jamban, Kec Mandau, Kab. Bengkalis"/>
    <s v="96.523.892.6-219.000"/>
    <s v="Jl. Kayangan Gg. Pari Rt/Rw 003/015 Kel Air Jamban, Kec Mandau, Kab. Bengkalis"/>
    <s v="ilham01597@gmail.com"/>
    <s v="S1 Sistem Informasi"/>
    <s v="Universitas Islam Negeri Sultan Syarif Kasim Riau"/>
    <s v="Bpk"/>
    <m/>
    <x v="0"/>
    <m/>
    <m/>
  </r>
  <r>
    <n v="81"/>
    <m/>
    <s v="SMA Al Izhar Jaksel"/>
    <n v="81"/>
    <s v="VII"/>
    <n v="2023"/>
    <x v="91"/>
    <s v="Jakarta"/>
    <d v="1990-11-13T00:00:00"/>
    <s v="Jl. Kemandoran Pluis RT 03 RW 14 Grogol Utara"/>
    <s v="Kebayoran Lama - Jakarta Selatan"/>
    <s v="0878-85496331"/>
    <s v="Senin"/>
    <s v="Tujuh Belas"/>
    <s v="Juli"/>
    <s v="Dua ribu dua puluh tiga"/>
    <x v="55"/>
    <s v="Jl. RS Fatmawati Raya No. Kav. 49 Pondok Labu - Jakarta Selatan"/>
    <s v="17 Juli 2023"/>
    <s v="17 Juli 2023"/>
    <s v="23 Juni 2023"/>
    <s v="1 Juli 2020"/>
    <s v="3174051311900006"/>
    <s v="Jl. Kemandoran Pluis RT 03 RW 14 Grogol Utara Kebayoran Lama-akarta Selatan"/>
    <s v="81.444.146.5-013.000"/>
    <m/>
    <s v="toniwijayanto13@gmail.com"/>
    <m/>
    <m/>
    <s v="Bpk."/>
    <m/>
    <x v="0"/>
    <m/>
    <m/>
  </r>
  <r>
    <n v="82"/>
    <m/>
    <s v="TK-SD Al Izhar Jaksel"/>
    <n v="82"/>
    <s v="VII"/>
    <n v="2023"/>
    <x v="92"/>
    <s v="Jakarta"/>
    <s v="04 Junii 1981"/>
    <s v="Komplek BBD Blok F. No. 12 Rt.002 Rw. 03 Ciganjur Jagakarsa Jakarta Selatan"/>
    <s v="Jakarta Selatan 12630"/>
    <s v="021-7270505, 0897-8641027"/>
    <s v="Senin"/>
    <s v="Tujuh Belas"/>
    <s v="Juli"/>
    <s v="Dua ribu dua puluh tiga"/>
    <x v="64"/>
    <s v="Jl. RS Fatmawati Raya No. Kav. 49 Pondok Labu - Jakarta Selatan"/>
    <s v="17 Juli 2023"/>
    <s v="17 Juli 2023"/>
    <s v="23 Juni 2023"/>
    <s v="1 Juli 2020"/>
    <s v="3174094406810002"/>
    <s v="Komplek BBD Blok F. No. 12 Rt.002 Rw. 03 Ciganjur Jagakarsa Jakarta Selatan"/>
    <s v="-"/>
    <s v="-"/>
    <s v="misstere04@gmail.com"/>
    <s v="Akta IV UNJ, S1 Univ. Gunadarma"/>
    <s v="Fak. Ekonomi Manajemen"/>
    <s v="Ibu"/>
    <m/>
    <x v="0"/>
    <m/>
    <m/>
  </r>
  <r>
    <n v="83"/>
    <m/>
    <s v="SMP Al Izhar Jaksel"/>
    <n v="83"/>
    <s v="VII"/>
    <n v="2023"/>
    <x v="93"/>
    <s v="Jakarta"/>
    <s v="1 Februari 1990"/>
    <s v="JL. H. EMAN II RT.001/008 NO. 70 PONDOK PINANG, KEB. LAMA. JAKARTA SELATAN, 12310"/>
    <s v="Jakarta Selatan"/>
    <s v="0812-80774886"/>
    <s v="Senin"/>
    <s v="Tujuh Belas"/>
    <s v="Juli"/>
    <s v="Dua ribu dua puluh tiga"/>
    <x v="65"/>
    <m/>
    <s v="17 Juli 2023"/>
    <s v="17 Juli 2023"/>
    <s v="23 Juni 2023"/>
    <d v="2022-04-01T00:00:00"/>
    <s v="3174050102900004"/>
    <s v="JL. H. EMAN II RT.001/006 NO. 70 PONDOK PINANG, KEB. LAMA. JAKARTA SELATAN, 12310"/>
    <s v="45.472.946.8.013.000"/>
    <s v="JL. H. EMAN II RT.001/008 NO. 70 PONDOK PINANG, KEB. LAMA. JAKARTA SELATAN, 12310"/>
    <s v="rezafm90@gmail.com"/>
    <s v="S1"/>
    <s v="Sistem Informatika"/>
    <m/>
    <m/>
    <x v="0"/>
    <m/>
    <m/>
  </r>
  <r>
    <n v="84"/>
    <m/>
    <s v="TK BHK Grogol"/>
    <n v="84"/>
    <s v="VII"/>
    <n v="2023"/>
    <x v="94"/>
    <s v="Gunung Pamela"/>
    <s v="15 Juli 1992"/>
    <s v="Jl. Timbul III No. 23, Pedongkelan jakarta barat"/>
    <s v="Jakarta Barat"/>
    <s v="0822-98975889"/>
    <s v="Senin"/>
    <s v="Tujuh Belas"/>
    <s v="Juli"/>
    <s v="Dua ribu dua puluh tiga"/>
    <x v="66"/>
    <s v="Jl.Rahayu No.22 Jelambar Grogol"/>
    <s v="17 Juli 2023"/>
    <s v="17 Juli 2023"/>
    <s v="23 Juni 2023"/>
    <d v="2018-04-23T00:00:00"/>
    <s v="3173015507921001"/>
    <s v="Kapuk RT 006 RW 012 No. 258 Kel. Kapuk Kec. Cengkareng Jakbar"/>
    <s v="86.144.021.2-034.000"/>
    <s v="Kapuk RT 006 RW 012 No. 258 Kel. Kapuk Kec. Cengkareng Jakbar"/>
    <s v="rianahutapea@gmail.com"/>
    <s v="D3"/>
    <s v="BSI Jur. Komp. Akuntansi , Lulus 2016"/>
    <s v="Ibu"/>
    <m/>
    <x v="0"/>
    <s v="Menikah"/>
    <n v="1"/>
  </r>
  <r>
    <n v="85"/>
    <s v="NEW"/>
    <s v="SMP BHK Grogol"/>
    <n v="85"/>
    <s v="VII"/>
    <n v="2023"/>
    <x v="95"/>
    <s v="Padang"/>
    <s v="3 Juli 1972"/>
    <s v="Jl Ciujung 1 No. 9 Kel. Karawaci Baru Kec. Karawaci"/>
    <s v="Tangerang"/>
    <n v="85694198978"/>
    <s v="Senin"/>
    <s v="Tujuh Belas"/>
    <s v="Agustus"/>
    <s v="Dua ribu dua puluh tiga"/>
    <x v="67"/>
    <m/>
    <s v="17 Juli 2023"/>
    <s v="17 Juli 2023"/>
    <s v="23 Juni 2023"/>
    <s v="1 Agustus 2022"/>
    <s v="3671070307720005"/>
    <s v="Jl Ciujung 1 No. 9 Kel. Karawaci Baru Kec. Karawaci Kota Tangerang"/>
    <s v="44.260.419.5-402.000"/>
    <s v="Jl Ciujung 1 No. 9 Kel. Karawaci Baru Kec. Karawaci Kota Tangerang"/>
    <s v="Yurnalissyam@yahoo.co.id"/>
    <s v="D3 Manajemen Informatika"/>
    <s v="YPTK Padang"/>
    <m/>
    <m/>
    <x v="0"/>
    <m/>
    <m/>
  </r>
  <r>
    <n v="86"/>
    <m/>
    <s v="SD BHK Grogol"/>
    <n v="86"/>
    <s v="VII"/>
    <n v="2023"/>
    <x v="96"/>
    <s v="Sisarahili"/>
    <s v="6 Agustus 1994"/>
    <s v="Jl. Bangun Nusa Raya No. 86 RT 004 RW 03 - Cengkareng Timur"/>
    <s v="Jakarta Barat"/>
    <s v="0823-68789586"/>
    <s v="Senin"/>
    <s v="Tujuh Belas"/>
    <s v="Juli"/>
    <s v="Dua ribu dua puluh tiga"/>
    <x v="25"/>
    <s v="Jl. Rahayu No. 22 Jelambar Grogol Jakarta Barat 11460"/>
    <s v="17 Juli 2023"/>
    <s v="17 Juli 2023"/>
    <s v="23 Juni 2023"/>
    <s v="1 Agustus 2022"/>
    <s v="1204064608940005"/>
    <s v="Jl. Rw. Bahagia Raya No. 14, Rt.6/Rw. 2, Grogol, Kec. Grogol petamburan, Jakarta Barat"/>
    <m/>
    <m/>
    <s v="agusmawati.68@gmail.com"/>
    <s v="D3 Akademi Komputerisasi Akuntansi STMIK Pranata Indonesia"/>
    <s v="Ijazah tgl 23 Des 2017"/>
    <s v="Ibu"/>
    <d v="2018-04-10T00:00:00"/>
    <x v="0"/>
    <s v="Lajang"/>
    <n v="0"/>
  </r>
  <r>
    <n v="87"/>
    <m/>
    <m/>
    <n v="87"/>
    <s v="VII"/>
    <n v="2023"/>
    <x v="97"/>
    <m/>
    <m/>
    <m/>
    <m/>
    <m/>
    <m/>
    <s v="Tujuh Belas"/>
    <m/>
    <s v="Dua ribu dua puluh tiga"/>
    <x v="44"/>
    <m/>
    <m/>
    <m/>
    <m/>
    <m/>
    <m/>
    <m/>
    <m/>
    <m/>
    <m/>
    <m/>
    <m/>
    <m/>
    <m/>
    <x v="1"/>
    <m/>
    <m/>
  </r>
  <r>
    <n v="88"/>
    <m/>
    <s v="TK SD Permai Nasional"/>
    <n v="88"/>
    <s v="VII"/>
    <n v="2023"/>
    <x v="98"/>
    <s v="Medan"/>
    <n v="34731"/>
    <s v="Jl. Gaperta Ujung GG. Baru no. 11, Tanjung Gusta, Medan Helvetia"/>
    <s v="Medan"/>
    <n v="81262636428"/>
    <s v="Senin"/>
    <s v="Tujuh Belas"/>
    <s v="Juli"/>
    <s v="Dua ribu dua puluh tiga"/>
    <x v="68"/>
    <m/>
    <s v="17 Juli 2023"/>
    <s v="17 Juli 2023"/>
    <s v="23 Juni 2023"/>
    <s v="18 Juli 2022"/>
    <n v="127103410295001"/>
    <s v="Jl. Gaperta Ujung GG. Baru no. 11 Medan"/>
    <s v="-"/>
    <s v="-"/>
    <s v="ciciflorencia23@gmail.com"/>
    <s v="S1 teknik Informatika"/>
    <s v="Universitas Methodist Indonesia"/>
    <m/>
    <m/>
    <x v="0"/>
    <m/>
    <m/>
  </r>
  <r>
    <n v="89"/>
    <m/>
    <s v="TK SD Permai Nasional"/>
    <n v="89"/>
    <s v="VII"/>
    <n v="2023"/>
    <x v="99"/>
    <s v="Jakarta"/>
    <n v="33548"/>
    <s v="Jl. Kesatuan Rt.004 Rw.012 No. 42, Rawa Buaya, Cengkareng"/>
    <s v="Jakarta Barat"/>
    <n v="83808561939"/>
    <s v="Senin"/>
    <s v="Tujuh Belas"/>
    <s v="Juli"/>
    <s v="Dua ribu dua puluh tiga"/>
    <x v="68"/>
    <m/>
    <s v="17 Juli 2023"/>
    <s v="17 Juli 2023"/>
    <s v="23 Juni 2023"/>
    <s v="18 Juli 2022"/>
    <s v="3173010611910002"/>
    <s v="Jl. Kesatuan Rt.004 Rw.012 No. 42, Rawa Buaya, Cengkareng, Jakarta Barat"/>
    <s v="-"/>
    <s v="-"/>
    <s v="adi.kurnia611@gmail.com"/>
    <s v="S1"/>
    <s v="Universitas Budi Luhur"/>
    <m/>
    <m/>
    <x v="0"/>
    <m/>
    <m/>
  </r>
  <r>
    <n v="90"/>
    <m/>
    <s v="TK SD Permai Nasional"/>
    <n v="90"/>
    <s v="VII"/>
    <n v="2023"/>
    <x v="100"/>
    <s v="Medan"/>
    <d v="1999-04-19T00:00:00"/>
    <s v="Jl. Setia Budi Gg. Seroja, Tanjung Sari, Medan Selayang"/>
    <s v="Medan"/>
    <n v="83801575492"/>
    <s v="Senin"/>
    <s v="Tujuh Belas"/>
    <s v="Agustus"/>
    <s v="Dua ribu dua puluh tiga"/>
    <x v="68"/>
    <m/>
    <s v="17 Juli 2023"/>
    <s v="17 Juli 2023"/>
    <s v="23 Juni 2023"/>
    <s v="1 Agustus 2022"/>
    <s v="1271216305990003"/>
    <s v="Jl. Setia Budi Gg. Seroja, Tanjung Sari, Medan Selayang, Medan"/>
    <s v="-"/>
    <s v="-"/>
    <s v="nissi_p19@yahoo.com"/>
    <s v="S1"/>
    <s v="Sekolah Tinggi Managemen Informatika dan Komputer Pelita Nusantara"/>
    <m/>
    <m/>
    <x v="1"/>
    <m/>
    <m/>
  </r>
  <r>
    <n v="91"/>
    <m/>
    <s v="SMP SMA Permai Nasional"/>
    <n v="91"/>
    <s v="VII"/>
    <n v="2023"/>
    <x v="101"/>
    <s v="Jakarta"/>
    <d v="1994-11-06T00:00:00"/>
    <s v="Condet GG.Asem No.48 Batu Ampar, Kramat Jati"/>
    <s v="Jakarta Timur"/>
    <n v="81314157121"/>
    <s v="Senin"/>
    <s v="Tujuh Belas"/>
    <s v="Agustus"/>
    <s v="Dua ribu dua puluh tiga"/>
    <x v="69"/>
    <m/>
    <s v="17 Juli 2023"/>
    <s v="17 Juli 2023"/>
    <s v="23 Juni 2023"/>
    <s v="1 Agustus 2022"/>
    <s v="3175040611940009"/>
    <s v="Condet GG.Asem No.48 Batu Ampar, Kramat Jati, Jakarta Timur"/>
    <s v="60.311.249.1-005.000"/>
    <s v="Condet GG.Asem No.48 Batu Ampar, Kramat Jati, Jakarta Timur"/>
    <s v="alfonirawan10@gmail.com"/>
    <s v="S1 Komputer"/>
    <s v="UNJ"/>
    <m/>
    <m/>
    <x v="0"/>
    <m/>
    <m/>
  </r>
  <r>
    <n v="92"/>
    <m/>
    <s v="SMP- SMA Permai Nasional"/>
    <n v="92"/>
    <s v="VII"/>
    <n v="2023"/>
    <x v="102"/>
    <s v="Maryke"/>
    <s v="4 Desember 1992"/>
    <s v="Jl. Lebai Hasan Rt/RW 005/002, Sungai Pinang, Bungo Bani"/>
    <s v="Bungo, Jambi"/>
    <n v="81367790446"/>
    <s v="Senin"/>
    <s v="Tujuh Belas"/>
    <s v="Agustus"/>
    <s v="Dua ribu dua puluh tiga"/>
    <x v="70"/>
    <m/>
    <s v="17 Juli 2023"/>
    <s v="17 Juli 2023"/>
    <s v="23 Juni 2023"/>
    <s v="1 Agustus 2022"/>
    <s v="1205220412920001"/>
    <s v="Jl. Lebai Hasan Rt/RW 005/002, Sungai Pinang, Bungo Bani, Bungo, Jambi"/>
    <s v="81.928.252.6-119.000"/>
    <s v="Dusun Durian Mulo Namo Teras, Kutambaru, Langkat, Sumatra Utara"/>
    <s v="desanamoteras45@gmail.com"/>
    <s v="S1"/>
    <s v="STIMIK KAPUTAMA Binjai"/>
    <m/>
    <m/>
    <x v="0"/>
    <m/>
    <m/>
  </r>
  <r>
    <n v="93"/>
    <m/>
    <s v="TK-SD Cahaya Sakti"/>
    <n v="93"/>
    <s v="VII"/>
    <n v="2023"/>
    <x v="103"/>
    <s v="Kwala Bangka"/>
    <s v="11 Januari 1986"/>
    <s v="Piayu Asri II BLK. Z No. 206 RT 005 RW 004 Kel. Duriangkang Kec. Sungai Beduk Batam / Jl. Martaip Selatan No. 40 Jakarta Barat"/>
    <s v="Jl. Martaip Selatan No. 40 Jakarta Barat"/>
    <s v="0813-78172490"/>
    <s v="Senin"/>
    <s v="Tujuh Belas"/>
    <s v="Juli"/>
    <s v="Dua ribu dua puluh tiga"/>
    <x v="34"/>
    <s v="Jl.Otista 1 No 3. Balimester – Jkt Timur"/>
    <s v="17 Juli 2023"/>
    <s v="17 Juli 2023"/>
    <s v="23 Juni 2023"/>
    <s v="1 Juli 2020"/>
    <s v="2171075101869012"/>
    <s v="Piayu Asri II BLK. Z No. 206 RT 005 RW 004 Kel. Duriangkang Kec. Sungai Beduk Batam"/>
    <s v="97.305.828.2-215.000"/>
    <s v="Piayu Asri Blok Z No. 206"/>
    <s v="tio11jan@gmail.com"/>
    <s v="D3 Manajemen Informatika"/>
    <s v="AMIK Tridharma Pekanbaru"/>
    <s v="Ibu"/>
    <s v="1 Agustus 2018"/>
    <x v="0"/>
    <m/>
    <m/>
  </r>
  <r>
    <n v="94"/>
    <m/>
    <s v="SD Sang Timur Cakung"/>
    <n v="94"/>
    <s v="VII"/>
    <n v="2023"/>
    <x v="104"/>
    <s v="Jakarta"/>
    <d v="1988-11-28T00:00:00"/>
    <s v="Jl. Pulau Bintan VI No 436 Rt. 006/016 Kel. Aren Jaya Kec. Bekasi Timur"/>
    <s v="Bekasi"/>
    <n v="81290536246"/>
    <s v="Senin"/>
    <s v="Tujuh Belas"/>
    <s v="Agustus"/>
    <s v="Dua ribu dua puluh tiga"/>
    <x v="71"/>
    <m/>
    <s v="17 Juli 2023"/>
    <s v="17 Juli 2023"/>
    <s v="23 Juni 2023"/>
    <s v="1 Agustus 2022"/>
    <s v="3171032811880001"/>
    <s v="Jl. Pulau Bintan VI No 436 Rt. 006/016 Kel. Aren Jaya Kec. Bekasi Timur"/>
    <s v="-"/>
    <s v="-"/>
    <s v="rastioharyono56@gmail.com"/>
    <s v="S1 Ilmu Pendidkan dan Pendidikan Sosial"/>
    <s v="Universitas Indraprasta PGRI"/>
    <m/>
    <m/>
    <x v="0"/>
    <m/>
    <m/>
  </r>
  <r>
    <n v="95"/>
    <m/>
    <s v="SD Sang Timur Cakung"/>
    <n v="95"/>
    <s v="VII"/>
    <n v="2023"/>
    <x v="105"/>
    <s v="Jakarta"/>
    <s v="29 Desember 1998"/>
    <s v="Jl. Gereja HKI No 9, RT 003/ RW 008, Cililitan, Kramat Jati"/>
    <s v="Jakarta Timur"/>
    <n v="82126221637"/>
    <s v="Senin"/>
    <s v="Tujuh Belas"/>
    <s v="Agustus"/>
    <s v="Dua ribu dua puluh tiga"/>
    <x v="71"/>
    <m/>
    <s v="17 Juli 2023"/>
    <s v="17 Juli 2023"/>
    <s v="23 Juni 2023"/>
    <s v="1 Agustus 2022"/>
    <s v="3175042912980004"/>
    <s v="Jl. Gereja HKI No 9, RT 003/ RW 008, Cililitan, Kramat Jati, Jakarta Timur"/>
    <s v="-"/>
    <s v="-"/>
    <s v="juergensinaga9@gmail.com"/>
    <s v="S1 Ilmu dan Teknik Komputer"/>
    <s v="Universitas Indraprasta PGRI"/>
    <m/>
    <m/>
    <x v="0"/>
    <m/>
    <m/>
  </r>
  <r>
    <n v="96"/>
    <m/>
    <s v="SD Marsudirini Yogyakarta"/>
    <n v="96"/>
    <s v="VII"/>
    <n v="2023"/>
    <x v="106"/>
    <s v="Tangerang"/>
    <d v="1980-04-08T00:00:00"/>
    <s v="Kembangan Kutu Rt 07 Rw – Kel Sumbermulo Kecamatan Bambanglipuro"/>
    <s v="Bantul"/>
    <n v="81388911968"/>
    <s v="Senin"/>
    <s v="Tujuh Belas"/>
    <s v="Agustus"/>
    <s v="Dua ribu dua puluh tiga"/>
    <x v="72"/>
    <m/>
    <s v="17 Juli 2023"/>
    <s v="17 Juli 2023"/>
    <s v="23 Juni 2023"/>
    <s v="1 Agustus 2022"/>
    <s v="3671074804800001"/>
    <s v="Kembangan Kutu Rt 07 Rw – Kel Sumbermulo Kecamatan Bambanglipuro, Bantul"/>
    <s v="48.843.999.3-402.000"/>
    <s v="Jl Cimone Permai V no 138 Tangerang"/>
    <s v="kumalaningrum.alb@gmail.com"/>
    <s v="S1 Ilmu Komunikasi"/>
    <s v="Universitas Sahid Jakarta"/>
    <m/>
    <m/>
    <x v="0"/>
    <m/>
    <m/>
  </r>
  <r>
    <n v="97"/>
    <m/>
    <s v="SD Marsudirini Yogyakarta"/>
    <n v="97"/>
    <s v="VII"/>
    <n v="2023"/>
    <x v="107"/>
    <s v="Bantul"/>
    <s v="12 Desember 1993"/>
    <s v="Duwuran RT 01, Parangtritis, Kretek, Bantul"/>
    <s v="Yogyakarta"/>
    <n v="81329937156"/>
    <s v="Senin"/>
    <s v="Tujuh Belas"/>
    <s v="Agustus"/>
    <s v="Dua ribu dua puluh tiga"/>
    <x v="72"/>
    <m/>
    <s v="17 Juli 2023"/>
    <s v="17 Juli 2023"/>
    <s v="23 Juni 2023"/>
    <s v="1 Agustus 2022"/>
    <s v="3402031212930001"/>
    <s v="Duwuran RT 01, Parangtritis, Kretek, Bantul"/>
    <s v="80.697.282.4-543.000"/>
    <s v="Duwuran RT 01, Parangtritis, Kretek, Bantul, Yogyakarta"/>
    <s v="andiset1993@gmail.com"/>
    <s v="S.Pd"/>
    <s v="Universitas Negeri Yogyakarta"/>
    <m/>
    <m/>
    <x v="0"/>
    <m/>
    <m/>
  </r>
  <r>
    <n v="98"/>
    <m/>
    <s v="SD SMP Spring Garden"/>
    <n v="98"/>
    <s v="VII"/>
    <n v="2023"/>
    <x v="108"/>
    <s v="Bekasi"/>
    <s v="19 Oktober 1989"/>
    <s v="Jalan Gurami 4 RT.07 RW.07 Kel. Kayuringin Jaya Kec.Bekasi Selatan"/>
    <s v="Bekasi"/>
    <n v="87875501426"/>
    <s v="Senin"/>
    <s v="Tujuh Belas"/>
    <s v="Agustus"/>
    <s v="Dua ribu dua puluh tiga"/>
    <x v="73"/>
    <m/>
    <s v="17 Juli 2023"/>
    <s v="17 Juli 2023"/>
    <s v="23 Juni 2023"/>
    <s v="1 Agustus 2022"/>
    <s v="3275041910890014"/>
    <s v="Jalan Gurami 4 RT.07 RW.07 Kel. Kayuringin Jaya Kec.Bekasi Selatan, Kota Bekasi"/>
    <s v="45.089.402.7-432.000"/>
    <s v=": Jalan Gurami 4 RT.07 RW.07 Kel. Kayuringin Jaya Kec.Bekasi Selatan, Kota Bekas"/>
    <s v="hilmanrhiza@gmail.com"/>
    <s v="S2"/>
    <s v="STIMIK Nusa Mandiri"/>
    <m/>
    <m/>
    <x v="1"/>
    <s v="Menikah"/>
    <n v="1"/>
  </r>
  <r>
    <n v="99"/>
    <m/>
    <s v="Seri Amal/SMA Cahaya"/>
    <n v="99"/>
    <s v="VII"/>
    <n v="2023"/>
    <x v="109"/>
    <s v="Medan"/>
    <s v="06 Agustus 1994"/>
    <s v="Jl. Jamin Ginting No. 19"/>
    <s v="Medan"/>
    <s v="0852-60378402"/>
    <s v="Senin"/>
    <s v="Tujuh Belas"/>
    <s v="Juli"/>
    <s v="Dua ribu dua puluh tiga"/>
    <x v="50"/>
    <s v="Jl. Hayam Wuruk No. 11 Medan"/>
    <s v="17 Juli 2023"/>
    <s v="17 Juli 2023"/>
    <s v="23 Juni 2023"/>
    <s v="15 Mei 2018"/>
    <s v="1271074608940001"/>
    <s v="Jl. Jamin Ginting No. 19 Lau Cih - Medan Tuntungan"/>
    <s v="91.936.980.1-121.000"/>
    <s v="Jl. Jamin Ginting No. 19 Lau Cih - Medan Tuntungan"/>
    <s v="m.sirait@ymail.com"/>
    <s v="S1 Komp-Teknik Informatika Univ. Methodist Indonesia"/>
    <s v="Lulus 2017"/>
    <s v="Ibu"/>
    <m/>
    <x v="0"/>
    <m/>
    <m/>
  </r>
  <r>
    <n v="100"/>
    <m/>
    <s v="TK SD Galatia Bekasi"/>
    <n v="100"/>
    <s v="VII"/>
    <n v="2023"/>
    <x v="110"/>
    <s v="Selampe"/>
    <s v="31 Juli 1994"/>
    <s v="Jl.Budi Mulia Gg F No.09 RT.011/RW.006 Pademangan Barat"/>
    <s v="Jakarta Utara"/>
    <n v="81290669474"/>
    <s v="Senin"/>
    <s v="Tujuh Belas"/>
    <s v="Agustus"/>
    <s v="Dua ribu dua puluh tiga"/>
    <x v="74"/>
    <m/>
    <s v="17 Juli 2023"/>
    <s v="17 Juli 2023"/>
    <s v="23 Juni 2023"/>
    <s v="1 Agustus 2022"/>
    <s v="1401127107940003"/>
    <s v="Jl.Budi Mulia Gg F No.09 RT.011/RW.006 Pademangan Barat, Jakarta Utara"/>
    <s v="96.893.750.8-044.000"/>
    <s v="Jl.Budi Mulia Gg F No.09 RT.011/RW.006 Pademangan Barat, Jakarta Utara"/>
    <s v="cristinstevani861@gmail.com"/>
    <s v="S1"/>
    <s v="STMIK KAPUTAMA BINJAI, SUMATERA UTARA"/>
    <m/>
    <m/>
    <x v="0"/>
    <s v="Lajang"/>
    <m/>
  </r>
  <r>
    <n v="101"/>
    <m/>
    <s v="SMP SMA Galatia Bekasi"/>
    <n v="101"/>
    <s v="VII"/>
    <n v="2023"/>
    <x v="111"/>
    <s v="Selampe"/>
    <s v="20 Mei 1992"/>
    <s v="AFD III Kebun Terantam RT.003 / RW.001 Kasikan Kec. Tapung hulu Kab. Kampar"/>
    <s v="Riau"/>
    <n v="82130005152"/>
    <s v="Senin"/>
    <s v="Tujuh Belas"/>
    <s v="Agustus"/>
    <s v="Dua ribu dua puluh tiga"/>
    <x v="75"/>
    <m/>
    <s v="17 Juli 2023"/>
    <s v="17 Juli 2023"/>
    <s v="23 Juni 2023"/>
    <s v="1 Agustus 2022"/>
    <s v="1205032005920003"/>
    <s v="AFD III Kebun Terantam RT.003 / RW.001 Kasikan Kec. Tapung hulu Kab. Kampar, Riau"/>
    <s v="-"/>
    <s v="-"/>
    <s v="ewa.putrasembiring@gmail.com"/>
    <s v="S1"/>
    <s v="STMIK Mikroskil"/>
    <m/>
    <m/>
    <x v="1"/>
    <s v="Lajang"/>
    <m/>
  </r>
  <r>
    <n v="102"/>
    <m/>
    <m/>
    <n v="102"/>
    <s v="VII"/>
    <n v="2023"/>
    <x v="112"/>
    <m/>
    <m/>
    <m/>
    <m/>
    <m/>
    <m/>
    <s v="Tujuh Belas"/>
    <m/>
    <s v="Dua ribu dua puluh tiga"/>
    <x v="44"/>
    <m/>
    <m/>
    <m/>
    <m/>
    <m/>
    <m/>
    <m/>
    <m/>
    <m/>
    <m/>
    <m/>
    <m/>
    <m/>
    <m/>
    <x v="0"/>
    <m/>
    <m/>
  </r>
  <r>
    <n v="103"/>
    <s v="SUB"/>
    <s v="SMAK SANTO CAROLUS"/>
    <n v="103"/>
    <s v="VII"/>
    <n v="2023"/>
    <x v="113"/>
    <s v="Mojokerto"/>
    <s v="30 Juni 1989"/>
    <s v="Sekiping RT 002/RW 001 Dawarblandong"/>
    <s v="Mojokerto"/>
    <n v="81615155333"/>
    <s v="Senin"/>
    <s v="Tujuh Belas"/>
    <s v="Juli"/>
    <s v="Dua ribu dua puluh tiga"/>
    <x v="76"/>
    <s v="Jl. Jemur Andayani XXI/9"/>
    <s v="17 Juli 2023"/>
    <s v="17 Juli 2023"/>
    <s v="23 Juni 2023"/>
    <s v="14 Februari 2020"/>
    <s v="3516163006890001"/>
    <s v="Sekiping RT 002/RW 001 Dawarblandong Mojokerto"/>
    <s v="46.560.770.3-602.000"/>
    <s v="Sekiping RT 002/RW 001 Dawarblandong Mojokerto"/>
    <s v="yoga.ayp@gmail.com"/>
    <s v="S1"/>
    <s v="Institut Teknologi Adhi Tama Surabaya Teknik Informatika"/>
    <m/>
    <m/>
    <x v="0"/>
    <s v="Menikah"/>
    <n v="1"/>
  </r>
  <r>
    <n v="104"/>
    <s v="SUB"/>
    <s v="SDK SANTO YOSEF"/>
    <n v="104"/>
    <s v="VII"/>
    <n v="2023"/>
    <x v="114"/>
    <s v="Sidoarjo"/>
    <s v="19 Juni 1986"/>
    <s v="Ds Gempol Gunting RT 10 RW 05 Gempol Klutuk Tarik"/>
    <s v="Sidoarjo"/>
    <n v="8991010765"/>
    <s v="Senin"/>
    <s v="Tujuh Belas"/>
    <s v="Juli"/>
    <s v="Dua ribu dua puluh tiga"/>
    <x v="77"/>
    <s v="Jl. Jemur Andayani XXI/9"/>
    <s v="17 Juli 2023"/>
    <s v="17 Juli 2023"/>
    <s v="23 Juni 2023"/>
    <s v="14 Februari 2020"/>
    <s v="3515015906860001"/>
    <s v="Ds Gempol Gunting RT 10 RW 05 Gempol Klutuk Tarik Sidoarjo"/>
    <s v="79.893.289.3-603.000"/>
    <s v="Ds Gempol Gunting RT 10 RW 05 Gempol Klutuk Tarik Sidoarjo"/>
    <s v="bundarasya.iap@gmail.com"/>
    <s v="S1"/>
    <s v="Univ. Negeri Surabaya FKIP Teknologi Pendidikan"/>
    <m/>
    <m/>
    <x v="0"/>
    <s v="Menikah"/>
    <n v="1"/>
  </r>
  <r>
    <n v="105"/>
    <s v="SUB"/>
    <s v="TK/SD/SMP Happy Family School"/>
    <n v="105"/>
    <s v="VII"/>
    <n v="2023"/>
    <x v="115"/>
    <s v="Medan"/>
    <d v="1988-11-07T00:00:00"/>
    <s v="Graha Surabaya Residence no. 16 RT 02/RW 03"/>
    <s v="Surabaya"/>
    <n v="82142609575"/>
    <s v="Senin"/>
    <s v="Tujuh Belas"/>
    <s v="Juli"/>
    <s v="Dua ribu dua puluh tiga"/>
    <x v="78"/>
    <s v="Jl. Embong Sawo no. 2"/>
    <s v="17 Juli 2023"/>
    <s v="17 Juli 2023"/>
    <s v="23 Juni 2023"/>
    <s v="19 Maret 2019"/>
    <s v="1016264711880003"/>
    <s v="Sumber Rejo Indah RT 002/RW 003 Pakal, Surabaya"/>
    <s v="-"/>
    <s v="-"/>
    <s v="mikenovita2@gmail.com"/>
    <s v="D1"/>
    <s v="LPGTK Tadika Puri Bandung"/>
    <m/>
    <m/>
    <x v="0"/>
    <s v="Menikah"/>
    <n v="1"/>
  </r>
  <r>
    <n v="106"/>
    <s v="SUB"/>
    <s v="SDK Sang Timur Batu"/>
    <n v="106"/>
    <s v="VII"/>
    <n v="2023"/>
    <x v="116"/>
    <s v="Batu"/>
    <s v="20 Agustus 1990"/>
    <s v="Jl. WR Supratman I/3"/>
    <s v="Ngaglik Batu"/>
    <n v="81333038085"/>
    <s v="Senin"/>
    <s v="Tujuh Belas"/>
    <s v="Juli"/>
    <s v="Dua ribu dua puluh tiga"/>
    <x v="79"/>
    <s v="Jl. Panglima Sudirman 59A Batu"/>
    <s v="17 Juli 2023"/>
    <s v="17 Juli 2023"/>
    <s v="23 Juni 2023"/>
    <s v="24 Maret 2020"/>
    <s v="3579012008900004"/>
    <s v="Jl. WR Supratman I/3 Ngaglik Batu"/>
    <s v="-"/>
    <s v="-"/>
    <s v="edwin123bernardo@gmail.com"/>
    <s v="D1"/>
    <s v="Wernes Education Center Malang Informatika"/>
    <m/>
    <m/>
    <x v="0"/>
    <s v="Menikah"/>
    <n v="1"/>
  </r>
  <r>
    <n v="107"/>
    <s v="SUB"/>
    <s v="TK SDK RA Kartini"/>
    <n v="107"/>
    <s v="VII"/>
    <n v="2023"/>
    <x v="117"/>
    <s v="Jambi"/>
    <n v="29467"/>
    <s v="Tambak Asri 32/9 Rt/Rw 034/006, Kel. Morokrembangan, Kec. Krembangan"/>
    <s v="Surabaya"/>
    <n v="81298124598"/>
    <s v="Senin"/>
    <s v="Tujuh Belas"/>
    <s v="Juli"/>
    <s v="Dua ribu dua puluh tiga"/>
    <x v="80"/>
    <m/>
    <s v="17 Juli 2023"/>
    <s v="17 Juli 2023"/>
    <s v="23 Juni 2023"/>
    <s v="18 Juli 2022"/>
    <s v="3578150309800003"/>
    <s v="Tambak Asri 32/9 Rt/Rw 034/006, Kel. Morokrembangan, Kec. Krembangan, Surabaya"/>
    <s v="-"/>
    <s v="-"/>
    <s v="ysamuel45@yahoo.co.id"/>
    <m/>
    <m/>
    <m/>
    <m/>
    <x v="0"/>
    <m/>
    <m/>
  </r>
  <r>
    <n v="108"/>
    <s v="SUB"/>
    <s v="SMA St. Aquino Tulungagung"/>
    <n v="108"/>
    <s v="VII"/>
    <n v="2023"/>
    <x v="118"/>
    <s v="Kediri"/>
    <s v="22 Desember 1996"/>
    <s v="Dsn. Tunggulsari RT 02 RW 01 Dsn. Mekarsari"/>
    <s v="Kec. Kedungwaru, Kab. Tulungagung"/>
    <n v="85732810152"/>
    <s v="Senin"/>
    <s v="Tujuh Belas"/>
    <s v="Juli"/>
    <s v="Dua ribu dua puluh tiga"/>
    <x v="81"/>
    <s v="Tulungagung"/>
    <s v="17 Juli 2023"/>
    <s v="17 Juli 2023"/>
    <s v="23 Juni 2023"/>
    <s v="01 Juli 2021"/>
    <s v="3504036312980002"/>
    <s v="Dsn. Tunggulsari RT 02 RW 01 Dsn. Mekarsari Kec. Kedungwaru, Kab. Tulungagung"/>
    <s v="-"/>
    <s v="-"/>
    <s v="agnidevia8@gmail.com"/>
    <s v="S1"/>
    <s v="Sarjana Pendidikan Teknologi Informasi"/>
    <m/>
    <m/>
    <x v="0"/>
    <m/>
    <m/>
  </r>
  <r>
    <n v="109"/>
    <s v="SUB"/>
    <s v="SD Santo Carolus Sby"/>
    <n v="109"/>
    <s v="VII"/>
    <n v="2023"/>
    <x v="119"/>
    <s v="Magelang"/>
    <s v="17 Februari 1971"/>
    <s v="Jl. Kavling Mentari III/23 Rt/Rw 001/013 Kel. Tambak Rejo, Kec Waru"/>
    <s v="Sidoarjo"/>
    <n v="85851842508"/>
    <s v="Senin"/>
    <s v="Tujuh Belas"/>
    <s v="Juli"/>
    <s v="Dua ribu dua puluh tiga"/>
    <x v="82"/>
    <m/>
    <s v="17 Juli 2023"/>
    <s v="17 Juli 2023"/>
    <s v="23 Juni 2023"/>
    <s v="18 Juli 2022"/>
    <s v="3515185702710005"/>
    <s v="Jl. Kavling Mentari III/23 Rt/Rw 001/013 Kel. Tambak Rejo, Kec Waru, Sidoarjo"/>
    <s v="26.077.025.0-643.000"/>
    <s v="Jl. Kavling Mentari III/23 Rt/Rw 001/013 Kel. Tambak Rejo, Kec Waru, Sidoarjo"/>
    <s v="Hendraswaripoppy@gmail.com"/>
    <s v="S1"/>
    <s v="IKIP Yogyakarta"/>
    <m/>
    <m/>
    <x v="0"/>
    <m/>
    <m/>
  </r>
  <r>
    <n v="110"/>
    <s v="SUB"/>
    <s v="SMP Santo Carolus &amp; Santo Yosef"/>
    <n v="110"/>
    <s v="VII"/>
    <n v="2023"/>
    <x v="120"/>
    <s v="Surabaya"/>
    <n v="27664"/>
    <s v="Nginden Tembusan 21 Rt/Rw 001/001 Kel. Nginden Jangkungan, Kec. Sukolilo"/>
    <s v="Surabaya"/>
    <n v="81233406545"/>
    <s v="Senin"/>
    <s v="Tujuh Belas"/>
    <s v="Juli"/>
    <s v="Dua ribu dua puluh tiga"/>
    <x v="83"/>
    <m/>
    <s v="17 Juli 2023"/>
    <s v="17 Juli 2023"/>
    <s v="23 Juni 2023"/>
    <s v="18 Juli 2022"/>
    <s v="3578092709750001"/>
    <s v="Nginden Tembusan 21 Rt/Rw 001/001 Kel. Nginden Jangkungan, Kec. Sukolilo, Surabaya"/>
    <s v="26.114.403.4-606.000"/>
    <s v="Nginden Tembusan 21 Rt/Rw 001/001 Kel. Nginden Jangkungan, Kec. Sukolilo, Surabaya"/>
    <s v="riosepta@yahoo.com"/>
    <s v="S1 Teknik Informatika Komputer"/>
    <s v="Universitas Dr. Soetomo Surabaya"/>
    <m/>
    <m/>
    <x v="0"/>
    <m/>
    <m/>
  </r>
  <r>
    <n v="111"/>
    <s v="SUB"/>
    <s v="SDK COR JE SU MALANG"/>
    <n v="111"/>
    <s v="VII"/>
    <n v="2023"/>
    <x v="121"/>
    <s v="Batu"/>
    <s v="13 Februari 1997"/>
    <s v="Sidomulyo Rt/Rw 001/010, Kel.Sidomulyo, Kec. Batu"/>
    <s v="Batu"/>
    <n v="81938357802"/>
    <s v="Senin"/>
    <s v="Tujuh Belas"/>
    <s v="Juli"/>
    <s v="Dua ribu dua puluh tiga"/>
    <x v="84"/>
    <m/>
    <s v="17 Juli 2023"/>
    <s v="17 Juli 2023"/>
    <s v="23 Juni 2023"/>
    <s v="18 Juli 2022"/>
    <s v="3579015302970002"/>
    <s v="Sidomulyo Rt/Rw 001/010, Kel.Sidomulyo, Kec. Batu, Batu"/>
    <s v="-"/>
    <s v="-"/>
    <s v="veronicahoran678@gmail.com"/>
    <s v="S1 Komputer"/>
    <s v="Institut Asia Malang"/>
    <m/>
    <m/>
    <x v="0"/>
    <m/>
    <m/>
  </r>
  <r>
    <n v="112"/>
    <s v="SUB"/>
    <s v="SD Santa Maria Surabaya"/>
    <n v="112"/>
    <s v="VII"/>
    <n v="2023"/>
    <x v="122"/>
    <s v="Jombang"/>
    <s v="30 Januari 1999"/>
    <s v="Dsn. Kertorejo Rt/Rw 002/003, Ds. Kertorejo, Kec. Ngoro"/>
    <s v="Jombang"/>
    <n v="87859924303"/>
    <s v="Senin"/>
    <s v="Tujuh Belas"/>
    <s v="Agustus"/>
    <s v="Dua ribu dua puluh tiga"/>
    <x v="85"/>
    <m/>
    <s v="17 Juli 2023"/>
    <s v="17 Juli 2023"/>
    <s v="23 Juni 2023"/>
    <s v="1 Agustus 2022"/>
    <s v="3517037001990004"/>
    <s v="Dsn. Kertorejo Rt/Rw 002/003, Ds. Kertorejo, Kec. Ngoro, Kab. Jombang"/>
    <s v="-"/>
    <s v="-"/>
    <s v="megaelsya1@gmail.com"/>
    <s v="S1"/>
    <s v="Univ PGRI Adi Buana Surabaya"/>
    <m/>
    <m/>
    <x v="0"/>
    <m/>
    <m/>
  </r>
  <r>
    <n v="113"/>
    <s v="SUB"/>
    <s v="SMP SMA Margie"/>
    <n v="113"/>
    <s v="VII"/>
    <n v="2023"/>
    <x v="123"/>
    <s v="Surabaya"/>
    <s v="6 Juli 1974"/>
    <s v="Genteng Kulon 12 Rt/Rw 004/005 Kec. Genteng"/>
    <s v="Surabaya"/>
    <n v="85101510649"/>
    <s v="Senin"/>
    <s v="Tujuh Belas"/>
    <s v="Agustus"/>
    <s v="Dua ribu dua puluh tiga"/>
    <x v="86"/>
    <m/>
    <s v="17 Juli 2023"/>
    <s v="17 Juli 2023"/>
    <s v="23 Juni 2023"/>
    <s v="1 Agustus 2022"/>
    <s v="3578070607740003"/>
    <s v="Genteng Kulon 12 Rt/Rw 004/005 Kec. Genteng, Surabaya"/>
    <s v="07.880.202.2-611.000"/>
    <s v="Genteng Kulon 12 Rt/Rw 004/005 Kec. Genteng, Surabaya"/>
    <s v="iswanorsili@gmail.com"/>
    <s v="S1"/>
    <s v="Unitomo Surabaya"/>
    <m/>
    <m/>
    <x v="0"/>
    <m/>
    <m/>
  </r>
  <r>
    <n v="114"/>
    <s v="SUB"/>
    <s v="SMP SMA SAB"/>
    <n v="114"/>
    <s v="VII"/>
    <n v="2023"/>
    <x v="124"/>
    <s v="Surabaya"/>
    <s v="30 Oktober1989"/>
    <s v="Dinoyo Sekolahan III/20, Surabaya"/>
    <s v="Surabaya"/>
    <n v="83852535384"/>
    <s v="Senin"/>
    <s v="Tujuh Belas"/>
    <s v="Agustus"/>
    <s v="Dua ribu dua puluh tiga"/>
    <x v="87"/>
    <m/>
    <s v="17 Juli 2023"/>
    <s v="17 Juli 2023"/>
    <s v="23 Juni 2023"/>
    <s v="1 Agustus 2022"/>
    <s v="3578053010890001"/>
    <s v="Dinoyo Sekolahan III/20, Surabaya"/>
    <s v="59.765.244.5-607.000"/>
    <s v="Dinoyo Sekolahan III/20, Surabaya"/>
    <s v="yohanesoktavianto@gmail.com"/>
    <s v="SMK"/>
    <s v="IKIP Widyadarma"/>
    <m/>
    <m/>
    <x v="0"/>
    <m/>
    <m/>
  </r>
  <r>
    <n v="115"/>
    <m/>
    <m/>
    <n v="115"/>
    <s v="VII"/>
    <n v="2023"/>
    <x v="125"/>
    <m/>
    <m/>
    <m/>
    <m/>
    <m/>
    <m/>
    <s v="Tujuh Belas"/>
    <m/>
    <s v="Dua ribu dua puluh tiga"/>
    <x v="44"/>
    <m/>
    <m/>
    <m/>
    <m/>
    <m/>
    <m/>
    <m/>
    <m/>
    <m/>
    <m/>
    <m/>
    <m/>
    <m/>
    <m/>
    <x v="0"/>
    <m/>
    <m/>
  </r>
  <r>
    <n v="116"/>
    <m/>
    <m/>
    <n v="116"/>
    <s v="VII"/>
    <n v="2023"/>
    <x v="126"/>
    <m/>
    <m/>
    <m/>
    <m/>
    <m/>
    <m/>
    <s v="Tujuh Belas"/>
    <m/>
    <s v="Dua ribu dua puluh tiga"/>
    <x v="44"/>
    <m/>
    <m/>
    <m/>
    <m/>
    <m/>
    <m/>
    <m/>
    <m/>
    <m/>
    <m/>
    <m/>
    <m/>
    <m/>
    <m/>
    <x v="0"/>
    <m/>
    <m/>
  </r>
  <r>
    <n v="117"/>
    <m/>
    <m/>
    <n v="117"/>
    <s v="VII"/>
    <n v="2023"/>
    <x v="127"/>
    <m/>
    <m/>
    <m/>
    <m/>
    <m/>
    <m/>
    <s v="Tujuh Belas"/>
    <m/>
    <s v="Dua ribu dua puluh tiga"/>
    <x v="44"/>
    <m/>
    <m/>
    <m/>
    <m/>
    <m/>
    <m/>
    <m/>
    <m/>
    <m/>
    <m/>
    <m/>
    <m/>
    <m/>
    <m/>
    <x v="0"/>
    <m/>
    <m/>
  </r>
  <r>
    <n v="118"/>
    <m/>
    <m/>
    <n v="118"/>
    <s v="VII"/>
    <n v="2023"/>
    <x v="128"/>
    <m/>
    <m/>
    <m/>
    <m/>
    <m/>
    <m/>
    <s v="Tujuh Belas"/>
    <m/>
    <s v="Dua ribu dua puluh tiga"/>
    <x v="44"/>
    <m/>
    <m/>
    <m/>
    <m/>
    <m/>
    <m/>
    <m/>
    <m/>
    <m/>
    <m/>
    <m/>
    <m/>
    <m/>
    <m/>
    <x v="0"/>
    <m/>
    <m/>
  </r>
  <r>
    <n v="119"/>
    <m/>
    <m/>
    <n v="119"/>
    <s v="VII"/>
    <n v="2023"/>
    <x v="129"/>
    <m/>
    <m/>
    <m/>
    <m/>
    <m/>
    <m/>
    <s v="Tujuh Belas"/>
    <m/>
    <s v="Dua ribu dua puluh tiga"/>
    <x v="44"/>
    <m/>
    <m/>
    <m/>
    <m/>
    <m/>
    <m/>
    <m/>
    <m/>
    <m/>
    <m/>
    <m/>
    <m/>
    <m/>
    <m/>
    <x v="0"/>
    <m/>
    <m/>
  </r>
  <r>
    <n v="120"/>
    <m/>
    <m/>
    <n v="120"/>
    <s v="VII"/>
    <n v="2023"/>
    <x v="130"/>
    <m/>
    <m/>
    <m/>
    <m/>
    <m/>
    <m/>
    <s v="Tujuh Belas"/>
    <m/>
    <s v="Dua ribu dua puluh tiga"/>
    <x v="44"/>
    <m/>
    <m/>
    <m/>
    <m/>
    <m/>
    <m/>
    <m/>
    <m/>
    <m/>
    <m/>
    <m/>
    <m/>
    <m/>
    <m/>
    <x v="0"/>
    <m/>
    <m/>
  </r>
  <r>
    <n v="121"/>
    <m/>
    <m/>
    <n v="121"/>
    <s v="VII"/>
    <n v="2023"/>
    <x v="131"/>
    <m/>
    <m/>
    <m/>
    <m/>
    <m/>
    <m/>
    <s v="Tujuh Belas"/>
    <m/>
    <s v="Dua ribu dua puluh tiga"/>
    <x v="44"/>
    <m/>
    <m/>
    <m/>
    <m/>
    <m/>
    <m/>
    <m/>
    <m/>
    <m/>
    <m/>
    <m/>
    <m/>
    <m/>
    <m/>
    <x v="0"/>
    <m/>
    <m/>
  </r>
  <r>
    <n v="122"/>
    <m/>
    <m/>
    <n v="122"/>
    <s v="VII"/>
    <n v="2023"/>
    <x v="132"/>
    <m/>
    <m/>
    <m/>
    <m/>
    <m/>
    <m/>
    <s v="Tujuh Belas"/>
    <m/>
    <s v="Dua ribu dua puluh tiga"/>
    <x v="44"/>
    <m/>
    <m/>
    <m/>
    <m/>
    <m/>
    <m/>
    <m/>
    <m/>
    <m/>
    <m/>
    <m/>
    <m/>
    <m/>
    <m/>
    <x v="0"/>
    <m/>
    <m/>
  </r>
  <r>
    <n v="123"/>
    <m/>
    <m/>
    <n v="123"/>
    <s v="VII"/>
    <n v="2023"/>
    <x v="133"/>
    <m/>
    <m/>
    <m/>
    <m/>
    <m/>
    <m/>
    <s v="Tujuh Belas"/>
    <m/>
    <s v="Dua ribu dua puluh tiga"/>
    <x v="44"/>
    <m/>
    <m/>
    <m/>
    <m/>
    <m/>
    <m/>
    <m/>
    <m/>
    <m/>
    <m/>
    <m/>
    <m/>
    <m/>
    <m/>
    <x v="0"/>
    <m/>
    <m/>
  </r>
  <r>
    <n v="124"/>
    <m/>
    <m/>
    <n v="124"/>
    <s v="VII"/>
    <n v="2023"/>
    <x v="134"/>
    <m/>
    <m/>
    <m/>
    <m/>
    <m/>
    <m/>
    <s v="Tujuh Belas"/>
    <m/>
    <s v="Dua ribu dua puluh tiga"/>
    <x v="44"/>
    <m/>
    <m/>
    <m/>
    <m/>
    <m/>
    <m/>
    <m/>
    <m/>
    <m/>
    <m/>
    <m/>
    <m/>
    <m/>
    <m/>
    <x v="0"/>
    <m/>
    <m/>
  </r>
  <r>
    <n v="125"/>
    <m/>
    <m/>
    <n v="125"/>
    <s v="VII"/>
    <n v="2023"/>
    <x v="135"/>
    <m/>
    <m/>
    <m/>
    <m/>
    <m/>
    <m/>
    <s v="Tujuh Belas"/>
    <m/>
    <s v="Dua ribu dua puluh tiga"/>
    <x v="44"/>
    <m/>
    <m/>
    <m/>
    <m/>
    <m/>
    <m/>
    <m/>
    <m/>
    <m/>
    <m/>
    <m/>
    <m/>
    <m/>
    <m/>
    <x v="0"/>
    <m/>
    <m/>
  </r>
  <r>
    <n v="126"/>
    <m/>
    <m/>
    <n v="126"/>
    <s v="VII"/>
    <n v="2023"/>
    <x v="136"/>
    <m/>
    <m/>
    <m/>
    <m/>
    <m/>
    <m/>
    <s v="Tujuh Belas"/>
    <m/>
    <s v="Dua ribu dua puluh tiga"/>
    <x v="44"/>
    <m/>
    <m/>
    <m/>
    <m/>
    <m/>
    <m/>
    <m/>
    <m/>
    <m/>
    <m/>
    <m/>
    <m/>
    <m/>
    <m/>
    <x v="0"/>
    <m/>
    <m/>
  </r>
  <r>
    <n v="127"/>
    <m/>
    <m/>
    <n v="127"/>
    <s v="VII"/>
    <n v="2023"/>
    <x v="137"/>
    <m/>
    <m/>
    <m/>
    <m/>
    <m/>
    <m/>
    <s v="Tujuh Belas"/>
    <m/>
    <s v="Dua ribu dua puluh tiga"/>
    <x v="44"/>
    <m/>
    <m/>
    <m/>
    <m/>
    <m/>
    <m/>
    <m/>
    <m/>
    <m/>
    <m/>
    <m/>
    <m/>
    <m/>
    <m/>
    <x v="0"/>
    <m/>
    <m/>
  </r>
  <r>
    <m/>
    <m/>
    <s v="No: 01/Diginusa-Akd/SPK-P/VII/2022"/>
    <m/>
    <m/>
    <m/>
    <x v="138"/>
    <m/>
    <m/>
    <m/>
    <m/>
    <m/>
    <m/>
    <m/>
    <m/>
    <m/>
    <x v="88"/>
    <m/>
    <m/>
    <m/>
    <m/>
    <m/>
    <m/>
    <m/>
    <m/>
    <m/>
    <m/>
    <m/>
    <m/>
    <m/>
    <m/>
    <x v="0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4">
  <r>
    <n v="1"/>
    <s v="034/BSW-DIGINUSA/MOU/VI/2022"/>
    <s v="Yayasan Regina Pacis FMM"/>
    <s v="Sr. Christina Sri Murni, FMM"/>
    <x v="0"/>
    <s v="A"/>
    <s v="Margaret Eti Sulastri "/>
    <m/>
    <n v="3"/>
    <n v="2022"/>
    <n v="2025"/>
    <x v="0"/>
    <s v="Sewa Pinjam"/>
    <s v="SmartTK"/>
    <s v="TAB 22/23 Rp29.000_x000a_TAB 23/24 Rp40.000_x000a_TAB 24/25 Rp31.000"/>
    <m/>
    <m/>
    <s v="Wahyu Piki Julianto"/>
    <s v="Henry"/>
    <s v="Yusuf"/>
  </r>
  <r>
    <n v="2"/>
    <s v="034/BSW-DIGINUSA/MOU/VI/2022"/>
    <s v="Yayasan Regina Pacis FMM"/>
    <s v="Sr. Christina Sri Murni, FMM"/>
    <x v="1"/>
    <s v="A"/>
    <s v="Lousiana Cicih Sunarsih "/>
    <m/>
    <n v="3"/>
    <n v="2022"/>
    <n v="2025"/>
    <x v="0"/>
    <s v="Sewa Pinjam"/>
    <s v="Informatika Kurmer"/>
    <s v="TAB 22/23 (90% Rp51.000 &amp; 10% Rp22.500)_x000a_TAB 23/24 (90% Rp52.000 &amp; 10% Rp22.500)_x000a_TAB 24/25 (90% Rp58.000 &amp; 10% Rp22.500)"/>
    <m/>
    <m/>
    <s v="Wahyu Piki Julianto"/>
    <s v="Henry"/>
    <s v="Yusuf"/>
  </r>
  <r>
    <n v="3"/>
    <s v="034/BSW-DIGINUSA/MOU/VI/2022"/>
    <s v="Yayasan Regina Pacis FMM"/>
    <s v="Sr. Christina Sri Murni, FMM"/>
    <x v="2"/>
    <s v="A"/>
    <s v="Agnes Atik Susilawati "/>
    <m/>
    <n v="3"/>
    <n v="2022"/>
    <n v="2025"/>
    <x v="0"/>
    <s v="Sewa Pinjam"/>
    <s v="Informatika Kurmer"/>
    <s v="TAB 22/23 (90% Rp56.000 &amp; 10% Rp32.500)_x000a_TAB 23/24 (90% Rp57.000 &amp; 10% Rp32.500)_x000a_TAB 24/25 (90% Rp58.000 &amp; 10% Rp32.500)"/>
    <m/>
    <m/>
    <s v="Wahyu Piki Julianto"/>
    <s v="Henry"/>
    <s v="Yusuf"/>
  </r>
  <r>
    <n v="4"/>
    <s v="034/BSW-DIGINUSA/MOU/VI/2022"/>
    <s v="Yayasan Regina Pacis FMM"/>
    <s v="Sr. Christina Sri Murni, FMM"/>
    <x v="3"/>
    <s v="A"/>
    <s v="C. Retno Widayanti "/>
    <m/>
    <n v="3"/>
    <n v="2022"/>
    <n v="2025"/>
    <x v="0"/>
    <s v="Sewa Pinjam"/>
    <s v="Informatika Kurmer"/>
    <s v="TAB 22/23 (90% Rp56.000 &amp; 10% Rp32.500)_x000a_TAB 23/24 (90% Rp57.000 &amp; 10% Rp32.500)_x000a_TAB 24/25 (90% Rp58.000 &amp; 10% Rp32.500)"/>
    <m/>
    <m/>
    <s v="Wahyu Piki Julianto"/>
    <s v="Henry"/>
    <s v="Yusuf"/>
  </r>
  <r>
    <n v="5"/>
    <s v="044/BSW-DIGINUSA/MOU/VI/2023"/>
    <s v="Yayasan Anakku"/>
    <s v="Arnie Arifin"/>
    <x v="4"/>
    <s v="A"/>
    <s v="Dra. Naily TAnjung "/>
    <m/>
    <n v="3"/>
    <n v="2023"/>
    <n v="2026"/>
    <x v="0"/>
    <s v="Sewa Pinjam"/>
    <s v="SmartTK"/>
    <n v="30556250"/>
    <m/>
    <m/>
    <s v="Dwi "/>
    <s v="Idy"/>
    <s v="Joko"/>
  </r>
  <r>
    <n v="6"/>
    <s v="044/BSW-DIGINUSA/MOU/VI/2023"/>
    <s v="Yayasan Anakku"/>
    <s v="Arnie Arifin"/>
    <x v="5"/>
    <s v="A"/>
    <s v="Lulu "/>
    <m/>
    <n v="3"/>
    <n v="2023"/>
    <n v="2026"/>
    <x v="0"/>
    <s v="Sewa Pinjam"/>
    <s v="SmartExplorer"/>
    <n v="30556250"/>
    <m/>
    <m/>
    <s v="Dwi "/>
    <s v="Idy"/>
    <s v="Joko"/>
  </r>
  <r>
    <n v="7"/>
    <s v="044/BSW-DIGINUSA/MOU/VI/2023"/>
    <s v="Yayasan Anakku"/>
    <s v="Arnie Arifin"/>
    <x v="6"/>
    <s v="A"/>
    <s v="Gugum Prayoga "/>
    <m/>
    <n v="3"/>
    <n v="2023"/>
    <n v="2026"/>
    <x v="0"/>
    <s v="Sewa Pinjam"/>
    <s v="Informatika Kurmer"/>
    <n v="30556250"/>
    <m/>
    <m/>
    <s v="Dwi"/>
    <s v="Idy"/>
    <s v="Joko"/>
  </r>
  <r>
    <n v="8"/>
    <s v="044/BSW-DIGINUSA/MOU/VI/2023"/>
    <s v="Yayasan Anakku"/>
    <s v="Arnie Arifin"/>
    <x v="7"/>
    <s v="A"/>
    <s v="Muh Ridwan "/>
    <m/>
    <n v="3"/>
    <n v="2023"/>
    <n v="2026"/>
    <x v="0"/>
    <s v="Sewa Pinjam"/>
    <s v="Informatika Kurmer"/>
    <n v="30556250"/>
    <m/>
    <m/>
    <s v="Dwi"/>
    <s v="Idy"/>
    <s v="Joko"/>
  </r>
  <r>
    <n v="9"/>
    <s v="003/BSW-DIGINUSA/MOU/IV/2019"/>
    <s v="Yayasan Pendidikan Permai"/>
    <s v="William Chandra"/>
    <x v="8"/>
    <s v="A"/>
    <s v="Heffy"/>
    <m/>
    <n v="4"/>
    <n v="2019"/>
    <n v="2023"/>
    <x v="1"/>
    <s v="Sewa Pinjam"/>
    <s v="SEIS"/>
    <n v="87000"/>
    <m/>
    <m/>
    <s v="Calon"/>
    <s v="Pami"/>
    <s v="Doni"/>
  </r>
  <r>
    <n v="10"/>
    <s v="003/BSW-DIGINUSA/MOU/IV/2019"/>
    <s v="Yayasan Pendidikan Permai"/>
    <s v="William Chandra"/>
    <x v="9"/>
    <s v="A"/>
    <m/>
    <m/>
    <n v="4"/>
    <n v="2019"/>
    <n v="2023"/>
    <x v="1"/>
    <s v="Sewa Pinjam"/>
    <s v="ITPreneur Inter "/>
    <n v="87000"/>
    <m/>
    <m/>
    <s v="Calon"/>
    <s v="Pami"/>
    <s v="Doni"/>
  </r>
  <r>
    <n v="11"/>
    <s v="012/BSW-DIGINUSA/MOU/IV/2022"/>
    <s v="Yayasan Pendidikan Permai"/>
    <s v="Djoko Wihardjo"/>
    <x v="10"/>
    <s v="A"/>
    <s v="Syukur kurnia indahwati, M.psi"/>
    <m/>
    <n v="3"/>
    <n v="2022"/>
    <n v="2025"/>
    <x v="0"/>
    <s v="Sewa Pinjam"/>
    <s v="SmartTK"/>
    <n v="42000"/>
    <m/>
    <n v="50000"/>
    <s v="Syahrul Mubaroq"/>
    <s v="Pami"/>
    <s v="Doni"/>
  </r>
  <r>
    <n v="12"/>
    <s v="012/BSW-DIGINUSA/MOU/IV/2022"/>
    <s v="Yayasan Pendidikan Permai"/>
    <s v="Djoko Wihardjo"/>
    <x v="11"/>
    <s v="A"/>
    <s v="Ibu Julita Johana"/>
    <m/>
    <n v="3"/>
    <n v="2022"/>
    <n v="2025"/>
    <x v="0"/>
    <s v="Sewa Pinjam"/>
    <s v="SmartExplorer"/>
    <n v="42000"/>
    <m/>
    <n v="50000"/>
    <s v="Syahrul Mubaroq"/>
    <s v="Pami"/>
    <s v="Doni"/>
  </r>
  <r>
    <n v="13"/>
    <s v="012/BSW-DIGINUSA/MOU/IV/2022"/>
    <s v="Yayasan Pendidikan Permai"/>
    <s v="Djoko Wihardjo"/>
    <x v="12"/>
    <s v="A"/>
    <s v="Anne Maria "/>
    <m/>
    <n v="3"/>
    <n v="2022"/>
    <n v="2025"/>
    <x v="0"/>
    <s v="Sewa Pinjam"/>
    <s v="ITPreneur"/>
    <n v="42000"/>
    <m/>
    <n v="50000"/>
    <s v="Syahrul Mubaroq"/>
    <s v="Pami"/>
    <s v="Doni"/>
  </r>
  <r>
    <n v="14"/>
    <s v="012/BSW-DIGINUSA/MOU/IV/2022"/>
    <s v="Yayasan Pendidikan Permai"/>
    <s v="Djoko Wihardjo"/>
    <x v="13"/>
    <s v="A"/>
    <s v="Drs Robertus Kusnandar"/>
    <m/>
    <n v="3"/>
    <n v="2022"/>
    <n v="2025"/>
    <x v="0"/>
    <s v="Sewa Pinjam"/>
    <s v="ITPreneur"/>
    <n v="42000"/>
    <m/>
    <n v="50000"/>
    <s v="Syahrul Mubaroq"/>
    <s v="Pami"/>
    <s v="Doni"/>
  </r>
  <r>
    <n v="15"/>
    <s v="084/BSW-DIGINUSA/MOU/VI/2023"/>
    <s v="Yayasan Seri Amal"/>
    <s v="Sr. Gaudensia Sihaloho, KSSY"/>
    <x v="14"/>
    <s v="A"/>
    <s v="Tarcisia"/>
    <m/>
    <n v="3"/>
    <n v="2023"/>
    <n v="2026"/>
    <x v="0"/>
    <s v="Kontrak Pengajaran"/>
    <s v="SmartProgram"/>
    <n v="10500"/>
    <m/>
    <m/>
    <s v="Jenderi Nadeak"/>
    <s v="Danu"/>
    <s v="Yusuf"/>
  </r>
  <r>
    <n v="16"/>
    <s v="085/BSW-DIGINUSA/MOU/VI/2023"/>
    <s v="Yayasan Seri Amal"/>
    <s v="Sr. Gaudensia Sihaloho, KSSY"/>
    <x v="15"/>
    <s v="A"/>
    <s v="Manotas Situmorang "/>
    <m/>
    <n v="3"/>
    <n v="2023"/>
    <n v="2026"/>
    <x v="0"/>
    <s v="Kontrak Pengajaran"/>
    <s v="ITPreneur"/>
    <n v="18000"/>
    <m/>
    <n v="24000"/>
    <s v="Jenderi Nadeak"/>
    <s v="Danu"/>
    <s v="Yusuf"/>
  </r>
  <r>
    <n v="17"/>
    <s v="007/BSW-DIGINUSA/ADD/III/2023"/>
    <s v="Yayasan Seri Amal"/>
    <s v="Sr. Gaudensia Sihaloho, KSSY"/>
    <x v="15"/>
    <m/>
    <m/>
    <m/>
    <n v="0"/>
    <m/>
    <m/>
    <x v="2"/>
    <m/>
    <s v="ITPreneur"/>
    <n v="18000"/>
    <m/>
    <n v="24000"/>
    <s v="Jenderi Nadeak"/>
    <s v="Danu"/>
    <s v="Yusuf"/>
  </r>
  <r>
    <n v="18"/>
    <s v="085/BSW-DIGINUSA/MOU/VI/2023"/>
    <s v="Yayasan Seri Amal"/>
    <s v="Sr. Gaudensia Sihaloho, KSSY"/>
    <x v="16"/>
    <s v="A"/>
    <s v="Seravina Gultom"/>
    <m/>
    <n v="3"/>
    <n v="2023"/>
    <n v="2026"/>
    <x v="0"/>
    <s v="Lisensi"/>
    <s v="Informatika Kurmer"/>
    <n v="11500"/>
    <m/>
    <n v="18000"/>
    <s v="Jenderi Nadeak"/>
    <s v="Danu"/>
    <s v="Yusuf"/>
  </r>
  <r>
    <n v="19"/>
    <s v="007/BSW-DIGINUSA/ADD/III/2023"/>
    <s v="Yayasan Seri Amal"/>
    <s v="Sr. Gaudensia Sihaloho, KSSY"/>
    <x v="16"/>
    <m/>
    <m/>
    <m/>
    <n v="0"/>
    <m/>
    <m/>
    <x v="2"/>
    <m/>
    <s v="ITPreneur"/>
    <n v="11500"/>
    <m/>
    <n v="18000"/>
    <s v="Jenderi Nadeak"/>
    <s v="Danu"/>
    <s v="Yusuf"/>
  </r>
  <r>
    <n v="20"/>
    <s v="012/BSW-DIGINUSA/MOU/VI/2021"/>
    <s v="Yayasan Seri Amal"/>
    <s v="Sr. Gaudensia Sihaloho, KSSY"/>
    <x v="17"/>
    <s v="A"/>
    <s v="Martha"/>
    <m/>
    <n v="3"/>
    <n v="2021"/>
    <n v="2024"/>
    <x v="1"/>
    <s v="Lisensi"/>
    <s v="SmartTK"/>
    <n v="10000"/>
    <m/>
    <m/>
    <s v="Jenderi Nadeak"/>
    <s v="Danu"/>
    <s v="Yusuf"/>
  </r>
  <r>
    <n v="21"/>
    <s v="012/BSW-DIGINUSA/MOU/VI/2021"/>
    <s v="Yayasan Seri Amal"/>
    <s v="Sr. Gaudensia Sihaloho, KSSY"/>
    <x v="18"/>
    <s v="A"/>
    <s v="Virginia"/>
    <m/>
    <n v="3"/>
    <n v="2021"/>
    <n v="2024"/>
    <x v="1"/>
    <s v="Lisensi"/>
    <s v="SmartTK"/>
    <n v="10000"/>
    <m/>
    <m/>
    <s v="Jenderi Nadeak"/>
    <s v="Danu"/>
    <s v="Yusuf"/>
  </r>
  <r>
    <n v="22"/>
    <s v="084/BSW-DIGINUSA/MOU/VI/2023"/>
    <s v="Yayasan Seri Amal"/>
    <s v="Sr. Gaudensia Sihaloho, KSSY"/>
    <x v="19"/>
    <s v="A"/>
    <s v="Pak Zega"/>
    <m/>
    <n v="3"/>
    <n v="2023"/>
    <n v="2026"/>
    <x v="0"/>
    <s v="Kontrak Pengajaran"/>
    <s v="Informatika Kurmer"/>
    <n v="15000"/>
    <m/>
    <m/>
    <s v="Jenderi Nadeak"/>
    <s v="Danu"/>
    <s v="Yusuf"/>
  </r>
  <r>
    <n v="23"/>
    <s v="085/BSW-DIGINUSA/MOU/VI/2023"/>
    <s v="Yayasan Seri Amal"/>
    <s v="Sr. Gaudensia Sihaloho, KSSY"/>
    <x v="20"/>
    <s v="A"/>
    <s v="Malemta Lydia Pinem"/>
    <m/>
    <n v="3"/>
    <n v="2023"/>
    <n v="2026"/>
    <x v="0"/>
    <s v="Kontrak Pengajaran"/>
    <s v="Informatika Kurmer"/>
    <n v="13000"/>
    <m/>
    <n v="24000"/>
    <s v="Jenderi Nadeak"/>
    <s v="Danu"/>
    <s v="Yusuf"/>
  </r>
  <r>
    <n v="24"/>
    <s v="007/BSW-DIGINUSA/ADD/III/2023"/>
    <s v="Yayasan Seri Amal"/>
    <s v="Sr. Gaudensia Sihaloho, KSSY"/>
    <x v="20"/>
    <m/>
    <s v="Malemta Lydia Pinem"/>
    <m/>
    <n v="0"/>
    <m/>
    <m/>
    <x v="2"/>
    <m/>
    <s v="Prakarya SMP"/>
    <n v="13000"/>
    <m/>
    <n v="24000"/>
    <s v="Jenderi Nadeak"/>
    <s v="Danu"/>
    <s v="Yusuf"/>
  </r>
  <r>
    <n v="25"/>
    <s v="085/BSW-DIGINUSA/MOU/VI/2023"/>
    <s v="Yayasan Seri Amal"/>
    <s v="Sr. Gaudensia Sihaloho, KSSY"/>
    <x v="21"/>
    <s v="A"/>
    <s v="Nuriati Sapta Zega SP"/>
    <m/>
    <n v="3"/>
    <n v="2023"/>
    <n v="2026"/>
    <x v="0"/>
    <s v="Kontrak Pengajaran"/>
    <s v="Informatika Kurmer"/>
    <n v="13000"/>
    <m/>
    <n v="24000"/>
    <s v="Jenderi Nadeak"/>
    <s v="Danu"/>
    <s v="Yusuf"/>
  </r>
  <r>
    <n v="26"/>
    <s v="007/BSW-DIGINUSA/ADD/III/2023"/>
    <s v="Yayasan Seri Amal"/>
    <s v="Sr. Gaudensia Sihaloho, KSSY"/>
    <x v="21"/>
    <m/>
    <s v="Nuriati Sapta Zega SP"/>
    <m/>
    <m/>
    <m/>
    <m/>
    <x v="2"/>
    <m/>
    <s v="ITPreneur"/>
    <n v="13000"/>
    <m/>
    <n v="24000"/>
    <s v="Jenderi Nadeak"/>
    <s v="Danu"/>
    <s v="Yusuf"/>
  </r>
  <r>
    <n v="27"/>
    <s v="084/BSW-DIGINUSA/MOU/VI/2023"/>
    <s v="Yayasan Seri Amal"/>
    <s v="Sr. Gaudensia Sihaloho, KSSY"/>
    <x v="22"/>
    <s v="A"/>
    <s v="Rudi Simarmata "/>
    <m/>
    <n v="3"/>
    <n v="2023"/>
    <n v="2026"/>
    <x v="0"/>
    <s v="Kontrak Pengajaran"/>
    <s v="Informatika Kurmer"/>
    <n v="25000"/>
    <m/>
    <m/>
    <s v="Jenderi Nadeak"/>
    <s v="Danu"/>
    <s v="Yusuf"/>
  </r>
  <r>
    <n v="28"/>
    <s v="085/BSW-DIGINUSA/MOU/VI/2023"/>
    <s v="Yayasan Seri Amal"/>
    <s v="Sr. Gaudensia Sihaloho, KSSY"/>
    <x v="23"/>
    <s v="A"/>
    <s v="S. Romana Pane"/>
    <m/>
    <n v="3"/>
    <n v="2023"/>
    <n v="2026"/>
    <x v="0"/>
    <s v="Kontrak Pengajaran"/>
    <s v="Informatika Kurmer"/>
    <n v="13000"/>
    <m/>
    <n v="24000"/>
    <s v="Jenderi Nadeak"/>
    <s v="Danu"/>
    <s v="Yusuf"/>
  </r>
  <r>
    <n v="29"/>
    <s v="007/BSW-DIGINUSA/ADD/III/2023"/>
    <s v="Yayasan Seri Amal"/>
    <s v="Sr. Gaudensia Sihaloho, KSSY"/>
    <x v="23"/>
    <m/>
    <m/>
    <m/>
    <m/>
    <m/>
    <m/>
    <x v="2"/>
    <m/>
    <m/>
    <n v="13000"/>
    <m/>
    <n v="24000"/>
    <s v="Jenderi Nadeak"/>
    <s v="Danu"/>
    <s v="Yusuf"/>
  </r>
  <r>
    <n v="30"/>
    <s v="085/BSW-DIGINUSA/MOU/VI/2023"/>
    <s v="Yayasan Seri Amal"/>
    <s v="Sr. Gaudensia Sihaloho, KSSY"/>
    <x v="24"/>
    <s v="A"/>
    <s v="Liston Sinurat"/>
    <m/>
    <n v="3"/>
    <n v="2023"/>
    <n v="2026"/>
    <x v="0"/>
    <s v="Kontrak Pengajaran"/>
    <s v="Informatika Kurmer"/>
    <n v="20000"/>
    <m/>
    <n v="24000"/>
    <s v="Jenderi Nadeak"/>
    <s v="Danu"/>
    <s v="Yusuf"/>
  </r>
  <r>
    <n v="31"/>
    <s v="007/BSW-DIGINUSA/ADD/III/2023"/>
    <s v="Yayasan Seri Amal"/>
    <s v="Sr. Gaudensia Sihaloho, KSSY"/>
    <x v="24"/>
    <m/>
    <m/>
    <m/>
    <m/>
    <m/>
    <m/>
    <x v="2"/>
    <m/>
    <m/>
    <n v="13000"/>
    <m/>
    <n v="24000"/>
    <s v="Jenderi Nadeak"/>
    <s v="Danu"/>
    <s v="Yusuf"/>
  </r>
  <r>
    <n v="32"/>
    <s v="031/BSW-DIGINUSA/MOU/VI/2023"/>
    <s v="Yayasan Tarakanita Surabaya"/>
    <s v="Sr. Yudith M Maryani, CB, M.Pd. (Kepala Kantor)"/>
    <x v="25"/>
    <s v="B"/>
    <s v="Yosianarti Poegoeh, M.Pd."/>
    <m/>
    <n v="1"/>
    <n v="2023"/>
    <n v="2024"/>
    <x v="1"/>
    <s v="Sewa Pinjam"/>
    <s v="Informatika Kurmer"/>
    <n v="59000"/>
    <m/>
    <s v="LKS Informatika Rp56.000"/>
    <s v="Herlangga"/>
    <s v="Bayu"/>
    <s v="Unggul"/>
  </r>
  <r>
    <n v="33"/>
    <s v="031/BSW-DIGINUSA/MOU/VI/2023"/>
    <s v="Yayasan Tarakanita Surabaya"/>
    <s v="Sr. Yudith M Maryani, CB, M.Pd. (Kepala Kantor)"/>
    <x v="26"/>
    <s v="B"/>
    <s v="Novi Tribawanti, S.Pd."/>
    <m/>
    <n v="1"/>
    <n v="2023"/>
    <n v="2024"/>
    <x v="1"/>
    <s v="Sewa Pinjam"/>
    <s v="Informatika Kurmer"/>
    <n v="59000"/>
    <m/>
    <s v="LKS Informatika Rp56.000"/>
    <m/>
    <s v="Bayu"/>
    <s v="Unggul"/>
  </r>
  <r>
    <n v="34"/>
    <s v="031/BSW-DIGINUSA/MOU/VI/2023"/>
    <s v="Yayasan Tarakanita Surabaya"/>
    <s v="Sr. Yudith M Maryani, CB, M.Pd. (Kepala Kantor)"/>
    <x v="27"/>
    <s v="B"/>
    <s v="Anastasia Sulastri, S.Pd."/>
    <m/>
    <n v="1"/>
    <n v="2023"/>
    <n v="2024"/>
    <x v="1"/>
    <s v="Sewa Pinjam"/>
    <s v="Informatika Kurmer"/>
    <n v="40000"/>
    <m/>
    <s v="LKS Smart Explorer Rp28.000"/>
    <m/>
    <s v="Bayu"/>
    <s v="Unggul"/>
  </r>
  <r>
    <n v="35"/>
    <s v="031/BSW-DIGINUSA/MOU/VI/2023"/>
    <s v="Yayasan Tarakanita Surabaya"/>
    <s v="Sr. Yudith M Maryani, CB, M.Pd. (Kepala Kantor)"/>
    <x v="28"/>
    <s v="B"/>
    <s v="Margareta Fitri Agustina, S.Si."/>
    <m/>
    <n v="1"/>
    <n v="2023"/>
    <n v="2024"/>
    <x v="1"/>
    <s v="Sewa Pinjam"/>
    <s v="Informatika Kurmer"/>
    <n v="59000"/>
    <m/>
    <s v="LKS Informatika Rp56.000"/>
    <m/>
    <s v="Bayu"/>
    <s v="Unggul"/>
  </r>
  <r>
    <n v="36"/>
    <s v="031/BSW-DIGINUSA/MOU/VI/2023"/>
    <s v="Yayasan Tarakanita Surabaya"/>
    <s v="Sr. Yudith M Maryani, CB, M.Pd. (Kepala Kantor)"/>
    <x v="29"/>
    <s v="B"/>
    <s v="Y. Joko Winarto, M.Pd."/>
    <m/>
    <n v="1"/>
    <n v="2023"/>
    <n v="2024"/>
    <x v="1"/>
    <s v="Sewa Pinjam"/>
    <s v="Informatika Kurmer"/>
    <n v="40000"/>
    <m/>
    <s v="LKS Smart Explorer Rp28.000"/>
    <m/>
    <s v="Bayu"/>
    <s v="Unggul"/>
  </r>
  <r>
    <n v="37"/>
    <s v="031/BSW-DIGINUSA/MOU/VI/2023"/>
    <s v="Yayasan Tarakanita Surabaya"/>
    <s v="Sr. Yudith M Maryani, CB, M.Pd. (Kepala Kantor)"/>
    <x v="30"/>
    <s v="B"/>
    <s v="RRC. Retno Dewi T.H., S.Pd."/>
    <m/>
    <n v="1"/>
    <n v="2023"/>
    <n v="2024"/>
    <x v="1"/>
    <s v="Sewa Pinjam"/>
    <s v="Informatika Kurmer"/>
    <n v="40000"/>
    <m/>
    <s v="LKS Smart Explorer Rp28.000"/>
    <m/>
    <s v="Bayu"/>
    <s v="Unggul"/>
  </r>
  <r>
    <n v="38"/>
    <s v="070/BSW-DIGINUSA/MOU/VI/2023"/>
    <s v="Yayasan Prayoga Riau"/>
    <s v="Lusiana Ling Ling, S.Pd."/>
    <x v="31"/>
    <s v="B"/>
    <s v="Leonardy Bancin"/>
    <m/>
    <n v="4"/>
    <n v="2023"/>
    <n v="2027"/>
    <x v="0"/>
    <s v="Sewa Beli"/>
    <s v="Informatika Kurmer"/>
    <n v="45000"/>
    <m/>
    <m/>
    <s v="Dodi Kusumo Adi"/>
    <s v="Danu"/>
    <s v="Sapar"/>
  </r>
  <r>
    <n v="39"/>
    <s v="070/BSW-DIGINUSA/MOU/VI/2023"/>
    <s v="Yayasan Prayoga Riau"/>
    <s v="Lusiana Ling Ling, S.Pd."/>
    <x v="32"/>
    <s v="B"/>
    <s v="Ch, Mulyani Agus Kurniati"/>
    <m/>
    <n v="4"/>
    <n v="2023"/>
    <n v="2027"/>
    <x v="0"/>
    <s v="Sewa Beli"/>
    <s v="Informatika Kurmer"/>
    <n v="45000"/>
    <m/>
    <m/>
    <s v="Dodi Kusumo Adi"/>
    <s v="Danu"/>
    <s v="Sapar"/>
  </r>
  <r>
    <n v="40"/>
    <s v="070/BSW-DIGINUSA/MOU/VI/2023"/>
    <s v="Yayasan Prayoga Riau"/>
    <s v="Lusiana Ling Ling, S.Pd."/>
    <x v="33"/>
    <s v="B"/>
    <s v="Theresia Sugiarti"/>
    <m/>
    <n v="4"/>
    <n v="2023"/>
    <n v="2027"/>
    <x v="0"/>
    <s v="Sewa Beli"/>
    <s v="Informatika Kurmer"/>
    <n v="45000"/>
    <m/>
    <m/>
    <s v="Dodi Kusumo Adi"/>
    <s v="Danu"/>
    <s v="Sapar"/>
  </r>
  <r>
    <n v="41"/>
    <s v="070/BSW-DIGINUSA/MOU/VI/2023"/>
    <s v="Yayasan Prayoga Riau"/>
    <s v="Lusiana Ling Ling, S.Pd."/>
    <x v="34"/>
    <s v="B"/>
    <s v="Sarinah Hutahaian"/>
    <m/>
    <n v="4"/>
    <n v="2023"/>
    <n v="2027"/>
    <x v="0"/>
    <s v="Sewa Beli"/>
    <s v="Informatika Kurmer"/>
    <n v="45000"/>
    <m/>
    <m/>
    <s v="Dodi Kusumo Adi"/>
    <s v="Danu"/>
    <s v="Sapar"/>
  </r>
  <r>
    <n v="42"/>
    <s v="038/BSW-DIGINUSA/MOU/VII/2023"/>
    <s v="Yayasan Karya Sang Timur Jakarta"/>
    <s v="Sr. Hedwig, PIJ"/>
    <x v="35"/>
    <s v="B"/>
    <s v="Sr Brigitta Pij"/>
    <m/>
    <n v="3"/>
    <n v="2023"/>
    <n v="2026"/>
    <x v="0"/>
    <s v="Lisensi"/>
    <s v="SmartTK"/>
    <n v="1000000"/>
    <m/>
    <m/>
    <s v="Abdul Rohman"/>
    <s v="Prapto"/>
    <s v="Joko"/>
  </r>
  <r>
    <n v="43"/>
    <s v="039/BSW-DIGINUSA/MOU/VII/2023"/>
    <s v="Yayasan Karya Sang Timur Jakarta"/>
    <s v="Sr. Hedwig, PIJ"/>
    <x v="36"/>
    <s v="B"/>
    <s v="Sr Klarisa Pij"/>
    <m/>
    <n v="3"/>
    <n v="2023"/>
    <n v="2026"/>
    <x v="0"/>
    <s v="Lisensi"/>
    <s v="SmartExplorer"/>
    <n v="12000"/>
    <m/>
    <m/>
    <s v="Abdul Rohman"/>
    <s v="Prapto"/>
    <s v="Joko"/>
  </r>
  <r>
    <n v="44"/>
    <s v="023/BSW-DIGINUSA/MOU/VI/2023"/>
    <s v="Yayasan Karya Sang Timur Jakarta"/>
    <s v="Bernadeth Maria Heranis Suwarno"/>
    <x v="37"/>
    <s v="B"/>
    <s v="Sr Mariska Pij"/>
    <m/>
    <n v="3"/>
    <n v="2023"/>
    <n v="2026"/>
    <x v="0"/>
    <s v="Kontrak Pengajaran"/>
    <s v="Informatika &amp; ITPreneur"/>
    <n v="35000"/>
    <m/>
    <m/>
    <s v="Abdul Rohman"/>
    <s v="Prapto"/>
    <s v="Joko"/>
  </r>
  <r>
    <n v="45"/>
    <s v="046/BSW-DIGINUSA/MOU/VII/2023"/>
    <s v="Yayasan Karya Sang Timur Jakarta"/>
    <s v="Sr. Helaria, PIJ"/>
    <x v="38"/>
    <s v="B"/>
    <s v="Sr Ursula Pij"/>
    <m/>
    <n v="3"/>
    <n v="2023"/>
    <n v="2026"/>
    <x v="0"/>
    <s v="Sewa Pinjam"/>
    <s v="SmartExplorer"/>
    <n v="40000"/>
    <m/>
    <m/>
    <s v="Mulyadi"/>
    <s v="Prapto"/>
    <s v="Joko"/>
  </r>
  <r>
    <n v="46"/>
    <s v="032/BSW-DIGINUSA/MOU/VI/2023"/>
    <s v="Yayasan Karya Sang Timur Jakarta"/>
    <s v="Sr. Hedwig, PIJ"/>
    <x v="39"/>
    <s v="B"/>
    <s v="Sr Gertrudis Pij"/>
    <m/>
    <n v="1"/>
    <n v="2023"/>
    <n v="2024"/>
    <x v="1"/>
    <s v="Lisensi"/>
    <s v="SmartTK"/>
    <n v="850000"/>
    <m/>
    <m/>
    <s v="Zainla Mutaqin"/>
    <s v="Prapto"/>
    <s v="Joko"/>
  </r>
  <r>
    <n v="47"/>
    <s v="059/BSW-DIGINUSA/MOU/VII/2022"/>
    <s v="Yayasan Karya Sang Timur Jakarta"/>
    <s v="Sr. Hedwig, PIJ"/>
    <x v="40"/>
    <s v="B"/>
    <s v="Sr Theresiana Pij"/>
    <m/>
    <n v="3"/>
    <n v="2022"/>
    <n v="2025"/>
    <x v="0"/>
    <s v="Sewa Pinjam"/>
    <s v="SmartExplorer"/>
    <n v="65000"/>
    <m/>
    <m/>
    <s v="Zainla Mutaqin"/>
    <s v="Prapto"/>
    <s v="Joko"/>
  </r>
  <r>
    <n v="48"/>
    <s v="030/BSW-DIGINUSA/MOU/VI/2022"/>
    <s v="Yayasan Abdi Siswa"/>
    <s v="Jusuf Iskandar"/>
    <x v="41"/>
    <s v="B"/>
    <s v="Agustina Retno Indriastuti"/>
    <m/>
    <n v="3"/>
    <n v="2022"/>
    <n v="2025"/>
    <x v="0"/>
    <s v="Sewa Pinjam"/>
    <s v="Prakarya SMA "/>
    <n v="49000"/>
    <m/>
    <m/>
    <s v="Dodi Kusumo Adi"/>
    <s v="Danu"/>
    <s v="Fani"/>
  </r>
  <r>
    <n v="49"/>
    <s v="030/BSW-DIGINUSA/MOU/VI/2022"/>
    <s v="Yayasan Abdi Siswa"/>
    <s v="Jusuf Iskandar"/>
    <x v="42"/>
    <s v="B"/>
    <s v="Santa Rita Dwi Astarini"/>
    <m/>
    <n v="3"/>
    <n v="2022"/>
    <n v="2025"/>
    <x v="0"/>
    <s v="Sewa Pinjam"/>
    <s v="Prakarya SMP"/>
    <n v="49000"/>
    <m/>
    <m/>
    <s v="Dodi Kusumo Adi"/>
    <s v="Danu"/>
    <s v="Fani"/>
  </r>
  <r>
    <n v="50"/>
    <s v="030/BSW-DIGINUSA/MOU/VI/2022"/>
    <s v="Yayasan Abdi Siswa"/>
    <s v="Jusuf Iskandar"/>
    <x v="43"/>
    <s v="B"/>
    <s v="Maria Siwi Karyati"/>
    <m/>
    <n v="3"/>
    <n v="2022"/>
    <n v="2025"/>
    <x v="0"/>
    <s v="Sewa Pinjam"/>
    <s v="ITPreneur"/>
    <n v="49000"/>
    <m/>
    <m/>
    <s v="Dodi Kusumo Adi"/>
    <s v="Danu"/>
    <s v="Fani"/>
  </r>
  <r>
    <n v="51"/>
    <s v="030/BSW-DIGINUSA/MOU/VI/2022"/>
    <s v="Yayasan Abdi Siswa"/>
    <s v="Jusuf Iskandar"/>
    <x v="44"/>
    <s v="B"/>
    <s v="Anastasia Martini"/>
    <m/>
    <n v="3"/>
    <n v="2022"/>
    <n v="2025"/>
    <x v="0"/>
    <s v="Sewa Pinjam"/>
    <s v="ITPreneur"/>
    <n v="49000"/>
    <m/>
    <m/>
    <s v="Dodi Kusumo Adi"/>
    <s v="Danu"/>
    <s v="Fani"/>
  </r>
  <r>
    <n v="52"/>
    <s v="030/BSW-DIGINUSA/MOU/VI/2022"/>
    <s v="Yayasan Abdi Siswa"/>
    <s v="Jusuf Iskandar"/>
    <x v="45"/>
    <s v="B"/>
    <s v="Fransisca Budi Lestari"/>
    <m/>
    <n v="3"/>
    <n v="2022"/>
    <n v="2025"/>
    <x v="0"/>
    <s v="Sewa Pinjam"/>
    <s v="SmartTK"/>
    <n v="46000"/>
    <m/>
    <m/>
    <s v="Abdul Rohman"/>
    <s v="Danu"/>
    <s v="Fani"/>
  </r>
  <r>
    <n v="53"/>
    <s v="030/BSW-DIGINUSA/MOU/VI/2022"/>
    <s v="Yayasan Abdi Siswa"/>
    <s v="Jusuf Iskandar"/>
    <x v="46"/>
    <s v="B"/>
    <s v="E.T RISTRI NARYANTI .S.pd"/>
    <m/>
    <n v="3"/>
    <n v="2022"/>
    <n v="2025"/>
    <x v="0"/>
    <s v="Sewa Pinjam"/>
    <s v="SmartExplorer"/>
    <n v="49000"/>
    <m/>
    <m/>
    <s v="Abdul Rohman"/>
    <s v="Danu"/>
    <s v="Fani"/>
  </r>
  <r>
    <n v="54"/>
    <s v="030/BSW-DIGINUSA/MOU/VI/2022"/>
    <s v="Yayasan Abdi Siswa"/>
    <s v="Jusuf Iskandar"/>
    <x v="47"/>
    <s v="B"/>
    <s v="Drs. Antonius Mardiyono, MM."/>
    <m/>
    <n v="3"/>
    <n v="2022"/>
    <n v="2025"/>
    <x v="0"/>
    <s v="Sewa Pinjam"/>
    <s v="ITPreneur"/>
    <n v="49000"/>
    <m/>
    <m/>
    <s v="Abdul Rohman"/>
    <s v="Danu"/>
    <s v="Fani"/>
  </r>
  <r>
    <n v="55"/>
    <s v="017/BSW-DIGINUSA/MOU/III/2020"/>
    <s v="Yayasan Tarakanita Magelang"/>
    <s v="Sr. Rosiana Susilo Astuti, CB"/>
    <x v="48"/>
    <s v="C"/>
    <s v="Bu Sri Sujanti"/>
    <m/>
    <n v="4"/>
    <n v="2020"/>
    <n v="2024"/>
    <x v="1"/>
    <s v="Sewa Pinjam"/>
    <s v="SmartExplorer"/>
    <n v="21000"/>
    <m/>
    <m/>
    <s v="M Nurfi Karim"/>
    <s v="Wijaya"/>
    <s v="Vita"/>
  </r>
  <r>
    <n v="56"/>
    <s v="002/BSW-DIGINUSA/ADD/I/2021"/>
    <s v="Yayasan Tarakanita Magelang"/>
    <s v="Sr. Rosiana Susilo Astuti, CB"/>
    <x v="48"/>
    <m/>
    <m/>
    <m/>
    <m/>
    <m/>
    <m/>
    <x v="2"/>
    <s v="Sewa Pinjam"/>
    <s v="SmartExplorer"/>
    <n v="21000"/>
    <m/>
    <m/>
    <m/>
    <s v="Wijaya"/>
    <s v="Vita"/>
  </r>
  <r>
    <n v="57"/>
    <s v="017/BSW-DIGINUSA/MOU/III/2020"/>
    <s v="Yayasan Tarakanita Magelang"/>
    <s v="Sr. Rosiana Susilo Astuti, CB"/>
    <x v="49"/>
    <s v="C"/>
    <s v="Bu Rahayu"/>
    <m/>
    <n v="4"/>
    <n v="2020"/>
    <n v="2024"/>
    <x v="1"/>
    <s v="Sewa Pinjam"/>
    <s v="ITPreneur"/>
    <n v="21000"/>
    <m/>
    <m/>
    <s v="M Nurfi Karim"/>
    <s v="Wijaya"/>
    <s v="Vita"/>
  </r>
  <r>
    <n v="58"/>
    <s v="002/BSW-DIGINUSA/ADD/I/2021"/>
    <s v="Yayasan Tarakanita Magelang"/>
    <s v="Sr. Rosiana Susilo Astuti, CB"/>
    <x v="49"/>
    <m/>
    <m/>
    <m/>
    <m/>
    <m/>
    <m/>
    <x v="2"/>
    <s v="Sewa Pinjam"/>
    <m/>
    <n v="21000"/>
    <m/>
    <m/>
    <m/>
    <s v="Wijaya"/>
    <s v="Vita"/>
  </r>
  <r>
    <n v="59"/>
    <s v="017/BSW-DIGINUSA/MOU/III/2020"/>
    <s v="Yayasan Tarakanita Magelang"/>
    <s v="Sr. Rosiana Susilo Astuti, CB"/>
    <x v="50"/>
    <s v="C"/>
    <s v="Pak Edi Purwono"/>
    <m/>
    <n v="4"/>
    <n v="2020"/>
    <n v="2024"/>
    <x v="1"/>
    <s v="Sewa Pinjam"/>
    <s v="Informatika Kurmer"/>
    <n v="21000"/>
    <m/>
    <m/>
    <s v="M Nurfi Karim"/>
    <s v="Wijaya"/>
    <s v="Vita"/>
  </r>
  <r>
    <n v="60"/>
    <s v="002/BSW-DIGINUSA/ADD/I/2021"/>
    <s v="Yayasan Tarakanita Magelang"/>
    <s v="Sr. Rosiana Susilo Astuti, CB"/>
    <x v="50"/>
    <m/>
    <m/>
    <m/>
    <m/>
    <m/>
    <m/>
    <x v="2"/>
    <s v="Sewa Pinjam"/>
    <m/>
    <n v="21000"/>
    <m/>
    <m/>
    <m/>
    <s v="Wijaya"/>
    <s v="Vita"/>
  </r>
  <r>
    <n v="61"/>
    <s v="017/BSW-DIGINUSA/MOU/III/2020"/>
    <s v="Yayasan Tarakanita Magelang"/>
    <s v="Sr. Rosiana Susilo Astuti, CB"/>
    <x v="51"/>
    <s v="C"/>
    <s v="Sr Antari Naning Yulianti CB"/>
    <m/>
    <n v="4"/>
    <n v="2020"/>
    <n v="2024"/>
    <x v="1"/>
    <s v="Sewa Pinjam"/>
    <s v="ITPreneur"/>
    <n v="21000"/>
    <m/>
    <m/>
    <s v="M Nurfi Karim"/>
    <s v="Wijaya"/>
    <s v="Vita"/>
  </r>
  <r>
    <n v="62"/>
    <s v="002/BSW-DIGINUSA/ADD/I/2021"/>
    <s v="Yayasan Tarakanita Magelang"/>
    <s v="Sr. Rosiana Susilo Astuti, CB"/>
    <x v="51"/>
    <m/>
    <m/>
    <m/>
    <m/>
    <m/>
    <m/>
    <x v="2"/>
    <s v="Sewa Pinjam"/>
    <m/>
    <n v="21000"/>
    <m/>
    <m/>
    <m/>
    <s v="Wijaya"/>
    <s v="Vita"/>
  </r>
  <r>
    <n v="63"/>
    <s v="017/BSW-DIGINUSA/MOU/III/2020"/>
    <s v="Yayasan Tarakanita Magelang"/>
    <s v="Sr. Rosiana Susilo Astuti, CB"/>
    <x v="52"/>
    <s v="C"/>
    <s v="Bu Sri Maryati"/>
    <m/>
    <n v="4"/>
    <n v="2020"/>
    <n v="2024"/>
    <x v="1"/>
    <s v="Sewa Pinjam"/>
    <s v="SmartExplorer"/>
    <n v="21000"/>
    <m/>
    <m/>
    <s v="M Nurfi Karim"/>
    <s v="Wijaya"/>
    <s v="Vita"/>
  </r>
  <r>
    <n v="64"/>
    <s v="002/BSW-DIGINUSA/ADD/I/2021"/>
    <s v="Yayasan Tarakanita Magelang"/>
    <s v="Sr. Rosiana Susilo Astuti, CB"/>
    <x v="52"/>
    <m/>
    <m/>
    <m/>
    <m/>
    <m/>
    <m/>
    <x v="2"/>
    <s v="Sewa Pinjam"/>
    <m/>
    <n v="21000"/>
    <m/>
    <m/>
    <m/>
    <s v="Wijaya"/>
    <s v="Vita"/>
  </r>
  <r>
    <n v="65"/>
    <s v="017/BSW-DIGINUSA/MOU/III/2020"/>
    <s v="Yayasan Tarakanita Magelang"/>
    <s v="Sr. Rosiana Susilo Astuti, CB"/>
    <x v="53"/>
    <s v="C"/>
    <s v="Joko Wiharjo, S.Pd.,M.Pd."/>
    <m/>
    <n v="4"/>
    <n v="2020"/>
    <n v="2024"/>
    <x v="1"/>
    <s v="Sewa Pinjam"/>
    <s v="ITPreneur"/>
    <n v="10000"/>
    <m/>
    <m/>
    <s v="M Nurfi Karim"/>
    <s v="Wijaya"/>
    <s v="Vita"/>
  </r>
  <r>
    <n v="66"/>
    <s v="002/BSW-DIGINUSA/ADD/I/2021"/>
    <s v="Yayasan Tarakanita Magelang"/>
    <s v="Sr. Rosiana Susilo Astuti, CB"/>
    <x v="53"/>
    <m/>
    <m/>
    <m/>
    <m/>
    <m/>
    <m/>
    <x v="2"/>
    <s v="Sewa Pinjam"/>
    <m/>
    <n v="21000"/>
    <m/>
    <m/>
    <m/>
    <s v="Wijaya"/>
    <s v="Vita"/>
  </r>
  <r>
    <n v="67"/>
    <s v="017/BSW-DIGINUSA/MOU/III/2020"/>
    <s v="Yayasan Tarakanita Magelang"/>
    <s v="Sr. Rosiana Susilo Astuti, CB"/>
    <x v="54"/>
    <s v="C"/>
    <s v="Rosa Indah Kurnianingsih"/>
    <m/>
    <n v="4"/>
    <n v="2020"/>
    <n v="2024"/>
    <x v="1"/>
    <s v="Sewa Pinjam"/>
    <s v="SmartTK"/>
    <n v="10000"/>
    <m/>
    <m/>
    <s v="M Nurfi Karim"/>
    <s v="Wijaya"/>
    <s v="Vita"/>
  </r>
  <r>
    <n v="68"/>
    <s v="002/BSW-DIGINUSA/ADD/I/2021"/>
    <s v="Yayasan Tarakanita Magelang"/>
    <s v="Sr. Rosiana Susilo Astuti, CB"/>
    <x v="54"/>
    <m/>
    <m/>
    <m/>
    <m/>
    <m/>
    <m/>
    <x v="2"/>
    <s v="Sewa Pinjam"/>
    <m/>
    <n v="21000"/>
    <m/>
    <m/>
    <m/>
    <s v="Wijaya"/>
    <s v="Vita"/>
  </r>
  <r>
    <n v="69"/>
    <s v="017/BSW-DIGINUSA/MOU/III/2020"/>
    <s v="Yayasan Tarakanita Magelang"/>
    <s v="Sr. Rosiana Susilo Astuti, CB"/>
    <x v="55"/>
    <s v="C"/>
    <s v="Antonius Yulianus Budi Utomo"/>
    <m/>
    <n v="4"/>
    <n v="2020"/>
    <n v="2024"/>
    <x v="1"/>
    <s v="Sewa Pinjam"/>
    <s v="ITPreneur"/>
    <n v="15000"/>
    <m/>
    <m/>
    <s v="M Nurfi Karim"/>
    <s v="Wijaya"/>
    <s v="Vita"/>
  </r>
  <r>
    <n v="70"/>
    <s v="002/BSW-DIGINUSA/ADD/I/2021"/>
    <s v="Yayasan Tarakanita Magelang"/>
    <s v="Sr. Rosiana Susilo Astuti, CB"/>
    <x v="55"/>
    <m/>
    <s v="Y. Suhermawan"/>
    <m/>
    <m/>
    <m/>
    <m/>
    <x v="2"/>
    <s v="Sewa Pinjam"/>
    <m/>
    <n v="21000"/>
    <m/>
    <m/>
    <m/>
    <s v="Wijaya"/>
    <s v="Vita"/>
  </r>
  <r>
    <n v="71"/>
    <s v="054/BSW-DIGINUSA/MOU/VII/2022"/>
    <s v="Yayasan Penyelengaraan Illahi"/>
    <s v="Sr. Cendra Tan, PI"/>
    <x v="56"/>
    <s v="C"/>
    <s v="Maria Natalina Rahmatingsih"/>
    <m/>
    <n v="3"/>
    <n v="2022"/>
    <n v="2025"/>
    <x v="0"/>
    <s v="Lisensi"/>
    <s v="SmartTK"/>
    <n v="10000"/>
    <m/>
    <n v="15000"/>
    <s v="M Nurfi Karim"/>
    <s v="Wijaya"/>
    <s v="Angga"/>
  </r>
  <r>
    <n v="72"/>
    <s v="054/BSW-DIGINUSA/MOU/VII/2022"/>
    <s v="Yayasan Penyelengaraan Illahi"/>
    <s v="Sr. Cendra Tan, PI"/>
    <x v="57"/>
    <s v="C"/>
    <s v="Maria Natalina Rahmatingsih"/>
    <m/>
    <n v="3"/>
    <n v="2022"/>
    <n v="2025"/>
    <x v="0"/>
    <s v="Lisensi"/>
    <s v="SmartExplorer"/>
    <n v="10000"/>
    <m/>
    <n v="15000"/>
    <s v="M Nurfi Karim"/>
    <s v="Wijaya"/>
    <s v="Angga"/>
  </r>
  <r>
    <n v="73"/>
    <s v="054/BSW-DIGINUSA/MOU/VII/2022"/>
    <s v="Yayasan Penyelengaraan Illahi"/>
    <s v="Sr. Cendra Tan, PI"/>
    <x v="58"/>
    <s v="C"/>
    <s v="Maria Dwi Nurwaningsih"/>
    <m/>
    <n v="3"/>
    <n v="2022"/>
    <n v="2025"/>
    <x v="0"/>
    <s v="Lisensi"/>
    <m/>
    <n v="15000"/>
    <m/>
    <n v="20000"/>
    <s v="M Nurfi Karim"/>
    <s v="Wijaya"/>
    <s v="Angga"/>
  </r>
  <r>
    <n v="74"/>
    <s v="054/BSW-DIGINUSA/MOU/VII/2022"/>
    <s v="Yayasan Penyelengaraan Illahi"/>
    <s v="Sr. Cendra Tan, PI"/>
    <x v="59"/>
    <s v="C"/>
    <s v="Edmandus Hari Pawarta"/>
    <m/>
    <n v="3"/>
    <n v="2022"/>
    <n v="2025"/>
    <x v="0"/>
    <s v="Lisensi"/>
    <s v="ITPreneur"/>
    <n v="15000"/>
    <m/>
    <n v="20000"/>
    <s v="M Nurfi Karim"/>
    <s v="Wijaya"/>
    <s v="Angga"/>
  </r>
  <r>
    <n v="75"/>
    <s v="054/BSW-DIGINUSA/MOU/VII/2022"/>
    <s v="Yayasan Penyelengaraan Illahi"/>
    <s v="Sr. Cendra Tan, PI"/>
    <x v="60"/>
    <s v="C"/>
    <s v="Veronica Maria Sri Widyastuti"/>
    <m/>
    <n v="3"/>
    <n v="2022"/>
    <n v="2025"/>
    <x v="0"/>
    <s v="Lisensi"/>
    <s v="SmartTK"/>
    <n v="10000"/>
    <m/>
    <n v="15000"/>
    <s v="M Nurfi Karim"/>
    <s v="Wijaya"/>
    <s v="Angga"/>
  </r>
  <r>
    <n v="76"/>
    <s v="054/BSW-DIGINUSA/MOU/VII/2022"/>
    <s v="Yayasan Penyelengaraan Illahi"/>
    <s v="Sr. Cendra Tan, PI"/>
    <x v="61"/>
    <s v="C"/>
    <s v="Yustina Susilawati"/>
    <m/>
    <n v="3"/>
    <n v="2022"/>
    <n v="2025"/>
    <x v="0"/>
    <s v="Lisensi"/>
    <s v="SmartExplorer"/>
    <n v="10000"/>
    <m/>
    <n v="15000"/>
    <s v="M Nurfi Karim"/>
    <s v="Wijaya"/>
    <s v="Angga"/>
  </r>
  <r>
    <n v="77"/>
    <s v="054/BSW-DIGINUSA/MOU/VII/2022"/>
    <s v="Yayasan Penyelengaraan Illahi"/>
    <s v="Sr. Cendra Tan, PI"/>
    <x v="62"/>
    <s v="C"/>
    <s v="Sr. Yulianti PI, S.Pd, M.Ed"/>
    <m/>
    <n v="3"/>
    <n v="2022"/>
    <n v="2025"/>
    <x v="0"/>
    <s v="Lisensi"/>
    <s v="SmartTK"/>
    <n v="10000"/>
    <m/>
    <n v="15000"/>
    <s v="M Nurfi Karim"/>
    <s v="Wijaya"/>
    <s v="Angga"/>
  </r>
  <r>
    <n v="78"/>
    <s v="054/BSW-DIGINUSA/MOU/VII/2022"/>
    <s v="Yayasan Penyelengaraan Illahi"/>
    <s v="Sr. Cendra Tan, PI"/>
    <x v="63"/>
    <s v="C"/>
    <s v="Nanik Doso Arum Indah Lestari"/>
    <m/>
    <n v="3"/>
    <n v="2022"/>
    <n v="2025"/>
    <x v="0"/>
    <s v="Lisensi"/>
    <s v="SmartExplorer"/>
    <n v="10000"/>
    <m/>
    <n v="15000"/>
    <s v="M Nurfi Karim"/>
    <s v="Wijaya"/>
    <s v="Angga"/>
  </r>
  <r>
    <n v="79"/>
    <s v="054/BSW-DIGINUSA/MOU/VII/2022"/>
    <s v="Yayasan Penyelengaraan Illahi"/>
    <s v="Sr. Cendra Tan, PI"/>
    <x v="64"/>
    <s v="C"/>
    <s v="Maria Hiacinta Mulyani"/>
    <m/>
    <n v="3"/>
    <n v="2022"/>
    <n v="2025"/>
    <x v="0"/>
    <s v="Lisensi"/>
    <s v="SmartExplorer"/>
    <s v="free"/>
    <m/>
    <n v="15000"/>
    <s v="M Nurfi Karim"/>
    <s v="Wijaya"/>
    <s v="Angga"/>
  </r>
  <r>
    <n v="80"/>
    <s v="054/BSW-DIGINUSA/MOU/VII/2022"/>
    <s v="Yayasan Penyelengaraan Illahi"/>
    <s v="Sr. Cendra Tan, PI"/>
    <x v="65"/>
    <s v="C"/>
    <s v="Dra. Mc. Sri Lestari"/>
    <m/>
    <n v="3"/>
    <n v="2022"/>
    <n v="2025"/>
    <x v="0"/>
    <s v="Lisensi"/>
    <s v="ITPreneur"/>
    <s v="free"/>
    <m/>
    <n v="20000"/>
    <s v="M Nurfi Karim"/>
    <s v="Wijaya"/>
    <s v="Angga"/>
  </r>
  <r>
    <n v="81"/>
    <s v="054/BSW-DIGINUSA/MOU/VII/2022"/>
    <s v="Yayasan Penyelengaraan Illahi"/>
    <s v="Sr. Cendra Tan, PI"/>
    <x v="66"/>
    <s v="C"/>
    <s v="Cisilia Maria Dwi Yuanita"/>
    <m/>
    <n v="3"/>
    <n v="2022"/>
    <n v="2025"/>
    <x v="0"/>
    <s v="Lisensi"/>
    <s v="SmartTK"/>
    <n v="9000"/>
    <m/>
    <n v="15000"/>
    <s v="M Nurfi Karim"/>
    <s v="Wijaya"/>
    <s v="Angga"/>
  </r>
  <r>
    <n v="82"/>
    <s v="054/BSW-DIGINUSA/MOU/VII/2022"/>
    <s v="Yayasan Penyelengaraan Illahi"/>
    <s v="Sr. Cendra Tan, PI"/>
    <x v="67"/>
    <s v="C"/>
    <s v="Heny Widayanti"/>
    <m/>
    <n v="3"/>
    <n v="2022"/>
    <n v="2025"/>
    <x v="0"/>
    <s v="Lisensi"/>
    <s v="SmartExplorer"/>
    <n v="9000"/>
    <m/>
    <n v="15000"/>
    <s v="M Nurfi Karim"/>
    <s v="Wijaya"/>
    <s v="Angga"/>
  </r>
  <r>
    <n v="83"/>
    <s v="054/BSW-DIGINUSA/MOU/VII/2022"/>
    <s v="Yayasan Penyelengaraan Illahi"/>
    <s v="Sr. Cendra Tan, PI"/>
    <x v="68"/>
    <s v="C"/>
    <s v="Theresia Juliati Mulyaningrum"/>
    <m/>
    <n v="3"/>
    <n v="2022"/>
    <n v="2025"/>
    <x v="0"/>
    <s v="Lisensi"/>
    <s v="SmartTK"/>
    <n v="10000"/>
    <m/>
    <n v="15000"/>
    <s v="M Nurfi Karim"/>
    <s v="Wijaya"/>
    <s v="Angga"/>
  </r>
  <r>
    <n v="84"/>
    <s v="054/BSW-DIGINUSA/MOU/VII/2022"/>
    <s v="Yayasan Penyelengaraan Illahi"/>
    <s v="Sr. Cendra Tan, PI"/>
    <x v="69"/>
    <s v="C"/>
    <s v="Ana Emifiarsih"/>
    <m/>
    <n v="3"/>
    <n v="2022"/>
    <n v="2025"/>
    <x v="0"/>
    <s v="Lisensi"/>
    <s v="Informatika Kurmer"/>
    <n v="10000"/>
    <m/>
    <n v="15000"/>
    <s v="M Nurfi Karim"/>
    <s v="Wijaya"/>
    <s v="Angga"/>
  </r>
  <r>
    <n v="85"/>
    <s v="054/BSW-DIGINUSA/MOU/VII/2022"/>
    <s v="Yayasan Penyelengaraan Illahi"/>
    <s v="Sr. Cendra Tan, PI"/>
    <x v="70"/>
    <s v="C"/>
    <s v="Ibu Deetje Sontana"/>
    <m/>
    <n v="3"/>
    <n v="2022"/>
    <n v="2025"/>
    <x v="0"/>
    <s v="Lisensi"/>
    <s v="ITPreneur"/>
    <n v="15000"/>
    <m/>
    <n v="20000"/>
    <s v="M Nurfi Karim"/>
    <s v="Wijaya"/>
    <s v="Angga"/>
  </r>
  <r>
    <n v="86"/>
    <s v="054/BSW-DIGINUSA/MOU/VII/2022"/>
    <s v="Yayasan Penyelengaraan Illahi"/>
    <s v="Sr. Cendra Tan, PI"/>
    <x v="71"/>
    <s v="C"/>
    <s v="Sr. Susana, P.I"/>
    <m/>
    <n v="3"/>
    <n v="2022"/>
    <n v="2025"/>
    <x v="0"/>
    <s v="Lisensi"/>
    <s v="ITPreneur"/>
    <n v="15000"/>
    <m/>
    <n v="20000"/>
    <s v="M Nurfi Karim"/>
    <s v="Wijaya"/>
    <s v="Pak Sapar"/>
  </r>
  <r>
    <n v="87"/>
    <s v="054/BSW-DIGINUSA/MOU/VII/2022"/>
    <s v="Yayasan Penyelengaraan Illahi"/>
    <s v="Sr. Cendra Tan, PI"/>
    <x v="72"/>
    <s v="C"/>
    <s v="Yohana Suharti"/>
    <m/>
    <n v="3"/>
    <n v="2022"/>
    <n v="2025"/>
    <x v="0"/>
    <s v="Lisensi"/>
    <s v="SmartTK"/>
    <n v="10000"/>
    <m/>
    <s v="-"/>
    <s v="M Nurfi Karim"/>
    <s v="Wijaya"/>
    <s v="Angga"/>
  </r>
  <r>
    <n v="88"/>
    <s v="054/BSW-DIGINUSA/MOU/VII/2022"/>
    <s v="Yayasan Penyelengaraan Illahi"/>
    <s v="Sr. Cendra Tan, PI"/>
    <x v="73"/>
    <s v="C"/>
    <s v="Drs. Simeon Suhatna"/>
    <m/>
    <n v="3"/>
    <n v="2022"/>
    <n v="2025"/>
    <x v="0"/>
    <s v="Lisensi"/>
    <s v="SmartExplorer"/>
    <n v="35000"/>
    <m/>
    <n v="15000"/>
    <m/>
    <s v="Wijaya"/>
    <s v="Angga"/>
  </r>
  <r>
    <n v="89"/>
    <s v="054/BSW-DIGINUSA/MOU/VII/2022"/>
    <s v="Yayasan Penyelengaraan Illahi"/>
    <s v="Sr. Cendra Tan, PI"/>
    <x v="74"/>
    <s v="C"/>
    <s v="Anastasia Handayani"/>
    <m/>
    <n v="3"/>
    <n v="2022"/>
    <n v="2025"/>
    <x v="0"/>
    <m/>
    <s v="ITPreneur"/>
    <m/>
    <m/>
    <m/>
    <m/>
    <s v="Wijaya"/>
    <m/>
  </r>
  <r>
    <n v="90"/>
    <s v="054/BSW-DIGINUSA/MOU/VII/2022"/>
    <s v="Yayasan Penyelengaraan Illahi"/>
    <s v="Sr. Cendra Tan, PI"/>
    <x v="75"/>
    <s v="C"/>
    <s v="Sr. Veronika, SDP"/>
    <m/>
    <n v="3"/>
    <n v="2022"/>
    <n v="2025"/>
    <x v="0"/>
    <s v="Lisensi"/>
    <s v="SmartTK"/>
    <s v="free"/>
    <m/>
    <m/>
    <m/>
    <s v="Wijaya"/>
    <s v="Angga"/>
  </r>
  <r>
    <n v="91"/>
    <s v="054/BSW-DIGINUSA/MOU/VII/2022"/>
    <s v="Yayasan Penyelengaraan Illahi"/>
    <s v="Sr. Cendra Tan, PI"/>
    <x v="76"/>
    <s v="C"/>
    <s v="Trisia"/>
    <m/>
    <n v="3"/>
    <n v="2022"/>
    <n v="2025"/>
    <x v="0"/>
    <s v="Sewa Beli"/>
    <s v="SmartTK"/>
    <s v="Rp30.000 (angsuran komputer)"/>
    <m/>
    <m/>
    <m/>
    <s v="Wijaya"/>
    <s v="Angga"/>
  </r>
  <r>
    <n v="92"/>
    <s v="054/BSW-DIGINUSA/MOU/VII/2022"/>
    <s v="Yayasan Penyelengaraan Illahi"/>
    <s v="Sr. Cendra Tan, PI"/>
    <x v="77"/>
    <s v="C"/>
    <s v="Jeri"/>
    <m/>
    <n v="3"/>
    <n v="2022"/>
    <n v="2025"/>
    <x v="0"/>
    <s v="Sewa Beli"/>
    <s v="Informatika Kurmer"/>
    <s v="Rp30.000 (angsuran komputer)"/>
    <m/>
    <m/>
    <m/>
    <s v="Wijaya"/>
    <s v="Angga"/>
  </r>
  <r>
    <n v="93"/>
    <s v="041/BSW-DIGINUSA/MOU/VII/2023"/>
    <s v="Yayasan Mardi Yuana"/>
    <s v="RD. Stefanus Sri Haryono Putro, S.S."/>
    <x v="78"/>
    <s v="C"/>
    <s v="Ibu. Maria Margaretha Reny Indriastuti"/>
    <m/>
    <n v="3"/>
    <n v="2023"/>
    <n v="2026"/>
    <x v="0"/>
    <s v="Kontrak Pengajaran"/>
    <s v="SmartTK"/>
    <n v="13000"/>
    <m/>
    <m/>
    <m/>
    <s v="Henry"/>
    <s v="Joko"/>
  </r>
  <r>
    <n v="94"/>
    <s v="010/BSW-DIGINUSA/MOU/V/2020"/>
    <s v="Yayasan Mardi Yuana"/>
    <s v="RD. Ignatius Irwan S., M.Hum"/>
    <x v="79"/>
    <s v="C"/>
    <s v="Bp. D. Kartono"/>
    <m/>
    <n v="3"/>
    <n v="2020"/>
    <n v="2023"/>
    <x v="1"/>
    <s v="Kontrak Pengajaran"/>
    <s v="Informatika Kurmer"/>
    <n v="12500"/>
    <m/>
    <m/>
    <m/>
    <s v="Henry"/>
    <s v="Joko"/>
  </r>
  <r>
    <n v="95"/>
    <s v="010/BSW-DIGINUSA/MOU/V/2020"/>
    <s v="Yayasan Mardi Yuana"/>
    <s v="RD. Ignatius Irwan S., M.Hum"/>
    <x v="80"/>
    <s v="C"/>
    <s v="Bp. Romanus Setyo Irwanto"/>
    <m/>
    <n v="3"/>
    <n v="2020"/>
    <n v="2023"/>
    <x v="1"/>
    <s v="Lisensi"/>
    <s v="ITPreneur"/>
    <n v="14500"/>
    <m/>
    <m/>
    <m/>
    <s v="Henry"/>
    <s v="Joko"/>
  </r>
  <r>
    <n v="96"/>
    <s v="010/BSW-DIGINUSA/MOU/V/2020"/>
    <s v="Yayasan Mardi Yuana"/>
    <s v="RD. Ignatius Irwan S., M.Hum"/>
    <x v="81"/>
    <s v="C"/>
    <s v="Ibu, Stefani Wahyu"/>
    <m/>
    <n v="3"/>
    <n v="2020"/>
    <n v="2023"/>
    <x v="1"/>
    <m/>
    <s v="SmartTK"/>
    <n v="18000"/>
    <m/>
    <m/>
    <s v="Dodi Kusumo Adi"/>
    <s v="Henry"/>
    <s v="Joko"/>
  </r>
  <r>
    <n v="97"/>
    <s v="041/BSW-DIGINUSA/MOU/VII/2023"/>
    <s v="Yayasan Mardi Yuana"/>
    <s v="RD. Stefanus Sri Haryono Putro, S.S."/>
    <x v="82"/>
    <s v="C"/>
    <s v="Bp. Bernardinus Supriyana"/>
    <m/>
    <n v="3"/>
    <n v="2023"/>
    <n v="2026"/>
    <x v="0"/>
    <s v="Kontrak Pengajaran"/>
    <s v="SmartProgram"/>
    <n v="18000"/>
    <m/>
    <m/>
    <s v="Dodi Kusumo Adi"/>
    <s v="Henry"/>
    <s v="Joko"/>
  </r>
  <r>
    <n v="98"/>
    <s v="041/BSW-DIGINUSA/MOU/VII/2023"/>
    <s v="Yayasan Mardi Yuana"/>
    <s v="RD. Stefanus Sri Haryono Putro, S.S."/>
    <x v="83"/>
    <s v="C"/>
    <s v="Ibu. Maria Yuliana Sulastri, M.pd."/>
    <m/>
    <n v="3"/>
    <n v="2023"/>
    <n v="2026"/>
    <x v="0"/>
    <s v="Lisensi"/>
    <s v="ITPreneur"/>
    <n v="20500"/>
    <m/>
    <m/>
    <s v="Dodi Kusumo Adi"/>
    <s v="Henry"/>
    <s v="Joko"/>
  </r>
  <r>
    <n v="99"/>
    <s v="041/BSW-DIGINUSA/MOU/VII/2023"/>
    <s v="Yayasan Mardi Yuana"/>
    <s v="RD. Stefanus Sri Haryono Putro, S.S."/>
    <x v="84"/>
    <s v="C"/>
    <s v="Ibu. Dra. Agnes Maria E. P"/>
    <m/>
    <n v="3"/>
    <n v="2023"/>
    <n v="2026"/>
    <x v="0"/>
    <s v="Lisensi"/>
    <s v="ITPreneur"/>
    <n v="14500"/>
    <m/>
    <m/>
    <s v="Dodi Kusumo Adi"/>
    <s v="Henry"/>
    <s v="Joko"/>
  </r>
  <r>
    <n v="100"/>
    <s v="010/BSW-DIGINUSA/MOU/V/2020"/>
    <s v="Yayasan Mardi Yuana"/>
    <s v="RD. Ignatius Irwan S., M.Hum"/>
    <x v="85"/>
    <s v="C"/>
    <s v="Ibu. Juliana Siswodwirahaju"/>
    <m/>
    <n v="3"/>
    <n v="2020"/>
    <n v="2023"/>
    <x v="1"/>
    <m/>
    <s v="Informatika Kurmer"/>
    <n v="7500"/>
    <m/>
    <m/>
    <s v="Wahyu Piki Julianto"/>
    <s v="Henry"/>
    <s v="Joko"/>
  </r>
  <r>
    <n v="101"/>
    <s v="041/BSW-DIGINUSA/MOU/VII/2023"/>
    <s v="Yayasan Mardi Yuana"/>
    <s v="RD. Stefanus Sri Haryono Putro, S.S."/>
    <x v="86"/>
    <s v="C"/>
    <s v="Bp. Martinus Doro Wulon"/>
    <m/>
    <n v="3"/>
    <n v="2023"/>
    <n v="2026"/>
    <x v="0"/>
    <s v="Kontrak Pengajaran"/>
    <s v="ITPreneur"/>
    <n v="22500"/>
    <m/>
    <m/>
    <s v="Wahyu Piki Julianto"/>
    <s v="Henry"/>
    <s v="Joko"/>
  </r>
  <r>
    <n v="102"/>
    <s v="041/BSW-DIGINUSA/MOU/VII/2023"/>
    <s v="Yayasan Mardi Yuana"/>
    <s v="RD. Stefanus Sri Haryono Putro, S.S."/>
    <x v="87"/>
    <s v="C"/>
    <s v="Ibu. Restituta Indwardanti"/>
    <m/>
    <n v="3"/>
    <n v="2023"/>
    <n v="2026"/>
    <x v="0"/>
    <s v="Kontrak Pengajaran"/>
    <s v="ITPreneur"/>
    <n v="22500"/>
    <m/>
    <m/>
    <s v="Wahyu Piki Julianto"/>
    <s v="Henry"/>
    <s v="Joko"/>
  </r>
  <r>
    <n v="103"/>
    <s v="041/BSW-DIGINUSA/MOU/VII/2023"/>
    <s v="Yayasan Mardi Yuana"/>
    <s v="RD. Stefanus Sri Haryono Putro, S.S."/>
    <x v="88"/>
    <s v="C"/>
    <s v="Ibu. Fl. Wuryanti"/>
    <m/>
    <n v="3"/>
    <n v="2023"/>
    <n v="2026"/>
    <x v="0"/>
    <s v="Kontrak Pengajaran"/>
    <s v="SmartTK"/>
    <n v="11000"/>
    <m/>
    <m/>
    <s v="Asep Suryana"/>
    <s v="Henry"/>
    <s v="Joko"/>
  </r>
  <r>
    <n v="104"/>
    <s v="010/BSW-DIGINUSA/MOU/V/2020"/>
    <s v="Yayasan Mardi Yuana"/>
    <s v="RD. Ignatius Irwan S., M.Hum"/>
    <x v="89"/>
    <s v="C"/>
    <s v="Bp. Yohanes Rajum"/>
    <m/>
    <n v="3"/>
    <n v="2020"/>
    <n v="2023"/>
    <x v="1"/>
    <s v="Kontrak Pengajaran"/>
    <s v="Informatika Kurmer"/>
    <n v="11000"/>
    <m/>
    <m/>
    <s v="Asep Suryana"/>
    <s v="Henry"/>
    <s v="Joko"/>
  </r>
  <r>
    <n v="105"/>
    <s v="041/BSW-DIGINUSA/MOU/VII/2023"/>
    <s v="Yayasan Mardi Yuana"/>
    <s v="RD. Stefanus Sri Haryono Putro, S.S."/>
    <x v="90"/>
    <s v="C"/>
    <s v="Ibu. Indun Priyati"/>
    <m/>
    <n v="3"/>
    <n v="2023"/>
    <n v="2026"/>
    <x v="0"/>
    <s v="Kontrak Pengajaran"/>
    <s v="SmartTK"/>
    <n v="11000"/>
    <m/>
    <m/>
    <s v="Asep Suryana"/>
    <s v="Henry"/>
    <s v="Joko"/>
  </r>
  <r>
    <n v="106"/>
    <s v="041/BSW-DIGINUSA/MOU/VII/2023"/>
    <s v="Yayasan Mardi Yuana"/>
    <s v="RD. Stefanus Sri Haryono Putro, S.S."/>
    <x v="91"/>
    <s v="C"/>
    <s v="Ibu. Eli Nurhartati"/>
    <m/>
    <n v="3"/>
    <n v="2023"/>
    <n v="2026"/>
    <x v="0"/>
    <s v="Kontrak Pengajaran"/>
    <s v="Informatika Kurmer"/>
    <n v="11000"/>
    <m/>
    <m/>
    <s v="Asep Suryana"/>
    <s v="Henry"/>
    <s v="Joko"/>
  </r>
  <r>
    <n v="107"/>
    <s v="041/BSW-DIGINUSA/MOU/VII/2023"/>
    <s v="Yayasan Mardi Yuana"/>
    <s v="RD. Stefanus Sri Haryono Putro, S.S."/>
    <x v="92"/>
    <s v="C"/>
    <s v="Bp. Satrio"/>
    <m/>
    <n v="3"/>
    <n v="2023"/>
    <n v="2026"/>
    <x v="0"/>
    <s v="Kontrak Pengajaran"/>
    <s v="Informatika Kurmer"/>
    <n v="12000"/>
    <m/>
    <m/>
    <s v="Asep Suryana"/>
    <s v="Henry"/>
    <s v="Joko"/>
  </r>
  <r>
    <n v="108"/>
    <s v="041/BSW-DIGINUSA/MOU/VII/2023"/>
    <s v="Yayasan Mardi Yuana"/>
    <s v="RD. Stefanus Sri Haryono Putro, S.S."/>
    <x v="93"/>
    <s v="C"/>
    <s v="Ibu. Cyrilla Eka Okta Setyawati"/>
    <m/>
    <n v="3"/>
    <n v="2023"/>
    <n v="2026"/>
    <x v="0"/>
    <s v="Kontrak Pengajaran"/>
    <s v="SmartTK"/>
    <n v="8500"/>
    <m/>
    <m/>
    <s v="Asep Suryana"/>
    <s v="Henry"/>
    <s v="Joko"/>
  </r>
  <r>
    <n v="109"/>
    <s v="010/BSW-DIGINUSA/MOU/V/2020"/>
    <s v="Yayasan Mardi Yuana"/>
    <s v="RD. Ignatius Irwan S., M.Hum"/>
    <x v="94"/>
    <s v="C"/>
    <s v="Sr. Maria Kristina Kolo"/>
    <m/>
    <n v="3"/>
    <n v="2020"/>
    <n v="2023"/>
    <x v="1"/>
    <s v="Lisensi"/>
    <s v="Informatika Kurmer"/>
    <n v="8500"/>
    <m/>
    <m/>
    <s v="Asep Suryana"/>
    <s v="Henry"/>
    <s v="Joko"/>
  </r>
  <r>
    <n v="110"/>
    <s v="041/BSW-DIGINUSA/MOU/VII/2023"/>
    <s v="Yayasan Mardi Yuana"/>
    <s v="RD. Stefanus Sri Haryono Putro, S.S."/>
    <x v="95"/>
    <s v="C"/>
    <s v="Ibu. Dewi"/>
    <m/>
    <n v="3"/>
    <n v="2023"/>
    <n v="2026"/>
    <x v="0"/>
    <s v="Lisensi"/>
    <s v="SmartTK"/>
    <n v="8500"/>
    <m/>
    <m/>
    <s v="Dwi Susanto"/>
    <s v="Henry"/>
    <s v="Joko"/>
  </r>
  <r>
    <n v="111"/>
    <s v="041/BSW-DIGINUSA/MOU/VII/2023"/>
    <s v="Yayasan Mardi Yuana"/>
    <s v="RD. Stefanus Sri Haryono Putro, S.S."/>
    <x v="96"/>
    <s v="C"/>
    <s v="Bp. Tri Mugi"/>
    <m/>
    <n v="3"/>
    <n v="2023"/>
    <n v="2026"/>
    <x v="0"/>
    <s v="Lisensi"/>
    <s v="Informatika Kurmer"/>
    <n v="8500"/>
    <m/>
    <m/>
    <s v="Dwi Susanto"/>
    <s v="Henry"/>
    <s v="Joko"/>
  </r>
  <r>
    <n v="112"/>
    <s v="011/BSW-DIGINUSA/MOU/V/2020"/>
    <s v="Yayasan Mardi Yuana"/>
    <s v="RD. Ignatius Irwan S., M.Hum"/>
    <x v="97"/>
    <s v="C"/>
    <s v="Bp. Leo Agung Sugimin, M.Pd."/>
    <m/>
    <n v="3"/>
    <n v="2020"/>
    <n v="2023"/>
    <x v="1"/>
    <s v="Lisensi"/>
    <s v="ITPreneur"/>
    <n v="14500"/>
    <m/>
    <m/>
    <s v="Dwi Susanto"/>
    <s v="Henry"/>
    <s v="Joko"/>
  </r>
  <r>
    <n v="113"/>
    <s v="011/BSW-DIGINUSA/MOU/V/2020"/>
    <s v="Yayasan Mardi Yuana"/>
    <s v="RD. Ignatius Irwan S., M.Hum"/>
    <x v="98"/>
    <s v="C"/>
    <s v="Bp. Fransiskus Widarto, S. Pd."/>
    <m/>
    <n v="3"/>
    <n v="2020"/>
    <n v="2023"/>
    <x v="1"/>
    <s v="Lisensi"/>
    <s v="ITPreneur"/>
    <n v="14500"/>
    <m/>
    <m/>
    <s v="Dwi Susanto"/>
    <s v="Henry"/>
    <s v="Joko"/>
  </r>
  <r>
    <n v="114"/>
    <s v="041/BSW-DIGINUSA/MOU/VII/2023"/>
    <s v="Yayasan Mardi Yuana"/>
    <s v="RD. Stefanus Sri Haryono Putro, S.S."/>
    <x v="99"/>
    <s v="C"/>
    <s v="Bp. Fr. Sumarno"/>
    <m/>
    <n v="3"/>
    <n v="2023"/>
    <n v="2026"/>
    <x v="0"/>
    <s v="Lisensi"/>
    <s v="Informatika Kurmer"/>
    <n v="8500"/>
    <m/>
    <m/>
    <s v="Dodi Kusumo Adi"/>
    <s v="Henry"/>
    <s v="Joko"/>
  </r>
  <r>
    <n v="115"/>
    <s v="041/BSW-DIGINUSA/MOU/VII/2023"/>
    <s v="Yayasan Mardi Yuana"/>
    <s v="RD. Stefanus Sri Haryono Putro, S.S."/>
    <x v="100"/>
    <s v="C"/>
    <s v="Toto Nurbertus"/>
    <m/>
    <n v="3"/>
    <n v="2023"/>
    <n v="2026"/>
    <x v="0"/>
    <s v="Lisensi"/>
    <s v="Informatika Kurmer"/>
    <n v="8500"/>
    <m/>
    <m/>
    <s v="Dodi Kusumo Adi"/>
    <s v="Henry"/>
    <s v="Joko"/>
  </r>
  <r>
    <n v="116"/>
    <s v="005/BSW-DIGINUSA/MOU/III/2022"/>
    <s v="Yayasan Kesejahteraan Karyawan Pajak"/>
    <s v="Ny. Santi Gina Hariati Rizal Atmaedy"/>
    <x v="101"/>
    <s v="C"/>
    <s v="Pak Purwanto Bambang"/>
    <m/>
    <n v="3"/>
    <n v="2022"/>
    <n v="2025"/>
    <x v="0"/>
    <s v="Sewa Pinjam"/>
    <s v="SmartExplorer"/>
    <n v="45000"/>
    <m/>
    <n v="25000"/>
    <s v="Calon"/>
    <s v="Pami"/>
    <s v="Ayu"/>
  </r>
  <r>
    <n v="117"/>
    <s v="031/BSW-DIGINUSA/MOU/VI/2022"/>
    <s v="Yayasan Providentia"/>
    <m/>
    <x v="102"/>
    <s v="C"/>
    <s v="Ibu Yani"/>
    <m/>
    <n v="3"/>
    <n v="2022"/>
    <n v="2025"/>
    <x v="0"/>
    <s v="Sewa Pinjam"/>
    <s v="SmartTK"/>
    <s v="14.000.000 dan  khusus untuk pembayaran Juni dan Juli 7.000.000_x000a_"/>
    <m/>
    <m/>
    <s v="Dodi Kusumo Adi"/>
    <s v="Desi"/>
    <s v="Ayu"/>
  </r>
  <r>
    <n v="118"/>
    <s v="031/BSW-DIGINUSA/MOU/VI/2022"/>
    <s v="Yayasan Providentia"/>
    <m/>
    <x v="103"/>
    <s v="C"/>
    <s v="Ibu Yani"/>
    <m/>
    <n v="3"/>
    <n v="2022"/>
    <n v="2025"/>
    <x v="0"/>
    <s v="Sewa Pinjam"/>
    <s v="SmartExplorer"/>
    <s v="14.000.000 dan  khusus untuk pembayaran Juni dan Juli 7.000.000_x000a_"/>
    <m/>
    <m/>
    <s v="Dodi Kusumo Adi"/>
    <s v="Desi"/>
    <s v="Ayu"/>
  </r>
  <r>
    <n v="119"/>
    <s v="009/BSW-DIGINUSA/MOU/III/2022"/>
    <s v="Yayasan Mahatma Gading"/>
    <s v="Wawan Santoso SH, LL.M"/>
    <x v="104"/>
    <s v="C"/>
    <m/>
    <m/>
    <n v="3"/>
    <n v="2022"/>
    <n v="2025"/>
    <x v="0"/>
    <s v="Kontrak Pengajaran"/>
    <s v="SmartTK"/>
    <n v="6250000"/>
    <m/>
    <m/>
    <s v="Zainal Mutaqin"/>
    <s v="Prapto"/>
    <s v="Fani"/>
  </r>
  <r>
    <n v="120"/>
    <s v="009/BSW-DIGINUSA/MOU/III/2022"/>
    <s v="Yayasan Mahatma Gading"/>
    <s v="Wawan Santoso SH, LL.M"/>
    <x v="105"/>
    <s v="C"/>
    <s v="Mis Anjeni"/>
    <m/>
    <n v="3"/>
    <n v="2022"/>
    <n v="2025"/>
    <x v="0"/>
    <s v="Kontrak Pengajaran"/>
    <s v="SEIS"/>
    <n v="6250000"/>
    <m/>
    <m/>
    <s v="Zainal Mutaqin"/>
    <s v="Prapto"/>
    <s v="Fani"/>
  </r>
  <r>
    <n v="121"/>
    <s v="009/BSW-DIGINUSA/MOU/III/2022"/>
    <s v="Yayasan Mahatma Gading"/>
    <s v="Wawan Santoso SH, LL.M"/>
    <x v="106"/>
    <s v="C"/>
    <s v="Mis Okky Olivia"/>
    <m/>
    <n v="3"/>
    <n v="2022"/>
    <n v="2025"/>
    <x v="0"/>
    <s v="Kontrak Pengajaran"/>
    <s v="SmartTK"/>
    <n v="6250000"/>
    <m/>
    <m/>
    <s v="Zainal Mutaqin"/>
    <s v="Prapto"/>
    <s v="Fani"/>
  </r>
  <r>
    <n v="122"/>
    <s v="009/BSW-DIGINUSA/MOU/III/2022"/>
    <s v="Yayasan Mahatma Gading"/>
    <s v="Wawan Santoso SH, LL.M"/>
    <x v="107"/>
    <s v="C"/>
    <s v="Mis Erni"/>
    <m/>
    <n v="3"/>
    <n v="2022"/>
    <n v="2025"/>
    <x v="0"/>
    <s v="Kontrak Pengajaran"/>
    <s v="SmartExplorer"/>
    <n v="6250000"/>
    <m/>
    <m/>
    <s v="Zainal Mutaqin"/>
    <s v="Prapto"/>
    <s v="Fani"/>
  </r>
  <r>
    <n v="123"/>
    <s v="009/BSW-DIGINUSA/MOU/III/2022"/>
    <s v="Yayasan Mahatma Gading"/>
    <s v="Wawan Santoso SH, LL.M"/>
    <x v="108"/>
    <s v="C"/>
    <s v="Pak Suwito"/>
    <m/>
    <n v="3"/>
    <n v="2022"/>
    <n v="2025"/>
    <x v="0"/>
    <s v="Kontrak Pengajaran"/>
    <s v="ITPreneur"/>
    <n v="6250000"/>
    <m/>
    <m/>
    <s v="Zainal Mutaqin"/>
    <s v="Prapto"/>
    <s v="Fani"/>
  </r>
  <r>
    <n v="124"/>
    <s v="009/BSW-DIGINUSA/MOU/III/2022"/>
    <s v="Yayasan Mahatma Gading"/>
    <s v="Wawan Santoso SH, LL.M"/>
    <x v="109"/>
    <s v="C"/>
    <s v="Pak Denis"/>
    <m/>
    <n v="3"/>
    <n v="2022"/>
    <n v="2025"/>
    <x v="0"/>
    <s v="Kontrak Pengajaran"/>
    <s v="ITPreneur"/>
    <n v="6250000"/>
    <m/>
    <m/>
    <s v="Zainal Mutaqin"/>
    <s v="Prapto"/>
    <s v="Fani"/>
  </r>
  <r>
    <n v="125"/>
    <s v="014/BSW-DIGINUSA/MOU/V/2023"/>
    <s v="Yayasan Asti Dharma Cab. Cibubur"/>
    <m/>
    <x v="110"/>
    <s v="C"/>
    <s v="Sr Agusta HK"/>
    <m/>
    <n v="1"/>
    <n v="2023"/>
    <n v="2024"/>
    <x v="1"/>
    <s v="Kontrak Pengajaran"/>
    <s v="SmartTK"/>
    <n v="30000"/>
    <m/>
    <m/>
    <s v="Wahyu Piki Julianto"/>
    <s v="Prapto"/>
    <s v="Fani"/>
  </r>
  <r>
    <n v="126"/>
    <s v="027/BSW-DIGINUSA/MOU/VII/2021"/>
    <s v="Yayasan Asti Dharma Cab. Cibubur"/>
    <m/>
    <x v="111"/>
    <s v="C"/>
    <s v="Sr Valen HK"/>
    <m/>
    <n v="3"/>
    <n v="2021"/>
    <n v="2024"/>
    <x v="1"/>
    <s v="Kontrak Pengajaran"/>
    <s v="Informatika Kurmer"/>
    <s v="Rp15.000 x 20 anak karyawan SD_x000a_&amp; Rp30.000 x jumlah siswa"/>
    <m/>
    <m/>
    <s v="Wahyu Piki Julianto"/>
    <s v="Prapto"/>
    <s v="Fani"/>
  </r>
  <r>
    <n v="127"/>
    <s v="026/BSW-DIGINUSA/MOU/VI/2023"/>
    <s v="Yayasan Asti Dharma Cab. Grogol "/>
    <m/>
    <x v="112"/>
    <s v="C"/>
    <s v="Sr M Godeliva HK"/>
    <m/>
    <n v="1"/>
    <n v="2023"/>
    <n v="2024"/>
    <x v="1"/>
    <s v="Kontrak Pengajaran"/>
    <s v="SmartTK"/>
    <m/>
    <n v="2000000"/>
    <m/>
    <s v="Abdul Rohman"/>
    <s v="Prapto"/>
    <s v="Fani"/>
  </r>
  <r>
    <n v="128"/>
    <s v="027/BSW-DIGINUSA/MOU/VI/2023"/>
    <s v="Yayasan Asti Dharma Cab. Grogol "/>
    <m/>
    <x v="113"/>
    <s v="C"/>
    <s v="Yohana Triyani, S. Pd. SD."/>
    <m/>
    <n v="1"/>
    <n v="2023"/>
    <n v="2024"/>
    <x v="1"/>
    <s v="Kontrak Pengajaran"/>
    <s v="SmartProgram &amp; SmartExplorer"/>
    <n v="27500"/>
    <m/>
    <s v="LKS Smart Program Rp20.000_x000a_LKS Smart Explorer Rp25.000"/>
    <s v="Abdul Rohman"/>
    <s v="Prapto"/>
    <s v="Fani"/>
  </r>
  <r>
    <n v="129"/>
    <s v="021/BSW-DIGINUSA/MOU/V/2023"/>
    <s v="Yayasan Asti Dharma Cab. Grogol "/>
    <m/>
    <x v="114"/>
    <s v="C"/>
    <s v="Mustika Dewi Maria, S.Pd. "/>
    <m/>
    <n v="1"/>
    <n v="2023"/>
    <n v="2024"/>
    <x v="1"/>
    <s v="Kontrak Pengajaran"/>
    <s v="Informatika &amp; ITPreneur"/>
    <n v="26000"/>
    <m/>
    <s v="LKS Informatika Rp30.000_x000a_LKS ITPreneur Rp30.000"/>
    <s v="Abdul Rohman"/>
    <s v="Prapto"/>
    <s v="Fani"/>
  </r>
  <r>
    <n v="130"/>
    <s v="037/BSW/BSW-DIGINUSA/MOU/VII/2023"/>
    <s v="Yayasan Pendidikan Penabur Bogor "/>
    <s v="Aryawan"/>
    <x v="115"/>
    <s v="C"/>
    <s v="Ibu. Valentine Kirana Herhayuningtyas, S.Si"/>
    <m/>
    <n v="3"/>
    <n v="2023"/>
    <n v="2026"/>
    <x v="0"/>
    <s v="Kontrak Pengajaran"/>
    <s v="SmartTK"/>
    <n v="29500"/>
    <m/>
    <m/>
    <s v="Wahyu Piki Julianto"/>
    <s v="Henry"/>
    <s v="Burhan"/>
  </r>
  <r>
    <n v="131"/>
    <s v="037/BSW/BSW-DIGINUSA/MOU/VII/2023"/>
    <s v="Yayasan Pendidikan Penabur Bogor "/>
    <s v="Aryawan"/>
    <x v="116"/>
    <s v="C"/>
    <s v="Ibu. Wiwit Ayu Fajar Riyanti"/>
    <m/>
    <n v="3"/>
    <n v="2023"/>
    <n v="2026"/>
    <x v="0"/>
    <s v="Kontrak Pengajaran"/>
    <s v="SmartExplorer"/>
    <n v="29500"/>
    <m/>
    <s v="LKS Informatika Kurmer Rp30.000"/>
    <s v="Wahyu Piki Julianto"/>
    <s v="Henry"/>
    <s v="Burhan"/>
  </r>
  <r>
    <n v="132"/>
    <s v="037/BSW/BSW-DIGINUSA/MOU/VII/2023"/>
    <s v="Yayasan Pendidikan Penabur Bogor"/>
    <s v="Aryawan"/>
    <x v="117"/>
    <s v="C"/>
    <s v="Bp. Andi Supriyana"/>
    <m/>
    <n v="3"/>
    <n v="2023"/>
    <n v="2026"/>
    <x v="0"/>
    <s v="Kontrak Pengajaran"/>
    <s v="ITPreneur"/>
    <n v="33500"/>
    <m/>
    <s v="LKS Informatika Kurmer Rp30.000"/>
    <s v="Wahyu Piki Julianto"/>
    <s v="Henry"/>
    <s v="Burhan"/>
  </r>
  <r>
    <n v="133"/>
    <s v="033/BSW-DIGINUSA/MOU/VII/2021"/>
    <s v="Yayasan Pendidikan Penabur Cianjur"/>
    <s v="Edwin Sembiring, S.P."/>
    <x v="118"/>
    <s v="C"/>
    <s v="Ibu. Candra Maya"/>
    <m/>
    <n v="3"/>
    <n v="2021"/>
    <n v="2024"/>
    <x v="1"/>
    <s v="Lisensi"/>
    <s v="SmartTK"/>
    <n v="7000"/>
    <m/>
    <m/>
    <s v="Asep Suryana"/>
    <s v="Henry"/>
    <s v="Burhan"/>
  </r>
  <r>
    <n v="134"/>
    <s v="033/BSW-DIGINUSA/MOU/VII/2021"/>
    <s v="Yayasan Pendidikan Penabur  Cianjur"/>
    <s v="Edwin Sembiring, S.P."/>
    <x v="119"/>
    <s v="C"/>
    <s v="Ibu. Melly Widyawati"/>
    <m/>
    <n v="3"/>
    <n v="2021"/>
    <n v="2024"/>
    <x v="1"/>
    <s v="Lisensi"/>
    <s v="SmartExplorer"/>
    <n v="7000"/>
    <m/>
    <m/>
    <s v="Asep Suryana"/>
    <s v="Henry"/>
    <s v="Burhan"/>
  </r>
  <r>
    <n v="135"/>
    <s v="033/BSW-DIGINUSA/MOU/VII/2021"/>
    <s v="Yayasan Pendidikan Penabur Cianjur"/>
    <s v="Edwin Sembiring, S.P."/>
    <x v="120"/>
    <s v="C"/>
    <s v="Ibu. Yuni Hafsari"/>
    <m/>
    <n v="3"/>
    <n v="2021"/>
    <n v="2024"/>
    <x v="1"/>
    <s v="Lisensi"/>
    <s v="ITPreneur"/>
    <n v="24000"/>
    <m/>
    <m/>
    <s v="Asep Suryana"/>
    <s v="Henry"/>
    <s v="Burhan"/>
  </r>
  <r>
    <n v="136"/>
    <s v="033/BSW-DIGINUSA/MOU/VII/2021"/>
    <s v="Yayasan Pendidikan Penabur Cianjur"/>
    <s v="Edwin Sembiring, S.P."/>
    <x v="121"/>
    <s v="C"/>
    <s v="Ibu. Andar Widayanti"/>
    <m/>
    <n v="3"/>
    <n v="2021"/>
    <n v="2024"/>
    <x v="1"/>
    <s v="Lisensi"/>
    <s v="ITPreneur"/>
    <n v="24000"/>
    <m/>
    <m/>
    <s v="Asep Suryana"/>
    <s v="Henry"/>
    <s v="Burhan"/>
  </r>
  <r>
    <n v="137"/>
    <s v="024/BSW-DIGINUSA/MOU/VII/2021"/>
    <s v="Yayasan St. Fransiskus"/>
    <s v="Romo Matheus Batubara, OFM"/>
    <x v="122"/>
    <s v="D"/>
    <s v="Sr M. Mariana"/>
    <m/>
    <n v="3"/>
    <n v="2021"/>
    <n v="2024"/>
    <x v="1"/>
    <s v="Sewa Pinjam"/>
    <s v="SmartTK"/>
    <n v="2800000"/>
    <m/>
    <m/>
    <s v="Dwi Susanto"/>
    <s v="Desi"/>
    <s v="Sapar"/>
  </r>
  <r>
    <n v="138"/>
    <s v="024/BSW-DIGINUSA/MOU/VII/2021"/>
    <s v="Yayasan St. Fransiskus"/>
    <s v="Romo Matheus Batubara, OFM"/>
    <x v="123"/>
    <s v="D"/>
    <s v="Pak Thomas"/>
    <m/>
    <n v="3"/>
    <n v="2021"/>
    <n v="2024"/>
    <x v="1"/>
    <s v="Sewa Pinjam"/>
    <s v="SmartExplorer"/>
    <n v="2800000"/>
    <m/>
    <m/>
    <s v="Dwi Susanto"/>
    <s v="Desi"/>
    <s v="Sapar"/>
  </r>
  <r>
    <n v="139"/>
    <s v="024/BSW-DIGINUSA/MOU/VII/2021"/>
    <s v="Yayasan St. Fransiskus"/>
    <s v="Romo Matheus Batubara, OFM"/>
    <x v="124"/>
    <s v="D"/>
    <s v="Bruder Triyono"/>
    <m/>
    <n v="3"/>
    <n v="2021"/>
    <n v="2024"/>
    <x v="1"/>
    <s v="Sewa Pinjam"/>
    <s v="Informatika Kurmer"/>
    <n v="2800000"/>
    <m/>
    <m/>
    <s v="Dwi Susanto"/>
    <s v="Desi"/>
    <s v="Sapar"/>
  </r>
  <r>
    <n v="140"/>
    <s v="024/BSW-DIGINUSA/MOU/VII/2021"/>
    <s v="Yayasan St. Fransiskus"/>
    <s v="Romo Matheus Batubara, OFM"/>
    <x v="125"/>
    <m/>
    <s v="Romo John"/>
    <m/>
    <m/>
    <n v="2021"/>
    <n v="2024"/>
    <x v="1"/>
    <s v="Sewa Pinjam"/>
    <m/>
    <n v="2800000"/>
    <m/>
    <m/>
    <s v="Dwi Susanto"/>
    <s v="Desi"/>
    <s v="Sapar"/>
  </r>
  <r>
    <n v="141"/>
    <s v="024/BSW-DIGINUSA/MOU/VII/2021"/>
    <s v="Yayasan St. Fransiskus"/>
    <s v="Romo Matheus Batubara, OFM"/>
    <x v="126"/>
    <s v="D"/>
    <s v="Pak Gunawan"/>
    <m/>
    <n v="3"/>
    <n v="2021"/>
    <n v="2024"/>
    <x v="1"/>
    <s v="Sewa Pinjam"/>
    <s v="ITPreneur"/>
    <n v="2800000"/>
    <m/>
    <m/>
    <s v="Dwi Susanto"/>
    <s v="Desi"/>
    <s v="Sapar"/>
  </r>
  <r>
    <n v="142"/>
    <s v="024/BSW-DIGINUSA/MOU/VII/2021"/>
    <s v="Yayasan St. Fransiskus"/>
    <s v="Romo Matheus Batubara, OFM"/>
    <x v="127"/>
    <s v="D"/>
    <s v="Bu Mian"/>
    <m/>
    <n v="3"/>
    <n v="2021"/>
    <n v="2024"/>
    <x v="1"/>
    <s v="Sewa Pinjam"/>
    <s v="Informatika Kurmer"/>
    <n v="3000000"/>
    <m/>
    <m/>
    <s v="Dwi Susanto"/>
    <s v="Desi"/>
    <s v="Sapar"/>
  </r>
  <r>
    <n v="143"/>
    <s v="024/BSW-DIGINUSA/MOU/VII/2021"/>
    <s v="Yayasan St. Fransiskus"/>
    <s v="Romo Matheus Batubara, OFM"/>
    <x v="128"/>
    <s v="D"/>
    <s v="Bruder Rachmat"/>
    <m/>
    <n v="3"/>
    <n v="2021"/>
    <n v="2024"/>
    <x v="1"/>
    <s v="Sewa Pinjam"/>
    <s v="ITPreneur"/>
    <n v="3000000"/>
    <m/>
    <m/>
    <s v="Dwi Susanto"/>
    <s v="Desi"/>
    <s v="Sapar"/>
  </r>
  <r>
    <n v="144"/>
    <s v="088/BSW-DIGINUSA/MOU/VIII/2023"/>
    <s v="Yayasan Dwi Bhakti"/>
    <m/>
    <x v="129"/>
    <s v="D"/>
    <s v="Yuliana Retno Dwi W"/>
    <m/>
    <n v="2"/>
    <n v="2023"/>
    <n v="2025"/>
    <x v="0"/>
    <s v="Lisensi"/>
    <s v="Informatika Kurmer"/>
    <m/>
    <n v="4500000"/>
    <m/>
    <s v="Dwi Susanto"/>
    <s v="Desi"/>
    <s v="Sapar"/>
  </r>
  <r>
    <n v="145"/>
    <s v="072/BSW-DIGINUSA/MOU/VI/2023"/>
    <s v="Yayasan Charitas Jakarta"/>
    <s v="Sr. Immaculata, Fch"/>
    <x v="130"/>
    <s v="D"/>
    <s v="Sr Amanda"/>
    <m/>
    <n v="3"/>
    <n v="2023"/>
    <n v="2026"/>
    <x v="0"/>
    <s v="Lisensi"/>
    <s v="SmartExplorer"/>
    <n v="20000"/>
    <m/>
    <m/>
    <s v="Calon"/>
    <s v="Danu"/>
    <s v="Doni"/>
  </r>
  <r>
    <n v="146"/>
    <s v="072/BSW-DIGINUSA/MOU/VI/2023"/>
    <s v="Yayasan Charitas Jakarta"/>
    <s v="Sr. Immaculata, Fch"/>
    <x v="131"/>
    <s v="D"/>
    <s v="Sr Simonia"/>
    <m/>
    <n v="3"/>
    <n v="2023"/>
    <n v="2026"/>
    <x v="0"/>
    <s v="Lisensi"/>
    <s v="Informatika Kurmer"/>
    <n v="20000"/>
    <m/>
    <m/>
    <s v="Calon"/>
    <s v="Danu"/>
    <s v="Doni"/>
  </r>
  <r>
    <n v="147"/>
    <s v="072/BSW-DIGINUSA/MOU/VI/2023"/>
    <s v="Yayasan Charitas Jakarta"/>
    <s v="Sr. Immaculata, Fch"/>
    <x v="132"/>
    <s v="D"/>
    <s v="Sr. M. Beatrix. Fch"/>
    <m/>
    <n v="3"/>
    <n v="2023"/>
    <n v="2026"/>
    <x v="0"/>
    <s v="Lisensi"/>
    <s v="Informatika Kurmer"/>
    <n v="20000"/>
    <m/>
    <m/>
    <s v="Calon"/>
    <s v="Danu"/>
    <s v="Doni"/>
  </r>
  <r>
    <n v="148"/>
    <s v="056/BSW-DIGINUSA/MOU/VII/2022"/>
    <s v="Yayasan Galatia"/>
    <s v="Dra. Henny Sulaiman"/>
    <x v="133"/>
    <s v="D"/>
    <s v="Bu Ani"/>
    <m/>
    <n v="3"/>
    <n v="2022"/>
    <n v="2025"/>
    <x v="0"/>
    <s v="Sewa Pinjam"/>
    <s v="SmartTK"/>
    <n v="30000"/>
    <m/>
    <n v="30000"/>
    <s v="Mulyadi"/>
    <s v="Pami"/>
    <s v="Nadia"/>
  </r>
  <r>
    <n v="149"/>
    <s v="056/BSW-DIGINUSA/MOU/VII/2022"/>
    <s v="Yayasan Galatia"/>
    <s v="Dra. Henny Sulaiman"/>
    <x v="134"/>
    <s v="D"/>
    <s v="Bu Vera"/>
    <m/>
    <n v="3"/>
    <n v="2022"/>
    <n v="2025"/>
    <x v="0"/>
    <s v="Sewa Pinjam"/>
    <s v="SmartExplorer"/>
    <n v="30000"/>
    <m/>
    <n v="30000"/>
    <s v="Mulyadi"/>
    <s v="Pami"/>
    <s v="Nadia"/>
  </r>
  <r>
    <n v="150"/>
    <s v="056/BSW-DIGINUSA/MOU/VII/2022"/>
    <s v="Yayasan Galatia"/>
    <s v="Dra. Henny Sulaiman"/>
    <x v="135"/>
    <s v="D"/>
    <s v="Pak Wasis"/>
    <m/>
    <n v="3"/>
    <n v="2022"/>
    <n v="2025"/>
    <x v="0"/>
    <s v="Sewa Pinjam"/>
    <s v="ITPreneur"/>
    <n v="30000"/>
    <m/>
    <n v="30000"/>
    <s v="Mulyadi"/>
    <s v="Pami"/>
    <s v="Nadia"/>
  </r>
  <r>
    <n v="151"/>
    <s v="056/BSW-DIGINUSA/MOU/VII/2022"/>
    <s v="Yayasan Galatia"/>
    <s v="Dra. Henny Sulaiman"/>
    <x v="136"/>
    <s v="D"/>
    <s v="Bu Jannet"/>
    <m/>
    <n v="3"/>
    <n v="2022"/>
    <n v="2025"/>
    <x v="0"/>
    <s v="Sewa Pinjam"/>
    <s v="ITPreneur"/>
    <n v="30000"/>
    <m/>
    <n v="30000"/>
    <s v="Mulyadi"/>
    <s v="Pami"/>
    <s v="Nadia"/>
  </r>
  <r>
    <n v="152"/>
    <s v="056/BSW-DIGINUSA/MOU/VII/2022"/>
    <s v="Yayasan Galatia"/>
    <s v="Dra. Henny Sulaiman"/>
    <x v="137"/>
    <s v="D"/>
    <s v="Puji Rahayu"/>
    <m/>
    <n v="3"/>
    <n v="2022"/>
    <n v="2025"/>
    <x v="0"/>
    <s v="Sewa Pinjam"/>
    <s v="SmartTK"/>
    <n v="30000"/>
    <m/>
    <n v="30000"/>
    <s v="Mulyadi"/>
    <s v="Pami"/>
    <s v="Nadia"/>
  </r>
  <r>
    <n v="153"/>
    <s v="056/BSW-DIGINUSA/MOU/VII/2022"/>
    <s v="Yayasan Galatia"/>
    <s v="Dra. Henny Sulaiman"/>
    <x v="138"/>
    <s v="D"/>
    <s v="Emerita Hestu Maranani"/>
    <m/>
    <n v="3"/>
    <n v="2022"/>
    <n v="2025"/>
    <x v="0"/>
    <s v="Sewa Pinjam"/>
    <s v="SmartExplorer"/>
    <n v="30000"/>
    <m/>
    <n v="30000"/>
    <s v="Mulyadi"/>
    <s v="Pami"/>
    <s v="Nadia"/>
  </r>
  <r>
    <n v="154"/>
    <s v="056/BSW-DIGINUSA/MOU/VII/2022"/>
    <s v="Yayasan Galatia"/>
    <s v="Dra. Henny Sulaiman"/>
    <x v="139"/>
    <s v="D"/>
    <s v="Sondang Hartati. S"/>
    <m/>
    <n v="3"/>
    <n v="2022"/>
    <n v="2025"/>
    <x v="0"/>
    <s v="Sewa Pinjam"/>
    <s v="ITPreneur"/>
    <n v="30000"/>
    <m/>
    <n v="30000"/>
    <s v="Mulyadi"/>
    <s v="Pami"/>
    <s v="Nadia"/>
  </r>
  <r>
    <n v="155"/>
    <s v="056/BSW-DIGINUSA/MOU/VII/2022"/>
    <s v="Yayasan Galatia"/>
    <s v="Dra. Henny Sulaiman"/>
    <x v="140"/>
    <s v="D"/>
    <s v="Drs. A. Hary Subagio"/>
    <m/>
    <n v="3"/>
    <n v="2022"/>
    <n v="2025"/>
    <x v="0"/>
    <s v="Sewa Pinjam"/>
    <s v="ITPreneur"/>
    <n v="30000"/>
    <m/>
    <n v="30000"/>
    <s v="Mulyadi"/>
    <s v="Pami"/>
    <s v="Nadia"/>
  </r>
  <r>
    <n v="156"/>
    <s v="056/BSW-DIGINUSA/MOU/VII/2022"/>
    <s v="Yayasan Galatia"/>
    <s v="Dra. Henny Sulaiman"/>
    <x v="141"/>
    <s v="D"/>
    <s v="Bu Sri Rejekiningsih"/>
    <m/>
    <n v="3"/>
    <n v="2022"/>
    <n v="2025"/>
    <x v="0"/>
    <s v="Sewa Pinjam"/>
    <s v="SmartExplorer"/>
    <n v="30000"/>
    <m/>
    <n v="30000"/>
    <s v="Mulyadi"/>
    <s v="Pami"/>
    <s v="Nadia"/>
  </r>
  <r>
    <n v="157"/>
    <s v="061/BSW-DIGINUSA/MOU/VII/2022"/>
    <s v="Yayasan Pendidikan Gereja Methodist Medan"/>
    <s v="Sahara, S.S., M.Pd"/>
    <x v="142"/>
    <s v="D"/>
    <s v="Rolita Foryani Sinaga "/>
    <m/>
    <n v="3"/>
    <n v="2022"/>
    <n v="2025"/>
    <x v="0"/>
    <s v="Lisensi"/>
    <s v="SmartTK"/>
    <s v="  TA 2022-2023: Rp20.000.000                         _x000a_TA 2023-2024: Rp10.000.000  _x000a_TA 2024-2025: Rp10.000.000"/>
    <m/>
    <n v="40000"/>
    <s v="Jendri Nadeak"/>
    <s v="Danu"/>
    <s v="Angga"/>
  </r>
  <r>
    <n v="158"/>
    <s v="061/BSW-DIGINUSA/MOU/VII/2022"/>
    <s v="Yayasan Pendidikan Gereja Methodist Medan"/>
    <s v="Sahara, S.S., M.Pd"/>
    <x v="143"/>
    <s v="D"/>
    <s v="Rossiani "/>
    <m/>
    <n v="3"/>
    <n v="2022"/>
    <n v="2025"/>
    <x v="0"/>
    <s v="Lisensi"/>
    <m/>
    <s v="  TA 2022-2023: Rp20.000.000                         _x000a_TA 2023-2024: Rp10.000.000  _x000a_TA 2024-2025: Rp10.000.000"/>
    <m/>
    <n v="40000"/>
    <s v="Jendri Nadeak"/>
    <s v="Danu"/>
    <s v="Angga"/>
  </r>
  <r>
    <n v="159"/>
    <s v="061/BSW-DIGINUSA/MOU/VII/2022"/>
    <s v="Yayasan Pendidikan Gereja Methodist Medan"/>
    <s v="Sahara, S.S., M.Pd"/>
    <x v="144"/>
    <s v="D"/>
    <s v="Lisa"/>
    <m/>
    <n v="3"/>
    <n v="2022"/>
    <n v="2025"/>
    <x v="0"/>
    <s v="Lisensi"/>
    <s v="ITPreneur"/>
    <s v="  TA 2022-2023: Rp20.000.000                         _x000a_TA 2023-2024: Rp10.000.000  _x000a_TA 2024-2025: Rp10.000.000"/>
    <m/>
    <n v="40000"/>
    <s v="Jendri Nadeak"/>
    <s v="Danu"/>
    <s v="Angga"/>
  </r>
  <r>
    <n v="160"/>
    <s v="061/BSW-DIGINUSA/MOU/VII/2022"/>
    <s v="Yayasan Pendidikan Gereja Methodist Medan"/>
    <s v="Sahara, S.S., M.Pd"/>
    <x v="145"/>
    <s v="D"/>
    <s v="Lisa"/>
    <m/>
    <n v="3"/>
    <n v="2022"/>
    <n v="2025"/>
    <x v="0"/>
    <s v="Lisensi"/>
    <s v="ITPreneur"/>
    <s v="  TA 2022-2023: Rp20.000.000                         _x000a_TA 2023-2024: Rp10.000.000  _x000a_TA 2024-2025: Rp10.000.000"/>
    <m/>
    <n v="40000"/>
    <s v="Jendri Nadeak"/>
    <s v="Danu"/>
    <s v="Angga"/>
  </r>
  <r>
    <n v="161"/>
    <s v="060/BSW-DIGINUSA/MOU/VIII/2019"/>
    <s v="Yayasan Pantekosta Jelambar"/>
    <s v="Julius P. Candra"/>
    <x v="146"/>
    <s v="D"/>
    <s v="Sahara,s.s., M.pd."/>
    <m/>
    <n v="2"/>
    <n v="2019"/>
    <n v="2021"/>
    <x v="0"/>
    <s v="Kontrak Pengajaran"/>
    <m/>
    <m/>
    <m/>
    <m/>
    <s v="Calon"/>
    <s v="Danu"/>
    <s v="Fani"/>
  </r>
  <r>
    <n v="162"/>
    <s v="060/BSW-DIGINUSA/MOU/VIII/2019"/>
    <s v="Yayasan Pantekosta Jelambar"/>
    <s v="Julius P. Candra"/>
    <x v="147"/>
    <s v="D"/>
    <s v="Louis Natalia Tanza"/>
    <m/>
    <n v="2"/>
    <n v="2019"/>
    <n v="2021"/>
    <x v="0"/>
    <s v="Kontrak Pengajaran"/>
    <s v="Informatika Kurmer"/>
    <m/>
    <m/>
    <m/>
    <s v="Calon"/>
    <s v="Danu"/>
    <s v="Fani"/>
  </r>
  <r>
    <n v="163"/>
    <s v="060/BSW-DIGINUSA/MOU/VIII/2019"/>
    <s v="Yayasan Pantekosta Jelambar"/>
    <s v="Julius P. Candra"/>
    <x v="148"/>
    <s v="D"/>
    <s v="Pak Hartono"/>
    <m/>
    <n v="2"/>
    <n v="2019"/>
    <n v="2021"/>
    <x v="0"/>
    <s v="Kontrak Pengajaran"/>
    <s v="Informatika Kurmer"/>
    <m/>
    <m/>
    <m/>
    <s v="Calon"/>
    <s v="Danu"/>
    <s v="Fani"/>
  </r>
  <r>
    <n v="164"/>
    <s v="060/BSW-DIGINUSA/MOU/VIII/2019"/>
    <s v="Yayasan Pantekosta Jelambar"/>
    <s v="Julius P. Candra"/>
    <x v="149"/>
    <s v="D"/>
    <s v="Pak Joko Mandono"/>
    <m/>
    <n v="2"/>
    <n v="2019"/>
    <n v="2021"/>
    <x v="0"/>
    <s v="Kontrak Pengajaran"/>
    <s v="Informatika Kurmer"/>
    <m/>
    <m/>
    <m/>
    <s v="Calon"/>
    <s v="Danu"/>
    <s v="Fani"/>
  </r>
  <r>
    <n v="165"/>
    <s v="086/BSW-DIGINUSA/MOU/IX/2023"/>
    <s v="Yayasan Kartika"/>
    <s v="Rahmalia"/>
    <x v="150"/>
    <s v="D"/>
    <s v="Lisawati Pinem"/>
    <m/>
    <n v="1"/>
    <n v="2023"/>
    <n v="2024"/>
    <x v="1"/>
    <s v="Lisensi"/>
    <s v="Informatika Kurmer"/>
    <n v="15000"/>
    <m/>
    <m/>
    <s v="Calon"/>
    <s v="Danu"/>
    <s v="Doni"/>
  </r>
  <r>
    <n v="166"/>
    <s v="033/BSW-DIGINUSA/MOU/VII/2020"/>
    <s v="Yayasan Syuradikara"/>
    <m/>
    <x v="151"/>
    <s v="D"/>
    <s v="Achmad Sjaefudin"/>
    <m/>
    <n v="3"/>
    <n v="2020"/>
    <n v="2023"/>
    <x v="1"/>
    <s v="Sewa Pinjam"/>
    <s v="SmartTK"/>
    <n v="5130666.666666667"/>
    <m/>
    <m/>
    <s v="Dodi Kusumo Adi"/>
    <s v="Threesna"/>
    <s v="Wisnu"/>
  </r>
  <r>
    <n v="167"/>
    <s v="033/BSW-DIGINUSA/MOU/VII/2020"/>
    <s v="Yayasan Syuradikara"/>
    <m/>
    <x v="152"/>
    <s v="D"/>
    <s v="Elita Sari Girsang"/>
    <m/>
    <n v="3"/>
    <n v="2020"/>
    <n v="2023"/>
    <x v="1"/>
    <s v="Sewa Pinjam"/>
    <s v="Informatika Kurmer"/>
    <n v="5130666.666666667"/>
    <m/>
    <m/>
    <s v="Dodi Kusumo Adi"/>
    <s v="Threesna"/>
    <s v="Wisnu"/>
  </r>
  <r>
    <n v="168"/>
    <s v="033/BSW-DIGINUSA/MOU/VII/2020"/>
    <s v="Yayasan Syuradikara"/>
    <m/>
    <x v="153"/>
    <s v="D"/>
    <s v="B Dwianto Edi Prakasa"/>
    <m/>
    <n v="3"/>
    <n v="2020"/>
    <n v="2023"/>
    <x v="1"/>
    <s v="Sewa Pinjam"/>
    <s v="Informatika Kurmer"/>
    <n v="5130666.666666667"/>
    <m/>
    <m/>
    <s v="Dodi Kusumo Adi"/>
    <s v="Threesna"/>
    <s v="Wisnu"/>
  </r>
  <r>
    <n v="169"/>
    <s v="033/BSW-DIGINUSA/MOU/VII/2020"/>
    <s v="Yayasan Syuradikara"/>
    <m/>
    <x v="154"/>
    <s v="D"/>
    <s v="Edirondelino Manas"/>
    <m/>
    <n v="3"/>
    <n v="2020"/>
    <n v="2023"/>
    <x v="1"/>
    <s v="Sewa Pinjam"/>
    <s v="Informatika Kurmer"/>
    <n v="2500000"/>
    <m/>
    <m/>
    <s v="Dodi Kusumo Adi"/>
    <s v="Threesna"/>
    <s v="Wisnu"/>
  </r>
  <r>
    <n v="170"/>
    <s v="049/BSW-DIGINUSA/MOU/VII/2022"/>
    <s v="Yayasan Pendidikan Pusaka Abadi"/>
    <s v="Tinawati Sutjiawan"/>
    <x v="155"/>
    <s v="D"/>
    <s v="Bu Yulika"/>
    <m/>
    <n v="3"/>
    <n v="2022"/>
    <n v="2025"/>
    <x v="0"/>
    <s v="Sewa Pinjam"/>
    <s v="SmartTK"/>
    <n v="3750000"/>
    <m/>
    <m/>
    <s v="Calon"/>
    <s v="Desi"/>
    <s v="Ayu"/>
  </r>
  <r>
    <n v="171"/>
    <s v="049/BSW-DIGINUSA/MOU/VII/2022"/>
    <s v="Yayasan Pendidikan Pusaka Abadi"/>
    <s v="Tinawati Sutjiawan"/>
    <x v="156"/>
    <s v="D"/>
    <s v="Pak Wui Yung"/>
    <m/>
    <n v="3"/>
    <n v="2022"/>
    <n v="2025"/>
    <x v="0"/>
    <s v="Sewa Pinjam"/>
    <s v="SmartExplorer"/>
    <n v="3750000"/>
    <m/>
    <m/>
    <s v="Calon"/>
    <s v="Desi"/>
    <s v="Ayu"/>
  </r>
  <r>
    <n v="172"/>
    <s v="049/BSW-DIGINUSA/MOU/VII/2022"/>
    <s v="Yayasan Pendidikan Pusaka Abadi"/>
    <s v="Tinawati Sutjiawan"/>
    <x v="157"/>
    <s v="D"/>
    <s v="Pak Wui Yung"/>
    <m/>
    <n v="3"/>
    <n v="2022"/>
    <n v="2025"/>
    <x v="0"/>
    <s v="Sewa Pinjam"/>
    <s v="Informatika Kurmer"/>
    <n v="3750000"/>
    <m/>
    <m/>
    <s v="Calon"/>
    <s v="Desi"/>
    <s v="Ayu"/>
  </r>
  <r>
    <n v="173"/>
    <s v="049/BSW-DIGINUSA/MOU/VII/2022"/>
    <s v="Yayasan Pendidikan Pusaka Abadi"/>
    <s v="Tinawati Sutjiawan"/>
    <x v="158"/>
    <s v="D"/>
    <s v="Bu Azizah"/>
    <m/>
    <n v="3"/>
    <n v="2022"/>
    <n v="2025"/>
    <x v="0"/>
    <s v="Sewa Pinjam"/>
    <s v="ITPreneur"/>
    <n v="3750000"/>
    <m/>
    <m/>
    <s v="Calon"/>
    <s v="Desi"/>
    <s v="Ayu"/>
  </r>
  <r>
    <n v="174"/>
    <s v="062/BSW-DIGINUSA/MOU/VIII/2023"/>
    <s v="Yay. Pend. &amp; Kesejahteraan PT PLN"/>
    <m/>
    <x v="159"/>
    <s v="D"/>
    <s v="Dra. Zubaedah"/>
    <m/>
    <n v="3"/>
    <n v="2023"/>
    <n v="2026"/>
    <x v="0"/>
    <s v="Sewa Pinjam"/>
    <s v="SmartExplorer"/>
    <n v="1500000"/>
    <m/>
    <m/>
    <s v="Abdul Rohman"/>
    <s v="Idy"/>
    <s v="Nadia"/>
  </r>
  <r>
    <n v="175"/>
    <s v="007/BSW-DIGINUSA/MOU/V/2022"/>
    <s v="Yayasan Suaka Insan Suster-Suster Santo Paulus dari Chartes"/>
    <s v="Sr. Lucia Munde, SPC"/>
    <x v="160"/>
    <s v="D"/>
    <s v="Ibu Chirstina"/>
    <m/>
    <n v="3"/>
    <n v="2022"/>
    <n v="2025"/>
    <x v="0"/>
    <s v="Lisensi"/>
    <s v="SmartTK"/>
    <n v="8050000"/>
    <m/>
    <m/>
    <s v="Dwi Susanto"/>
    <s v="Idy"/>
    <s v="Nadia"/>
  </r>
  <r>
    <n v="176"/>
    <s v="016/BSW-DIGINUSA/MOU/VI/2021"/>
    <s v="Yayasan Suaka Insan Suster-Suster Santo Paulus dari Chartes"/>
    <s v="Sr. Anna Maria, SPC"/>
    <x v="161"/>
    <s v="D"/>
    <s v="BPk Kris"/>
    <m/>
    <n v="3"/>
    <n v="2021"/>
    <n v="2024"/>
    <x v="1"/>
    <s v="Lisensi"/>
    <s v="SmartExplorer"/>
    <n v="11500"/>
    <m/>
    <m/>
    <s v="Dwi Susanto"/>
    <s v="Idy"/>
    <s v="Nadia"/>
  </r>
  <r>
    <n v="177"/>
    <s v="016/BSW-DIGINUSA/MOU/VI/2021"/>
    <s v="Yayasan Suaka Insan Suster-Suster Santo Paulus dari Chartes"/>
    <s v="Sr. Anna Maria, SPC"/>
    <x v="162"/>
    <s v="D"/>
    <s v="BPk Eddy"/>
    <m/>
    <n v="3"/>
    <n v="2021"/>
    <n v="2024"/>
    <x v="1"/>
    <s v="Lisensi"/>
    <s v="Informatika Kurmer"/>
    <n v="13000"/>
    <m/>
    <m/>
    <s v="Dwi Susanto"/>
    <s v="Idy"/>
    <s v="Nadia"/>
  </r>
  <r>
    <n v="178"/>
    <s v="043/BSW-DIGINUSA/MOU/VII/2022"/>
    <s v="Yayasan Santo Dominikus"/>
    <m/>
    <x v="163"/>
    <s v="D"/>
    <s v="Bpk Tri"/>
    <m/>
    <n v="3"/>
    <n v="2022"/>
    <n v="2025"/>
    <x v="0"/>
    <s v="Lisensi"/>
    <s v="SmartExplorer"/>
    <n v="12000"/>
    <m/>
    <m/>
    <s v="M Nurfi Karim"/>
    <s v="Idy"/>
    <s v="Vita"/>
  </r>
  <r>
    <n v="179"/>
    <s v="078/BSW-DIGINUSA/MOU/VI/2023"/>
    <s v="Pendidikan Umum Bethel"/>
    <s v="David Michael Gerungan, M.M"/>
    <x v="164"/>
    <s v="D"/>
    <s v="Isna Lasmaria"/>
    <m/>
    <n v="4"/>
    <n v="2023"/>
    <n v="2027"/>
    <x v="0"/>
    <s v="Kontrak Pengajaran"/>
    <s v="SmartTK"/>
    <n v="10000"/>
    <m/>
    <m/>
    <s v="Abdul Rohman"/>
    <s v="Mery"/>
    <s v="Burhan"/>
  </r>
  <r>
    <n v="180"/>
    <s v="078/BSW-DIGINUSA/MOU/VI/2023"/>
    <s v="Pendidikan Umum Bethel"/>
    <s v="David Michael Gerungan, M.M"/>
    <x v="165"/>
    <s v="D"/>
    <s v="Ong Erlyana Natadipraja, S.Pd"/>
    <m/>
    <n v="4"/>
    <n v="2023"/>
    <n v="2027"/>
    <x v="0"/>
    <s v="Kontrak Pengajaran"/>
    <s v="SmartExplorer"/>
    <n v="10000"/>
    <m/>
    <m/>
    <s v="Abdul Rohman"/>
    <s v="Mery"/>
    <s v="Burhan"/>
  </r>
  <r>
    <n v="181"/>
    <s v="078/BSW-DIGINUSA/MOU/VI/2023"/>
    <s v="Pendidikan Umum Bethel"/>
    <s v="David Michael Gerungan, M.M"/>
    <x v="166"/>
    <s v="D"/>
    <s v="Roswita Sitorus"/>
    <m/>
    <n v="4"/>
    <n v="2023"/>
    <n v="2027"/>
    <x v="0"/>
    <s v="Kontrak Pengajaran"/>
    <s v="FuturePro"/>
    <n v="35000"/>
    <m/>
    <m/>
    <s v="Abdul Rohman"/>
    <s v="Mery"/>
    <s v="Burhan"/>
  </r>
  <r>
    <n v="182"/>
    <s v="078/BSW-DIGINUSA/MOU/VI/2023"/>
    <s v="Pendidikan Umum Bethel"/>
    <s v="David Michael Gerungan, M.M"/>
    <x v="167"/>
    <s v="D"/>
    <s v="Ong Lyanna Natadipraja"/>
    <m/>
    <n v="4"/>
    <n v="2023"/>
    <n v="2027"/>
    <x v="0"/>
    <s v="Kontrak Pengajaran"/>
    <s v="FuturePro"/>
    <n v="35000"/>
    <m/>
    <m/>
    <s v="Abdul Rohman"/>
    <s v="Mery"/>
    <s v="Burhan"/>
  </r>
  <r>
    <n v="183"/>
    <s v="078/BSW-DIGINUSA/MOU/VI/2023"/>
    <s v="Pendidikan Umum Bethel"/>
    <s v="David Michael Gerungan, M.M"/>
    <x v="168"/>
    <s v="D"/>
    <s v="Ruspinus"/>
    <m/>
    <n v="4"/>
    <n v="2023"/>
    <n v="2027"/>
    <x v="0"/>
    <s v="Sewa Pinjam"/>
    <s v="FuturePro"/>
    <n v="35000"/>
    <m/>
    <m/>
    <s v="Abdul Rohman"/>
    <s v="Mery"/>
    <s v="Burhan"/>
  </r>
  <r>
    <n v="184"/>
    <s v="004/BSW-DIGINUSA/MOU/III/2022"/>
    <s v="Yayasan Kesejahteraan Bhakti"/>
    <s v="Umi Ambarwati"/>
    <x v="169"/>
    <s v="D"/>
    <s v="Ibu Yuli"/>
    <m/>
    <n v="3"/>
    <n v="2022"/>
    <n v="2025"/>
    <x v="0"/>
    <s v="Sewa Pinjam"/>
    <s v="SmartProgram"/>
    <n v="9400000"/>
    <m/>
    <m/>
    <s v="Calon"/>
    <s v="Mery"/>
    <s v="Doni"/>
  </r>
  <r>
    <n v="185"/>
    <s v="057/BSW-DIGINUSA/MOU/VII/2022"/>
    <s v="Yayasan Asti Dharma Maluku Cab. Ambon"/>
    <s v="Sr. M. Christella Hayon, PBHK"/>
    <x v="170"/>
    <s v="D"/>
    <s v="Johanna Wulur"/>
    <m/>
    <n v="3"/>
    <n v="2022"/>
    <n v="2025"/>
    <x v="0"/>
    <s v="Sewa Beli"/>
    <s v="SmartTK"/>
    <s v="Iuran siswa/bulan total Rp1.125.000_x000a_Angsuran komputer Juni 2024 Rp15.000.000"/>
    <m/>
    <m/>
    <s v="Mulyadi"/>
    <s v="Mery"/>
    <s v="Fani"/>
  </r>
  <r>
    <n v="186"/>
    <s v="021/BSW-DIGINUSA/MOU/V/2022"/>
    <s v="Yayasan Pendidikan Sekolah Permata Monika"/>
    <s v="Yeroham Febrianto"/>
    <x v="171"/>
    <s v="D"/>
    <s v="Retno Pancasilawati"/>
    <m/>
    <n v="3"/>
    <n v="2022"/>
    <n v="2025"/>
    <x v="0"/>
    <s v="Lisensi"/>
    <s v="SmartTK"/>
    <n v="15000"/>
    <m/>
    <m/>
    <s v="Mulyadi"/>
    <s v="Pami"/>
    <s v="Adam"/>
  </r>
  <r>
    <n v="187"/>
    <s v="021/BSW-DIGINUSA/MOU/V/2022"/>
    <s v="Yayasan Pendidikan Sekolah Permata Monika"/>
    <s v="Yeroham Febrianto"/>
    <x v="172"/>
    <s v="D"/>
    <s v="Martini"/>
    <m/>
    <n v="3"/>
    <n v="2022"/>
    <n v="2025"/>
    <x v="0"/>
    <s v="Lisensi"/>
    <s v="SmartProgram"/>
    <n v="15000"/>
    <m/>
    <m/>
    <s v="Mulyadi"/>
    <s v="Pami"/>
    <s v="Adam"/>
  </r>
  <r>
    <n v="188"/>
    <s v="028/BSW-DIGINUSA/MOU/VI/2022"/>
    <s v="Yayasan Harapan Tritunggal"/>
    <s v="Frida Lusia Kumambong"/>
    <x v="173"/>
    <s v="D"/>
    <s v="Budi Hartini"/>
    <m/>
    <n v="3"/>
    <n v="2022"/>
    <n v="2025"/>
    <x v="0"/>
    <s v="Lisensi"/>
    <s v="SEIS"/>
    <n v="35000"/>
    <m/>
    <n v="35000"/>
    <s v="Zainal Mutaqin"/>
    <s v="Pami"/>
    <s v="Doni"/>
  </r>
  <r>
    <n v="189"/>
    <s v="034/BSW-DIGINUSA/MOU/VII/2021"/>
    <s v="Yayasan Nurul Falah Islamic Education Center"/>
    <s v="Hj. Mutia Lismar, S.Pd"/>
    <x v="174"/>
    <s v="D"/>
    <s v="Sabenih"/>
    <m/>
    <n v="3"/>
    <n v="2021"/>
    <n v="2024"/>
    <x v="1"/>
    <s v="Lisensi"/>
    <s v="SmartTK"/>
    <s v="TAB 22/23 Rp7.000_x000a_TAB 23/24 Rp8.000"/>
    <m/>
    <m/>
    <s v="Mulyadi"/>
    <s v="Pami"/>
    <s v="Nadia"/>
  </r>
  <r>
    <n v="190"/>
    <s v="029/BSW-DIGINUSA/MOU/VII/2021"/>
    <s v="Yayasan Paskalis Jakarta"/>
    <s v="Rm. Thomas Ferry Suharto, OFM"/>
    <x v="175"/>
    <s v="D"/>
    <s v="Maria Rosalina"/>
    <m/>
    <n v="3"/>
    <n v="2021"/>
    <n v="2024"/>
    <x v="1"/>
    <s v="Lisensi"/>
    <s v="SmartProgram"/>
    <n v="8000"/>
    <m/>
    <m/>
    <s v="Mulyadi"/>
    <s v="Pami"/>
    <s v="Adam"/>
  </r>
  <r>
    <n v="191"/>
    <s v="029/BSW-DIGINUSA/MOU/VII/2021"/>
    <s v="Yayasan Paskalis Jakarta"/>
    <s v="Rm. Thomas Ferry Suharto, OFM"/>
    <x v="176"/>
    <s v="D"/>
    <s v="Maria Dwi Lestari"/>
    <m/>
    <n v="3"/>
    <n v="2021"/>
    <n v="2024"/>
    <x v="1"/>
    <s v="Lisensi"/>
    <s v="SmartProgram"/>
    <n v="8000"/>
    <m/>
    <m/>
    <s v="Mulyadi"/>
    <s v="Pami"/>
    <s v="Adam"/>
  </r>
  <r>
    <n v="192"/>
    <s v="029/BSW-DIGINUSA/MOU/VII/2022"/>
    <s v="Yayasan Pendidikan Wisandya"/>
    <s v="Petrus Widyatmoko"/>
    <x v="177"/>
    <s v="D"/>
    <s v="Ibu Nuriti, S.Pd,.   "/>
    <m/>
    <n v="3"/>
    <n v="2022"/>
    <n v="2025"/>
    <x v="0"/>
    <s v="Kontrak Pengajaran"/>
    <s v="SmartExplorer"/>
    <n v="22000"/>
    <m/>
    <s v="LKS Smart Program Rp20.000 &amp; LKS FuturePro Rp25.000"/>
    <s v="Mulyadi"/>
    <s v="Pami"/>
    <s v="Adam"/>
  </r>
  <r>
    <n v="193"/>
    <s v="029/BSW-DIGINUSA/MOU/VII/2022"/>
    <s v="Yayasan Pendidikan Wisandya"/>
    <s v="Petrus Widyatmoko"/>
    <x v="178"/>
    <s v="D"/>
    <s v="Drs. Sutriyadi, SH, MM"/>
    <m/>
    <n v="3"/>
    <n v="2022"/>
    <n v="2025"/>
    <x v="0"/>
    <s v="Kontrak Pengajaran"/>
    <s v="Informatika Kurmer"/>
    <n v="22000"/>
    <m/>
    <s v="LKS Smart Program Rp20.000 &amp; LKS FuturePro Rp25.001"/>
    <s v="Mulyadi"/>
    <s v="Pami"/>
    <s v="Adam"/>
  </r>
  <r>
    <n v="194"/>
    <s v="078/BSW-DIGINUSA/MOU/VIII/2022"/>
    <s v="Spring Garden School"/>
    <m/>
    <x v="179"/>
    <s v="D"/>
    <s v="Linda Tedjo Rachmawati"/>
    <m/>
    <n v="2"/>
    <n v="2022"/>
    <n v="2024"/>
    <x v="1"/>
    <s v="Kontrak Pengajaran"/>
    <s v="SmartExplorer"/>
    <n v="25500"/>
    <m/>
    <n v="27000"/>
    <s v="Calon"/>
    <s v="Pami"/>
    <s v="Nadia"/>
  </r>
  <r>
    <n v="195"/>
    <s v="078/BSW-DIGINUSA/MOU/VIII/2022"/>
    <s v="Spring Garden School"/>
    <m/>
    <x v="180"/>
    <s v="D"/>
    <s v="Nelly Betaria Manurung"/>
    <m/>
    <n v="2"/>
    <n v="2022"/>
    <n v="2024"/>
    <x v="1"/>
    <s v="Kontrak Pengajaran"/>
    <s v="ITPreneur"/>
    <n v="25500"/>
    <m/>
    <n v="27000"/>
    <s v="Calon"/>
    <s v="Pami"/>
    <s v="Nadia"/>
  </r>
  <r>
    <n v="196"/>
    <s v="089/MK-BSW/MOU/VI/2018"/>
    <s v="Yayasan Fioretti"/>
    <s v="Sr. Alfonsa Simbolon, SFD"/>
    <x v="181"/>
    <s v="D"/>
    <s v="Lubertus Agung S.Fil"/>
    <m/>
    <m/>
    <n v="2018"/>
    <n v="2023"/>
    <x v="1"/>
    <s v="Sewa Beli"/>
    <s v="SmartExplorer"/>
    <n v="25000"/>
    <m/>
    <n v="30000"/>
    <s v="Dodi Kusumo Adi"/>
    <s v="Pami"/>
    <s v="Yusuf"/>
  </r>
  <r>
    <n v="197"/>
    <s v="010/BSW-DIGINUSA/ADD/VII/2022"/>
    <s v="Yayasan Fioretti"/>
    <s v="Sr. Alfonsa Simbolon, SFD"/>
    <x v="181"/>
    <m/>
    <m/>
    <m/>
    <n v="5"/>
    <n v="2018"/>
    <n v="2023"/>
    <x v="1"/>
    <s v="Sewa Beli"/>
    <m/>
    <m/>
    <m/>
    <m/>
    <m/>
    <s v="Pami"/>
    <s v="Yusuf"/>
  </r>
  <r>
    <n v="198"/>
    <s v="089/MK-BSW/MOU/VI/2018"/>
    <s v="Yayasan Fioretti"/>
    <s v="Sr. Alfonsa Simbolon, SFD"/>
    <x v="182"/>
    <s v="D"/>
    <s v="Linoris Silalahi"/>
    <m/>
    <m/>
    <n v="2018"/>
    <n v="2023"/>
    <x v="1"/>
    <s v="Sewa Beli"/>
    <s v="ITPreneur"/>
    <n v="23000"/>
    <m/>
    <n v="30000"/>
    <s v="Dodi Kusumo Adi"/>
    <s v="Pami"/>
    <s v="Yusuf"/>
  </r>
  <r>
    <n v="199"/>
    <s v="011/BSW-DIGINUSA/ADD/VII/2022"/>
    <s v="Yayasan Fioretti"/>
    <s v="Sr. Alfonsa Simbolon, SFD"/>
    <x v="182"/>
    <m/>
    <m/>
    <m/>
    <n v="5"/>
    <n v="2018"/>
    <n v="2023"/>
    <x v="1"/>
    <s v="Sewa Beli"/>
    <m/>
    <m/>
    <m/>
    <m/>
    <m/>
    <s v="Pami"/>
    <s v="Yusuf"/>
  </r>
  <r>
    <n v="200"/>
    <s v="028/BSW-DIGINUSA/MOU/VII/2021"/>
    <s v="Yayasan Pendidikan Santo Bellarminus"/>
    <s v="Sr. Alfonsa Simbolon, SFD"/>
    <x v="183"/>
    <s v="D"/>
    <s v="Damasus Nowo Krist Prasetyo"/>
    <m/>
    <n v="3"/>
    <n v="2021"/>
    <n v="2024"/>
    <x v="1"/>
    <s v="Lisensi"/>
    <s v="SmartExplorer"/>
    <n v="7000"/>
    <m/>
    <m/>
    <s v="Mulyadi"/>
    <s v="Pami"/>
    <s v="Vita"/>
  </r>
  <r>
    <n v="201"/>
    <s v="028/BSW-DIGINUSA/MOU/VII/2021"/>
    <s v="Yayasan Pendidikan Santo Bellarminus"/>
    <s v="Sr. Alfonsa Simbolon, SFD"/>
    <x v="184"/>
    <s v="D"/>
    <s v="FX. Riyadi"/>
    <m/>
    <n v="3"/>
    <n v="2021"/>
    <n v="2024"/>
    <x v="1"/>
    <s v="Lisensi"/>
    <s v="ITPreneur"/>
    <n v="10000"/>
    <m/>
    <m/>
    <s v="Mulyadi"/>
    <s v="Pami"/>
    <s v="Vita"/>
  </r>
  <r>
    <n v="202"/>
    <s v="028/BSW-DIGINUSA/MOU/VII/2021"/>
    <s v="Yayasan Pendidikan Santo Bellarminus"/>
    <s v="Sr. Alfonsa Simbolon, SFD"/>
    <x v="185"/>
    <s v="D"/>
    <s v="Petrus Yuli Susanto"/>
    <m/>
    <n v="3"/>
    <n v="2021"/>
    <n v="2024"/>
    <x v="1"/>
    <s v="Lisensi"/>
    <s v="ITPreneur"/>
    <n v="10000"/>
    <m/>
    <m/>
    <s v="Mulyadi"/>
    <s v="Pami"/>
    <s v="Vita"/>
  </r>
  <r>
    <n v="203"/>
    <s v="039/BSW-DIGINUSA/MOU/V/2019"/>
    <s v="Yayasan Lembaga Miryam"/>
    <s v="Sr. Elisa, HK"/>
    <x v="186"/>
    <s v="D"/>
    <s v="Paustinus Edi Kristanto "/>
    <m/>
    <n v="0"/>
    <m/>
    <m/>
    <x v="2"/>
    <s v="Lisensi"/>
    <s v="Informatika Kurmer"/>
    <m/>
    <m/>
    <m/>
    <s v="Sudarmono"/>
    <m/>
    <s v="Fani"/>
  </r>
  <r>
    <n v="204"/>
    <s v="013/BSW-DIGINUSA/MOU/V/2023"/>
    <s v="Yayasan Panti Asuhan Katolik"/>
    <s v="Veronica Tri Hartini, S.E., M.M."/>
    <x v="187"/>
    <s v="D"/>
    <s v="Raymundus Nonnatus Muklis Wiratmo"/>
    <m/>
    <n v="4"/>
    <n v="2023"/>
    <n v="2027"/>
    <x v="0"/>
    <s v="Sewa Beli"/>
    <s v="SmartTK"/>
    <s v="Juli 2023 - Sept 2024 Rp8.025.000 (Tunggakan TK &amp; SD)_x000a_TK Okt 2024-Sept 2027 Rp25.000"/>
    <m/>
    <m/>
    <s v="M Nurfi Karim"/>
    <s v="Pami"/>
    <s v="Sapar"/>
  </r>
  <r>
    <n v="205"/>
    <s v="026/BSW-DIGINUSA/ADD/VII/2022"/>
    <s v="Yayasan Panti Asuhan Katolik"/>
    <s v="Veronica Tri Hartini, S.E., M.M."/>
    <x v="187"/>
    <m/>
    <m/>
    <m/>
    <m/>
    <n v="2018"/>
    <n v="2024"/>
    <x v="2"/>
    <s v="Sewa Beli"/>
    <m/>
    <m/>
    <m/>
    <m/>
    <m/>
    <s v="Pami"/>
    <s v="Sapar"/>
  </r>
  <r>
    <n v="206"/>
    <s v="013/BSW-DIGINUSA/MOU/V/2023"/>
    <s v="Yayasan Panti Asuhan Katolik"/>
    <s v="Veronica Tri Hartini, S.E., M.M."/>
    <x v="188"/>
    <s v="D"/>
    <s v="Endarwati, S.pd, M.pd"/>
    <m/>
    <n v="4"/>
    <n v="2023"/>
    <n v="2027"/>
    <x v="0"/>
    <s v="Sewa Beli"/>
    <s v="SmartExplorer"/>
    <s v="Juli 2023 - Sept 2024 Rp8.025.000 (Tunggakan TK &amp; SD)_x000a_SD Okt 2024-Sept 2027 Rp27.000"/>
    <m/>
    <m/>
    <s v="M Nurfi Karim"/>
    <s v="Pami"/>
    <s v="Sapar"/>
  </r>
  <r>
    <n v="207"/>
    <s v="026/BSW-DIGINUSA/ADD/VII/2022"/>
    <s v="Yayasan Panti Asuhan Katolik"/>
    <s v="Veronica Tri Hartini, S.E., M.M."/>
    <x v="188"/>
    <m/>
    <m/>
    <m/>
    <m/>
    <n v="2018"/>
    <n v="2024"/>
    <x v="2"/>
    <s v="Sewa Beli"/>
    <m/>
    <m/>
    <m/>
    <m/>
    <m/>
    <s v="Pami"/>
    <s v="Sapar"/>
  </r>
  <r>
    <n v="208"/>
    <s v="002/BSW-DIGINUSA/MOU/I/2020"/>
    <s v="Yayasan Panti Asuhan Katolik"/>
    <s v="Veronica Tri Hartini, S.E., M.M."/>
    <x v="189"/>
    <s v="D"/>
    <s v="Vincentius Suroto"/>
    <m/>
    <n v="5"/>
    <n v="2020"/>
    <n v="2025"/>
    <x v="0"/>
    <s v="Sewa Beli"/>
    <m/>
    <n v="30000"/>
    <m/>
    <n v="30000"/>
    <s v="M Nurfi Karim"/>
    <s v="Pami"/>
    <s v="Sapar"/>
  </r>
  <r>
    <n v="209"/>
    <s v="016/BSW-DIGINUSA/ADD/VII/2022"/>
    <s v="Yayasan Panti Asuhan Katolik"/>
    <s v="Veronica Tri Hartini, S.E., M.M."/>
    <x v="189"/>
    <m/>
    <m/>
    <m/>
    <m/>
    <n v="2020"/>
    <n v="2025"/>
    <x v="2"/>
    <s v="Sewa Beli"/>
    <m/>
    <m/>
    <m/>
    <m/>
    <m/>
    <s v="Pami"/>
    <s v="Sapar"/>
  </r>
  <r>
    <n v="210"/>
    <s v="002/BSW-DIGINUSA/MOU/I/2020"/>
    <s v="Yayasan Panti Asuhan Katolik"/>
    <s v="Veronica Tri Hartini, S.E., M.M."/>
    <x v="190"/>
    <s v="D"/>
    <s v="Herybertus Priya Sulistya"/>
    <m/>
    <n v="5"/>
    <n v="2020"/>
    <n v="2025"/>
    <x v="0"/>
    <s v="Sewa Beli"/>
    <m/>
    <n v="30000"/>
    <m/>
    <n v="30000"/>
    <s v="M Nurfi Karim"/>
    <s v="Pami"/>
    <s v="Sapar"/>
  </r>
  <r>
    <n v="211"/>
    <s v="016/BSW-DIGINUSA/ADD/VII/2022"/>
    <s v="Yayasan Panti Asuhan Katolik"/>
    <s v="Veronica Tri Hartini, S.E., M.M."/>
    <x v="190"/>
    <m/>
    <m/>
    <m/>
    <m/>
    <n v="2020"/>
    <n v="2025"/>
    <x v="2"/>
    <s v="Sewa Beli"/>
    <m/>
    <m/>
    <m/>
    <m/>
    <m/>
    <s v="Pami"/>
    <s v="Sapar"/>
  </r>
  <r>
    <n v="212"/>
    <s v="003/BSW-DIGINUSA/MOU/I/2020"/>
    <s v="Yayasan Pendidikan Semeru Soemadhiharga"/>
    <s v="R.E. Sugiandhina"/>
    <x v="191"/>
    <s v="D"/>
    <s v="Sri Suryati"/>
    <m/>
    <n v="5"/>
    <n v="2020"/>
    <n v="2025"/>
    <x v="0"/>
    <s v="Sewa Beli"/>
    <s v="SmartExplorer"/>
    <n v="26500"/>
    <m/>
    <n v="25000"/>
    <s v="Dodi Kusumo Adi"/>
    <s v="Pami"/>
    <s v="Adam"/>
  </r>
  <r>
    <n v="213"/>
    <s v="017/BSW-DIGINUSA/ADD/VII/2022"/>
    <s v="Yayasan Pendidikan Semeru Soemadhiharga"/>
    <s v="R.E. Sugiandhina"/>
    <x v="191"/>
    <m/>
    <s v="Sri Suryati"/>
    <m/>
    <m/>
    <n v="2020"/>
    <n v="2025"/>
    <x v="2"/>
    <s v="Sewa Beli"/>
    <s v="SmartExplorer"/>
    <n v="26500"/>
    <m/>
    <n v="25000"/>
    <m/>
    <s v="Pami"/>
    <s v="Adam"/>
  </r>
  <r>
    <n v="214"/>
    <s v="003/BSW-DIGINUSA/MOU/I/2020"/>
    <s v="Yayasan Pendidikan Semeru Soemadhiharga"/>
    <s v="R.E. Sugiandhina"/>
    <x v="192"/>
    <s v="D"/>
    <s v="Betsy Vernoleta"/>
    <m/>
    <n v="5"/>
    <n v="2020"/>
    <n v="2025"/>
    <x v="0"/>
    <s v="Sewa Beli"/>
    <s v="ITPreneur"/>
    <n v="26500"/>
    <m/>
    <n v="25000"/>
    <s v="Dodi Kusumo Adi"/>
    <s v="Pami"/>
    <s v="Adam"/>
  </r>
  <r>
    <n v="215"/>
    <s v="017/BSW-DIGINUSA/ADD/VII/2022"/>
    <s v="Yayasan Pendidikan Semeru Soemadhiharga"/>
    <s v="R.E. Sugiandhina"/>
    <x v="192"/>
    <m/>
    <s v="Betsy Vernoleta"/>
    <m/>
    <m/>
    <n v="2020"/>
    <n v="2025"/>
    <x v="2"/>
    <s v="Sewa Beli"/>
    <s v="ITPreneur"/>
    <n v="26500"/>
    <m/>
    <n v="25000"/>
    <m/>
    <s v="Pami"/>
    <s v="Adam"/>
  </r>
  <r>
    <n v="216"/>
    <s v="048/BSW-DIGINUSA/MOU/VII/2022"/>
    <s v="Yayasan Baptis Elim"/>
    <s v="Yusuf Suryo Darmanto"/>
    <x v="193"/>
    <s v="D"/>
    <s v="Diana Kurniawati"/>
    <m/>
    <n v="3"/>
    <n v="2022"/>
    <n v="2025"/>
    <x v="0"/>
    <s v="Kontrak Pengajaran"/>
    <s v="SmartTK"/>
    <n v="50000"/>
    <m/>
    <m/>
    <s v="Syahrul Mubaroq"/>
    <s v="Pami"/>
    <s v="Ayu"/>
  </r>
  <r>
    <n v="217"/>
    <s v="048/BSW-DIGINUSA/MOU/VII/2022"/>
    <s v="Yayasan Baptis Elim"/>
    <s v="Yusuf Suryo Darmanto"/>
    <x v="194"/>
    <s v="D"/>
    <s v="Nunuk Tri Lestari"/>
    <m/>
    <n v="3"/>
    <n v="2022"/>
    <n v="2025"/>
    <x v="0"/>
    <s v="Kontrak Pengajaran"/>
    <s v="SmartExplorer"/>
    <n v="50000"/>
    <m/>
    <m/>
    <s v="Syahrul Mubaroq"/>
    <s v="Pami"/>
    <s v="Ayu"/>
  </r>
  <r>
    <n v="218"/>
    <s v="048/BSW-DIGINUSA/MOU/VII/2022"/>
    <s v="Yayasan Baptis Elim"/>
    <s v="Yusuf Suryo Darmanto"/>
    <x v="195"/>
    <s v="D"/>
    <s v="Sri Wahyuningsih"/>
    <m/>
    <n v="3"/>
    <n v="2022"/>
    <n v="2025"/>
    <x v="0"/>
    <s v="Kontrak Pengajaran"/>
    <s v="Informatika Kurmer"/>
    <n v="50000"/>
    <m/>
    <m/>
    <s v="Syahrul Mubaroq"/>
    <s v="Pami"/>
    <s v="Ayu"/>
  </r>
  <r>
    <n v="219"/>
    <s v="064/BSW-DIGINUSA/MOU/VIII/2022"/>
    <s v="Almasih Christian School"/>
    <s v="Ibu Grace"/>
    <x v="196"/>
    <s v="D"/>
    <m/>
    <m/>
    <n v="3"/>
    <n v="2022"/>
    <n v="2025"/>
    <x v="0"/>
    <s v="Lisensi"/>
    <s v="SmartTK"/>
    <n v="30000"/>
    <m/>
    <m/>
    <s v="Dwi"/>
    <s v="Threesna"/>
    <s v="Ayu"/>
  </r>
  <r>
    <n v="220"/>
    <s v="064/BSW-DIGINUSA/MOU/VIII/2022"/>
    <s v="Almasih Christian School"/>
    <s v="Ibu Grace"/>
    <x v="197"/>
    <s v="D"/>
    <m/>
    <m/>
    <n v="3"/>
    <n v="2022"/>
    <n v="2025"/>
    <x v="0"/>
    <s v="Lisensi"/>
    <s v="SmartExplorer"/>
    <n v="30000"/>
    <m/>
    <m/>
    <s v="Dwi"/>
    <s v="Threesna"/>
    <s v="Ayu"/>
  </r>
  <r>
    <n v="221"/>
    <s v="064/BSW-DIGINUSA/MOU/VIII/2022"/>
    <s v="Almasih Christian School"/>
    <s v="Ibu Grace"/>
    <x v="198"/>
    <s v="D"/>
    <m/>
    <m/>
    <n v="3"/>
    <n v="2022"/>
    <n v="2025"/>
    <x v="0"/>
    <s v="Lisensi"/>
    <s v="ITPreneur"/>
    <n v="30000"/>
    <m/>
    <m/>
    <s v="Dwi"/>
    <s v="Threesna"/>
    <s v="Ayu"/>
  </r>
  <r>
    <n v="222"/>
    <s v="064/BSW-DIGINUSA/MOU/VIII/2022"/>
    <s v="Almasih Christian School"/>
    <s v="Ibu Grace"/>
    <x v="199"/>
    <s v="D"/>
    <m/>
    <m/>
    <n v="3"/>
    <n v="2022"/>
    <n v="2025"/>
    <x v="0"/>
    <s v="Lisensi"/>
    <s v="ITPreneur"/>
    <n v="30000"/>
    <m/>
    <m/>
    <s v="Dwi"/>
    <s v="Threesna"/>
    <s v="Ayu"/>
  </r>
  <r>
    <n v="223"/>
    <s v="067/BSW-DIGINUSA/MOU/VIII/2022"/>
    <s v="Yayasan Sakyamuni"/>
    <m/>
    <x v="200"/>
    <s v="D"/>
    <s v="Marmimi "/>
    <m/>
    <n v="3"/>
    <n v="2022"/>
    <n v="2025"/>
    <x v="0"/>
    <s v="Lisensi"/>
    <s v="SmartTK"/>
    <n v="2400000"/>
    <m/>
    <m/>
    <s v="Mulyadi"/>
    <s v="Pami"/>
    <s v="Nadia"/>
  </r>
  <r>
    <n v="224"/>
    <s v="067/BSW-DIGINUSA/MOU/VIII/2022"/>
    <s v="Yayasan Sakyamuni"/>
    <m/>
    <x v="201"/>
    <s v="D"/>
    <s v="Tusin"/>
    <m/>
    <n v="3"/>
    <n v="2022"/>
    <n v="2025"/>
    <x v="0"/>
    <s v="Lisensi"/>
    <s v="SmartExplorer"/>
    <n v="2400000"/>
    <m/>
    <m/>
    <s v="Mulyadi"/>
    <s v="Pami"/>
    <s v="Nadia"/>
  </r>
  <r>
    <n v="225"/>
    <s v="071/BSW-DIGINUSA/MOU/VIII/2022"/>
    <s v="Yayasan BPK Penabur Metro"/>
    <s v="dr. Alexander K Ruslim, Sp.PK"/>
    <x v="202"/>
    <s v="D"/>
    <s v="Yohana Kalvarita "/>
    <m/>
    <n v="3"/>
    <n v="2022"/>
    <n v="2025"/>
    <x v="0"/>
    <m/>
    <m/>
    <n v="12000"/>
    <m/>
    <m/>
    <s v="Sudarmono"/>
    <s v="Pami"/>
    <s v="Wisnu"/>
  </r>
  <r>
    <n v="226"/>
    <s v="071/BSW-DIGINUSA/MOU/VIII/2022"/>
    <s v="Yayasan BPK Penabur Metro"/>
    <s v="dr. Alexander K Ruslim, Sp.PK"/>
    <x v="203"/>
    <s v="D"/>
    <s v="Vincentia Hariyati"/>
    <m/>
    <n v="3"/>
    <n v="2022"/>
    <n v="2025"/>
    <x v="0"/>
    <m/>
    <m/>
    <n v="12000"/>
    <m/>
    <m/>
    <s v="Sudarmono"/>
    <s v="Pami"/>
    <s v="Wisnu"/>
  </r>
  <r>
    <n v="227"/>
    <s v="039/BSW-DIGINUSA/MOU/VII/2022"/>
    <m/>
    <m/>
    <x v="204"/>
    <s v="D"/>
    <s v="FX Oktaf Laudensius"/>
    <m/>
    <n v="3"/>
    <n v="2022"/>
    <n v="2025"/>
    <x v="0"/>
    <s v="Kontrak Pengajaran"/>
    <s v="SmartExplorer"/>
    <s v="Rp20.000 x Jumlah Siswa_x000a_Rp10.000 x 30 Siswa"/>
    <m/>
    <m/>
    <s v="M Nurfi Karim"/>
    <s v="Pami"/>
    <s v="Vita"/>
  </r>
  <r>
    <n v="228"/>
    <s v="024/BSW-DIGINUSA/MOU/VI/2023"/>
    <s v="Yayasan St. Agatha"/>
    <s v="K.S. Tjeni (Bendahara Yayasan)"/>
    <x v="205"/>
    <s v="D"/>
    <s v="Andri Widi Susanti"/>
    <m/>
    <n v="2"/>
    <n v="2023"/>
    <n v="2025"/>
    <x v="0"/>
    <s v="Lisensi"/>
    <s v="Informatika"/>
    <n v="17000"/>
    <m/>
    <s v="LKS Smart Explorer Rp25.000_x000a_LKS Informatika Rp30.000"/>
    <s v="Zainal Mutaqin"/>
    <s v="Prapto"/>
    <s v="Adam"/>
  </r>
  <r>
    <n v="229"/>
    <s v="040/BSW-DIGINUSA/MOU/VII/2023"/>
    <s v="Yayasan Melania Jkt"/>
    <s v="Suhartini S W, S.E."/>
    <x v="206"/>
    <s v="D"/>
    <s v="Ferianty Elizabeth T"/>
    <m/>
    <n v="1"/>
    <n v="2023"/>
    <n v="2024"/>
    <x v="1"/>
    <s v="Sewa Pinjam"/>
    <s v="SmartProgram"/>
    <n v="1666666.6666666667"/>
    <m/>
    <m/>
    <s v="Zainal Mutaqin"/>
    <s v="Prapto"/>
    <s v="Ayu"/>
  </r>
  <r>
    <n v="230"/>
    <s v="040/BSW-DIGINUSA/MOU/VII/2023"/>
    <s v="Yayasan Melania Jkt"/>
    <s v="Suhartini S W, S.E."/>
    <x v="207"/>
    <s v="D"/>
    <s v="Flora Masta Sinaga"/>
    <m/>
    <n v="1"/>
    <n v="2023"/>
    <n v="2024"/>
    <x v="1"/>
    <s v="Sewa Pinjam"/>
    <s v="Informatika Kurmer"/>
    <n v="1666666.6666666667"/>
    <m/>
    <m/>
    <s v="Zainal Mutaqin"/>
    <s v="Prapto"/>
    <s v="Ayu"/>
  </r>
  <r>
    <n v="231"/>
    <s v="040/BSW-DIGINUSA/MOU/VII/2023"/>
    <s v="Yayasan Melania Jkt"/>
    <s v="Suhartini S W, S.E."/>
    <x v="208"/>
    <s v="D"/>
    <s v="Pak Ari"/>
    <m/>
    <n v="1"/>
    <n v="2023"/>
    <n v="2024"/>
    <x v="1"/>
    <s v="Sewa Pinjam"/>
    <s v="FuturePro"/>
    <n v="1666666.6666666667"/>
    <m/>
    <m/>
    <s v="Zainal Mutaqin"/>
    <s v="Prapto"/>
    <s v="Ayu"/>
  </r>
  <r>
    <n v="232"/>
    <s v="040/BSW-DIGINUSA/MOU/VII/2023"/>
    <s v="Yayasan Melania Jkt"/>
    <s v="Suhartini S W, S.E."/>
    <x v="209"/>
    <s v="D"/>
    <s v="Ibu Ceacilia"/>
    <m/>
    <n v="1"/>
    <n v="2023"/>
    <n v="2024"/>
    <x v="1"/>
    <s v="Sewa Pinjam"/>
    <s v="SmartTK"/>
    <n v="1666666.6666666667"/>
    <m/>
    <m/>
    <s v="Zainal Mutaqin"/>
    <s v="Prapto"/>
    <s v="Ayu"/>
  </r>
  <r>
    <n v="233"/>
    <s v="040/BSW-DIGINUSA/MOU/VII/2023"/>
    <s v="Yayasan Melania Jkt"/>
    <s v="Suhartini S W, S.E."/>
    <x v="210"/>
    <s v="D"/>
    <s v="Pak Nandus"/>
    <m/>
    <n v="1"/>
    <n v="2023"/>
    <n v="2024"/>
    <x v="1"/>
    <s v="Sewa Pinjam"/>
    <s v="SmartProgram"/>
    <n v="1666666.6666666667"/>
    <m/>
    <m/>
    <s v="Zainal Mutaqin"/>
    <s v="Prapto"/>
    <s v="Ayu"/>
  </r>
  <r>
    <n v="234"/>
    <s v="040/BSW-DIGINUSA/MOU/VII/2023"/>
    <s v="Yayasan Melania Jkt"/>
    <s v="Suhartini S W, S.E."/>
    <x v="211"/>
    <s v="D"/>
    <s v="Ayu Pebrina Dewi Setyorini "/>
    <m/>
    <n v="1"/>
    <n v="2023"/>
    <n v="2024"/>
    <x v="1"/>
    <s v="Sewa Pinjam"/>
    <s v="Informatika Kurmer"/>
    <n v="1666666.6666666667"/>
    <m/>
    <m/>
    <s v="Zainal Mutaqin"/>
    <s v="Prapto"/>
    <s v="Ayu"/>
  </r>
  <r>
    <n v="235"/>
    <s v="005/BSW-DIGINUSA/MOU/III/2021"/>
    <s v="Yayasan Widya Maria"/>
    <s v="Drs. H. Y. Dite Haryoko"/>
    <x v="212"/>
    <s v="D"/>
    <s v="Antonia Tumijah"/>
    <m/>
    <n v="3"/>
    <n v="2021"/>
    <n v="2024"/>
    <x v="1"/>
    <s v="Lisensi"/>
    <s v="SmartTK"/>
    <n v="12000"/>
    <m/>
    <m/>
    <s v="Sudarmono"/>
    <s v="Prapto"/>
    <s v="Adam"/>
  </r>
  <r>
    <n v="236"/>
    <s v="005/BSW-DIGINUSA/MOU/III/2021"/>
    <s v="Yayasan Widya Maria"/>
    <s v="Drs. H. Y. Dite Haryoko"/>
    <x v="213"/>
    <s v="D"/>
    <s v="Laurensia Abong"/>
    <m/>
    <n v="3"/>
    <n v="2021"/>
    <n v="2024"/>
    <x v="1"/>
    <s v="Lisensi"/>
    <s v="SmartProgram"/>
    <n v="12000"/>
    <m/>
    <m/>
    <s v="Sudarmono"/>
    <s v="Prapto"/>
    <s v="Adam"/>
  </r>
  <r>
    <n v="237"/>
    <s v="005/BSW-DIGINUSA/MOU/III/2021"/>
    <s v="Yayasan Widya Maria"/>
    <s v="Drs. H. Y. Dite Haryoko"/>
    <x v="214"/>
    <s v="D"/>
    <s v="Eva Rimna Sinulingga"/>
    <m/>
    <n v="3"/>
    <n v="2021"/>
    <n v="2024"/>
    <x v="1"/>
    <s v="Lisensi"/>
    <s v="Informatika Kurmer"/>
    <n v="12000"/>
    <m/>
    <m/>
    <s v="Sudarmono"/>
    <s v="Prapto"/>
    <s v="Adam"/>
  </r>
  <r>
    <n v="238"/>
    <s v="058/BSW-DIGINUSA/MOU/VII/2022"/>
    <s v="PT Bina Cahaya Abadi"/>
    <s v="Tini, S.Si, APt"/>
    <x v="215"/>
    <s v="D"/>
    <s v="Bu Dra Sriyati"/>
    <m/>
    <n v="3"/>
    <n v="2022"/>
    <n v="2025"/>
    <x v="0"/>
    <s v="Lisensi"/>
    <s v="SEIS"/>
    <s v="Rinician:_x000a_Tunggakan Rp1.645.00_x000a_Lisensi Rp2.400.000_x000a_Yang dibayarkan Rp4.045.000"/>
    <m/>
    <m/>
    <s v="Dwi Susanto"/>
    <s v="Prapto"/>
    <s v="Vita"/>
  </r>
  <r>
    <n v="239"/>
    <s v="029/BSW-DIGINUSA/MOU/VI/2023"/>
    <s v="Yayasan Lembaga Miryam"/>
    <s v="Sr. Elisa, HK"/>
    <x v="216"/>
    <s v="D"/>
    <s v="Sr. Modesta, HK"/>
    <m/>
    <n v="1"/>
    <n v="2023"/>
    <n v="2024"/>
    <x v="1"/>
    <s v="Kontrak Pengajaran"/>
    <s v="SmartExplorer &amp; Informatika"/>
    <n v="9000"/>
    <m/>
    <s v="LKS Smart Explorer Rp25.000_x000a_LKS Informatika Rp25.000"/>
    <s v="Stefanus Sudarmono"/>
    <s v="Prapto"/>
    <s v="Adam"/>
  </r>
  <r>
    <n v="240"/>
    <s v="074/BSW-DIGINUSA/MOU/VIII/2022"/>
    <s v="Yayasan Lembaga Miryam"/>
    <m/>
    <x v="217"/>
    <s v="D"/>
    <s v="Sr. Marcella Sumarsih, HK. S.Pd."/>
    <m/>
    <n v="1"/>
    <n v="2022"/>
    <n v="2023"/>
    <x v="1"/>
    <m/>
    <s v="ITPreneur"/>
    <n v="15000"/>
    <m/>
    <n v="24000"/>
    <s v="Sudarmono"/>
    <s v="Prapto"/>
    <s v="Fani"/>
  </r>
  <r>
    <n v="241"/>
    <s v="044/BSW-DIGINUSA/MOU/VII/2022"/>
    <s v="Sekolah Taruna Bangsa"/>
    <s v="Ling Ling Dewi Muniarti, S.E."/>
    <x v="218"/>
    <s v="D"/>
    <s v="Nur Aliyah, S.Pd.SD"/>
    <m/>
    <n v="3"/>
    <n v="2022"/>
    <n v="2025"/>
    <x v="0"/>
    <s v="Lisensi"/>
    <s v="SmartTK"/>
    <n v="10000"/>
    <m/>
    <m/>
    <s v="Wahyu Piki Julianto"/>
    <s v="Prapto"/>
    <s v="Nadia"/>
  </r>
  <r>
    <n v="242"/>
    <s v="044/BSW-DIGINUSA/MOU/VII/2022"/>
    <s v="Sekolah Taruna Bangsa"/>
    <s v="Ling Ling Dewi Muniarti, S.E."/>
    <x v="219"/>
    <s v="D"/>
    <s v="Ephi Sutisna "/>
    <m/>
    <n v="3"/>
    <n v="2022"/>
    <n v="2025"/>
    <x v="0"/>
    <s v="Lisensi"/>
    <s v="Informatika Kurmer"/>
    <n v="10000"/>
    <m/>
    <m/>
    <s v="Wahyu Piki Julianto"/>
    <s v="Prapto"/>
    <s v="Nadia"/>
  </r>
  <r>
    <n v="243"/>
    <s v="054/BSW-DIGINUSA/ADD/VII/2023"/>
    <s v="Yayasan Kasih Abadi"/>
    <s v="Michel Sanjaya"/>
    <x v="220"/>
    <s v="D"/>
    <s v="Linda "/>
    <m/>
    <n v="3"/>
    <n v="2022"/>
    <n v="2025"/>
    <x v="0"/>
    <s v="Lisensi"/>
    <s v="SEIS"/>
    <n v="15000"/>
    <m/>
    <m/>
    <s v="Dwi Susanto"/>
    <s v="Henry"/>
    <s v="Sapar"/>
  </r>
  <r>
    <n v="244"/>
    <s v="033/BSW-DIGINUSA/MOU/VI/2022"/>
    <s v="Yayasan Kasih Abadi"/>
    <s v="Michel Sanjaya"/>
    <x v="221"/>
    <s v="D"/>
    <s v="Ms. Nina Francesca Fuentes-Genardo"/>
    <m/>
    <n v="3"/>
    <n v="2022"/>
    <n v="2025"/>
    <x v="0"/>
    <s v="Lisensi"/>
    <s v="ITPreneur Inter "/>
    <n v="25000"/>
    <m/>
    <n v="50000"/>
    <s v="Dwi Susanto"/>
    <s v="Henry"/>
    <s v="Sapar"/>
  </r>
  <r>
    <n v="245"/>
    <s v="033/BSW-DIGINUSA/MOU/VI/2022"/>
    <s v="Yayasan Kasih Abadi"/>
    <s v="Michel Sanjaya"/>
    <x v="222"/>
    <s v="D"/>
    <s v="Ms. Nina Francesca Fuentes-Genardo"/>
    <m/>
    <n v="3"/>
    <n v="2022"/>
    <n v="2025"/>
    <x v="0"/>
    <s v="Lisensi"/>
    <s v="ITPreneur Inter "/>
    <n v="25000"/>
    <m/>
    <n v="50000"/>
    <s v="Dwi Susanto"/>
    <s v="Henry"/>
    <s v="Sapar"/>
  </r>
  <r>
    <n v="246"/>
    <s v="008/BSW-DIGINUSA/MOU/IV/2023"/>
    <s v="Yayasan Xaverius Palembang"/>
    <s v="C. Mujito, S.Pd (Kepala Kantor Perwakilan  YXP)"/>
    <x v="223"/>
    <s v="D"/>
    <s v="Maryanti "/>
    <m/>
    <n v="3"/>
    <n v="2023"/>
    <n v="2026"/>
    <x v="0"/>
    <s v="Lisensi"/>
    <s v="SmartExplorer"/>
    <n v="11000"/>
    <m/>
    <m/>
    <s v="Mulyadi"/>
    <s v="Rika"/>
    <s v="Vita"/>
  </r>
  <r>
    <n v="247"/>
    <s v="008/BSW-DIGINUSA/MOU/IV/2023"/>
    <s v="Yayasan Xaverius Palembang"/>
    <s v="C. Mujito, S.Pd (Kepala Kantor Perwakilan  YXP)"/>
    <x v="224"/>
    <m/>
    <s v="Thomas Klimin "/>
    <m/>
    <n v="3"/>
    <n v="2023"/>
    <n v="2026"/>
    <x v="0"/>
    <s v="Lisensi"/>
    <m/>
    <n v="11000"/>
    <m/>
    <m/>
    <s v="Sudarmono"/>
    <s v="Rika"/>
    <s v="Vita"/>
  </r>
  <r>
    <n v="248"/>
    <s v="025/BSW-DIGINUSA/MOU/VI/2023"/>
    <s v="Yayasan Pendidikan Regina Pacis FMM Cab. Jambi"/>
    <m/>
    <x v="225"/>
    <m/>
    <s v="Sr. Emiliana Surajinah, FMM"/>
    <m/>
    <n v="3"/>
    <n v="2023"/>
    <n v="2026"/>
    <x v="0"/>
    <s v="Sewa Pinjam"/>
    <s v="Informatika Kurmer"/>
    <s v="Setiap bulan Rp25.000.000_x000a_Desember Rp20.000.000_x000a_Juli Rp12.500.000"/>
    <m/>
    <s v="LKS tahun 1 Rp35.000_x000a_LKS tahun 2&amp;3 Rp45.000"/>
    <s v="Mulyadi"/>
    <s v="Wijaya"/>
    <s v="Vita"/>
  </r>
  <r>
    <n v="249"/>
    <s v="052/MK-BSW/MOU/V/2018"/>
    <s v="YPK Anugerah Abadi"/>
    <m/>
    <x v="226"/>
    <s v="D"/>
    <s v="Caroline Grace Marlyn, SE"/>
    <m/>
    <n v="0"/>
    <m/>
    <m/>
    <x v="0"/>
    <s v="Lisensi"/>
    <s v="SmartTK"/>
    <m/>
    <m/>
    <m/>
    <s v="Syahrul Mubaroq"/>
    <s v="Wijaya"/>
    <s v="Ayu"/>
  </r>
  <r>
    <n v="250"/>
    <s v="049/BSW-DIGINUSA/MOU/VII/2023"/>
    <s v="Yayasan Anugerah Abadi "/>
    <s v="Caroline Grace Marlyn, S.E., M.Pd. (Badan Pengurus Harian)"/>
    <x v="227"/>
    <s v="D"/>
    <s v="Caroline Grace Marlyn, SE"/>
    <m/>
    <n v="3"/>
    <n v="2023"/>
    <n v="2026"/>
    <x v="0"/>
    <s v="Lisensi"/>
    <s v="Informatika Kurmer"/>
    <n v="2000000"/>
    <m/>
    <m/>
    <s v="Syahrul Mubaroq"/>
    <s v="Wijaya"/>
    <s v="Doni"/>
  </r>
  <r>
    <n v="251"/>
    <s v="049/BSW-DIGINUSA/MOU/VII/2023"/>
    <m/>
    <s v="Caroline Grace Marlyn, S.E., M.Pd. (Badan Pengurus Harian)"/>
    <x v="228"/>
    <s v="D"/>
    <s v="Caroline Grace Marlyn, SE"/>
    <m/>
    <n v="3"/>
    <n v="2023"/>
    <n v="2026"/>
    <x v="0"/>
    <s v="Lisensi"/>
    <s v="Informatika Kurmer"/>
    <n v="2000000"/>
    <m/>
    <m/>
    <s v="Syahrul Mubaroq"/>
    <s v="Wijaya"/>
    <s v="Doni"/>
  </r>
  <r>
    <n v="252"/>
    <s v="053/BSW-DIGINUSA/MOU/VI/2023"/>
    <m/>
    <m/>
    <x v="229"/>
    <s v="D"/>
    <s v="Fransiskus Pranoto"/>
    <m/>
    <n v="3"/>
    <n v="2023"/>
    <n v="2026"/>
    <x v="0"/>
    <s v="Lisensi"/>
    <s v="Informatika Kurmer"/>
    <n v="10000"/>
    <m/>
    <m/>
    <s v="Syahrul Mubaroq"/>
    <s v="Wijaya"/>
    <s v="Adam"/>
  </r>
  <r>
    <n v="253"/>
    <s v="053/BSW-DIGINUSA/MOU/VI/2023"/>
    <m/>
    <m/>
    <x v="230"/>
    <s v="D"/>
    <s v="Partono"/>
    <m/>
    <n v="3"/>
    <n v="2023"/>
    <n v="2026"/>
    <x v="0"/>
    <s v="Lisensi"/>
    <s v="Informatika Kurmer"/>
    <n v="10000"/>
    <m/>
    <m/>
    <s v="Syahrul Mubaroq"/>
    <s v="Wijaya"/>
    <s v="Adam"/>
  </r>
  <r>
    <n v="254"/>
    <s v="046/BSW-DIGINUSA/MOU/VII/2022"/>
    <s v="Yayasan Pendidikan Nitya Bhakti"/>
    <s v="Sr. Hilda Sri Purwaningsih, OSU"/>
    <x v="231"/>
    <s v="D"/>
    <s v="Juliati sofia "/>
    <m/>
    <n v="1"/>
    <n v="2022"/>
    <n v="2023"/>
    <x v="1"/>
    <s v="Lisensi"/>
    <s v="SmartExplorer"/>
    <n v="10000"/>
    <m/>
    <m/>
    <s v="Zainal Mutaqin"/>
    <s v="Wijaya"/>
    <m/>
  </r>
  <r>
    <n v="255"/>
    <s v="019/BSW-DIGINUSA/MOU/VII/2021"/>
    <s v="Yayasan Salib Suci Bandung"/>
    <s v="Pst. Dr. Fransiskus Samong, OSC"/>
    <x v="232"/>
    <s v="D"/>
    <s v="Gaudentia Nina Suhastuti "/>
    <m/>
    <n v="3"/>
    <n v="2021"/>
    <n v="2024"/>
    <x v="1"/>
    <s v="Lisensi"/>
    <s v="Informatika Kurmer"/>
    <n v="9000"/>
    <m/>
    <m/>
    <s v="Dodi Kusumo Adi"/>
    <s v="Yulis"/>
    <s v="Nadia"/>
  </r>
  <r>
    <n v="256"/>
    <s v="040/BSW-DIGINUSA/MOU/XII/2021"/>
    <s v="Yayasan Taruna Bakti"/>
    <s v="Ibramsyah Amir, S.E., M.B.A. Tech."/>
    <x v="233"/>
    <s v="D"/>
    <s v="Irma Meirani"/>
    <m/>
    <n v="2"/>
    <n v="2022"/>
    <n v="2024"/>
    <x v="1"/>
    <s v="Sewa Beli"/>
    <s v="Informatika Kurmer"/>
    <s v="Semula Rp28.785 menjadi Rp31.000"/>
    <m/>
    <m/>
    <s v="Elias Lake"/>
    <s v="Wijaya"/>
    <s v="Burhan"/>
  </r>
  <r>
    <n v="257"/>
    <s v="083/BSW-DIGINUSA/ADD/XII/2022"/>
    <s v="Yayasan Taruna Bakti"/>
    <s v="Ibramsyah Amir, S.E., M.B.A. Tech."/>
    <x v="233"/>
    <m/>
    <s v="Irma Meirani"/>
    <m/>
    <n v="2"/>
    <n v="2022"/>
    <n v="2024"/>
    <x v="1"/>
    <s v="Sewa Beli"/>
    <s v="Informatika Kurmer"/>
    <s v="Semula Rp28.785 menjadi Rp31.000"/>
    <m/>
    <m/>
    <s v="Elias Lake"/>
    <s v="Wijaya"/>
    <s v="Burhan"/>
  </r>
  <r>
    <n v="258"/>
    <s v="023/BSW-DIGINUSA/MOU/V/2022"/>
    <m/>
    <m/>
    <x v="234"/>
    <s v="D"/>
    <s v="Sr. Feliciana, OSF"/>
    <m/>
    <n v="3"/>
    <n v="2022"/>
    <n v="2025"/>
    <x v="0"/>
    <s v="Sewa Beli"/>
    <s v="SmartExplorer"/>
    <n v="35000"/>
    <m/>
    <m/>
    <s v="M Nurfi Karim"/>
    <s v="Wijaya"/>
    <s v="Nadia"/>
  </r>
  <r>
    <n v="259"/>
    <s v="022/BSW-DIGINUSA/MOU/VI/2023"/>
    <s v="Yayasan Karya Sang Timur"/>
    <m/>
    <x v="235"/>
    <s v="D"/>
    <s v="Sr. Sylvia, PIJ"/>
    <m/>
    <n v="3"/>
    <n v="2023"/>
    <n v="2026"/>
    <x v="0"/>
    <s v="Sewa Pinjam"/>
    <s v="SmartExplorer"/>
    <n v="8600000"/>
    <m/>
    <m/>
    <s v="Herlangga"/>
    <s v="Bayu"/>
    <s v="Unggul"/>
  </r>
  <r>
    <n v="260"/>
    <s v="068/BSW-DIGINUSA/MOU/IX/2022"/>
    <m/>
    <m/>
    <x v="236"/>
    <s v="D"/>
    <s v="Elisabeth Murniati, S.Pd."/>
    <m/>
    <n v="3"/>
    <n v="2022"/>
    <n v="2025"/>
    <x v="0"/>
    <s v="Sewa Pinjam"/>
    <s v="Informatika Kurmer"/>
    <n v="5040000"/>
    <m/>
    <m/>
    <s v="Herlangga"/>
    <s v="Bayu"/>
    <s v="Unggul"/>
  </r>
  <r>
    <n v="261"/>
    <s v="006/BSW-DIGINUSA/MOU/IV/2021"/>
    <s v="Yayasan Yohanes Gabriel"/>
    <s v="RD. Antonius Iwan Setyabudi"/>
    <x v="237"/>
    <s v="D"/>
    <s v="Bernardus Didik Sumarsono"/>
    <m/>
    <n v="3"/>
    <n v="2021"/>
    <n v="2024"/>
    <x v="1"/>
    <s v="Kontrak Pengajaran"/>
    <m/>
    <s v="Rp21.000 (Setiap TAB pembayaran dibagi menjadi 3 waktu, info lebih detail cek ke Rekap Pembayaran)"/>
    <m/>
    <m/>
    <s v="Herlangga"/>
    <s v="Fauzi"/>
    <s v="Unggul"/>
  </r>
  <r>
    <n v="262"/>
    <s v="002/BSW-DIGINUSA/MOU/II/2022"/>
    <s v="Yayasan Kalam Kudus  Indonesia Cabang  Surabaya (YKKI)"/>
    <s v="Sieto Nini Bachry"/>
    <x v="238"/>
    <m/>
    <s v="Augie Constanta Pentury "/>
    <m/>
    <n v="3"/>
    <n v="2022"/>
    <n v="2025"/>
    <x v="0"/>
    <s v="Lisensi"/>
    <s v="SmartTK"/>
    <n v="1700000"/>
    <m/>
    <m/>
    <s v="Herlangga"/>
    <s v="Bayu"/>
    <s v="Unggul"/>
  </r>
  <r>
    <n v="263"/>
    <s v="002/BSW-DIGINUSA/MOU/II/2022"/>
    <s v="Yayasan Kalam Kudus  Indonesia Cabang  Surabaya (YKKI)"/>
    <s v="Sieto Nini Bachry"/>
    <x v="239"/>
    <s v="D"/>
    <s v="Diana Taniwel"/>
    <m/>
    <n v="3"/>
    <n v="2022"/>
    <n v="2025"/>
    <x v="0"/>
    <s v="Lisensi"/>
    <s v="Informatika Kurmer"/>
    <n v="1700000"/>
    <m/>
    <m/>
    <s v="Herlangga"/>
    <s v="Bayu"/>
    <s v="Unggul"/>
  </r>
  <r>
    <n v="264"/>
    <s v="002/BSW-DIGINUSA/MOU/II/2022"/>
    <s v="Yayasan Kalam Kudus  Indonesia Cabang  Surabaya (YKKI)"/>
    <s v="Sieto Nini Bachry"/>
    <x v="240"/>
    <s v="D"/>
    <s v="Siintia Alberthina Nanuru"/>
    <m/>
    <n v="3"/>
    <n v="2022"/>
    <n v="2025"/>
    <x v="0"/>
    <s v="Lisensi"/>
    <s v="Informatika Kurmer"/>
    <n v="1700000"/>
    <m/>
    <m/>
    <s v="Herlangga"/>
    <s v="Bayu"/>
    <s v="Unggul"/>
  </r>
  <r>
    <n v="265"/>
    <s v="002/BSW-DIGINUSA/MOU/II/2022"/>
    <s v="Yayasan Kalam Kudus  Indonesia Cabang  Surabaya (YKKI)"/>
    <s v="Sieto Nini Bachry"/>
    <x v="241"/>
    <s v="D"/>
    <s v="Herlin Pattipeilohy"/>
    <m/>
    <n v="3"/>
    <n v="2022"/>
    <n v="2025"/>
    <x v="0"/>
    <s v="Lisensi"/>
    <s v="Informatika Kurmer"/>
    <n v="1700000"/>
    <m/>
    <m/>
    <s v="Herlangga"/>
    <s v="Bayu"/>
    <s v="Unggul"/>
  </r>
  <r>
    <n v="266"/>
    <s v="050/BSW-DIGINUSA/MOU/VII/2022"/>
    <m/>
    <m/>
    <x v="242"/>
    <s v="D"/>
    <s v="Choirul Fauzi, M.Pd.I"/>
    <m/>
    <n v="3"/>
    <n v="2022"/>
    <n v="2025"/>
    <x v="0"/>
    <s v="Lisensi"/>
    <m/>
    <n v="4000000"/>
    <m/>
    <m/>
    <s v="Herlangga"/>
    <s v="Bayu"/>
    <s v="Unggul"/>
  </r>
  <r>
    <n v="267"/>
    <s v="036/BSW-DIGINUSA/MOU/VII/2023"/>
    <s v="Yayasan Anak Bangsa"/>
    <s v="Felix, S.T. (Head of General Affair)"/>
    <x v="243"/>
    <s v="D"/>
    <s v="Simeon Sulistyo, S.Psi., M.Sc., M.Pd. (HRD)"/>
    <m/>
    <n v="1"/>
    <n v="2023"/>
    <n v="2024"/>
    <x v="1"/>
    <s v="Sewa Pinjam"/>
    <s v="Informatika Kurmer"/>
    <n v="39500"/>
    <m/>
    <m/>
    <s v="Herlangga"/>
    <s v="Fauzi"/>
    <s v="Unggul"/>
  </r>
  <r>
    <n v="268"/>
    <s v="036/BSW-DIGINUSA/MOU/VII/2023"/>
    <s v="Yayasan Anak Bangsa"/>
    <s v="Felix, S.T. (Head of General Affair)"/>
    <x v="244"/>
    <s v="D"/>
    <s v="Simeon Sulistyo, S.Psi., M.Sc., M.Pd. (HRD)"/>
    <m/>
    <n v="1"/>
    <n v="2023"/>
    <n v="2024"/>
    <x v="1"/>
    <s v="Sewa Pinjam"/>
    <s v="Informatika Kurmer"/>
    <n v="39500"/>
    <m/>
    <m/>
    <s v="Herlangga"/>
    <s v="Fauzi"/>
    <s v="Unggul"/>
  </r>
  <r>
    <n v="269"/>
    <s v="036/BSW-DIGINUSA/MOU/VII/2023"/>
    <s v="Yayasan Anak Bangsa"/>
    <s v="Felix, S.T. (Head of General Affair)"/>
    <x v="245"/>
    <s v="D"/>
    <s v="Simeon Sulistyo, S.Psi., M.Sc., M.Pd. (HRD)"/>
    <m/>
    <n v="1"/>
    <n v="2023"/>
    <n v="2024"/>
    <x v="1"/>
    <s v="Sewa Pinjam"/>
    <s v="Informatika Kurmer"/>
    <n v="39500"/>
    <m/>
    <m/>
    <s v="Herlangga"/>
    <s v="Fauzi"/>
    <s v="Unggul"/>
  </r>
  <r>
    <n v="270"/>
    <s v="053/BSW-DIGINUSA/MOU/VII/2022"/>
    <s v="Yayasan Margie"/>
    <s v="Listiyani Hadiwidjaja, S.E., M.Fin."/>
    <x v="246"/>
    <s v="D"/>
    <s v="Siti Aisa"/>
    <m/>
    <n v="1"/>
    <n v="2022"/>
    <n v="2023"/>
    <x v="1"/>
    <s v="Kontrak Pengajaran"/>
    <s v="SmartTK"/>
    <m/>
    <m/>
    <m/>
    <s v="Herlangga"/>
    <s v="Fauzi"/>
    <s v="Unggul"/>
  </r>
  <r>
    <n v="271"/>
    <s v="065/BSW-DIGINUSA/MOU/VII/2023"/>
    <s v="Yayasan Margie"/>
    <s v="Listiyani Hadiwidjaja, S.E., M.Fin."/>
    <x v="247"/>
    <s v="D"/>
    <s v="Sri Edawati"/>
    <m/>
    <n v="1"/>
    <n v="2023"/>
    <n v="2024"/>
    <x v="1"/>
    <s v="Kontrak Pengajaran"/>
    <s v="Informatika Kurmer"/>
    <n v="27666666.666666668"/>
    <m/>
    <m/>
    <s v="Herlangga"/>
    <s v="Fauzi"/>
    <s v="Unggul"/>
  </r>
  <r>
    <n v="272"/>
    <s v="065/BSW-DIGINUSA/MOU/VII/2023"/>
    <s v="Yayasan Margie"/>
    <s v="Listiyani Hadiwidjaja, S.E., M.Fin."/>
    <x v="248"/>
    <s v="D"/>
    <s v="Dini Hapsari"/>
    <m/>
    <n v="1"/>
    <n v="2023"/>
    <n v="2024"/>
    <x v="1"/>
    <s v="Kontrak Pengajaran"/>
    <s v="Informatika Kurmer"/>
    <n v="27666666.666666668"/>
    <m/>
    <m/>
    <s v="Herlangga"/>
    <s v="Fauzi"/>
    <s v="Unggul"/>
  </r>
  <r>
    <n v="273"/>
    <s v="065/BSW-DIGINUSA/MOU/VII/2023"/>
    <s v="Yayasan Margie"/>
    <s v="Listiyani Hadiwidjaja, S.E., M.Fin."/>
    <x v="249"/>
    <s v="D"/>
    <s v="PLT - Dini Hapsari"/>
    <m/>
    <n v="1"/>
    <n v="2023"/>
    <n v="2024"/>
    <x v="1"/>
    <s v="Kontrak Pengajaran"/>
    <s v="Informatika Kurmer"/>
    <n v="27666666.666666668"/>
    <m/>
    <m/>
    <s v="Herlangga"/>
    <s v="Fauzi"/>
    <s v="Unggul"/>
  </r>
  <r>
    <n v="274"/>
    <s v="025/BSW-DIGINUSA/MOU/V/2022"/>
    <s v="Yayasan Happy Family School"/>
    <s v="Eddy Soeprapto"/>
    <x v="250"/>
    <s v="D"/>
    <s v="Ms. Irene Fransisca Caturtiasih, S.H.,M.M."/>
    <m/>
    <n v="3"/>
    <n v="2022"/>
    <n v="2025"/>
    <x v="0"/>
    <s v="Kontrak Pengajaran"/>
    <s v="Informatika Kurmer"/>
    <n v="5400000"/>
    <m/>
    <m/>
    <s v="Herlangga"/>
    <s v="Fauzi"/>
    <s v="Unggul"/>
  </r>
  <r>
    <n v="275"/>
    <s v="025/BSW-DIGINUSA/MOU/V/2022"/>
    <s v="Yayasan Happy Family School"/>
    <s v="Eddy Soeprapto"/>
    <x v="251"/>
    <s v="D"/>
    <s v="Ms. Fifi Trisnawati, S.T., M.M."/>
    <m/>
    <n v="3"/>
    <n v="2022"/>
    <n v="2025"/>
    <x v="0"/>
    <s v="Kontrak Pengajaran"/>
    <s v="Informatika Kurmer"/>
    <n v="1600000"/>
    <m/>
    <m/>
    <s v="Herlangga"/>
    <s v="Fauzi"/>
    <s v="Unggul"/>
  </r>
  <r>
    <n v="276"/>
    <s v="082/MK-BSW/MOU/VIII/2018"/>
    <s v="PT. Masa Depan Cemerlang"/>
    <s v="Inge Tenggara"/>
    <x v="252"/>
    <s v="D"/>
    <s v="PLT - Yosi Eka Mulyaningsih"/>
    <m/>
    <n v="5"/>
    <n v="2018"/>
    <n v="2023"/>
    <x v="1"/>
    <s v="Sewa Pinjam"/>
    <s v="SmartTK"/>
    <s v="April Rp5.000.000 &amp; Juni Rp5.000.0000"/>
    <m/>
    <m/>
    <s v="Herlangga"/>
    <s v="Fauzi"/>
    <s v="Unggul"/>
  </r>
  <r>
    <n v="277"/>
    <s v="075/BSW-DIGINUSA/ADD/IX/2022"/>
    <s v="PT. Masa Depan Cemerlang"/>
    <s v="Inge Tenggara"/>
    <x v="252"/>
    <m/>
    <m/>
    <m/>
    <m/>
    <m/>
    <m/>
    <x v="2"/>
    <s v="Sewa Pinjam"/>
    <s v="SmartTK"/>
    <s v="April Rp5.000.000 &amp; Juni Rp5.000.0001"/>
    <m/>
    <m/>
    <m/>
    <s v="Fauzi"/>
    <s v="Unggul"/>
  </r>
  <r>
    <n v="278"/>
    <s v="082/MK-BSW/MOU/VIII/2018"/>
    <s v="PT. Masa Depan Cemerlang"/>
    <s v="Inge Tenggara"/>
    <x v="253"/>
    <s v="D"/>
    <s v="Yosi Eka Mulyaningsih"/>
    <m/>
    <n v="5"/>
    <n v="2018"/>
    <n v="2023"/>
    <x v="1"/>
    <s v="Sewa Pinjam"/>
    <m/>
    <s v="April Rp5.000.000 &amp; Juni Rp5.000.0002"/>
    <m/>
    <m/>
    <s v="Herlangga"/>
    <s v="Fauzi"/>
    <s v="Unggul"/>
  </r>
  <r>
    <n v="279"/>
    <s v="075/BSW-DIGINUSA/ADD/IX/2022"/>
    <s v="PT. Masa Depan Cemerlang"/>
    <s v="Inge Tenggara"/>
    <x v="253"/>
    <m/>
    <m/>
    <m/>
    <m/>
    <m/>
    <m/>
    <x v="2"/>
    <s v="Sewa Pinjam"/>
    <s v="Informatika Kurmer"/>
    <s v="April Rp5.000.000 &amp; Juni Rp5.000.0003"/>
    <m/>
    <m/>
    <m/>
    <s v="Fauzi"/>
    <s v="Unggul"/>
  </r>
  <r>
    <n v="280"/>
    <s v="055/BSW-DIGINUSA/MOU/VII/2023"/>
    <s v="Yayasan Paratha Bhakti"/>
    <s v="Sr. Noorwindhi Kartika Dewi, OSU"/>
    <x v="254"/>
    <s v="D"/>
    <s v="Yunitha Ike Christyowati, S.Pd"/>
    <m/>
    <n v="1"/>
    <n v="2023"/>
    <n v="2024"/>
    <x v="1"/>
    <s v="Kontrak Pengajaran"/>
    <s v="SmartExplorer"/>
    <n v="18500"/>
    <m/>
    <m/>
    <s v="Herlangga"/>
    <s v="Fauzi"/>
    <s v="Unggul"/>
  </r>
  <r>
    <n v="281"/>
    <s v="082/BSW-DIGINUSA/MOU/XI/2022"/>
    <m/>
    <m/>
    <x v="255"/>
    <s v="D"/>
    <s v="Drs. Madhari"/>
    <m/>
    <n v="2"/>
    <n v="2023"/>
    <n v="2025"/>
    <x v="0"/>
    <s v="Sewa Beli"/>
    <m/>
    <n v="8250000"/>
    <m/>
    <m/>
    <s v="Abdul Rohman"/>
    <s v="Idy"/>
    <s v="Angga"/>
  </r>
  <r>
    <n v="282"/>
    <s v="082/BSW-DIGINUSA/MOU/XI/2022"/>
    <m/>
    <m/>
    <x v="256"/>
    <s v="D"/>
    <s v="Drs. Madhari"/>
    <m/>
    <n v="2"/>
    <n v="2023"/>
    <n v="2025"/>
    <x v="0"/>
    <s v="Sewa Beli"/>
    <m/>
    <n v="8250000"/>
    <m/>
    <m/>
    <s v="Abdul Rohman"/>
    <s v="Idy"/>
    <s v="Angga"/>
  </r>
  <r>
    <n v="283"/>
    <s v="048/BSW-DIGINUSA/MOU/VI/2023"/>
    <s v="Yayasan Abdi Karya"/>
    <m/>
    <x v="257"/>
    <s v="D"/>
    <s v="Dra. Luky Mardiana"/>
    <m/>
    <n v="1"/>
    <n v="2023"/>
    <n v="2024"/>
    <x v="1"/>
    <s v="Lisensi"/>
    <s v="ITPreneur"/>
    <n v="20000"/>
    <m/>
    <m/>
    <s v="Abdul Rohman"/>
    <s v="Idy"/>
    <s v="Sapar"/>
  </r>
  <r>
    <n v="284"/>
    <s v="020/BSW-DIGINUSA/MOU/IV/2022"/>
    <m/>
    <m/>
    <x v="258"/>
    <m/>
    <s v="Yuliana Astarina M S.Pd."/>
    <m/>
    <n v="3"/>
    <n v="2022"/>
    <n v="2025"/>
    <x v="0"/>
    <s v="Intra"/>
    <s v="Robotik"/>
    <n v="4255000"/>
    <m/>
    <m/>
    <s v="Herlangga"/>
    <s v="Fauzy"/>
    <s v="Unggul"/>
  </r>
  <r>
    <n v="285"/>
    <s v="058/BSW-DIGINUSA/MOU/VII/2023"/>
    <s v="Yayasan Pelita Kasih Abadi"/>
    <s v="Elsje Tjandinegara"/>
    <x v="259"/>
    <m/>
    <s v="Margriet Utami Taher"/>
    <m/>
    <n v="1"/>
    <n v="2023"/>
    <n v="2024"/>
    <x v="1"/>
    <s v="Intra"/>
    <s v="Robotik"/>
    <n v="35000"/>
    <n v="3500000"/>
    <m/>
    <m/>
    <s v="Desi"/>
    <s v="Yoni"/>
  </r>
  <r>
    <n v="286"/>
    <s v="017/BSW-DIGINUSA/MOU/V/2023"/>
    <m/>
    <m/>
    <x v="260"/>
    <m/>
    <s v="Muhammad Farid Ma'ruf, M.Pd."/>
    <m/>
    <n v="1"/>
    <n v="2023"/>
    <n v="2024"/>
    <x v="1"/>
    <s v="Ekskul"/>
    <s v="Robotik"/>
    <n v="5100000"/>
    <m/>
    <m/>
    <s v="Herlangga"/>
    <s v="Fauzy"/>
    <s v="Unggul"/>
  </r>
  <r>
    <n v="287"/>
    <s v="071/BSW-DIGINUSA/MOU/VIII/2023"/>
    <m/>
    <m/>
    <x v="261"/>
    <m/>
    <s v="Mario Naulibasa Tamba"/>
    <m/>
    <n v="1"/>
    <n v="2023"/>
    <n v="2024"/>
    <x v="1"/>
    <s v="Ekskul"/>
    <s v="Robotik"/>
    <n v="50000"/>
    <m/>
    <m/>
    <m/>
    <s v="Threesna"/>
    <s v="Yoni"/>
  </r>
  <r>
    <n v="288"/>
    <s v="064/BSW-DIGINUSA/MOU/VIII/2023"/>
    <s v="Yayasan Salib Suci"/>
    <m/>
    <x v="262"/>
    <m/>
    <s v="Goudentia Nina Suhasti"/>
    <m/>
    <n v="1"/>
    <n v="2023"/>
    <n v="2024"/>
    <x v="1"/>
    <s v="Ekskul"/>
    <s v="Coding"/>
    <n v="27000"/>
    <m/>
    <m/>
    <s v="Dodi Kusumo Adi"/>
    <s v="Yulis"/>
    <s v="Yoni"/>
  </r>
  <r>
    <n v="289"/>
    <s v="073/BSW-DIGINUSA/MOU/IX/2022"/>
    <s v="Yayasan Salib Suci"/>
    <m/>
    <x v="263"/>
    <m/>
    <s v="Fransisca Dwi Sariasmara, S.T."/>
    <m/>
    <n v="1"/>
    <n v="2022"/>
    <n v="2023"/>
    <x v="1"/>
    <m/>
    <s v="Coding"/>
    <n v="32500"/>
    <m/>
    <m/>
    <s v="Dodi Kusumo Adi"/>
    <s v="Yulis"/>
    <m/>
  </r>
  <r>
    <n v="290"/>
    <s v="069/BSW-DIGINUSA/MOU/IX/2022"/>
    <m/>
    <m/>
    <x v="264"/>
    <m/>
    <s v="Elisabeth Murniati, S.Pd."/>
    <m/>
    <n v="3"/>
    <n v="2022"/>
    <n v="2025"/>
    <x v="0"/>
    <s v="Intra"/>
    <s v="Robotik"/>
    <n v="5040000"/>
    <m/>
    <m/>
    <s v="Herlangga"/>
    <s v="Bayu"/>
    <s v="Unggul"/>
  </r>
  <r>
    <n v="291"/>
    <s v="002/BSW-DIGINUSA/MOU/II/2023"/>
    <m/>
    <m/>
    <x v="265"/>
    <m/>
    <s v="Sr. M. Agnesita Pujiati, OSF"/>
    <m/>
    <n v="1"/>
    <n v="2023"/>
    <n v="2024"/>
    <x v="1"/>
    <s v="Ekskul"/>
    <s v="Coding"/>
    <n v="10000"/>
    <m/>
    <m/>
    <s v="M Nurfi Karim"/>
    <s v="Wijaya"/>
    <s v="Yoni"/>
  </r>
  <r>
    <n v="292"/>
    <s v="006/BSW-DIGINUSA/MOU/III/2023"/>
    <m/>
    <s v="Sr. Brigitta, CB (Sekretaris Eksekutif)"/>
    <x v="266"/>
    <m/>
    <m/>
    <m/>
    <n v="2"/>
    <n v="2023"/>
    <n v="2025"/>
    <x v="0"/>
    <s v="Sewa Pinjam"/>
    <s v="DKV, Animasi &amp; Informatika"/>
    <s v="Tahun pertama Rp27.500.000_x000a_Tahun Kedua Rp28.000.000"/>
    <m/>
    <m/>
    <s v="Zainal Mutaqin"/>
    <s v="Rika"/>
    <s v="Yusuf"/>
  </r>
  <r>
    <n v="293"/>
    <s v="080/BSW-DIGINUSA/MOU/VIII/2023"/>
    <s v="Yayasan Pendidikan Regina Pacis FMM Cab. Jambi"/>
    <m/>
    <x v="267"/>
    <m/>
    <s v="Sr. Emiliana Surajinah, FMM, S.Pd., M.Pd."/>
    <m/>
    <s v="24 sesi"/>
    <n v="2023"/>
    <n v="2024"/>
    <x v="1"/>
    <s v="Ekskul"/>
    <s v="Robotik"/>
    <n v="135000"/>
    <m/>
    <m/>
    <m/>
    <s v="Wijaya"/>
    <s v="Yoni"/>
  </r>
  <r>
    <n v="294"/>
    <s v="003/BSW-DIGINUSA/MOU/III/2022"/>
    <s v="Yayasan Dhira Bhakti"/>
    <s v="Sr. Regina Supraptiwi, OSU"/>
    <x v="268"/>
    <m/>
    <m/>
    <m/>
    <n v="3"/>
    <n v="2022"/>
    <n v="2025"/>
    <x v="0"/>
    <s v="Ekskul"/>
    <s v="Robotik"/>
    <n v="9000000"/>
    <m/>
    <m/>
    <m/>
    <s v="Bayu"/>
    <s v="Unggul"/>
  </r>
  <r>
    <n v="295"/>
    <s v="009/BSW-DIGINUSA/MOU/IV/2023"/>
    <m/>
    <m/>
    <x v="269"/>
    <m/>
    <s v="Yosef Todarung, S.S.,M.M."/>
    <m/>
    <n v="1"/>
    <n v="2023"/>
    <n v="2024"/>
    <x v="1"/>
    <s v="Lisensi"/>
    <s v="HW/SW"/>
    <s v="Juli 2023 Rp24.900.000_x000a_Desember 2023 Rp24.900.000"/>
    <m/>
    <m/>
    <m/>
    <s v="Mery"/>
    <s v="Yusuf"/>
  </r>
  <r>
    <n v="296"/>
    <s v="013/BSW-DIGINUSA/MOU/V/2023"/>
    <s v="Yayasan Panti Asuhan Katolik "/>
    <s v="Veronica Tri Hartini, S.E., M.M."/>
    <x v="270"/>
    <m/>
    <m/>
    <m/>
    <n v="3"/>
    <n v="2023"/>
    <n v="2026"/>
    <x v="0"/>
    <s v="Sewa Beli"/>
    <s v="DKV Animasi "/>
    <n v="27000"/>
    <m/>
    <m/>
    <m/>
    <s v="Pami"/>
    <s v="Vita"/>
  </r>
  <r>
    <n v="297"/>
    <s v="011/BSW-DIGINUSA/MOU/IV/2023"/>
    <m/>
    <m/>
    <x v="271"/>
    <m/>
    <s v="Agustina Wagiyanti"/>
    <m/>
    <n v="1"/>
    <n v="2023"/>
    <n v="2024"/>
    <x v="1"/>
    <s v="Lisensi"/>
    <s v="TIK"/>
    <n v="10000"/>
    <m/>
    <m/>
    <s v="Abdul Rohman"/>
    <s v="Wijaya"/>
    <s v="Nadia"/>
  </r>
  <r>
    <n v="298"/>
    <s v="015/BSW-DIGINUSA/MOU/V/2023"/>
    <s v="Yayasan Tunas Harapan"/>
    <s v="Irene Setiawati, M.Pd. (Kepala Dept. Kurikulum)"/>
    <x v="272"/>
    <m/>
    <m/>
    <m/>
    <n v="3"/>
    <n v="2023"/>
    <n v="2026"/>
    <x v="0"/>
    <s v="Sewa Pinjam"/>
    <s v="TIK"/>
    <n v="18000"/>
    <m/>
    <m/>
    <s v="Wahyu Piki Julianto"/>
    <s v="Henry"/>
    <s v="Doni"/>
  </r>
  <r>
    <n v="299"/>
    <s v="015/BSW-DIGINUSA/MOU/V/2023"/>
    <s v="Yayasan Tunas Harapan"/>
    <s v="Irene Setiawati, M.Pd. (Kepala Dept. Kurikulum)"/>
    <x v="273"/>
    <m/>
    <m/>
    <m/>
    <n v="3"/>
    <n v="2023"/>
    <n v="2026"/>
    <x v="0"/>
    <s v="Sewa Pinjam"/>
    <s v="TIK"/>
    <n v="18000"/>
    <m/>
    <m/>
    <s v="Wahyu Piki Julianto"/>
    <s v="Henry"/>
    <s v="Doni"/>
  </r>
  <r>
    <n v="300"/>
    <s v="015/BSW-DIGINUSA/MOU/V/2023"/>
    <s v="Yayasan Tunas Harapan"/>
    <s v="Irene Setiawati, M.Pd. (Kepala Dept. Kurikulum)"/>
    <x v="274"/>
    <m/>
    <m/>
    <m/>
    <n v="3"/>
    <n v="2023"/>
    <n v="2026"/>
    <x v="0"/>
    <s v="Sewa Pinjam"/>
    <s v="TIK"/>
    <n v="38000"/>
    <m/>
    <m/>
    <s v="Wahyu Piki Julianto"/>
    <s v="Henry"/>
    <s v="Doni"/>
  </r>
  <r>
    <n v="301"/>
    <s v="015/BSW-DIGINUSA/MOU/V/2023"/>
    <s v="Yayasan Tunas Harapan"/>
    <s v="Irene Setiawati, M.Pd. (Kepala Dept. Kurikulum)"/>
    <x v="275"/>
    <m/>
    <m/>
    <m/>
    <n v="3"/>
    <n v="2023"/>
    <n v="2026"/>
    <x v="0"/>
    <s v="Sewa Pinjam"/>
    <s v="TIK"/>
    <n v="38000"/>
    <m/>
    <m/>
    <s v="Wahyu Piki Julianto"/>
    <s v="Henry"/>
    <s v="Doni"/>
  </r>
  <r>
    <n v="302"/>
    <s v="073/BSW-DIGINUSA/MOU/VIII/2023"/>
    <m/>
    <m/>
    <x v="276"/>
    <m/>
    <s v="Dian Pramani (Koordinator Ekskul)"/>
    <m/>
    <s v="24 sesi"/>
    <n v="2023"/>
    <n v="2024"/>
    <x v="1"/>
    <m/>
    <s v="Robotik"/>
    <n v="200000"/>
    <m/>
    <m/>
    <m/>
    <s v="Wijaya"/>
    <s v="Yoni"/>
  </r>
  <r>
    <n v="303"/>
    <s v="008/BSW-DIGINUSA/MOU/IV/2022"/>
    <s v="Yayasan Sekar Laut Pelni"/>
    <m/>
    <x v="277"/>
    <m/>
    <s v="Dra. Tri Ujiati, M.Pd"/>
    <m/>
    <n v="3"/>
    <n v="2022"/>
    <n v="2025"/>
    <x v="0"/>
    <s v="Kontrak Pengajaran"/>
    <s v="TIK"/>
    <n v="28500"/>
    <m/>
    <m/>
    <s v="Abdul Rohman"/>
    <s v="Idy"/>
    <s v="Fani"/>
  </r>
  <r>
    <n v="304"/>
    <s v="021/BSW-DIGINUSA/MOU/VII/2021"/>
    <s v="Yayasan Pendidikan Cahaya Sakti Jakarta"/>
    <s v="Sritun Gandaputra"/>
    <x v="278"/>
    <m/>
    <m/>
    <m/>
    <n v="3"/>
    <n v="2021"/>
    <n v="2024"/>
    <x v="1"/>
    <s v="Kontrak Pengajaran"/>
    <s v="TIK"/>
    <n v="25000"/>
    <m/>
    <m/>
    <s v="Abdul Rohman"/>
    <s v="Desi"/>
    <s v="Doni"/>
  </r>
  <r>
    <n v="305"/>
    <s v="021/BSW-DIGINUSA/MOU/VII/2021"/>
    <s v="Yayasan Pendidikan Cahaya Sakti Jakarta"/>
    <s v="Sritun Gandaputra"/>
    <x v="279"/>
    <m/>
    <m/>
    <m/>
    <n v="3"/>
    <n v="2021"/>
    <n v="2024"/>
    <x v="1"/>
    <s v="Kontrak Pengajaran"/>
    <s v="TIK"/>
    <n v="25000"/>
    <m/>
    <m/>
    <s v="Abdul Rohman"/>
    <s v="Desi"/>
    <s v="Doni"/>
  </r>
  <r>
    <n v="306"/>
    <s v="077/BSW-DIGINUSA/MOU/X/2022"/>
    <m/>
    <m/>
    <x v="280"/>
    <m/>
    <s v="Paustinus Edo Kristanto"/>
    <m/>
    <n v="2"/>
    <n v="2022"/>
    <n v="2024"/>
    <x v="1"/>
    <s v="Lisensi"/>
    <m/>
    <n v="12500"/>
    <m/>
    <m/>
    <m/>
    <s v="Pami"/>
    <s v="Burhan"/>
  </r>
  <r>
    <n v="307"/>
    <s v="028/BSW-DIGINUSA/MOU/VI/2023"/>
    <m/>
    <m/>
    <x v="281"/>
    <m/>
    <s v="Jaisah,S.Pd.I.,S.Pd."/>
    <m/>
    <n v="3"/>
    <n v="2023"/>
    <n v="2026"/>
    <x v="0"/>
    <s v="Lisensi"/>
    <s v="TIK"/>
    <m/>
    <s v="Agustus, Oktober, Desember, Maret Rp21.175.000 (Pembayaran setiap bulan tersebut)"/>
    <m/>
    <s v="Herlangga Satriyanto"/>
    <s v="Fauzi"/>
    <s v="Unggul"/>
  </r>
  <r>
    <n v="308"/>
    <s v="037/BSW/BSW-DIGINUSA/MOU/VII/2023"/>
    <s v="Yayasan BPK Penabur Bogor"/>
    <s v="Aryawan"/>
    <x v="282"/>
    <m/>
    <m/>
    <m/>
    <n v="3"/>
    <n v="2023"/>
    <n v="2026"/>
    <x v="0"/>
    <s v="Kontrak Pengajaran"/>
    <s v="TIK"/>
    <n v="50000"/>
    <m/>
    <m/>
    <s v="Wahyu Piki Julianto"/>
    <s v="Henry"/>
    <s v="Burhan"/>
  </r>
  <r>
    <n v="309"/>
    <s v="037/BSW/BSW-DIGINUSA/MOU/VII/2023"/>
    <s v="Yayasan BPK Penabur Bogor"/>
    <s v="Aryawan"/>
    <x v="283"/>
    <m/>
    <m/>
    <m/>
    <n v="3"/>
    <n v="2023"/>
    <n v="2026"/>
    <x v="0"/>
    <s v="Kontrak Pengajaran"/>
    <s v="TIK"/>
    <n v="55000"/>
    <m/>
    <s v="LKS ITPreneur Internasional Rp30.000"/>
    <s v="Wahyu Piki Julianto"/>
    <s v="Henry"/>
    <s v="Burhan"/>
  </r>
  <r>
    <n v="310"/>
    <s v="030/BSW-DIGINUSA/MOU/VI/2023"/>
    <s v="Yayasan Bina Murni"/>
    <s v="Winarta"/>
    <x v="284"/>
    <m/>
    <m/>
    <m/>
    <n v="3"/>
    <n v="2023"/>
    <n v="2026"/>
    <x v="0"/>
    <s v="Lisensi"/>
    <s v="TIK"/>
    <m/>
    <s v="Setiap bulan Rp8.300.000_x000a_Juni &amp; Juli Rp4.150.000"/>
    <m/>
    <s v="Dodi Kusuma Adi "/>
    <s v="Desi"/>
    <s v="Ayu"/>
  </r>
  <r>
    <n v="311"/>
    <s v="030/BSW-DIGINUSA/MOU/VI/2023"/>
    <s v="Yayasan Bina Murni"/>
    <s v="Winarta"/>
    <x v="285"/>
    <m/>
    <m/>
    <m/>
    <n v="3"/>
    <n v="2023"/>
    <n v="2026"/>
    <x v="0"/>
    <s v="Lisensi"/>
    <s v="TIK"/>
    <m/>
    <s v="Setiap bulan Rp8.300.000_x000a_Juni &amp; Juli Rp4.150.000"/>
    <m/>
    <s v="Dodi Kusuma Adi "/>
    <s v="Desi"/>
    <s v="Ayu"/>
  </r>
  <r>
    <n v="312"/>
    <s v="033/BSW-DIGINUSA/MOU/VI/2023"/>
    <m/>
    <m/>
    <x v="265"/>
    <m/>
    <s v="Sr. M. Agnesita Pujiati, OSF, S.Pd."/>
    <m/>
    <n v="2"/>
    <n v="2023"/>
    <n v="2025"/>
    <x v="0"/>
    <s v="Lisensi"/>
    <s v="TIK"/>
    <n v="10000"/>
    <m/>
    <m/>
    <s v="Abdul Rohman"/>
    <s v="Wijaya"/>
    <s v="Nadia"/>
  </r>
  <r>
    <n v="313"/>
    <m/>
    <m/>
    <m/>
    <x v="286"/>
    <m/>
    <m/>
    <m/>
    <m/>
    <m/>
    <m/>
    <x v="2"/>
    <m/>
    <m/>
    <m/>
    <m/>
    <m/>
    <m/>
    <s v="Reza"/>
    <m/>
  </r>
  <r>
    <n v="314"/>
    <m/>
    <m/>
    <m/>
    <x v="287"/>
    <m/>
    <m/>
    <m/>
    <m/>
    <m/>
    <m/>
    <x v="2"/>
    <m/>
    <s v="HW/SW"/>
    <m/>
    <n v="33600000"/>
    <m/>
    <m/>
    <s v="Prapto"/>
    <m/>
  </r>
  <r>
    <n v="315"/>
    <m/>
    <m/>
    <m/>
    <x v="288"/>
    <m/>
    <m/>
    <m/>
    <m/>
    <m/>
    <m/>
    <x v="2"/>
    <m/>
    <s v="HW/SW"/>
    <m/>
    <n v="11700000"/>
    <m/>
    <m/>
    <s v="Idy"/>
    <m/>
  </r>
  <r>
    <n v="316"/>
    <m/>
    <m/>
    <m/>
    <x v="289"/>
    <m/>
    <m/>
    <m/>
    <m/>
    <m/>
    <m/>
    <x v="2"/>
    <m/>
    <s v="HW/SW"/>
    <m/>
    <n v="31080000"/>
    <m/>
    <m/>
    <s v="Suroto"/>
    <m/>
  </r>
  <r>
    <n v="317"/>
    <m/>
    <m/>
    <m/>
    <x v="290"/>
    <m/>
    <m/>
    <m/>
    <m/>
    <m/>
    <m/>
    <x v="2"/>
    <m/>
    <s v="HW/SW"/>
    <m/>
    <n v="10550550"/>
    <m/>
    <m/>
    <s v="Threesna"/>
    <m/>
  </r>
  <r>
    <n v="318"/>
    <m/>
    <m/>
    <m/>
    <x v="291"/>
    <m/>
    <m/>
    <m/>
    <m/>
    <m/>
    <m/>
    <x v="2"/>
    <m/>
    <s v="HW/SW"/>
    <m/>
    <n v="5550000"/>
    <m/>
    <m/>
    <s v="Threesna"/>
    <m/>
  </r>
  <r>
    <n v="319"/>
    <s v="066/BSW-DIGINUSA/MOU/VIII/2023"/>
    <m/>
    <m/>
    <x v="292"/>
    <m/>
    <s v="Joko Pitoyo, S.Pd., M.M."/>
    <m/>
    <s v="4 bulan"/>
    <s v="1 Agustus 2023"/>
    <s v="31 Desember 2023"/>
    <x v="3"/>
    <s v="Kontrak Pengajaran"/>
    <s v="TIK"/>
    <m/>
    <s v="- Agustus 2023 Rp74.280.000_x000a_- September 2023 Rp74.280.000_x000a_-Oktober 2023 Rp74.280.000_x000a_- November Rp74.280.000"/>
    <m/>
    <m/>
    <s v="Desi"/>
    <s v="Angga"/>
  </r>
  <r>
    <n v="320"/>
    <m/>
    <m/>
    <m/>
    <x v="293"/>
    <m/>
    <m/>
    <m/>
    <m/>
    <m/>
    <m/>
    <x v="2"/>
    <m/>
    <s v="HW/SW"/>
    <m/>
    <n v="22000000"/>
    <m/>
    <m/>
    <s v="Prapto"/>
    <m/>
  </r>
  <r>
    <n v="321"/>
    <s v="067/BSW-DIGINUSA/MOU/VIII/2023"/>
    <s v="Yayasan Salib Suci"/>
    <m/>
    <x v="294"/>
    <m/>
    <s v="Gemma Kunthidewi T., S.Pd.AUD"/>
    <m/>
    <n v="1"/>
    <n v="2023"/>
    <n v="2024"/>
    <x v="1"/>
    <s v="Lisensi"/>
    <s v="TIK"/>
    <m/>
    <n v="1500000"/>
    <m/>
    <s v="Abdul Latief"/>
    <s v="Yulis"/>
    <s v="Nadia"/>
  </r>
  <r>
    <n v="322"/>
    <s v="035/BSW-DIGINUSA/MOU/VI/2023"/>
    <m/>
    <m/>
    <x v="295"/>
    <m/>
    <s v="Sr. M. Virgilia, AK., S.Pd."/>
    <m/>
    <n v="3"/>
    <n v="2023"/>
    <n v="2026"/>
    <x v="0"/>
    <m/>
    <s v="Robotik"/>
    <n v="180000"/>
    <n v="5400000"/>
    <m/>
    <s v="Herlangga Satriyanto"/>
    <s v="Fauzi"/>
    <m/>
  </r>
  <r>
    <n v="323"/>
    <s v="042/BSW-DIGINUSA/MOU/VII/2023"/>
    <s v="Yayasan Ananta Bhakti"/>
    <m/>
    <x v="296"/>
    <m/>
    <s v="Maria Maya Mayesta Sareng"/>
    <m/>
    <s v="24 sesi"/>
    <n v="2023"/>
    <n v="2024"/>
    <x v="1"/>
    <m/>
    <s v="Coding"/>
    <n v="35000"/>
    <s v="Termin 1: Rp4.830.000_x000a_Termin 2: Rp4.830.000_x000a_Termin 3: Rp4.830.000_x000a_Termin 4: Rp4.830.000"/>
    <m/>
    <m/>
    <s v="Threesna"/>
    <m/>
  </r>
  <r>
    <n v="324"/>
    <s v="003/BSW-DIGINUSA/MOU/II/2023"/>
    <m/>
    <m/>
    <x v="297"/>
    <m/>
    <s v="Dra. Luky Mardiana"/>
    <m/>
    <m/>
    <n v="2023"/>
    <n v="2024"/>
    <x v="2"/>
    <m/>
    <s v="HW/SW"/>
    <m/>
    <n v="5220000"/>
    <m/>
    <m/>
    <s v="Suroto"/>
    <m/>
  </r>
  <r>
    <n v="325"/>
    <s v="004/BSW-DIGINUSA/MOU/II/2023"/>
    <m/>
    <m/>
    <x v="298"/>
    <m/>
    <s v="Suci Widiarti, S.Pd., M.M"/>
    <m/>
    <m/>
    <n v="2023"/>
    <n v="2024"/>
    <x v="3"/>
    <m/>
    <s v="HW/SW"/>
    <m/>
    <n v="5220000"/>
    <m/>
    <m/>
    <s v="Suroto"/>
    <m/>
  </r>
  <r>
    <n v="326"/>
    <s v="005/BSW-DIGINUSA/MOU/II/2023"/>
    <m/>
    <m/>
    <x v="299"/>
    <m/>
    <s v="Daniel Manurung"/>
    <m/>
    <m/>
    <n v="2023"/>
    <n v="2024"/>
    <x v="3"/>
    <m/>
    <s v="HW/SW"/>
    <m/>
    <n v="5220000"/>
    <m/>
    <m/>
    <s v="Suroto"/>
    <m/>
  </r>
  <r>
    <n v="327"/>
    <s v="018/BSW-DIGINUSA/MOU/V/2023"/>
    <m/>
    <m/>
    <x v="300"/>
    <m/>
    <m/>
    <m/>
    <m/>
    <m/>
    <m/>
    <x v="3"/>
    <m/>
    <s v="HW/SW"/>
    <m/>
    <n v="10000000"/>
    <m/>
    <m/>
    <s v="Suroto"/>
    <m/>
  </r>
  <r>
    <n v="328"/>
    <s v="016/BSW-DIGINUSA/MOU/V/2023"/>
    <s v="Yayasan Santo Markus "/>
    <m/>
    <x v="301"/>
    <m/>
    <m/>
    <m/>
    <m/>
    <m/>
    <m/>
    <x v="3"/>
    <m/>
    <s v="HW/SW"/>
    <m/>
    <n v="174920000"/>
    <m/>
    <m/>
    <s v="Threesna"/>
    <m/>
  </r>
  <r>
    <n v="329"/>
    <s v="034/BSW-DIGINUSA/MOU/VI/2023"/>
    <s v="Yayasan Tarakanita Jakarta"/>
    <m/>
    <x v="302"/>
    <m/>
    <m/>
    <m/>
    <m/>
    <m/>
    <m/>
    <x v="3"/>
    <s v="Lisensi"/>
    <s v="HW/SW"/>
    <m/>
    <s v="Juli 2023 Rp21.450.000_x000a_November 2023 Rp21.450.000_x000a_Maret 2024 Rp21.450.000"/>
    <m/>
    <m/>
    <s v="Mery"/>
    <m/>
  </r>
  <r>
    <n v="330"/>
    <s v="010/BSW-DIGINUSA/MOU/IV/2023"/>
    <s v="Yayasan Pendidikan Permai"/>
    <s v="Djoko Wihardjo"/>
    <x v="303"/>
    <m/>
    <m/>
    <m/>
    <m/>
    <n v="2023"/>
    <m/>
    <x v="3"/>
    <m/>
    <s v="HW/SW"/>
    <m/>
    <n v="299910000"/>
    <m/>
    <m/>
    <s v="Pami"/>
    <m/>
  </r>
  <r>
    <n v="331"/>
    <m/>
    <m/>
    <m/>
    <x v="304"/>
    <m/>
    <m/>
    <m/>
    <m/>
    <m/>
    <m/>
    <x v="2"/>
    <m/>
    <s v="HW/SW"/>
    <m/>
    <n v="20000000"/>
    <m/>
    <m/>
    <s v="Pami"/>
    <m/>
  </r>
  <r>
    <n v="332"/>
    <m/>
    <m/>
    <m/>
    <x v="305"/>
    <m/>
    <m/>
    <m/>
    <m/>
    <m/>
    <m/>
    <x v="2"/>
    <m/>
    <s v="HW/SW"/>
    <m/>
    <n v="198000000"/>
    <m/>
    <m/>
    <s v="Pami"/>
    <m/>
  </r>
  <r>
    <n v="333"/>
    <m/>
    <m/>
    <m/>
    <x v="306"/>
    <m/>
    <m/>
    <m/>
    <m/>
    <m/>
    <m/>
    <x v="2"/>
    <m/>
    <s v="HW/SW"/>
    <m/>
    <n v="352500000"/>
    <m/>
    <m/>
    <s v="Pami"/>
    <m/>
  </r>
  <r>
    <n v="334"/>
    <m/>
    <m/>
    <m/>
    <x v="307"/>
    <m/>
    <m/>
    <m/>
    <m/>
    <m/>
    <m/>
    <x v="2"/>
    <m/>
    <s v="HW/SW"/>
    <m/>
    <n v="28125000"/>
    <m/>
    <m/>
    <s v="Danu"/>
    <m/>
  </r>
  <r>
    <n v="335"/>
    <m/>
    <m/>
    <m/>
    <x v="308"/>
    <m/>
    <m/>
    <m/>
    <m/>
    <m/>
    <m/>
    <x v="2"/>
    <m/>
    <s v="HW/SW"/>
    <m/>
    <n v="195000000"/>
    <m/>
    <m/>
    <s v="Idy"/>
    <m/>
  </r>
  <r>
    <n v="336"/>
    <m/>
    <m/>
    <m/>
    <x v="309"/>
    <m/>
    <m/>
    <m/>
    <m/>
    <m/>
    <m/>
    <x v="2"/>
    <m/>
    <s v="HW/SW"/>
    <m/>
    <n v="18800000"/>
    <m/>
    <m/>
    <s v="Danu"/>
    <m/>
  </r>
  <r>
    <n v="337"/>
    <m/>
    <m/>
    <m/>
    <x v="310"/>
    <m/>
    <m/>
    <m/>
    <m/>
    <m/>
    <m/>
    <x v="3"/>
    <m/>
    <s v="HW/SW"/>
    <m/>
    <n v="285000000"/>
    <m/>
    <m/>
    <s v="Pami"/>
    <m/>
  </r>
  <r>
    <n v="338"/>
    <s v="045/BSW-DIGINUSA/MOU/VII/2023"/>
    <m/>
    <s v="Eni Listijani H., BA (Direktur)"/>
    <x v="311"/>
    <m/>
    <m/>
    <m/>
    <n v="3"/>
    <n v="2023"/>
    <n v="2026"/>
    <x v="0"/>
    <s v="Lisensi"/>
    <s v="TIK"/>
    <m/>
    <n v="20000"/>
    <m/>
    <m/>
    <s v="Bayu"/>
    <s v="Unggul"/>
  </r>
  <r>
    <n v="339"/>
    <s v="052/BSW-DIGINUSA/MOU/VII/2023"/>
    <m/>
    <m/>
    <x v="312"/>
    <m/>
    <s v="Angela Sri Utami"/>
    <m/>
    <n v="1"/>
    <n v="2023"/>
    <n v="2024"/>
    <x v="3"/>
    <m/>
    <s v="HW/SW"/>
    <m/>
    <n v="5000000"/>
    <m/>
    <m/>
    <s v="Wijaya"/>
    <s v="Yoni"/>
  </r>
  <r>
    <n v="340"/>
    <s v="051/BSW-DIGINUSA/MOU/VII/2023"/>
    <m/>
    <m/>
    <x v="312"/>
    <m/>
    <s v="Angela Sri Utami"/>
    <m/>
    <n v="1"/>
    <n v="2023"/>
    <n v="2024"/>
    <x v="1"/>
    <m/>
    <s v="Coding"/>
    <m/>
    <n v="2400000"/>
    <m/>
    <m/>
    <s v="Wijaya"/>
    <s v="Yoni"/>
  </r>
  <r>
    <n v="341"/>
    <s v="074/BSW-DIGINUSA/MOU/VII/2023"/>
    <m/>
    <m/>
    <x v="313"/>
    <m/>
    <m/>
    <m/>
    <n v="3"/>
    <n v="2023"/>
    <n v="2026"/>
    <x v="0"/>
    <s v="Lisensi"/>
    <s v="TIK"/>
    <m/>
    <n v="10000"/>
    <m/>
    <m/>
    <s v="Danu"/>
    <s v="Doni"/>
  </r>
  <r>
    <n v="342"/>
    <s v="074/BSW-DIGINUSA/MOU/VII/2023"/>
    <m/>
    <m/>
    <x v="314"/>
    <m/>
    <m/>
    <m/>
    <n v="3"/>
    <n v="2023"/>
    <n v="2026"/>
    <x v="0"/>
    <s v="Lisensi"/>
    <s v="TIK"/>
    <m/>
    <n v="10000"/>
    <m/>
    <m/>
    <s v="Danu"/>
    <s v="Doni"/>
  </r>
  <r>
    <n v="343"/>
    <s v="050/BSW-DIGINUSA/MOU/VII/2023"/>
    <s v="Yayasan St. Dominikus Kantor Cab. Cimahi"/>
    <m/>
    <x v="315"/>
    <m/>
    <m/>
    <m/>
    <n v="1"/>
    <n v="2023"/>
    <n v="2024"/>
    <x v="1"/>
    <s v="Lisensi"/>
    <s v="TIK"/>
    <m/>
    <n v="12000"/>
    <m/>
    <m/>
    <s v="Danu"/>
    <s v="Vita"/>
  </r>
  <r>
    <n v="344"/>
    <s v="068/BSW-DIGINUSA/MOU/VIII/2023"/>
    <m/>
    <m/>
    <x v="316"/>
    <m/>
    <s v="Sr. M. Valentine A. Pawarrangan, PBHK"/>
    <m/>
    <s v="26 sesi"/>
    <n v="2023"/>
    <n v="2024"/>
    <x v="1"/>
    <m/>
    <s v="Coding"/>
    <n v="35000"/>
    <m/>
    <m/>
    <m/>
    <s v="Yulis"/>
    <m/>
  </r>
  <r>
    <n v="345"/>
    <s v="059/BSW-DIGINUSA/MOU/VII/2023"/>
    <s v="Yayasan Kasih Abadi"/>
    <s v="Michael Senjaya"/>
    <x v="317"/>
    <m/>
    <m/>
    <m/>
    <n v="1"/>
    <n v="2023"/>
    <n v="2024"/>
    <x v="1"/>
    <s v="Lisensi"/>
    <s v="TIK"/>
    <m/>
    <s v="Free"/>
    <m/>
    <m/>
    <s v="Henry"/>
    <s v="Vita"/>
  </r>
  <r>
    <n v="346"/>
    <s v="059/BSW-DIGINUSA/MOU/VII/2023"/>
    <s v="Yayasan Kasih Abadi"/>
    <s v="Michael Senjaya"/>
    <x v="318"/>
    <m/>
    <m/>
    <m/>
    <n v="1"/>
    <n v="2023"/>
    <n v="2024"/>
    <x v="1"/>
    <s v="Lisensi"/>
    <s v="TIK"/>
    <m/>
    <n v="4975000"/>
    <m/>
    <m/>
    <s v="Henry"/>
    <s v="Vita"/>
  </r>
  <r>
    <n v="347"/>
    <s v="059/BSW-DIGINUSA/MOU/VII/2023"/>
    <s v="Yayasan Kasih Abadi"/>
    <s v="Michael Senjaya"/>
    <x v="319"/>
    <m/>
    <m/>
    <m/>
    <n v="1"/>
    <n v="2023"/>
    <n v="2024"/>
    <x v="1"/>
    <s v="Lisensi"/>
    <s v="TIK"/>
    <m/>
    <n v="2050000"/>
    <m/>
    <m/>
    <s v="Henry"/>
    <s v="Vita"/>
  </r>
  <r>
    <n v="348"/>
    <s v="059/BSW-DIGINUSA/MOU/VII/2023"/>
    <s v="Yayasan Kasih Abadi"/>
    <s v="Michael Senjaya"/>
    <x v="320"/>
    <m/>
    <m/>
    <m/>
    <n v="1"/>
    <n v="2023"/>
    <n v="2024"/>
    <x v="1"/>
    <s v="Lisensi"/>
    <s v="TIK"/>
    <m/>
    <n v="2000000"/>
    <m/>
    <m/>
    <s v="Henry"/>
    <s v="Vita"/>
  </r>
  <r>
    <n v="349"/>
    <m/>
    <m/>
    <m/>
    <x v="321"/>
    <m/>
    <m/>
    <m/>
    <m/>
    <m/>
    <m/>
    <x v="2"/>
    <m/>
    <s v="TIK"/>
    <m/>
    <n v="10000"/>
    <n v="1210000"/>
    <m/>
    <s v="Pami"/>
    <m/>
  </r>
  <r>
    <n v="350"/>
    <s v="056/BSW-DIGINUSA/MOU/VII/2023"/>
    <s v="Yayasan Santa Maria"/>
    <s v="Sr. Maria Eufrasia, SND"/>
    <x v="322"/>
    <m/>
    <m/>
    <m/>
    <n v="3"/>
    <n v="2023"/>
    <n v="2026"/>
    <x v="0"/>
    <s v="Lisensi"/>
    <s v="TIK"/>
    <m/>
    <s v="Tahun 1 Rp10.000_x000a_Tahun 2 Rp15.000_x000a_Tahun 3 Rp15.000"/>
    <s v="LKS Tahun ke-1 Rp30.000 x jumlah siswa_x000a_Tahun ke-2 &amp; ke-3 Rp35.000 x jumlah siswa"/>
    <m/>
    <s v="Pami"/>
    <s v="Angga"/>
  </r>
  <r>
    <n v="351"/>
    <s v="056/BSW-DIGINUSA/MOU/VII/2023"/>
    <s v="Yayasan Santa Maria"/>
    <s v="Sr. Maria Eufrasia, SND"/>
    <x v="323"/>
    <m/>
    <m/>
    <m/>
    <n v="3"/>
    <n v="2023"/>
    <n v="2026"/>
    <x v="0"/>
    <s v="Lisensi"/>
    <s v="TIK"/>
    <m/>
    <s v="Tahun 1 Rp10.000_x000a_Tahun 2 Rp15.000_x000a_Tahun 3 Rp15.000"/>
    <m/>
    <m/>
    <s v="Pami"/>
    <s v="Angga"/>
  </r>
  <r>
    <n v="352"/>
    <s v="056/BSW-DIGINUSA/MOU/VII/2022"/>
    <s v="Yayasan Galatia"/>
    <s v="Dra. Henny Sulaiman"/>
    <x v="324"/>
    <m/>
    <m/>
    <m/>
    <n v="3"/>
    <n v="2022"/>
    <n v="2025"/>
    <x v="0"/>
    <s v="Sewa Pinjam"/>
    <s v="TIK"/>
    <n v="30000"/>
    <m/>
    <n v="30000"/>
    <m/>
    <s v="Pami"/>
    <s v="Nadia"/>
  </r>
  <r>
    <n v="353"/>
    <s v="034/BSW-DIGINUSA/MOU/VII/2021"/>
    <s v="Yayasan Nurul Falah Islamic Education Center"/>
    <s v="Hj. Mutia Lismar, S.Pd"/>
    <x v="325"/>
    <m/>
    <m/>
    <m/>
    <n v="3"/>
    <n v="2021"/>
    <n v="2024"/>
    <x v="1"/>
    <m/>
    <s v="TIK"/>
    <m/>
    <m/>
    <m/>
    <m/>
    <s v="Pami"/>
    <s v="Nadia"/>
  </r>
  <r>
    <n v="354"/>
    <s v="054/BSW-DIGINUSA/MOU/VII/2022"/>
    <m/>
    <m/>
    <x v="326"/>
    <m/>
    <m/>
    <m/>
    <n v="3"/>
    <n v="2022"/>
    <n v="2025"/>
    <x v="0"/>
    <m/>
    <s v="TIK"/>
    <s v="Free"/>
    <m/>
    <m/>
    <m/>
    <s v="Wijaya"/>
    <s v="Angga"/>
  </r>
  <r>
    <n v="355"/>
    <s v="024/BSW-DIGINUSA/MOU/VI/2023"/>
    <s v="Yayasan St. Agatha"/>
    <s v="K.S. Tjeni (Bendahara Yayasan)"/>
    <x v="327"/>
    <m/>
    <m/>
    <m/>
    <n v="2"/>
    <n v="2023"/>
    <n v="2025"/>
    <x v="0"/>
    <s v="Lisensi"/>
    <s v="TIK"/>
    <m/>
    <n v="17000"/>
    <m/>
    <s v="LKS Smart Program Rp25.000"/>
    <s v="Prapto"/>
    <s v="Adam"/>
  </r>
  <r>
    <n v="356"/>
    <s v="028/BSW-DIGINUSA/MOU/VI/2022"/>
    <s v="Yayasan Harapan Tritunggal"/>
    <s v="Frida Lusia Kumambong"/>
    <x v="328"/>
    <m/>
    <m/>
    <m/>
    <n v="3"/>
    <n v="2022"/>
    <n v="2025"/>
    <x v="0"/>
    <s v="Lisensi"/>
    <s v="TIK"/>
    <m/>
    <n v="35000"/>
    <m/>
    <m/>
    <m/>
    <s v="Doni"/>
  </r>
  <r>
    <n v="357"/>
    <s v="061/BSW-DIGINUSA/MOU/VII/2023"/>
    <m/>
    <m/>
    <x v="329"/>
    <m/>
    <m/>
    <m/>
    <m/>
    <m/>
    <m/>
    <x v="2"/>
    <m/>
    <s v="HW/SW"/>
    <m/>
    <n v="3300000"/>
    <m/>
    <m/>
    <s v="Prapto"/>
    <m/>
  </r>
  <r>
    <n v="358"/>
    <s v="063/BSW-DIGINUSA/MOU/VII/2023"/>
    <m/>
    <m/>
    <x v="269"/>
    <m/>
    <m/>
    <m/>
    <m/>
    <m/>
    <m/>
    <x v="2"/>
    <m/>
    <s v="HW/SW"/>
    <m/>
    <n v="5550000"/>
    <m/>
    <m/>
    <s v="Mery"/>
    <m/>
  </r>
  <r>
    <n v="359"/>
    <s v="041/BSW-DIGINUSA/MOU/VII/2023"/>
    <s v="Yayasan Mardi Yuana"/>
    <s v="RD. Stefanus Sri Haryono Putro, S.S."/>
    <x v="330"/>
    <m/>
    <m/>
    <m/>
    <n v="3"/>
    <n v="2023"/>
    <n v="2026"/>
    <x v="0"/>
    <s v="Lisensi"/>
    <s v="TIK"/>
    <m/>
    <n v="10000"/>
    <m/>
    <m/>
    <s v="Henry"/>
    <s v="Joko"/>
  </r>
  <r>
    <n v="360"/>
    <s v="054/BSW-DIGINUSA/ADD/VII/2023"/>
    <m/>
    <m/>
    <x v="331"/>
    <m/>
    <m/>
    <m/>
    <m/>
    <m/>
    <m/>
    <x v="2"/>
    <m/>
    <s v="TIK"/>
    <m/>
    <n v="15000"/>
    <n v="1350000"/>
    <m/>
    <s v="Henry"/>
    <s v="Sapar"/>
  </r>
  <r>
    <n v="361"/>
    <s v="043/BSW-DIGINUSA/MOU/VII/2023"/>
    <s v="Yayasan Islam Siti Halimah "/>
    <m/>
    <x v="332"/>
    <m/>
    <m/>
    <m/>
    <n v="1"/>
    <n v="2023"/>
    <n v="2024"/>
    <x v="1"/>
    <s v="Lisensi"/>
    <s v="TIK"/>
    <m/>
    <n v="2000000"/>
    <m/>
    <m/>
    <s v="Suroto"/>
    <s v="Doni"/>
  </r>
  <r>
    <n v="362"/>
    <s v="047/BSW-DIGINUSA/MOU/VII/2023"/>
    <s v="Yayasan Karya Sang Timur"/>
    <m/>
    <x v="333"/>
    <m/>
    <m/>
    <m/>
    <m/>
    <m/>
    <m/>
    <x v="2"/>
    <m/>
    <s v="HW/SW"/>
    <m/>
    <m/>
    <n v="57500000"/>
    <m/>
    <s v="Prapto"/>
    <m/>
  </r>
  <r>
    <n v="363"/>
    <s v="069/BSW-DIGINUSA/MOU/VIII/2023"/>
    <m/>
    <m/>
    <x v="334"/>
    <m/>
    <s v="Sr. Rahayu, PI"/>
    <m/>
    <m/>
    <n v="2023"/>
    <n v="2024"/>
    <x v="1"/>
    <m/>
    <s v="HW/SW"/>
    <m/>
    <n v="5000000"/>
    <m/>
    <m/>
    <s v="Wijaya"/>
    <m/>
  </r>
  <r>
    <n v="364"/>
    <s v="081/BSW-DIGINUSA/MOU/VIII/2023"/>
    <m/>
    <m/>
    <x v="335"/>
    <m/>
    <s v="Sr. Krista Yustina, PI"/>
    <m/>
    <s v="24 sesi"/>
    <d v="2023-09-01T00:00:00"/>
    <n v="2024"/>
    <x v="1"/>
    <m/>
    <s v="Robotik"/>
    <m/>
    <n v="160000"/>
    <n v="3200000"/>
    <m/>
    <s v="Wijaya"/>
    <m/>
  </r>
  <r>
    <n v="365"/>
    <s v="082/BSW-DIGINUSA/MOU/VIII/2023"/>
    <m/>
    <m/>
    <x v="336"/>
    <m/>
    <s v="Heny Widayanti"/>
    <m/>
    <s v="24 sesi"/>
    <d v="2023-09-01T00:00:00"/>
    <n v="2024"/>
    <x v="1"/>
    <m/>
    <s v="Robotik"/>
    <m/>
    <n v="220000"/>
    <n v="3520000"/>
    <m/>
    <s v="Wijaya"/>
    <m/>
  </r>
  <r>
    <n v="366"/>
    <s v="088/BSW-DIGINUSA/MOU/VIII/2023"/>
    <s v="Yayasan Dwi Bhakti"/>
    <m/>
    <x v="337"/>
    <m/>
    <s v="Yustina Tri Budi Pamularsih"/>
    <m/>
    <n v="2"/>
    <n v="2023"/>
    <n v="2025"/>
    <x v="0"/>
    <s v="Lisensi"/>
    <s v="TIK"/>
    <m/>
    <n v="4500000"/>
    <m/>
    <m/>
    <s v="Desi"/>
    <s v="Sapar"/>
  </r>
  <r>
    <n v="367"/>
    <m/>
    <m/>
    <m/>
    <x v="338"/>
    <m/>
    <m/>
    <m/>
    <m/>
    <m/>
    <m/>
    <x v="2"/>
    <m/>
    <s v="HW/SW"/>
    <m/>
    <n v="66000000"/>
    <m/>
    <m/>
    <s v="Pami"/>
    <m/>
  </r>
  <r>
    <n v="368"/>
    <m/>
    <m/>
    <m/>
    <x v="339"/>
    <m/>
    <m/>
    <m/>
    <m/>
    <m/>
    <m/>
    <x v="2"/>
    <m/>
    <s v="HW/SW"/>
    <m/>
    <n v="362099990"/>
    <m/>
    <m/>
    <s v="Pami"/>
    <m/>
  </r>
  <r>
    <n v="369"/>
    <s v="054/BSW-DIGINUSA/ADD/VII/2023"/>
    <s v="Yayasan Kasih Abadi"/>
    <m/>
    <x v="340"/>
    <m/>
    <m/>
    <m/>
    <n v="3"/>
    <n v="2023"/>
    <n v="2025"/>
    <x v="0"/>
    <m/>
    <m/>
    <m/>
    <m/>
    <m/>
    <m/>
    <s v="Henry"/>
    <m/>
  </r>
  <r>
    <n v="370"/>
    <s v="057/BSW-DIGINUSA/ADD/VII/2023"/>
    <s v="Yayasan Penyelenggaraan Ilahi Indonesia - Jakarta"/>
    <s v="Sr. Aniesta, SDP"/>
    <x v="341"/>
    <m/>
    <m/>
    <m/>
    <n v="3"/>
    <n v="2022"/>
    <n v="2025"/>
    <x v="0"/>
    <s v="Sewa Pinjam"/>
    <s v="TIK"/>
    <n v="10000"/>
    <n v="570000"/>
    <m/>
    <m/>
    <m/>
    <s v="Angga "/>
  </r>
  <r>
    <n v="371"/>
    <s v="057/BSW-DIGINUSA/ADD/VII/2023"/>
    <s v="Yayasan Penyelenggaraan Ilahi Indonesia - Jakarta"/>
    <s v="Sr. Aniesta, SDP"/>
    <x v="342"/>
    <m/>
    <m/>
    <m/>
    <n v="3"/>
    <n v="2022"/>
    <n v="2025"/>
    <x v="0"/>
    <s v="Sewa Pinjam"/>
    <s v="TIK"/>
    <n v="40000"/>
    <n v="12680000"/>
    <n v="15000"/>
    <m/>
    <m/>
    <s v="Angga "/>
  </r>
  <r>
    <n v="372"/>
    <s v="076/BSW-DIGINUSA/ADD/VIII/2023"/>
    <s v="Yayasan Regina Pacis"/>
    <s v="Sr. Christina Sri Murni FMM"/>
    <x v="343"/>
    <m/>
    <m/>
    <m/>
    <n v="5"/>
    <n v="2022"/>
    <n v="2027"/>
    <x v="0"/>
    <m/>
    <s v="TIK"/>
    <s v="TAB 2022-2023 Rp29.000_x000a_TAB 2023-2024 Rp 33.500_x000a_TAB 2024-2025, 2025-2026, 2026-2027 Rp34.500"/>
    <m/>
    <m/>
    <m/>
    <s v="Henry"/>
    <s v="Yusuf"/>
  </r>
  <r>
    <n v="373"/>
    <s v="076/BSW-DIGINUSA/ADD/VIII/2023"/>
    <s v="Yayasan Regina Pacis"/>
    <s v="Sr. Christina Sri Murni FMM"/>
    <x v="344"/>
    <m/>
    <m/>
    <m/>
    <n v="5"/>
    <n v="2022"/>
    <n v="2027"/>
    <x v="0"/>
    <m/>
    <s v="TIK"/>
    <s v="TAB 2022-2023 90% Rp51.000 &amp; 10% Rp22.500_x000a_TAB 2023-2024 90% Rp55.500 &amp; 10% Rp26.000_x000a_TAB 2024-2025, 2025-2026, 2026-2027 90% Rp56.500 &amp; 10% Rp26.000"/>
    <m/>
    <m/>
    <m/>
    <s v="Henry"/>
    <s v="Yusuf"/>
  </r>
  <r>
    <n v="374"/>
    <s v="076/BSW-DIGINUSA/ADD/VIII/2023"/>
    <s v="Yayasan Regina Pacis"/>
    <s v="Sr. Christina Sri Murni FMM"/>
    <x v="345"/>
    <m/>
    <m/>
    <m/>
    <n v="5"/>
    <n v="2022"/>
    <n v="2027"/>
    <x v="0"/>
    <m/>
    <s v="TIK"/>
    <s v="TAB 2022-2023 90% Rp56.000 &amp; 10% Rp32.500_x000a_TAB 2023-2024 90% Rp60.500 &amp; 10% Rp36.000_x000a_TAB 2024-2025, 2025-2026, 2026-2027 90% Rp51.000 &amp; 10% Rp36.000"/>
    <m/>
    <m/>
    <m/>
    <s v="Henry"/>
    <s v="Yusuf"/>
  </r>
  <r>
    <n v="375"/>
    <s v="076/BSW-DIGINUSA/ADD/VIII/2023"/>
    <s v="Yayasan Regina Pacis"/>
    <s v="Sr. Christina Sri Murni FMM"/>
    <x v="346"/>
    <m/>
    <m/>
    <m/>
    <n v="5"/>
    <n v="2022"/>
    <n v="2027"/>
    <x v="0"/>
    <m/>
    <s v="TIK"/>
    <s v="TAB 2022-2023 90% Rp56.000 &amp; 10% Rp32.500_x000a_TAB 2023-2024 90% Rp60.500 &amp; 10% Rp36.000_x000a_TAB 2024-2025, 2025-2026, 2026-2027 90% Rp51.000 &amp; 10% Rp36.000"/>
    <m/>
    <m/>
    <m/>
    <s v="Henry"/>
    <s v="Yusuf"/>
  </r>
  <r>
    <n v="376"/>
    <s v="089/BSW-DIGINUSA/MOU/IX/2023"/>
    <m/>
    <m/>
    <x v="347"/>
    <m/>
    <m/>
    <m/>
    <m/>
    <m/>
    <m/>
    <x v="2"/>
    <m/>
    <s v="HW/SW"/>
    <m/>
    <m/>
    <m/>
    <m/>
    <s v="Suroto"/>
    <m/>
  </r>
  <r>
    <n v="377"/>
    <m/>
    <s v="Yayasan Seri Amal"/>
    <m/>
    <x v="348"/>
    <m/>
    <m/>
    <m/>
    <m/>
    <m/>
    <m/>
    <x v="2"/>
    <m/>
    <s v="HW/SW"/>
    <n v="305800000"/>
    <m/>
    <m/>
    <m/>
    <s v="Danu"/>
    <m/>
  </r>
  <r>
    <n v="378"/>
    <m/>
    <s v="Yayasan Seri Amal"/>
    <m/>
    <x v="349"/>
    <m/>
    <m/>
    <m/>
    <m/>
    <m/>
    <m/>
    <x v="2"/>
    <m/>
    <s v="HW/SW"/>
    <n v="305800000"/>
    <m/>
    <m/>
    <m/>
    <s v="Danu"/>
    <m/>
  </r>
  <r>
    <n v="379"/>
    <m/>
    <s v="Yayasan Seri Amal"/>
    <m/>
    <x v="350"/>
    <m/>
    <m/>
    <m/>
    <m/>
    <m/>
    <m/>
    <x v="2"/>
    <m/>
    <s v="HW/SW"/>
    <n v="260200000"/>
    <m/>
    <m/>
    <m/>
    <s v="Danu"/>
    <m/>
  </r>
  <r>
    <n v="380"/>
    <s v="079/BSW-DIGINUSA/MOU/VIII/2023"/>
    <m/>
    <m/>
    <x v="103"/>
    <m/>
    <s v="Bernadetha Laginah, S.Ag."/>
    <m/>
    <s v="11 bulan"/>
    <d v="2023-09-01T00:00:00"/>
    <n v="2024"/>
    <x v="1"/>
    <m/>
    <s v="Robotik"/>
    <n v="114000"/>
    <m/>
    <m/>
    <m/>
    <s v="Desi"/>
    <s v="Yoni"/>
  </r>
  <r>
    <n v="381"/>
    <s v="079/BSW-DIGINUSA/MOU/VIII/2023"/>
    <m/>
    <m/>
    <x v="103"/>
    <m/>
    <s v="Bernadetha Laginah, S.Ag."/>
    <m/>
    <s v="11 bulan"/>
    <d v="2023-09-01T00:00:00"/>
    <n v="2024"/>
    <x v="1"/>
    <m/>
    <s v="Coding"/>
    <n v="95000"/>
    <m/>
    <m/>
    <m/>
    <s v="Desi"/>
    <s v="Yoni"/>
  </r>
  <r>
    <n v="382"/>
    <m/>
    <m/>
    <m/>
    <x v="40"/>
    <m/>
    <m/>
    <m/>
    <m/>
    <m/>
    <m/>
    <x v="2"/>
    <m/>
    <s v="HW/SW "/>
    <n v="1750000"/>
    <m/>
    <m/>
    <m/>
    <s v="Prapto"/>
    <m/>
  </r>
  <r>
    <n v="383"/>
    <s v="090/BSW-DIGINUSA/MOU/IX/2023"/>
    <m/>
    <m/>
    <x v="351"/>
    <m/>
    <m/>
    <m/>
    <m/>
    <m/>
    <m/>
    <x v="2"/>
    <m/>
    <s v="HW/SW"/>
    <n v="5000000"/>
    <m/>
    <m/>
    <m/>
    <s v="Mery"/>
    <m/>
  </r>
  <r>
    <n v="384"/>
    <m/>
    <m/>
    <m/>
    <x v="40"/>
    <m/>
    <m/>
    <m/>
    <m/>
    <m/>
    <m/>
    <x v="2"/>
    <m/>
    <s v="HW/SW"/>
    <n v="300000"/>
    <m/>
    <m/>
    <m/>
    <s v="Prapto"/>
    <m/>
  </r>
  <r>
    <n v="385"/>
    <s v="072/BSW-DIGINUSA/MOU/VI/2023"/>
    <s v="Yayasan Charitas Jakarta"/>
    <s v="Sr. Immaculata, Fch"/>
    <x v="352"/>
    <s v="D"/>
    <m/>
    <m/>
    <n v="3"/>
    <n v="2023"/>
    <n v="2026"/>
    <x v="0"/>
    <s v="Lisensi"/>
    <s v="SmartTK"/>
    <n v="20000"/>
    <m/>
    <m/>
    <m/>
    <s v="Danu"/>
    <m/>
  </r>
  <r>
    <n v="386"/>
    <s v="074/BSW-DIGINUSA/MOU/VII/2023"/>
    <m/>
    <m/>
    <x v="353"/>
    <m/>
    <m/>
    <m/>
    <n v="3"/>
    <n v="2023"/>
    <n v="2026"/>
    <x v="0"/>
    <s v="Lisensi"/>
    <s v="TIK"/>
    <m/>
    <n v="10000"/>
    <m/>
    <m/>
    <s v="Danu"/>
    <s v="Doni"/>
  </r>
  <r>
    <n v="387"/>
    <s v="074/BSW-DIGINUSA/MOU/VII/2023"/>
    <m/>
    <m/>
    <x v="354"/>
    <m/>
    <m/>
    <m/>
    <n v="3"/>
    <n v="2023"/>
    <n v="2026"/>
    <x v="0"/>
    <s v="Lisensi"/>
    <s v="TIK"/>
    <m/>
    <n v="10000"/>
    <m/>
    <m/>
    <s v="Danu"/>
    <s v="Doni"/>
  </r>
  <r>
    <n v="388"/>
    <m/>
    <m/>
    <m/>
    <x v="40"/>
    <m/>
    <m/>
    <m/>
    <m/>
    <m/>
    <m/>
    <x v="2"/>
    <m/>
    <s v="HW/SW"/>
    <n v="2475000"/>
    <m/>
    <m/>
    <m/>
    <s v="Prapto"/>
    <m/>
  </r>
  <r>
    <n v="389"/>
    <s v="092/BSW-DIGINUSA/MOU/IX/2023"/>
    <m/>
    <m/>
    <x v="355"/>
    <m/>
    <s v="Sr. M. Agnesita Pujiati"/>
    <m/>
    <s v="24 sesi"/>
    <s v="Oktober 2023"/>
    <n v="2024"/>
    <x v="3"/>
    <m/>
    <s v="Coding"/>
    <n v="1000000"/>
    <m/>
    <m/>
    <m/>
    <s v="Wijaya"/>
    <s v="Yoni"/>
  </r>
  <r>
    <n v="390"/>
    <s v="091/BSW-DIGINUSA/MOU/IX/2023                    "/>
    <s v="Yayasan Abdi Wacana"/>
    <s v="M.A. Christian"/>
    <x v="356"/>
    <m/>
    <m/>
    <m/>
    <m/>
    <s v="Oktober 2023"/>
    <d v="2024-02-01T00:00:00"/>
    <x v="3"/>
    <m/>
    <s v="Robotik"/>
    <s v="Oktober 2023 Rp5.000.000_x000a_Februari 2024 Rp5.000.000"/>
    <m/>
    <m/>
    <m/>
    <s v="Threesna"/>
    <s v="Yoni"/>
  </r>
  <r>
    <n v="391"/>
    <s v="096/BSW-DIGINUSA/MOU/VI/2023"/>
    <m/>
    <m/>
    <x v="357"/>
    <m/>
    <s v="FX Oktaf Laudensius"/>
    <m/>
    <n v="3"/>
    <n v="2022"/>
    <n v="2025"/>
    <x v="0"/>
    <s v="Sewa Pinjam "/>
    <s v="Smart Explorer"/>
    <n v="8900000"/>
    <m/>
    <m/>
    <s v="Abdul Rohman"/>
    <s v="Pami"/>
    <s v="Vita"/>
  </r>
  <r>
    <n v="392"/>
    <s v="096/BSW-DIGINUSA/MOU/VI/2023"/>
    <m/>
    <m/>
    <x v="358"/>
    <m/>
    <s v="Sr. Paulia, OSF"/>
    <m/>
    <n v="3"/>
    <n v="2022"/>
    <n v="2025"/>
    <x v="3"/>
    <s v="Sewa Pinjam "/>
    <s v="Smart TK"/>
    <n v="800000"/>
    <m/>
    <m/>
    <s v="Abdul Rohman"/>
    <s v="Pami"/>
    <s v="Vita"/>
  </r>
  <r>
    <n v="393"/>
    <s v="001/BSW-DIGINUSA/MOU/I/2024"/>
    <s v="Yayasan Taruna Bakti"/>
    <m/>
    <x v="359"/>
    <m/>
    <s v="Ibrahim AMirm S.E., M.B.A.Tech. (Ketua umum pengurus)"/>
    <m/>
    <s v="6 bulan"/>
    <s v="Januari 2024"/>
    <s v="Juni 2024"/>
    <x v="3"/>
    <s v="Lisensi"/>
    <s v="SmartTK"/>
    <n v="1500000"/>
    <m/>
    <m/>
    <m/>
    <s v="Wijaya"/>
    <m/>
  </r>
  <r>
    <n v="394"/>
    <s v="002/BSW-DIGINUSA/ADD/I/2024"/>
    <s v="Yayasan Pendidikan Umum Bethel"/>
    <s v="David Michael Gerungan, M.M."/>
    <x v="360"/>
    <m/>
    <m/>
    <m/>
    <s v="4 tahun"/>
    <s v="1 Juli 2023"/>
    <s v="30 Juni 2027"/>
    <x v="0"/>
    <s v="Kontrak Pengajaran"/>
    <s v="SmartTK"/>
    <n v="10000"/>
    <s v="Addendum Per Feb Hardware 7.000.000"/>
    <m/>
    <m/>
    <s v="Mery"/>
    <s v="Asep"/>
  </r>
  <r>
    <n v="395"/>
    <s v="002/BSW-DIGINUSA/ADD/I/2024"/>
    <s v="Yayasan Pendidikan Umum Bethel"/>
    <s v="David Michael Gerungan, M.M."/>
    <x v="361"/>
    <m/>
    <m/>
    <m/>
    <s v="4 tahun"/>
    <s v="1 Juli 2023"/>
    <s v="30 Juni 2027"/>
    <x v="0"/>
    <s v="Kontrak Pengajaran"/>
    <s v="Smart Explorer"/>
    <n v="10000"/>
    <m/>
    <m/>
    <m/>
    <s v="Mery"/>
    <s v="Asep"/>
  </r>
  <r>
    <n v="396"/>
    <s v="002/BSW-DIGINUSA/ADD/I/2024"/>
    <s v="Yayasan Pendidikan Umum Bethel"/>
    <s v="David Michael Gerungan, M.M."/>
    <x v="362"/>
    <m/>
    <m/>
    <m/>
    <s v="4 tahun"/>
    <s v="1 Juli 2023"/>
    <s v="30 Juni 2027"/>
    <x v="0"/>
    <s v="Kontrak Pengajaran"/>
    <s v="Future Pro"/>
    <n v="35000"/>
    <m/>
    <m/>
    <m/>
    <s v="Mery"/>
    <s v="Asep"/>
  </r>
  <r>
    <n v="397"/>
    <s v="002/BSW-DIGINUSA/ADD/I/2024"/>
    <s v="Yayasan Pendidikan Umum Bethel"/>
    <s v="David Michael Gerungan, M.M."/>
    <x v="363"/>
    <m/>
    <m/>
    <m/>
    <s v="4 tahun"/>
    <s v="1 Juli 2023"/>
    <s v="30 Juni 2027"/>
    <x v="0"/>
    <s v="Kontrak Pengajaran"/>
    <s v="Future Pro"/>
    <n v="35000"/>
    <m/>
    <m/>
    <m/>
    <s v="Mery"/>
    <s v="Asep"/>
  </r>
  <r>
    <n v="398"/>
    <s v="002/BSW-DIGINUSA/ADD/I/2024"/>
    <s v="Yayasan Pendidikan Umum Bethel"/>
    <s v="David Michael Gerungan, M.M."/>
    <x v="364"/>
    <m/>
    <m/>
    <m/>
    <s v="4 tahun"/>
    <s v="1 Juli 2023"/>
    <s v="30 Juni 2027"/>
    <x v="0"/>
    <s v="Sewa Pinjam"/>
    <s v="Future Pro"/>
    <n v="35000"/>
    <m/>
    <m/>
    <m/>
    <s v="Mery"/>
    <s v="Asep"/>
  </r>
  <r>
    <n v="399"/>
    <s v="003/BSW-DIGINUSA/MOU/III/2024"/>
    <s v="Candle Tree School"/>
    <s v="Handy Tan"/>
    <x v="365"/>
    <m/>
    <m/>
    <m/>
    <s v="1 tahun"/>
    <s v="1 Juli 2024"/>
    <s v="30 Juni 2025"/>
    <x v="3"/>
    <s v="Sewa Pinjam"/>
    <s v="Informatika Kurmer"/>
    <s v="flat"/>
    <n v="9200000"/>
    <m/>
    <s v="Dodi"/>
    <s v="Threesna"/>
    <s v="Yusuf"/>
  </r>
  <r>
    <n v="400"/>
    <s v="003/BSW-DIGINUSA/MOU/III/2024"/>
    <s v="Candle Tree School"/>
    <s v="Handy Tan"/>
    <x v="366"/>
    <m/>
    <m/>
    <m/>
    <s v="1 tahun"/>
    <s v="1 Juli 2024"/>
    <s v="30 Juni 2025"/>
    <x v="3"/>
    <s v="Sewa Pinjam"/>
    <s v="ITPreneur"/>
    <s v="flat"/>
    <n v="9200000"/>
    <m/>
    <s v="Dodi"/>
    <s v="Threesna"/>
    <s v="Yusuf"/>
  </r>
  <r>
    <n v="401"/>
    <s v="004/BSW-DIGINUSA/MOU/IV/2024"/>
    <s v="Yayasan Suaka Insan Suster-Suster Santo Paulus daro Chartres"/>
    <m/>
    <x v="367"/>
    <m/>
    <s v="Sr. Lucia Munde, SPC (Kepala Sub. Perwakilan YSI - SPC Jakarta)"/>
    <m/>
    <s v="3 tahun"/>
    <s v="1 Juli 2024"/>
    <s v="30 Juni 2027"/>
    <x v="0"/>
    <s v="Sewa Pinjam"/>
    <s v="Informatika Kurmer"/>
    <n v="11500"/>
    <n v="5175000"/>
    <m/>
    <s v="Dwi"/>
    <s v="Idy"/>
    <s v="Nadia"/>
  </r>
  <r>
    <n v="402"/>
    <s v="004/BSW-DIGINUSA/MOU/IV/2024"/>
    <s v="Yayasan Suaka Insan Suster-Suster Santo Paulus daro Chartres"/>
    <m/>
    <x v="368"/>
    <m/>
    <s v="Sr. Lucia Munde, SPC (Kepala Sub. Perwakilan YSI - SPC Jakarta)"/>
    <m/>
    <s v="3 tahun"/>
    <s v="1 Juli 2024"/>
    <s v="30 Juni 2027"/>
    <x v="0"/>
    <s v="Sewa Pinjam"/>
    <s v="Informatika Kurmer"/>
    <n v="13000"/>
    <n v="3120000"/>
    <m/>
    <s v="Dwi"/>
    <s v="Idy"/>
    <s v="Nadia"/>
  </r>
  <r>
    <n v="403"/>
    <s v="005/BSW-DIGINUSA/MOU/II/2024"/>
    <m/>
    <m/>
    <x v="369"/>
    <m/>
    <m/>
    <m/>
    <s v="2 tahun"/>
    <s v="1 Juli 2024"/>
    <s v="30 Juni 2026"/>
    <x v="3"/>
    <s v="Lisensi"/>
    <s v="Informatika Kurmer"/>
    <s v="(Termin)"/>
    <n v="33330000"/>
    <s v="9,090,000 (Dibayarkan Mei &amp; Agustus 2024) _x000a_18,180,000 (Dibayarkan Agustus 2025)"/>
    <m/>
    <s v="Mery"/>
    <s v="Wisnu"/>
  </r>
  <r>
    <n v="404"/>
    <s v="006/BSW-DIGINUSA/MOU/...../2024"/>
    <s v="Yayasan Kasih Abadi"/>
    <m/>
    <x v="319"/>
    <m/>
    <m/>
    <m/>
    <m/>
    <m/>
    <m/>
    <x v="2"/>
    <m/>
    <m/>
    <m/>
    <m/>
    <m/>
    <m/>
    <m/>
    <m/>
  </r>
  <r>
    <n v="405"/>
    <s v="006/BSW-DIGINUSA/MOU/...../2024"/>
    <s v="Yayasan Kasih Abadi"/>
    <m/>
    <x v="320"/>
    <m/>
    <m/>
    <m/>
    <m/>
    <m/>
    <m/>
    <x v="2"/>
    <m/>
    <m/>
    <m/>
    <m/>
    <m/>
    <m/>
    <m/>
    <m/>
  </r>
  <r>
    <n v="406"/>
    <s v="007/BSW-DIGINUSA/MOU/V/2024"/>
    <s v="Yayasan Tarakanita Wilayah Surabaya"/>
    <m/>
    <x v="370"/>
    <m/>
    <m/>
    <m/>
    <s v="1 tahun"/>
    <s v="15 Agustus 2024"/>
    <s v="15 Mei 2025"/>
    <x v="0"/>
    <s v="Sewa Pinjam"/>
    <s v="Informatika Kurmer"/>
    <n v="40000"/>
    <s v="x jumlah siswa"/>
    <s v="35.000 dis 20% jadi 28.000 (Dibayarkan Oktober)"/>
    <s v="Herlangga"/>
    <s v="Bayu"/>
    <s v="Unggul"/>
  </r>
  <r>
    <n v="407"/>
    <s v="007/BSW-DIGINUSA/MOU/V/2024"/>
    <s v="Yayasan Tarakanita Wilayah Surabaya"/>
    <m/>
    <x v="26"/>
    <m/>
    <m/>
    <m/>
    <s v="1 tahun"/>
    <s v="15 Agustus 2024"/>
    <s v="15 Mei 2025"/>
    <x v="0"/>
    <s v="Sewa Pinjam"/>
    <s v="Informatika Kurmer &amp; ITPreneur"/>
    <n v="59000"/>
    <s v="x jumlah siswa"/>
    <s v="70.000 dis 20% jadi 56.000 (Dibayarkan Oktober)"/>
    <s v="Herlangga"/>
    <s v="Bayu"/>
    <s v="Unggul"/>
  </r>
  <r>
    <n v="408"/>
    <s v="007/BSW-DIGINUSA/MOU/V/2024"/>
    <s v="Yayasan Tarakanita Wilayah Surabaya"/>
    <m/>
    <x v="371"/>
    <m/>
    <m/>
    <m/>
    <s v="1 tahun"/>
    <s v="15 Agustus 2024"/>
    <s v="15 Mei 2025"/>
    <x v="0"/>
    <s v="Sewa Pinjam"/>
    <s v="Informatika Kurmer &amp; ITPreneur"/>
    <n v="59000"/>
    <s v="x jumlah siswa"/>
    <s v="70.000 dis 20% jadi 56.000 (Dibayarkan Oktober)"/>
    <s v="Herlangga"/>
    <s v="Bayu"/>
    <s v="Unggul"/>
  </r>
  <r>
    <n v="409"/>
    <s v="007/BSW-DIGINUSA/MOU/V/2024"/>
    <s v="Yayasan Tarakanita Wilayah Surabaya"/>
    <m/>
    <x v="29"/>
    <m/>
    <m/>
    <m/>
    <s v="1 tahun"/>
    <s v="15 Agustus 2024"/>
    <s v="15 Mei 2025"/>
    <x v="0"/>
    <s v="Sewa Pinjam"/>
    <s v="Informatika Kurmer"/>
    <n v="40000"/>
    <s v="x jumlah siswa"/>
    <s v="35.000 dis 20% jadi 28.000 (Dibayarkan Oktober)"/>
    <s v="Herlangga"/>
    <s v="Bayu"/>
    <s v="Unggul"/>
  </r>
  <r>
    <n v="410"/>
    <s v="007/BSW-DIGINUSA/MOU/V/2024"/>
    <s v="Yayasan Tarakanita Wilayah Surabaya"/>
    <m/>
    <x v="28"/>
    <m/>
    <m/>
    <m/>
    <s v="1 tahun"/>
    <s v="15 Agustus 2024"/>
    <s v="15 Mei 2025"/>
    <x v="0"/>
    <s v="Sewa Pinjam"/>
    <s v="Informatika Kurmer &amp; ITPreneur"/>
    <n v="59000"/>
    <s v="x jumlah siswa"/>
    <s v="70.000 dis 20% jadi 56.000 (Dibayarkan Oktober)"/>
    <s v="Herlangga"/>
    <s v="Bayu"/>
    <s v="Unggul"/>
  </r>
  <r>
    <n v="411"/>
    <s v="008/BSW-DIGINUSA/MOU/V/2024"/>
    <s v="Yayasan Karya Sang Timur Cakung"/>
    <m/>
    <x v="372"/>
    <m/>
    <m/>
    <m/>
    <m/>
    <m/>
    <m/>
    <x v="2"/>
    <m/>
    <m/>
    <m/>
    <m/>
    <m/>
    <m/>
    <m/>
    <m/>
  </r>
  <r>
    <n v="412"/>
    <s v="009/BSW-DIGINUSA/MOU/V/2024"/>
    <s v="Yayasan Asti Darma Cab. Grogol"/>
    <s v="Sr. M. Godeliva, PBHK"/>
    <x v="373"/>
    <m/>
    <m/>
    <m/>
    <s v="1 tahun"/>
    <s v="1 Juli 2024"/>
    <s v="30 Juni 2025"/>
    <x v="0"/>
    <s v="Kontrak Pengajaran"/>
    <s v="Smart TK"/>
    <s v="flat"/>
    <n v="2000000"/>
    <m/>
    <s v="Fadhil"/>
    <s v="Prapto"/>
    <s v="Vita"/>
  </r>
  <r>
    <m/>
    <s v="010/BSW-DIGINUSA/MOU/..../2024"/>
    <m/>
    <m/>
    <x v="374"/>
    <m/>
    <m/>
    <m/>
    <m/>
    <m/>
    <m/>
    <x v="2"/>
    <m/>
    <m/>
    <m/>
    <m/>
    <m/>
    <m/>
    <m/>
    <m/>
  </r>
  <r>
    <m/>
    <s v="011/BSW-DIGINUSA/MOU/..../2024"/>
    <m/>
    <m/>
    <x v="374"/>
    <m/>
    <m/>
    <m/>
    <m/>
    <m/>
    <m/>
    <x v="2"/>
    <m/>
    <m/>
    <m/>
    <m/>
    <m/>
    <m/>
    <m/>
    <m/>
  </r>
  <r>
    <n v="413"/>
    <s v="012/BSW-DIGINUSA/MOU/V/2024"/>
    <m/>
    <m/>
    <x v="375"/>
    <m/>
    <m/>
    <m/>
    <s v="2 tahun"/>
    <s v="1 Agustus 2024"/>
    <s v="31 Mei 2026"/>
    <x v="0"/>
    <s v="Lisensi"/>
    <s v="Informatika Kurmer"/>
    <s v="free"/>
    <s v="-"/>
    <m/>
    <s v="Nurfi"/>
    <s v="Wijaya"/>
    <s v="Nadia"/>
  </r>
  <r>
    <n v="414"/>
    <s v="012/BSW-DIGINUSA/MOU/V/2024"/>
    <m/>
    <m/>
    <x v="271"/>
    <m/>
    <s v="Agustina Wagiyanti"/>
    <m/>
    <s v="2 tahun"/>
    <s v="1 Agustus 2024"/>
    <s v="31 Mei 2026"/>
    <x v="0"/>
    <s v="Lisensi"/>
    <s v="Informatika Kurmer"/>
    <n v="11500"/>
    <n v="3450000"/>
    <m/>
    <s v="Nurfi"/>
    <s v="Wijaya"/>
    <s v="Nadia"/>
  </r>
  <r>
    <m/>
    <s v="013/BSW-DIGINUSA/MOU/VI/2024"/>
    <s v="Yayasan Asti Darma Pusat"/>
    <m/>
    <x v="376"/>
    <m/>
    <m/>
    <m/>
    <m/>
    <m/>
    <m/>
    <x v="2"/>
    <m/>
    <m/>
    <m/>
    <m/>
    <m/>
    <m/>
    <m/>
    <m/>
  </r>
  <r>
    <m/>
    <s v="014/BSW-DIGINUSA/MOU/V/2024"/>
    <s v="BPK Penabur Cianjur"/>
    <m/>
    <x v="377"/>
    <m/>
    <m/>
    <m/>
    <m/>
    <m/>
    <m/>
    <x v="2"/>
    <m/>
    <m/>
    <m/>
    <m/>
    <m/>
    <m/>
    <m/>
    <m/>
  </r>
  <r>
    <m/>
    <s v="014/BSW-DIGINUSA/MOU/V/2024"/>
    <s v="BPK Penabur Cianjur"/>
    <m/>
    <x v="378"/>
    <m/>
    <m/>
    <m/>
    <m/>
    <m/>
    <m/>
    <x v="2"/>
    <m/>
    <m/>
    <m/>
    <m/>
    <m/>
    <m/>
    <m/>
    <m/>
  </r>
  <r>
    <m/>
    <s v="014/BSW-DIGINUSA/MOU/V/2024"/>
    <s v="BPK Penabur Cianjur"/>
    <m/>
    <x v="379"/>
    <m/>
    <m/>
    <m/>
    <m/>
    <m/>
    <m/>
    <x v="2"/>
    <m/>
    <m/>
    <m/>
    <m/>
    <m/>
    <m/>
    <m/>
    <m/>
  </r>
  <r>
    <m/>
    <s v="014/BSW-DIGINUSA/MOU/V/2024"/>
    <s v="BPK Penabur Cianjur"/>
    <m/>
    <x v="380"/>
    <m/>
    <m/>
    <m/>
    <m/>
    <m/>
    <m/>
    <x v="2"/>
    <m/>
    <m/>
    <m/>
    <m/>
    <m/>
    <m/>
    <m/>
    <m/>
  </r>
  <r>
    <m/>
    <s v="015/BSW-DIGINUSA/MOU/V/2024"/>
    <m/>
    <m/>
    <x v="381"/>
    <m/>
    <s v="Maya Indira, S.Pd"/>
    <m/>
    <s v="3 tahun"/>
    <s v="1 Juni 2024"/>
    <s v="31 Mei 2027"/>
    <x v="3"/>
    <s v="Sewa Pinjam"/>
    <s v="Informatika Kurmer"/>
    <n v="15000"/>
    <n v="4935000"/>
    <m/>
    <s v="Latief"/>
    <s v="Desi"/>
    <s v="Nadia"/>
  </r>
  <r>
    <m/>
    <s v="016/BSW-DIGINUSA/MOU/VI/2024"/>
    <m/>
    <m/>
    <x v="382"/>
    <m/>
    <m/>
    <m/>
    <m/>
    <m/>
    <m/>
    <x v="2"/>
    <m/>
    <m/>
    <m/>
    <m/>
    <m/>
    <m/>
    <m/>
    <m/>
  </r>
  <r>
    <m/>
    <s v="016/BSW-DIGINUSA/MOU/VI/2024"/>
    <m/>
    <m/>
    <x v="383"/>
    <m/>
    <m/>
    <m/>
    <m/>
    <m/>
    <m/>
    <x v="2"/>
    <m/>
    <m/>
    <m/>
    <m/>
    <m/>
    <m/>
    <m/>
    <m/>
  </r>
  <r>
    <m/>
    <s v="017/BSW-DIGINUSA/MOU/VII/2024"/>
    <s v="Yayasan Tarakanita Jawa Tengah"/>
    <m/>
    <x v="374"/>
    <m/>
    <m/>
    <m/>
    <m/>
    <m/>
    <m/>
    <x v="2"/>
    <m/>
    <m/>
    <m/>
    <m/>
    <m/>
    <m/>
    <m/>
    <m/>
  </r>
  <r>
    <n v="415"/>
    <s v="018/BSW-DIGINUSA/MOU/VI/2024"/>
    <s v="Yayasan Lembaga Miryam"/>
    <m/>
    <x v="384"/>
    <m/>
    <s v="Sr. Modesta, HK"/>
    <m/>
    <s v="1 tahun"/>
    <s v="1 Agustus 2024"/>
    <s v="30 Juni 2025"/>
    <x v="0"/>
    <s v="Lisensi"/>
    <s v="Informatika Kurmer"/>
    <n v="13000"/>
    <s v="x jumlah siswa"/>
    <m/>
    <s v="Sudar"/>
    <s v="Prapto"/>
    <s v="Nadia"/>
  </r>
  <r>
    <m/>
    <s v="019/BSW-DIGINUSA/MOU/VI/2024"/>
    <s v="Yayasan Seri Amal Medan"/>
    <m/>
    <x v="374"/>
    <m/>
    <m/>
    <m/>
    <m/>
    <m/>
    <m/>
    <x v="2"/>
    <m/>
    <m/>
    <m/>
    <m/>
    <m/>
    <m/>
    <m/>
    <m/>
  </r>
  <r>
    <m/>
    <s v="020/BSW-DIGINUSA/MOU/VI/2024"/>
    <s v="Yayasan Sekolah Anak Bangsa Surabaya"/>
    <m/>
    <x v="374"/>
    <m/>
    <m/>
    <m/>
    <m/>
    <m/>
    <m/>
    <x v="2"/>
    <m/>
    <m/>
    <m/>
    <m/>
    <m/>
    <m/>
    <m/>
    <m/>
  </r>
  <r>
    <m/>
    <s v="021/BSW-DIGINUSA/MOU/VI/2024"/>
    <s v="Yayasan Kasih Abadi "/>
    <m/>
    <x v="317"/>
    <m/>
    <m/>
    <m/>
    <m/>
    <m/>
    <m/>
    <x v="2"/>
    <m/>
    <m/>
    <m/>
    <m/>
    <m/>
    <m/>
    <m/>
    <m/>
  </r>
  <r>
    <m/>
    <s v="021/BSW-DIGINUSA/MOU/VI/2024"/>
    <s v="Yayasan Kasih Abadi "/>
    <m/>
    <x v="318"/>
    <m/>
    <m/>
    <m/>
    <m/>
    <m/>
    <m/>
    <x v="2"/>
    <m/>
    <m/>
    <m/>
    <m/>
    <m/>
    <m/>
    <m/>
    <m/>
  </r>
  <r>
    <m/>
    <s v="022/BSW-DIGINUSA/MOU/VI/2024"/>
    <s v="Yayasan Lembaga Miryam"/>
    <m/>
    <x v="385"/>
    <m/>
    <m/>
    <m/>
    <m/>
    <m/>
    <m/>
    <x v="2"/>
    <m/>
    <m/>
    <m/>
    <m/>
    <m/>
    <m/>
    <m/>
    <m/>
  </r>
  <r>
    <n v="416"/>
    <s v="023/BSW-DIGINUSA/MOU/VI/2024"/>
    <s v="Yayasan Penyelenggara Ilahi Indonesia"/>
    <s v="Sr. Aniseta, SDP"/>
    <x v="386"/>
    <m/>
    <m/>
    <m/>
    <s v="1 tahun"/>
    <s v="1 Juli 2024"/>
    <s v="30 Juni 2025"/>
    <x v="3"/>
    <s v="Lisensi"/>
    <s v="Informatika Kurmer"/>
    <m/>
    <n v="2550000"/>
    <n v="20000"/>
    <s v="Elias"/>
    <s v="Wijaya"/>
    <s v="Nadia"/>
  </r>
  <r>
    <m/>
    <s v="024/BSW-DIGINUSA/MOU/VII/2024"/>
    <s v="Yayasan Asti Dharma Cab. Bogor"/>
    <m/>
    <x v="387"/>
    <m/>
    <m/>
    <m/>
    <m/>
    <m/>
    <m/>
    <x v="2"/>
    <m/>
    <m/>
    <m/>
    <m/>
    <m/>
    <m/>
    <m/>
    <m/>
  </r>
  <r>
    <m/>
    <s v="025/BSW-DIGINUSA/MOU/VI/2024"/>
    <m/>
    <m/>
    <x v="388"/>
    <m/>
    <m/>
    <m/>
    <m/>
    <m/>
    <m/>
    <x v="2"/>
    <m/>
    <m/>
    <m/>
    <m/>
    <m/>
    <m/>
    <m/>
    <m/>
  </r>
  <r>
    <m/>
    <s v="026/BSW-DIGINUSA/MOU/VI/2024"/>
    <s v="Yayasan Pelita Kasih "/>
    <m/>
    <x v="389"/>
    <m/>
    <m/>
    <m/>
    <m/>
    <m/>
    <m/>
    <x v="2"/>
    <m/>
    <m/>
    <m/>
    <m/>
    <m/>
    <m/>
    <m/>
    <m/>
  </r>
  <r>
    <m/>
    <s v="027/BSW-DIGINUSA/MOU/VI/2024"/>
    <s v="Yayasan Margie"/>
    <m/>
    <x v="390"/>
    <m/>
    <m/>
    <m/>
    <m/>
    <m/>
    <m/>
    <x v="2"/>
    <m/>
    <m/>
    <m/>
    <m/>
    <m/>
    <m/>
    <m/>
    <m/>
  </r>
  <r>
    <m/>
    <s v="027/BSW-DIGINUSA/MOU/VI/2024"/>
    <s v="Yayasan Margie"/>
    <m/>
    <x v="391"/>
    <m/>
    <m/>
    <m/>
    <m/>
    <m/>
    <m/>
    <x v="2"/>
    <m/>
    <m/>
    <m/>
    <m/>
    <m/>
    <m/>
    <m/>
    <m/>
  </r>
  <r>
    <m/>
    <s v="027/BSW-DIGINUSA/MOU/VI/2024"/>
    <s v="Yayasan Margie"/>
    <m/>
    <x v="392"/>
    <m/>
    <m/>
    <m/>
    <m/>
    <m/>
    <m/>
    <x v="2"/>
    <m/>
    <m/>
    <m/>
    <m/>
    <m/>
    <m/>
    <m/>
    <m/>
  </r>
  <r>
    <m/>
    <s v="027/BSW-DIGINUSA/MOU/VI/2024"/>
    <s v="Yayasan Margie"/>
    <m/>
    <x v="393"/>
    <m/>
    <m/>
    <m/>
    <m/>
    <m/>
    <m/>
    <x v="2"/>
    <m/>
    <m/>
    <m/>
    <m/>
    <m/>
    <m/>
    <m/>
    <m/>
  </r>
  <r>
    <m/>
    <s v="028/BSW-DIGINUSA/MOU/VI/2024"/>
    <m/>
    <m/>
    <x v="260"/>
    <m/>
    <m/>
    <m/>
    <m/>
    <m/>
    <m/>
    <x v="2"/>
    <m/>
    <m/>
    <m/>
    <m/>
    <m/>
    <m/>
    <m/>
    <m/>
  </r>
  <r>
    <m/>
    <s v="029/BSW-DIGINUSA/MOU/VI/2024"/>
    <s v="Yayasan Paskalis"/>
    <m/>
    <x v="394"/>
    <m/>
    <m/>
    <m/>
    <m/>
    <m/>
    <m/>
    <x v="2"/>
    <m/>
    <m/>
    <m/>
    <m/>
    <m/>
    <m/>
    <m/>
    <m/>
  </r>
  <r>
    <m/>
    <s v="029/BSW-DIGINUSA/MOU/VI/2024"/>
    <s v="Yayasan Paskalis"/>
    <m/>
    <x v="395"/>
    <m/>
    <m/>
    <m/>
    <m/>
    <m/>
    <m/>
    <x v="2"/>
    <m/>
    <m/>
    <m/>
    <m/>
    <m/>
    <m/>
    <m/>
    <m/>
  </r>
  <r>
    <m/>
    <s v="030/BSW-DIGINUSA/MOU/VI/2024"/>
    <s v="Permai School"/>
    <m/>
    <x v="396"/>
    <m/>
    <m/>
    <m/>
    <m/>
    <m/>
    <m/>
    <x v="2"/>
    <m/>
    <m/>
    <m/>
    <m/>
    <m/>
    <m/>
    <m/>
    <m/>
  </r>
  <r>
    <m/>
    <s v="030/BSW-DIGINUSA/MOU/VI/2024"/>
    <s v="Permai School"/>
    <m/>
    <x v="397"/>
    <m/>
    <m/>
    <m/>
    <m/>
    <m/>
    <m/>
    <x v="2"/>
    <m/>
    <m/>
    <m/>
    <m/>
    <m/>
    <m/>
    <m/>
    <m/>
  </r>
  <r>
    <m/>
    <s v="030/BSW-DIGINUSA/MOU/VI/2024"/>
    <s v="Permai School"/>
    <m/>
    <x v="398"/>
    <m/>
    <m/>
    <m/>
    <m/>
    <m/>
    <m/>
    <x v="2"/>
    <m/>
    <m/>
    <m/>
    <m/>
    <m/>
    <m/>
    <m/>
    <m/>
  </r>
  <r>
    <m/>
    <s v="031/BSW-DIGINUSA/MOU/VI/2024"/>
    <s v="Yayasan Abdi Karya "/>
    <m/>
    <x v="399"/>
    <m/>
    <s v="Dra. Luky Mardiana"/>
    <m/>
    <s v="1 tahun"/>
    <s v="1 Juli 2024"/>
    <s v="30 Juni 2025"/>
    <x v="0"/>
    <s v="Lisensi"/>
    <s v="ITPreneur"/>
    <n v="20000"/>
    <n v="9000000"/>
    <n v="15"/>
    <m/>
    <s v="Fadhil"/>
    <s v="Sapar"/>
  </r>
  <r>
    <m/>
    <s v="032/BSW-DIGINUSA/MOU/VI/2024"/>
    <m/>
    <m/>
    <x v="355"/>
    <m/>
    <m/>
    <m/>
    <m/>
    <m/>
    <m/>
    <x v="2"/>
    <m/>
    <m/>
    <m/>
    <m/>
    <m/>
    <m/>
    <m/>
    <m/>
  </r>
  <r>
    <m/>
    <s v="033/BSW-DIGINUSA/MOU/VII/2024"/>
    <s v="Yayasan Xaverius Palembang"/>
    <m/>
    <x v="400"/>
    <m/>
    <m/>
    <m/>
    <m/>
    <m/>
    <m/>
    <x v="2"/>
    <m/>
    <m/>
    <m/>
    <m/>
    <m/>
    <m/>
    <m/>
    <m/>
  </r>
  <r>
    <m/>
    <s v="034/BSW-DIGINUSA/MOU/VII/2024"/>
    <s v="Al Masih Christian School"/>
    <m/>
    <x v="401"/>
    <m/>
    <m/>
    <m/>
    <m/>
    <m/>
    <m/>
    <x v="2"/>
    <m/>
    <m/>
    <m/>
    <m/>
    <m/>
    <m/>
    <m/>
    <m/>
  </r>
  <r>
    <m/>
    <s v="034/BSW-DIGINUSA/MOU/VII/2024"/>
    <s v="Al Masih Christian School"/>
    <m/>
    <x v="402"/>
    <m/>
    <m/>
    <m/>
    <m/>
    <m/>
    <m/>
    <x v="2"/>
    <m/>
    <m/>
    <m/>
    <m/>
    <m/>
    <m/>
    <m/>
    <m/>
  </r>
  <r>
    <m/>
    <s v="034/BSW-DIGINUSA/MOU/VII/2024"/>
    <s v="Al Masih Christian School"/>
    <m/>
    <x v="403"/>
    <m/>
    <m/>
    <m/>
    <m/>
    <m/>
    <m/>
    <x v="2"/>
    <m/>
    <m/>
    <m/>
    <m/>
    <m/>
    <m/>
    <m/>
    <m/>
  </r>
  <r>
    <m/>
    <s v="034/BSW-DIGINUSA/MOU/VII/2024"/>
    <s v="Al Masih Christian School"/>
    <m/>
    <x v="404"/>
    <m/>
    <m/>
    <m/>
    <m/>
    <m/>
    <m/>
    <x v="2"/>
    <m/>
    <m/>
    <m/>
    <m/>
    <m/>
    <m/>
    <m/>
    <m/>
  </r>
  <r>
    <m/>
    <s v="035/BSW-DIGINUSA/ADD/VII/2024"/>
    <s v="Yayasan Panti Asuhan Katolik"/>
    <m/>
    <x v="405"/>
    <m/>
    <m/>
    <m/>
    <m/>
    <m/>
    <m/>
    <x v="2"/>
    <m/>
    <m/>
    <m/>
    <m/>
    <m/>
    <m/>
    <m/>
    <m/>
  </r>
  <r>
    <m/>
    <s v="035/BSW-DIGINUSA/ADD/VII/2024"/>
    <s v="Yayasan Panti Asuhan Katolik"/>
    <m/>
    <x v="406"/>
    <m/>
    <m/>
    <m/>
    <m/>
    <m/>
    <m/>
    <x v="2"/>
    <m/>
    <m/>
    <m/>
    <m/>
    <m/>
    <m/>
    <m/>
    <m/>
  </r>
  <r>
    <m/>
    <s v="035/BSW-DIGINUSA/ADD/VII/2024"/>
    <s v="Yayasan Panti Asuhan Katolik"/>
    <m/>
    <x v="270"/>
    <m/>
    <m/>
    <m/>
    <m/>
    <m/>
    <m/>
    <x v="2"/>
    <m/>
    <m/>
    <m/>
    <m/>
    <m/>
    <m/>
    <m/>
    <m/>
  </r>
  <r>
    <m/>
    <s v="036/BSW-DIGINUSA/ADD/VII/2024"/>
    <s v="Yayasan Panti Asuhan Katolik"/>
    <m/>
    <x v="407"/>
    <m/>
    <m/>
    <m/>
    <m/>
    <m/>
    <m/>
    <x v="2"/>
    <m/>
    <m/>
    <m/>
    <m/>
    <m/>
    <m/>
    <m/>
    <m/>
  </r>
  <r>
    <m/>
    <s v="036/BSW-DIGINUSA/ADD/VII/2024"/>
    <s v="Yayasan Panti Asuhan Katolik"/>
    <m/>
    <x v="408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  <r>
    <m/>
    <m/>
    <m/>
    <m/>
    <x v="374"/>
    <m/>
    <m/>
    <m/>
    <m/>
    <m/>
    <m/>
    <x v="2"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4">
  <r>
    <s v="034/BSW-DIGINUSA/MOU/VI/2022"/>
    <s v="Yayasan Regina Pacis FMM"/>
    <s v="Sr. Christina Sri Murni, FMM"/>
    <x v="0"/>
    <s v="A"/>
    <s v="Margaret Eti Sulastri "/>
    <m/>
    <n v="3"/>
    <n v="2022"/>
    <n v="2025"/>
    <x v="0"/>
    <s v="Sewa Pinjam"/>
    <s v="SmartTK"/>
    <s v="TAB 22/23 Rp29.000_x000a_TAB 23/24 Rp40.000_x000a_TAB 24/25 Rp31.000"/>
    <m/>
    <m/>
    <x v="0"/>
    <x v="0"/>
    <x v="0"/>
    <m/>
    <s v="Kalau ada ceklis/ kalau tidak ada kosongin"/>
    <s v="ADA/Tidak"/>
  </r>
  <r>
    <s v="034/BSW-DIGINUSA/MOU/VI/2022"/>
    <s v="Yayasan Regina Pacis FMM"/>
    <s v="Sr. Christina Sri Murni, FMM"/>
    <x v="1"/>
    <s v="A"/>
    <s v="Lousiana Cicih Sunarsih "/>
    <m/>
    <n v="3"/>
    <n v="2022"/>
    <n v="2025"/>
    <x v="0"/>
    <s v="Sewa Pinjam"/>
    <s v="Informatika Kurmer"/>
    <s v="TAB 22/23 (90% Rp51.000 &amp; 10% Rp22.500)_x000a_TAB 23/24 (90% Rp52.000 &amp; 10% Rp22.500)_x000a_TAB 24/25 (90% Rp58.000 &amp; 10% Rp22.500)"/>
    <m/>
    <m/>
    <x v="0"/>
    <x v="0"/>
    <x v="0"/>
    <m/>
    <m/>
    <m/>
  </r>
  <r>
    <s v="034/BSW-DIGINUSA/MOU/VI/2022"/>
    <s v="Yayasan Regina Pacis FMM"/>
    <s v="Sr. Christina Sri Murni, FMM"/>
    <x v="2"/>
    <s v="A"/>
    <s v="Agnes Atik Susilawati "/>
    <m/>
    <n v="3"/>
    <n v="2022"/>
    <n v="2025"/>
    <x v="0"/>
    <s v="Sewa Pinjam"/>
    <s v="Informatika Kurmer"/>
    <s v="TAB 22/23 (90% Rp56.000 &amp; 10% Rp32.500)_x000a_TAB 23/24 (90% Rp57.000 &amp; 10% Rp32.500)_x000a_TAB 24/25 (90% Rp58.000 &amp; 10% Rp32.500)"/>
    <m/>
    <m/>
    <x v="0"/>
    <x v="0"/>
    <x v="0"/>
    <m/>
    <m/>
    <m/>
  </r>
  <r>
    <s v="034/BSW-DIGINUSA/MOU/VI/2022"/>
    <s v="Yayasan Regina Pacis FMM"/>
    <s v="Sr. Christina Sri Murni, FMM"/>
    <x v="3"/>
    <s v="A"/>
    <s v="C. Retno Widayanti "/>
    <m/>
    <n v="3"/>
    <n v="2022"/>
    <n v="2025"/>
    <x v="0"/>
    <s v="Sewa Pinjam"/>
    <s v="Informatika Kurmer"/>
    <s v="TAB 22/23 (90% Rp56.000 &amp; 10% Rp32.500)_x000a_TAB 23/24 (90% Rp57.000 &amp; 10% Rp32.500)_x000a_TAB 24/25 (90% Rp58.000 &amp; 10% Rp32.500)"/>
    <m/>
    <m/>
    <x v="0"/>
    <x v="0"/>
    <x v="0"/>
    <m/>
    <m/>
    <m/>
  </r>
  <r>
    <s v="044/BSW-DIGINUSA/MOU/VI/2023"/>
    <s v="Yayasan Anakku"/>
    <s v="Arnie Arifin"/>
    <x v="4"/>
    <s v="A"/>
    <s v="Dra. Naily TAnjung "/>
    <m/>
    <n v="3"/>
    <n v="2023"/>
    <n v="2026"/>
    <x v="0"/>
    <s v="Sewa Pinjam"/>
    <s v="SmartTK"/>
    <n v="30556250"/>
    <m/>
    <m/>
    <x v="1"/>
    <x v="1"/>
    <x v="1"/>
    <m/>
    <m/>
    <m/>
  </r>
  <r>
    <s v="044/BSW-DIGINUSA/MOU/VI/2023"/>
    <s v="Yayasan Anakku"/>
    <s v="Arnie Arifin"/>
    <x v="5"/>
    <s v="A"/>
    <s v="Lulu "/>
    <m/>
    <n v="3"/>
    <n v="2023"/>
    <n v="2026"/>
    <x v="0"/>
    <s v="Sewa Pinjam"/>
    <s v="SmartExplorer"/>
    <n v="30556250"/>
    <m/>
    <m/>
    <x v="1"/>
    <x v="1"/>
    <x v="1"/>
    <m/>
    <m/>
    <m/>
  </r>
  <r>
    <s v="044/BSW-DIGINUSA/MOU/VI/2023"/>
    <s v="Yayasan Anakku"/>
    <s v="Arnie Arifin"/>
    <x v="6"/>
    <s v="A"/>
    <s v="Gugum Prayoga "/>
    <m/>
    <n v="3"/>
    <n v="2023"/>
    <n v="2026"/>
    <x v="0"/>
    <s v="Sewa Pinjam"/>
    <s v="Informatika Kurmer"/>
    <n v="30556250"/>
    <m/>
    <m/>
    <x v="2"/>
    <x v="1"/>
    <x v="1"/>
    <m/>
    <m/>
    <m/>
  </r>
  <r>
    <s v="044/BSW-DIGINUSA/MOU/VI/2023"/>
    <s v="Yayasan Anakku"/>
    <s v="Arnie Arifin"/>
    <x v="7"/>
    <s v="A"/>
    <s v="Muh Ridwan "/>
    <m/>
    <n v="3"/>
    <n v="2023"/>
    <n v="2026"/>
    <x v="0"/>
    <s v="Sewa Pinjam"/>
    <s v="Informatika Kurmer"/>
    <n v="30556250"/>
    <m/>
    <m/>
    <x v="2"/>
    <x v="1"/>
    <x v="1"/>
    <m/>
    <m/>
    <m/>
  </r>
  <r>
    <s v="003/BSW-DIGINUSA/MOU/IV/2019"/>
    <s v="Yayasan Pendidikan Permai"/>
    <s v="William Chandra"/>
    <x v="8"/>
    <s v="A"/>
    <s v="Heffy"/>
    <m/>
    <n v="4"/>
    <n v="2019"/>
    <n v="2023"/>
    <x v="1"/>
    <s v="Sewa Pinjam"/>
    <s v="SEIS"/>
    <n v="87000"/>
    <m/>
    <m/>
    <x v="3"/>
    <x v="2"/>
    <x v="2"/>
    <m/>
    <m/>
    <m/>
  </r>
  <r>
    <s v="003/BSW-DIGINUSA/MOU/IV/2019"/>
    <s v="Yayasan Pendidikan Permai"/>
    <s v="William Chandra"/>
    <x v="9"/>
    <s v="A"/>
    <m/>
    <m/>
    <n v="4"/>
    <n v="2019"/>
    <n v="2023"/>
    <x v="1"/>
    <s v="Sewa Pinjam"/>
    <s v="ITPreneur Inter "/>
    <n v="87000"/>
    <m/>
    <m/>
    <x v="3"/>
    <x v="2"/>
    <x v="2"/>
    <m/>
    <m/>
    <m/>
  </r>
  <r>
    <s v="012/BSW-DIGINUSA/MOU/IV/2022"/>
    <s v="Yayasan Pendidikan Permai"/>
    <s v="Djoko Wihardjo"/>
    <x v="10"/>
    <s v="A"/>
    <s v="Syukur kurnia indahwati, M.psi"/>
    <m/>
    <n v="3"/>
    <n v="2022"/>
    <n v="2025"/>
    <x v="0"/>
    <s v="Sewa Pinjam"/>
    <s v="SmartTK"/>
    <n v="42000"/>
    <m/>
    <n v="50000"/>
    <x v="4"/>
    <x v="2"/>
    <x v="2"/>
    <n v="188"/>
    <m/>
    <m/>
  </r>
  <r>
    <s v="012/BSW-DIGINUSA/MOU/IV/2022"/>
    <s v="Yayasan Pendidikan Permai"/>
    <s v="Djoko Wihardjo"/>
    <x v="11"/>
    <s v="A"/>
    <s v="Ibu Julita Johana"/>
    <m/>
    <n v="3"/>
    <n v="2022"/>
    <n v="2025"/>
    <x v="0"/>
    <s v="Sewa Pinjam"/>
    <s v="SmartExplorer"/>
    <n v="42000"/>
    <m/>
    <n v="50000"/>
    <x v="4"/>
    <x v="2"/>
    <x v="2"/>
    <m/>
    <m/>
    <m/>
  </r>
  <r>
    <s v="012/BSW-DIGINUSA/MOU/IV/2022"/>
    <s v="Yayasan Pendidikan Permai"/>
    <s v="Djoko Wihardjo"/>
    <x v="12"/>
    <s v="A"/>
    <s v="Anne Maria "/>
    <m/>
    <n v="3"/>
    <n v="2022"/>
    <n v="2025"/>
    <x v="0"/>
    <s v="Sewa Pinjam"/>
    <s v="ITPreneur"/>
    <n v="42000"/>
    <m/>
    <n v="50000"/>
    <x v="4"/>
    <x v="2"/>
    <x v="2"/>
    <m/>
    <m/>
    <m/>
  </r>
  <r>
    <s v="012/BSW-DIGINUSA/MOU/IV/2022"/>
    <s v="Yayasan Pendidikan Permai"/>
    <s v="Djoko Wihardjo"/>
    <x v="13"/>
    <s v="A"/>
    <s v="Drs Robertus Kusnandar"/>
    <m/>
    <n v="3"/>
    <n v="2022"/>
    <n v="2025"/>
    <x v="0"/>
    <s v="Sewa Pinjam"/>
    <s v="ITPreneur"/>
    <n v="42000"/>
    <m/>
    <n v="50000"/>
    <x v="4"/>
    <x v="2"/>
    <x v="2"/>
    <m/>
    <m/>
    <m/>
  </r>
  <r>
    <s v="084/BSW-DIGINUSA/MOU/VI/2023"/>
    <s v="Yayasan Seri Amal"/>
    <s v="Sr. Gaudensia Sihaloho, KSSY"/>
    <x v="14"/>
    <s v="A"/>
    <s v="Tarcisia"/>
    <m/>
    <n v="3"/>
    <n v="2023"/>
    <n v="2026"/>
    <x v="0"/>
    <s v="Kontrak Pengajaran"/>
    <s v="SmartProgram"/>
    <n v="10500"/>
    <m/>
    <m/>
    <x v="5"/>
    <x v="3"/>
    <x v="0"/>
    <n v="1022"/>
    <m/>
    <m/>
  </r>
  <r>
    <s v="085/BSW-DIGINUSA/MOU/VI/2023"/>
    <s v="Yayasan Seri Amal"/>
    <s v="Sr. Gaudensia Sihaloho, KSSY"/>
    <x v="15"/>
    <s v="A"/>
    <s v="Manotas Situmorang "/>
    <m/>
    <n v="3"/>
    <n v="2023"/>
    <n v="2026"/>
    <x v="0"/>
    <s v="Kontrak Pengajaran"/>
    <s v="ITPreneur"/>
    <n v="18000"/>
    <m/>
    <n v="24000"/>
    <x v="5"/>
    <x v="3"/>
    <x v="0"/>
    <n v="848"/>
    <m/>
    <m/>
  </r>
  <r>
    <s v="007/BSW-DIGINUSA/ADD/III/2023"/>
    <s v="Yayasan Seri Amal"/>
    <s v="Sr. Gaudensia Sihaloho, KSSY"/>
    <x v="15"/>
    <m/>
    <m/>
    <m/>
    <n v="0"/>
    <m/>
    <m/>
    <x v="2"/>
    <m/>
    <s v="ITPreneur"/>
    <n v="18000"/>
    <m/>
    <n v="24000"/>
    <x v="5"/>
    <x v="3"/>
    <x v="0"/>
    <m/>
    <m/>
    <m/>
  </r>
  <r>
    <s v="085/BSW-DIGINUSA/MOU/VI/2023"/>
    <s v="Yayasan Seri Amal"/>
    <s v="Sr. Gaudensia Sihaloho, KSSY"/>
    <x v="16"/>
    <s v="A"/>
    <s v="Seravina Gultom"/>
    <m/>
    <n v="3"/>
    <n v="2023"/>
    <n v="2026"/>
    <x v="0"/>
    <s v="Lisensi"/>
    <s v="Informatika Kurmer"/>
    <n v="11500"/>
    <m/>
    <n v="18000"/>
    <x v="5"/>
    <x v="3"/>
    <x v="0"/>
    <n v="586"/>
    <m/>
    <m/>
  </r>
  <r>
    <s v="007/BSW-DIGINUSA/ADD/III/2023"/>
    <s v="Yayasan Seri Amal"/>
    <s v="Sr. Gaudensia Sihaloho, KSSY"/>
    <x v="16"/>
    <m/>
    <m/>
    <m/>
    <n v="0"/>
    <m/>
    <m/>
    <x v="2"/>
    <m/>
    <s v="ITPreneur"/>
    <n v="11500"/>
    <m/>
    <n v="18000"/>
    <x v="5"/>
    <x v="3"/>
    <x v="0"/>
    <m/>
    <m/>
    <m/>
  </r>
  <r>
    <s v="012/BSW-DIGINUSA/MOU/VI/2021"/>
    <s v="Yayasan Seri Amal"/>
    <s v="Sr. Gaudensia Sihaloho, KSSY"/>
    <x v="17"/>
    <s v="A"/>
    <s v="Martha"/>
    <m/>
    <n v="3"/>
    <n v="2021"/>
    <n v="2024"/>
    <x v="1"/>
    <s v="Lisensi"/>
    <s v="SmartTK"/>
    <n v="10000"/>
    <m/>
    <m/>
    <x v="5"/>
    <x v="3"/>
    <x v="0"/>
    <m/>
    <m/>
    <m/>
  </r>
  <r>
    <s v="012/BSW-DIGINUSA/MOU/VI/2021"/>
    <s v="Yayasan Seri Amal"/>
    <s v="Sr. Gaudensia Sihaloho, KSSY"/>
    <x v="18"/>
    <s v="A"/>
    <s v="Virginia"/>
    <m/>
    <n v="3"/>
    <n v="2021"/>
    <n v="2024"/>
    <x v="1"/>
    <s v="Lisensi"/>
    <s v="SmartTK"/>
    <n v="10000"/>
    <m/>
    <m/>
    <x v="5"/>
    <x v="3"/>
    <x v="0"/>
    <m/>
    <m/>
    <m/>
  </r>
  <r>
    <s v="084/BSW-DIGINUSA/MOU/VI/2023"/>
    <s v="Yayasan Seri Amal"/>
    <s v="Sr. Gaudensia Sihaloho, KSSY"/>
    <x v="19"/>
    <s v="A"/>
    <s v="Pak Zega"/>
    <m/>
    <n v="3"/>
    <n v="2023"/>
    <n v="2026"/>
    <x v="0"/>
    <s v="Kontrak Pengajaran"/>
    <s v="Informatika Kurmer"/>
    <n v="15000"/>
    <m/>
    <m/>
    <x v="5"/>
    <x v="3"/>
    <x v="0"/>
    <n v="658"/>
    <m/>
    <m/>
  </r>
  <r>
    <s v="085/BSW-DIGINUSA/MOU/VI/2023"/>
    <s v="Yayasan Seri Amal"/>
    <s v="Sr. Gaudensia Sihaloho, KSSY"/>
    <x v="20"/>
    <s v="A"/>
    <s v="Malemta Lydia Pinem"/>
    <m/>
    <n v="3"/>
    <n v="2023"/>
    <n v="2026"/>
    <x v="0"/>
    <s v="Kontrak Pengajaran"/>
    <s v="Informatika Kurmer"/>
    <n v="13000"/>
    <m/>
    <n v="24000"/>
    <x v="5"/>
    <x v="3"/>
    <x v="0"/>
    <n v="323"/>
    <m/>
    <m/>
  </r>
  <r>
    <s v="007/BSW-DIGINUSA/ADD/III/2023"/>
    <s v="Yayasan Seri Amal"/>
    <s v="Sr. Gaudensia Sihaloho, KSSY"/>
    <x v="20"/>
    <m/>
    <s v="Malemta Lydia Pinem"/>
    <m/>
    <n v="0"/>
    <m/>
    <m/>
    <x v="2"/>
    <m/>
    <s v="Prakarya SMP"/>
    <n v="13000"/>
    <m/>
    <n v="24000"/>
    <x v="5"/>
    <x v="3"/>
    <x v="0"/>
    <m/>
    <m/>
    <m/>
  </r>
  <r>
    <s v="085/BSW-DIGINUSA/MOU/VI/2023"/>
    <s v="Yayasan Seri Amal"/>
    <s v="Sr. Gaudensia Sihaloho, KSSY"/>
    <x v="21"/>
    <s v="A"/>
    <s v="Nuriati Sapta Zega SP"/>
    <m/>
    <n v="3"/>
    <n v="2023"/>
    <n v="2026"/>
    <x v="0"/>
    <s v="Kontrak Pengajaran"/>
    <s v="Informatika Kurmer"/>
    <n v="13000"/>
    <m/>
    <n v="24000"/>
    <x v="5"/>
    <x v="3"/>
    <x v="0"/>
    <n v="237"/>
    <m/>
    <m/>
  </r>
  <r>
    <s v="007/BSW-DIGINUSA/ADD/III/2023"/>
    <s v="Yayasan Seri Amal"/>
    <s v="Sr. Gaudensia Sihaloho, KSSY"/>
    <x v="21"/>
    <m/>
    <s v="Nuriati Sapta Zega SP"/>
    <m/>
    <m/>
    <m/>
    <m/>
    <x v="2"/>
    <m/>
    <s v="ITPreneur"/>
    <n v="13000"/>
    <m/>
    <n v="24000"/>
    <x v="5"/>
    <x v="3"/>
    <x v="0"/>
    <m/>
    <m/>
    <m/>
  </r>
  <r>
    <s v="084/BSW-DIGINUSA/MOU/VI/2023"/>
    <s v="Yayasan Seri Amal"/>
    <s v="Sr. Gaudensia Sihaloho, KSSY"/>
    <x v="22"/>
    <s v="A"/>
    <s v="Rudi Simarmata "/>
    <m/>
    <n v="3"/>
    <n v="2023"/>
    <n v="2026"/>
    <x v="0"/>
    <s v="Kontrak Pengajaran"/>
    <s v="Informatika Kurmer"/>
    <n v="25000"/>
    <m/>
    <m/>
    <x v="5"/>
    <x v="3"/>
    <x v="0"/>
    <n v="683"/>
    <m/>
    <m/>
  </r>
  <r>
    <s v="085/BSW-DIGINUSA/MOU/VI/2023"/>
    <s v="Yayasan Seri Amal"/>
    <s v="Sr. Gaudensia Sihaloho, KSSY"/>
    <x v="23"/>
    <s v="A"/>
    <s v="S. Romana Pane"/>
    <m/>
    <n v="3"/>
    <n v="2023"/>
    <n v="2026"/>
    <x v="0"/>
    <s v="Kontrak Pengajaran"/>
    <s v="Informatika Kurmer"/>
    <n v="13000"/>
    <m/>
    <n v="24000"/>
    <x v="5"/>
    <x v="3"/>
    <x v="0"/>
    <n v="358"/>
    <m/>
    <m/>
  </r>
  <r>
    <s v="007/BSW-DIGINUSA/ADD/III/2023"/>
    <s v="Yayasan Seri Amal"/>
    <s v="Sr. Gaudensia Sihaloho, KSSY"/>
    <x v="23"/>
    <m/>
    <m/>
    <m/>
    <m/>
    <m/>
    <m/>
    <x v="2"/>
    <m/>
    <m/>
    <n v="13000"/>
    <m/>
    <n v="24000"/>
    <x v="5"/>
    <x v="3"/>
    <x v="0"/>
    <m/>
    <m/>
    <m/>
  </r>
  <r>
    <s v="085/BSW-DIGINUSA/MOU/VI/2023"/>
    <s v="Yayasan Seri Amal"/>
    <s v="Sr. Gaudensia Sihaloho, KSSY"/>
    <x v="24"/>
    <s v="A"/>
    <s v="Liston Sinurat"/>
    <m/>
    <n v="3"/>
    <n v="2023"/>
    <n v="2026"/>
    <x v="0"/>
    <s v="Kontrak Pengajaran"/>
    <s v="Informatika Kurmer"/>
    <n v="20000"/>
    <m/>
    <n v="24000"/>
    <x v="5"/>
    <x v="3"/>
    <x v="0"/>
    <n v="667"/>
    <m/>
    <m/>
  </r>
  <r>
    <s v="007/BSW-DIGINUSA/ADD/III/2023"/>
    <s v="Yayasan Seri Amal"/>
    <s v="Sr. Gaudensia Sihaloho, KSSY"/>
    <x v="24"/>
    <m/>
    <m/>
    <m/>
    <m/>
    <m/>
    <m/>
    <x v="2"/>
    <m/>
    <m/>
    <n v="13000"/>
    <m/>
    <n v="24000"/>
    <x v="5"/>
    <x v="3"/>
    <x v="0"/>
    <m/>
    <m/>
    <m/>
  </r>
  <r>
    <s v="031/BSW-DIGINUSA/MOU/VI/2023"/>
    <s v="Yayasan Tarakanita Surabaya"/>
    <s v="Sr. Yudith M Maryani, CB, M.Pd. (Kepala Kantor)"/>
    <x v="25"/>
    <s v="B"/>
    <s v="Yosianarti Poegoeh, M.Pd."/>
    <m/>
    <n v="1"/>
    <n v="2023"/>
    <n v="2024"/>
    <x v="1"/>
    <s v="Sewa Pinjam"/>
    <s v="Informatika Kurmer"/>
    <n v="59000"/>
    <m/>
    <s v="LKS Informatika Rp56.000"/>
    <x v="6"/>
    <x v="4"/>
    <x v="3"/>
    <n v="289"/>
    <m/>
    <m/>
  </r>
  <r>
    <s v="031/BSW-DIGINUSA/MOU/VI/2023"/>
    <s v="Yayasan Tarakanita Surabaya"/>
    <s v="Sr. Yudith M Maryani, CB, M.Pd. (Kepala Kantor)"/>
    <x v="26"/>
    <s v="B"/>
    <s v="Novi Tribawanti, S.Pd."/>
    <m/>
    <n v="1"/>
    <n v="2023"/>
    <n v="2024"/>
    <x v="1"/>
    <s v="Sewa Pinjam"/>
    <s v="Informatika Kurmer"/>
    <n v="59000"/>
    <m/>
    <s v="LKS Informatika Rp56.000"/>
    <x v="7"/>
    <x v="4"/>
    <x v="3"/>
    <n v="302"/>
    <m/>
    <m/>
  </r>
  <r>
    <s v="031/BSW-DIGINUSA/MOU/VI/2023"/>
    <s v="Yayasan Tarakanita Surabaya"/>
    <s v="Sr. Yudith M Maryani, CB, M.Pd. (Kepala Kantor)"/>
    <x v="27"/>
    <s v="B"/>
    <s v="Anastasia Sulastri, S.Pd."/>
    <m/>
    <n v="1"/>
    <n v="2023"/>
    <n v="2024"/>
    <x v="1"/>
    <s v="Sewa Pinjam"/>
    <s v="Informatika Kurmer"/>
    <n v="40000"/>
    <m/>
    <s v="LKS Smart Explorer Rp28.000"/>
    <x v="7"/>
    <x v="4"/>
    <x v="3"/>
    <n v="347"/>
    <m/>
    <m/>
  </r>
  <r>
    <s v="031/BSW-DIGINUSA/MOU/VI/2023"/>
    <s v="Yayasan Tarakanita Surabaya"/>
    <s v="Sr. Yudith M Maryani, CB, M.Pd. (Kepala Kantor)"/>
    <x v="28"/>
    <s v="B"/>
    <s v="Margareta Fitri Agustina, S.Si."/>
    <m/>
    <n v="1"/>
    <n v="2023"/>
    <n v="2024"/>
    <x v="1"/>
    <s v="Sewa Pinjam"/>
    <s v="Informatika Kurmer"/>
    <n v="59000"/>
    <m/>
    <s v="LKS Informatika Rp56.000"/>
    <x v="7"/>
    <x v="4"/>
    <x v="3"/>
    <n v="288"/>
    <m/>
    <m/>
  </r>
  <r>
    <s v="031/BSW-DIGINUSA/MOU/VI/2023"/>
    <s v="Yayasan Tarakanita Surabaya"/>
    <s v="Sr. Yudith M Maryani, CB, M.Pd. (Kepala Kantor)"/>
    <x v="29"/>
    <s v="B"/>
    <s v="Y. Joko Winarto, M.Pd."/>
    <m/>
    <n v="1"/>
    <n v="2023"/>
    <n v="2024"/>
    <x v="1"/>
    <s v="Sewa Pinjam"/>
    <s v="Informatika Kurmer"/>
    <n v="40000"/>
    <m/>
    <s v="LKS Smart Explorer Rp28.000"/>
    <x v="7"/>
    <x v="4"/>
    <x v="3"/>
    <n v="198"/>
    <m/>
    <m/>
  </r>
  <r>
    <s v="031/BSW-DIGINUSA/MOU/VI/2023"/>
    <s v="Yayasan Tarakanita Surabaya"/>
    <s v="Sr. Yudith M Maryani, CB, M.Pd. (Kepala Kantor)"/>
    <x v="30"/>
    <s v="B"/>
    <s v="RRC. Retno Dewi T.H., S.Pd."/>
    <m/>
    <n v="1"/>
    <n v="2023"/>
    <n v="2024"/>
    <x v="1"/>
    <s v="Sewa Pinjam"/>
    <s v="Informatika Kurmer"/>
    <n v="40000"/>
    <m/>
    <s v="LKS Smart Explorer Rp28.000"/>
    <x v="7"/>
    <x v="4"/>
    <x v="3"/>
    <n v="95"/>
    <m/>
    <m/>
  </r>
  <r>
    <s v="070/BSW-DIGINUSA/MOU/VI/2023"/>
    <s v="Yayasan Prayoga Riau"/>
    <s v="Lusiana Ling Ling, S.Pd."/>
    <x v="31"/>
    <s v="B"/>
    <s v="Leonardy Bancin"/>
    <m/>
    <n v="4"/>
    <n v="2023"/>
    <n v="2027"/>
    <x v="0"/>
    <s v="Sewa Beli"/>
    <s v="Informatika Kurmer"/>
    <n v="45000"/>
    <m/>
    <m/>
    <x v="8"/>
    <x v="3"/>
    <x v="4"/>
    <m/>
    <m/>
    <m/>
  </r>
  <r>
    <s v="070/BSW-DIGINUSA/MOU/VI/2023"/>
    <s v="Yayasan Prayoga Riau"/>
    <s v="Lusiana Ling Ling, S.Pd."/>
    <x v="32"/>
    <s v="B"/>
    <s v="Ch, Mulyani Agus Kurniati"/>
    <m/>
    <n v="4"/>
    <n v="2023"/>
    <n v="2027"/>
    <x v="0"/>
    <s v="Sewa Beli"/>
    <s v="Informatika Kurmer"/>
    <n v="45000"/>
    <m/>
    <m/>
    <x v="8"/>
    <x v="3"/>
    <x v="4"/>
    <m/>
    <m/>
    <m/>
  </r>
  <r>
    <s v="070/BSW-DIGINUSA/MOU/VI/2023"/>
    <s v="Yayasan Prayoga Riau"/>
    <s v="Lusiana Ling Ling, S.Pd."/>
    <x v="33"/>
    <s v="B"/>
    <s v="Theresia Sugiarti"/>
    <m/>
    <n v="4"/>
    <n v="2023"/>
    <n v="2027"/>
    <x v="0"/>
    <s v="Sewa Beli"/>
    <s v="Informatika Kurmer"/>
    <n v="45000"/>
    <m/>
    <m/>
    <x v="8"/>
    <x v="3"/>
    <x v="4"/>
    <m/>
    <m/>
    <m/>
  </r>
  <r>
    <s v="070/BSW-DIGINUSA/MOU/VI/2023"/>
    <s v="Yayasan Prayoga Riau"/>
    <s v="Lusiana Ling Ling, S.Pd."/>
    <x v="34"/>
    <s v="B"/>
    <s v="Sarinah Hutahaian"/>
    <m/>
    <n v="4"/>
    <n v="2023"/>
    <n v="2027"/>
    <x v="0"/>
    <s v="Sewa Beli"/>
    <s v="Informatika Kurmer"/>
    <n v="45000"/>
    <m/>
    <m/>
    <x v="8"/>
    <x v="3"/>
    <x v="4"/>
    <m/>
    <m/>
    <m/>
  </r>
  <r>
    <s v="038/BSW-DIGINUSA/MOU/VII/2023"/>
    <s v="Yayasan Karya Sang Timur Jakarta"/>
    <s v="Sr. Hedwig, PIJ"/>
    <x v="35"/>
    <s v="B"/>
    <s v="Sr Brigitta Pij"/>
    <m/>
    <n v="3"/>
    <n v="2023"/>
    <n v="2026"/>
    <x v="0"/>
    <s v="Lisensi"/>
    <s v="SmartTK"/>
    <n v="1000000"/>
    <m/>
    <m/>
    <x v="9"/>
    <x v="5"/>
    <x v="1"/>
    <n v="100"/>
    <m/>
    <m/>
  </r>
  <r>
    <s v="039/BSW-DIGINUSA/MOU/VII/2023"/>
    <s v="Yayasan Karya Sang Timur Jakarta"/>
    <s v="Sr. Hedwig, PIJ"/>
    <x v="36"/>
    <s v="B"/>
    <s v="Sr Klarisa Pij"/>
    <m/>
    <n v="3"/>
    <n v="2023"/>
    <n v="2026"/>
    <x v="0"/>
    <s v="Lisensi"/>
    <s v="SmartExplorer"/>
    <n v="12000"/>
    <m/>
    <m/>
    <x v="9"/>
    <x v="5"/>
    <x v="1"/>
    <n v="735"/>
    <m/>
    <m/>
  </r>
  <r>
    <s v="023/BSW-DIGINUSA/MOU/VI/2023"/>
    <s v="Yayasan Karya Sang Timur Jakarta"/>
    <s v="Bernadeth Maria Heranis Suwarno"/>
    <x v="37"/>
    <s v="B"/>
    <s v="Sr Mariska Pij"/>
    <m/>
    <n v="3"/>
    <n v="2023"/>
    <n v="2026"/>
    <x v="0"/>
    <s v="Kontrak Pengajaran"/>
    <s v="Informatika &amp; ITPreneur"/>
    <n v="35000"/>
    <m/>
    <m/>
    <x v="9"/>
    <x v="5"/>
    <x v="1"/>
    <n v="300"/>
    <m/>
    <m/>
  </r>
  <r>
    <s v="046/BSW-DIGINUSA/MOU/VII/2023"/>
    <s v="Yayasan Karya Sang Timur Jakarta"/>
    <s v="Sr. Helaria, PIJ"/>
    <x v="38"/>
    <s v="B"/>
    <s v="Sr Ursula Pij"/>
    <m/>
    <n v="3"/>
    <n v="2023"/>
    <n v="2026"/>
    <x v="0"/>
    <s v="Sewa Pinjam"/>
    <s v="SmartExplorer"/>
    <n v="40000"/>
    <m/>
    <m/>
    <x v="10"/>
    <x v="5"/>
    <x v="1"/>
    <n v="690"/>
    <m/>
    <m/>
  </r>
  <r>
    <s v="032/BSW-DIGINUSA/MOU/VI/2023"/>
    <s v="Yayasan Karya Sang Timur Jakarta"/>
    <s v="Sr. Hedwig, PIJ"/>
    <x v="39"/>
    <s v="B"/>
    <s v="Sr Gertrudis Pij"/>
    <m/>
    <n v="1"/>
    <n v="2023"/>
    <n v="2024"/>
    <x v="1"/>
    <s v="Lisensi"/>
    <s v="SmartTK"/>
    <n v="850000"/>
    <m/>
    <m/>
    <x v="11"/>
    <x v="5"/>
    <x v="1"/>
    <n v="85"/>
    <m/>
    <m/>
  </r>
  <r>
    <s v="059/BSW-DIGINUSA/MOU/VII/2022"/>
    <s v="Yayasan Karya Sang Timur Jakarta"/>
    <s v="Sr. Hedwig, PIJ"/>
    <x v="40"/>
    <s v="B"/>
    <s v="Sr Theresiana Pij"/>
    <m/>
    <n v="3"/>
    <n v="2022"/>
    <n v="2025"/>
    <x v="0"/>
    <s v="Sewa Pinjam"/>
    <s v="SmartExplorer"/>
    <n v="65000"/>
    <m/>
    <m/>
    <x v="11"/>
    <x v="5"/>
    <x v="1"/>
    <n v="433"/>
    <m/>
    <m/>
  </r>
  <r>
    <s v="030/BSW-DIGINUSA/MOU/VI/2022"/>
    <s v="Yayasan Abdi Siswa"/>
    <s v="Jusuf Iskandar"/>
    <x v="41"/>
    <s v="B"/>
    <s v="Agustina Retno Indriastuti"/>
    <m/>
    <n v="3"/>
    <n v="2022"/>
    <n v="2025"/>
    <x v="0"/>
    <s v="Sewa Pinjam"/>
    <s v="Prakarya SMA "/>
    <n v="49000"/>
    <m/>
    <m/>
    <x v="8"/>
    <x v="3"/>
    <x v="5"/>
    <m/>
    <m/>
    <m/>
  </r>
  <r>
    <s v="030/BSW-DIGINUSA/MOU/VI/2022"/>
    <s v="Yayasan Abdi Siswa"/>
    <s v="Jusuf Iskandar"/>
    <x v="42"/>
    <s v="B"/>
    <s v="Santa Rita Dwi Astarini"/>
    <m/>
    <n v="3"/>
    <n v="2022"/>
    <n v="2025"/>
    <x v="0"/>
    <s v="Sewa Pinjam"/>
    <s v="Prakarya SMP"/>
    <n v="49000"/>
    <m/>
    <m/>
    <x v="8"/>
    <x v="3"/>
    <x v="5"/>
    <m/>
    <m/>
    <m/>
  </r>
  <r>
    <s v="030/BSW-DIGINUSA/MOU/VI/2022"/>
    <s v="Yayasan Abdi Siswa"/>
    <s v="Jusuf Iskandar"/>
    <x v="43"/>
    <s v="B"/>
    <s v="Maria Siwi Karyati"/>
    <m/>
    <n v="3"/>
    <n v="2022"/>
    <n v="2025"/>
    <x v="0"/>
    <s v="Sewa Pinjam"/>
    <s v="ITPreneur"/>
    <n v="49000"/>
    <m/>
    <m/>
    <x v="8"/>
    <x v="3"/>
    <x v="5"/>
    <m/>
    <m/>
    <m/>
  </r>
  <r>
    <s v="030/BSW-DIGINUSA/MOU/VI/2022"/>
    <s v="Yayasan Abdi Siswa"/>
    <s v="Jusuf Iskandar"/>
    <x v="44"/>
    <s v="B"/>
    <s v="Anastasia Martini"/>
    <m/>
    <n v="3"/>
    <n v="2022"/>
    <n v="2025"/>
    <x v="0"/>
    <s v="Sewa Pinjam"/>
    <s v="ITPreneur"/>
    <n v="49000"/>
    <m/>
    <m/>
    <x v="8"/>
    <x v="3"/>
    <x v="5"/>
    <m/>
    <m/>
    <m/>
  </r>
  <r>
    <s v="030/BSW-DIGINUSA/MOU/VI/2022"/>
    <s v="Yayasan Abdi Siswa"/>
    <s v="Jusuf Iskandar"/>
    <x v="45"/>
    <s v="B"/>
    <s v="Fransisca Budi Lestari"/>
    <m/>
    <n v="3"/>
    <n v="2022"/>
    <n v="2025"/>
    <x v="0"/>
    <s v="Sewa Pinjam"/>
    <s v="SmartTK"/>
    <n v="46000"/>
    <m/>
    <m/>
    <x v="9"/>
    <x v="3"/>
    <x v="5"/>
    <m/>
    <m/>
    <m/>
  </r>
  <r>
    <s v="030/BSW-DIGINUSA/MOU/VI/2022"/>
    <s v="Yayasan Abdi Siswa"/>
    <s v="Jusuf Iskandar"/>
    <x v="46"/>
    <s v="B"/>
    <s v="E.T RISTRI NARYANTI .S.pd"/>
    <m/>
    <n v="3"/>
    <n v="2022"/>
    <n v="2025"/>
    <x v="0"/>
    <s v="Sewa Pinjam"/>
    <s v="SmartExplorer"/>
    <n v="49000"/>
    <m/>
    <m/>
    <x v="9"/>
    <x v="3"/>
    <x v="5"/>
    <m/>
    <m/>
    <m/>
  </r>
  <r>
    <s v="030/BSW-DIGINUSA/MOU/VI/2022"/>
    <s v="Yayasan Abdi Siswa"/>
    <s v="Jusuf Iskandar"/>
    <x v="47"/>
    <s v="B"/>
    <s v="Drs. Antonius Mardiyono, MM."/>
    <m/>
    <n v="3"/>
    <n v="2022"/>
    <n v="2025"/>
    <x v="0"/>
    <s v="Sewa Pinjam"/>
    <s v="ITPreneur"/>
    <n v="49000"/>
    <m/>
    <m/>
    <x v="9"/>
    <x v="3"/>
    <x v="5"/>
    <m/>
    <m/>
    <m/>
  </r>
  <r>
    <s v="017/BSW-DIGINUSA/MOU/III/2020"/>
    <s v="Yayasan Tarakanita Magelang"/>
    <s v="Sr. Rosiana Susilo Astuti, CB"/>
    <x v="48"/>
    <s v="C"/>
    <s v="Bu Sri Sujanti"/>
    <m/>
    <n v="4"/>
    <n v="2020"/>
    <n v="2024"/>
    <x v="1"/>
    <s v="Sewa Pinjam"/>
    <s v="SmartExplorer"/>
    <n v="21000"/>
    <m/>
    <m/>
    <x v="12"/>
    <x v="6"/>
    <x v="6"/>
    <n v="450"/>
    <m/>
    <m/>
  </r>
  <r>
    <s v="002/BSW-DIGINUSA/ADD/I/2021"/>
    <s v="Yayasan Tarakanita Magelang"/>
    <s v="Sr. Rosiana Susilo Astuti, CB"/>
    <x v="48"/>
    <m/>
    <m/>
    <m/>
    <m/>
    <m/>
    <m/>
    <x v="2"/>
    <s v="Sewa Pinjam"/>
    <s v="SmartExplorer"/>
    <n v="21000"/>
    <m/>
    <m/>
    <x v="7"/>
    <x v="6"/>
    <x v="6"/>
    <m/>
    <m/>
    <m/>
  </r>
  <r>
    <s v="017/BSW-DIGINUSA/MOU/III/2020"/>
    <s v="Yayasan Tarakanita Magelang"/>
    <s v="Sr. Rosiana Susilo Astuti, CB"/>
    <x v="49"/>
    <s v="C"/>
    <s v="Bu Rahayu"/>
    <m/>
    <n v="4"/>
    <n v="2020"/>
    <n v="2024"/>
    <x v="1"/>
    <s v="Sewa Pinjam"/>
    <s v="ITPreneur"/>
    <n v="21000"/>
    <m/>
    <m/>
    <x v="12"/>
    <x v="6"/>
    <x v="6"/>
    <n v="350"/>
    <m/>
    <m/>
  </r>
  <r>
    <s v="002/BSW-DIGINUSA/ADD/I/2021"/>
    <s v="Yayasan Tarakanita Magelang"/>
    <s v="Sr. Rosiana Susilo Astuti, CB"/>
    <x v="49"/>
    <m/>
    <m/>
    <m/>
    <m/>
    <m/>
    <m/>
    <x v="2"/>
    <s v="Sewa Pinjam"/>
    <m/>
    <n v="21000"/>
    <m/>
    <m/>
    <x v="7"/>
    <x v="6"/>
    <x v="6"/>
    <m/>
    <m/>
    <m/>
  </r>
  <r>
    <s v="017/BSW-DIGINUSA/MOU/III/2020"/>
    <s v="Yayasan Tarakanita Magelang"/>
    <s v="Sr. Rosiana Susilo Astuti, CB"/>
    <x v="50"/>
    <s v="C"/>
    <s v="Pak Edi Purwono"/>
    <m/>
    <n v="4"/>
    <n v="2020"/>
    <n v="2024"/>
    <x v="1"/>
    <s v="Sewa Pinjam"/>
    <s v="Informatika Kurmer"/>
    <n v="21000"/>
    <m/>
    <m/>
    <x v="12"/>
    <x v="6"/>
    <x v="6"/>
    <n v="200"/>
    <m/>
    <m/>
  </r>
  <r>
    <s v="002/BSW-DIGINUSA/ADD/I/2021"/>
    <s v="Yayasan Tarakanita Magelang"/>
    <s v="Sr. Rosiana Susilo Astuti, CB"/>
    <x v="50"/>
    <m/>
    <m/>
    <m/>
    <m/>
    <m/>
    <m/>
    <x v="2"/>
    <s v="Sewa Pinjam"/>
    <m/>
    <n v="21000"/>
    <m/>
    <m/>
    <x v="7"/>
    <x v="6"/>
    <x v="6"/>
    <m/>
    <m/>
    <m/>
  </r>
  <r>
    <s v="017/BSW-DIGINUSA/MOU/III/2020"/>
    <s v="Yayasan Tarakanita Magelang"/>
    <s v="Sr. Rosiana Susilo Astuti, CB"/>
    <x v="51"/>
    <s v="C"/>
    <s v="Sr Antari Naning Yulianti CB"/>
    <m/>
    <n v="4"/>
    <n v="2020"/>
    <n v="2024"/>
    <x v="1"/>
    <s v="Sewa Pinjam"/>
    <s v="ITPreneur"/>
    <n v="21000"/>
    <m/>
    <m/>
    <x v="12"/>
    <x v="6"/>
    <x v="6"/>
    <m/>
    <m/>
    <m/>
  </r>
  <r>
    <s v="002/BSW-DIGINUSA/ADD/I/2021"/>
    <s v="Yayasan Tarakanita Magelang"/>
    <s v="Sr. Rosiana Susilo Astuti, CB"/>
    <x v="51"/>
    <m/>
    <m/>
    <m/>
    <m/>
    <m/>
    <m/>
    <x v="2"/>
    <s v="Sewa Pinjam"/>
    <m/>
    <n v="21000"/>
    <m/>
    <m/>
    <x v="7"/>
    <x v="6"/>
    <x v="6"/>
    <m/>
    <m/>
    <m/>
  </r>
  <r>
    <s v="017/BSW-DIGINUSA/MOU/III/2020"/>
    <s v="Yayasan Tarakanita Magelang"/>
    <s v="Sr. Rosiana Susilo Astuti, CB"/>
    <x v="52"/>
    <s v="C"/>
    <s v="Bu Sri Maryati"/>
    <m/>
    <n v="4"/>
    <n v="2020"/>
    <n v="2024"/>
    <x v="1"/>
    <s v="Sewa Pinjam"/>
    <s v="SmartExplorer"/>
    <n v="21000"/>
    <m/>
    <m/>
    <x v="12"/>
    <x v="6"/>
    <x v="6"/>
    <m/>
    <m/>
    <m/>
  </r>
  <r>
    <s v="002/BSW-DIGINUSA/ADD/I/2021"/>
    <s v="Yayasan Tarakanita Magelang"/>
    <s v="Sr. Rosiana Susilo Astuti, CB"/>
    <x v="52"/>
    <m/>
    <m/>
    <m/>
    <m/>
    <m/>
    <m/>
    <x v="2"/>
    <s v="Sewa Pinjam"/>
    <m/>
    <n v="21000"/>
    <m/>
    <m/>
    <x v="7"/>
    <x v="6"/>
    <x v="6"/>
    <m/>
    <m/>
    <m/>
  </r>
  <r>
    <s v="017/BSW-DIGINUSA/MOU/III/2020"/>
    <s v="Yayasan Tarakanita Magelang"/>
    <s v="Sr. Rosiana Susilo Astuti, CB"/>
    <x v="53"/>
    <s v="C"/>
    <s v="Joko Wiharjo, S.Pd.,M.Pd."/>
    <m/>
    <n v="4"/>
    <n v="2020"/>
    <n v="2024"/>
    <x v="1"/>
    <s v="Sewa Pinjam"/>
    <s v="ITPreneur"/>
    <n v="10000"/>
    <m/>
    <m/>
    <x v="12"/>
    <x v="6"/>
    <x v="6"/>
    <m/>
    <m/>
    <m/>
  </r>
  <r>
    <s v="002/BSW-DIGINUSA/ADD/I/2021"/>
    <s v="Yayasan Tarakanita Magelang"/>
    <s v="Sr. Rosiana Susilo Astuti, CB"/>
    <x v="53"/>
    <m/>
    <m/>
    <m/>
    <m/>
    <m/>
    <m/>
    <x v="2"/>
    <s v="Sewa Pinjam"/>
    <m/>
    <n v="21000"/>
    <m/>
    <m/>
    <x v="7"/>
    <x v="6"/>
    <x v="6"/>
    <m/>
    <m/>
    <m/>
  </r>
  <r>
    <s v="017/BSW-DIGINUSA/MOU/III/2020"/>
    <s v="Yayasan Tarakanita Magelang"/>
    <s v="Sr. Rosiana Susilo Astuti, CB"/>
    <x v="54"/>
    <s v="C"/>
    <s v="Rosa Indah Kurnianingsih"/>
    <m/>
    <n v="4"/>
    <n v="2020"/>
    <n v="2024"/>
    <x v="1"/>
    <s v="Sewa Pinjam"/>
    <s v="SmartTK"/>
    <n v="10000"/>
    <m/>
    <m/>
    <x v="12"/>
    <x v="6"/>
    <x v="6"/>
    <m/>
    <m/>
    <m/>
  </r>
  <r>
    <s v="002/BSW-DIGINUSA/ADD/I/2021"/>
    <s v="Yayasan Tarakanita Magelang"/>
    <s v="Sr. Rosiana Susilo Astuti, CB"/>
    <x v="54"/>
    <m/>
    <m/>
    <m/>
    <m/>
    <m/>
    <m/>
    <x v="2"/>
    <s v="Sewa Pinjam"/>
    <m/>
    <n v="21000"/>
    <m/>
    <m/>
    <x v="7"/>
    <x v="6"/>
    <x v="6"/>
    <m/>
    <m/>
    <m/>
  </r>
  <r>
    <s v="017/BSW-DIGINUSA/MOU/III/2020"/>
    <s v="Yayasan Tarakanita Magelang"/>
    <s v="Sr. Rosiana Susilo Astuti, CB"/>
    <x v="55"/>
    <s v="C"/>
    <s v="Antonius Yulianus Budi Utomo"/>
    <m/>
    <n v="4"/>
    <n v="2020"/>
    <n v="2024"/>
    <x v="1"/>
    <s v="Sewa Pinjam"/>
    <s v="ITPreneur"/>
    <n v="15000"/>
    <m/>
    <m/>
    <x v="12"/>
    <x v="6"/>
    <x v="6"/>
    <m/>
    <m/>
    <m/>
  </r>
  <r>
    <s v="002/BSW-DIGINUSA/ADD/I/2021"/>
    <s v="Yayasan Tarakanita Magelang"/>
    <s v="Sr. Rosiana Susilo Astuti, CB"/>
    <x v="55"/>
    <m/>
    <s v="Y. Suhermawan"/>
    <m/>
    <m/>
    <m/>
    <m/>
    <x v="2"/>
    <s v="Sewa Pinjam"/>
    <m/>
    <n v="21000"/>
    <m/>
    <m/>
    <x v="7"/>
    <x v="6"/>
    <x v="6"/>
    <m/>
    <m/>
    <m/>
  </r>
  <r>
    <s v="054/BSW-DIGINUSA/MOU/VII/2022"/>
    <s v="Yayasan Penyelengaraan Illahi"/>
    <s v="Sr. Cendra Tan, PI"/>
    <x v="56"/>
    <s v="C"/>
    <s v="Maria Natalina Rahmatingsih"/>
    <m/>
    <n v="3"/>
    <n v="2022"/>
    <n v="2025"/>
    <x v="0"/>
    <s v="Lisensi"/>
    <s v="SmartTK"/>
    <n v="10000"/>
    <m/>
    <n v="15000"/>
    <x v="12"/>
    <x v="6"/>
    <x v="7"/>
    <m/>
    <m/>
    <m/>
  </r>
  <r>
    <s v="054/BSW-DIGINUSA/MOU/VII/2022"/>
    <s v="Yayasan Penyelengaraan Illahi"/>
    <s v="Sr. Cendra Tan, PI"/>
    <x v="57"/>
    <s v="C"/>
    <s v="Maria Natalina Rahmatingsih"/>
    <m/>
    <n v="3"/>
    <n v="2022"/>
    <n v="2025"/>
    <x v="0"/>
    <s v="Lisensi"/>
    <s v="SmartExplorer"/>
    <n v="10000"/>
    <m/>
    <n v="15000"/>
    <x v="12"/>
    <x v="6"/>
    <x v="7"/>
    <m/>
    <m/>
    <m/>
  </r>
  <r>
    <s v="054/BSW-DIGINUSA/MOU/VII/2022"/>
    <s v="Yayasan Penyelengaraan Illahi"/>
    <s v="Sr. Cendra Tan, PI"/>
    <x v="58"/>
    <s v="C"/>
    <s v="Maria Dwi Nurwaningsih"/>
    <m/>
    <n v="3"/>
    <n v="2022"/>
    <n v="2025"/>
    <x v="0"/>
    <s v="Lisensi"/>
    <m/>
    <n v="15000"/>
    <m/>
    <n v="20000"/>
    <x v="12"/>
    <x v="6"/>
    <x v="7"/>
    <m/>
    <m/>
    <m/>
  </r>
  <r>
    <s v="054/BSW-DIGINUSA/MOU/VII/2022"/>
    <s v="Yayasan Penyelengaraan Illahi"/>
    <s v="Sr. Cendra Tan, PI"/>
    <x v="59"/>
    <s v="C"/>
    <s v="Edmandus Hari Pawarta"/>
    <m/>
    <n v="3"/>
    <n v="2022"/>
    <n v="2025"/>
    <x v="0"/>
    <s v="Lisensi"/>
    <s v="ITPreneur"/>
    <n v="15000"/>
    <m/>
    <n v="20000"/>
    <x v="12"/>
    <x v="6"/>
    <x v="7"/>
    <m/>
    <m/>
    <m/>
  </r>
  <r>
    <s v="054/BSW-DIGINUSA/MOU/VII/2022"/>
    <s v="Yayasan Penyelengaraan Illahi"/>
    <s v="Sr. Cendra Tan, PI"/>
    <x v="60"/>
    <s v="C"/>
    <s v="Veronica Maria Sri Widyastuti"/>
    <m/>
    <n v="3"/>
    <n v="2022"/>
    <n v="2025"/>
    <x v="0"/>
    <s v="Lisensi"/>
    <s v="SmartTK"/>
    <n v="10000"/>
    <m/>
    <n v="15000"/>
    <x v="12"/>
    <x v="6"/>
    <x v="7"/>
    <m/>
    <m/>
    <m/>
  </r>
  <r>
    <s v="054/BSW-DIGINUSA/MOU/VII/2022"/>
    <s v="Yayasan Penyelengaraan Illahi"/>
    <s v="Sr. Cendra Tan, PI"/>
    <x v="61"/>
    <s v="C"/>
    <s v="Yustina Susilawati"/>
    <m/>
    <n v="3"/>
    <n v="2022"/>
    <n v="2025"/>
    <x v="0"/>
    <s v="Lisensi"/>
    <s v="SmartExplorer"/>
    <n v="10000"/>
    <m/>
    <n v="15000"/>
    <x v="12"/>
    <x v="6"/>
    <x v="7"/>
    <m/>
    <m/>
    <m/>
  </r>
  <r>
    <s v="054/BSW-DIGINUSA/MOU/VII/2022"/>
    <s v="Yayasan Penyelengaraan Illahi"/>
    <s v="Sr. Cendra Tan, PI"/>
    <x v="62"/>
    <s v="C"/>
    <s v="Sr. Yulianti PI, S.Pd, M.Ed"/>
    <m/>
    <n v="3"/>
    <n v="2022"/>
    <n v="2025"/>
    <x v="0"/>
    <s v="Lisensi"/>
    <s v="SmartTK"/>
    <n v="10000"/>
    <m/>
    <n v="15000"/>
    <x v="12"/>
    <x v="6"/>
    <x v="7"/>
    <m/>
    <m/>
    <m/>
  </r>
  <r>
    <s v="054/BSW-DIGINUSA/MOU/VII/2022"/>
    <s v="Yayasan Penyelengaraan Illahi"/>
    <s v="Sr. Cendra Tan, PI"/>
    <x v="63"/>
    <s v="C"/>
    <s v="Nanik Doso Arum Indah Lestari"/>
    <m/>
    <n v="3"/>
    <n v="2022"/>
    <n v="2025"/>
    <x v="0"/>
    <s v="Lisensi"/>
    <s v="SmartExplorer"/>
    <n v="10000"/>
    <m/>
    <n v="15000"/>
    <x v="12"/>
    <x v="6"/>
    <x v="7"/>
    <m/>
    <m/>
    <m/>
  </r>
  <r>
    <s v="054/BSW-DIGINUSA/MOU/VII/2022"/>
    <s v="Yayasan Penyelengaraan Illahi"/>
    <s v="Sr. Cendra Tan, PI"/>
    <x v="64"/>
    <s v="C"/>
    <s v="Maria Hiacinta Mulyani"/>
    <m/>
    <n v="3"/>
    <n v="2022"/>
    <n v="2025"/>
    <x v="0"/>
    <s v="Lisensi"/>
    <s v="SmartExplorer"/>
    <s v="free"/>
    <m/>
    <n v="15000"/>
    <x v="12"/>
    <x v="6"/>
    <x v="7"/>
    <m/>
    <m/>
    <m/>
  </r>
  <r>
    <s v="054/BSW-DIGINUSA/MOU/VII/2022"/>
    <s v="Yayasan Penyelengaraan Illahi"/>
    <s v="Sr. Cendra Tan, PI"/>
    <x v="65"/>
    <s v="C"/>
    <s v="Dra. Mc. Sri Lestari"/>
    <m/>
    <n v="3"/>
    <n v="2022"/>
    <n v="2025"/>
    <x v="0"/>
    <s v="Lisensi"/>
    <s v="ITPreneur"/>
    <s v="free"/>
    <m/>
    <n v="20000"/>
    <x v="12"/>
    <x v="6"/>
    <x v="7"/>
    <m/>
    <m/>
    <m/>
  </r>
  <r>
    <s v="054/BSW-DIGINUSA/MOU/VII/2022"/>
    <s v="Yayasan Penyelengaraan Illahi"/>
    <s v="Sr. Cendra Tan, PI"/>
    <x v="66"/>
    <s v="C"/>
    <s v="Cisilia Maria Dwi Yuanita"/>
    <m/>
    <n v="3"/>
    <n v="2022"/>
    <n v="2025"/>
    <x v="0"/>
    <s v="Lisensi"/>
    <s v="SmartTK"/>
    <n v="9000"/>
    <m/>
    <n v="15000"/>
    <x v="12"/>
    <x v="6"/>
    <x v="7"/>
    <m/>
    <m/>
    <m/>
  </r>
  <r>
    <s v="054/BSW-DIGINUSA/MOU/VII/2022"/>
    <s v="Yayasan Penyelengaraan Illahi"/>
    <s v="Sr. Cendra Tan, PI"/>
    <x v="67"/>
    <s v="C"/>
    <s v="Heny Widayanti"/>
    <m/>
    <n v="3"/>
    <n v="2022"/>
    <n v="2025"/>
    <x v="0"/>
    <s v="Lisensi"/>
    <s v="SmartExplorer"/>
    <n v="9000"/>
    <m/>
    <n v="15000"/>
    <x v="12"/>
    <x v="6"/>
    <x v="7"/>
    <m/>
    <m/>
    <m/>
  </r>
  <r>
    <s v="054/BSW-DIGINUSA/MOU/VII/2022"/>
    <s v="Yayasan Penyelengaraan Illahi"/>
    <s v="Sr. Cendra Tan, PI"/>
    <x v="68"/>
    <s v="C"/>
    <s v="Theresia Juliati Mulyaningrum"/>
    <m/>
    <n v="3"/>
    <n v="2022"/>
    <n v="2025"/>
    <x v="0"/>
    <s v="Lisensi"/>
    <s v="SmartTK"/>
    <n v="10000"/>
    <m/>
    <n v="15000"/>
    <x v="12"/>
    <x v="6"/>
    <x v="7"/>
    <m/>
    <m/>
    <m/>
  </r>
  <r>
    <s v="054/BSW-DIGINUSA/MOU/VII/2022"/>
    <s v="Yayasan Penyelengaraan Illahi"/>
    <s v="Sr. Cendra Tan, PI"/>
    <x v="69"/>
    <s v="C"/>
    <s v="Ana Emifiarsih"/>
    <m/>
    <n v="3"/>
    <n v="2022"/>
    <n v="2025"/>
    <x v="0"/>
    <s v="Lisensi"/>
    <s v="Informatika Kurmer"/>
    <n v="10000"/>
    <m/>
    <n v="15000"/>
    <x v="12"/>
    <x v="6"/>
    <x v="7"/>
    <m/>
    <m/>
    <m/>
  </r>
  <r>
    <s v="054/BSW-DIGINUSA/MOU/VII/2022"/>
    <s v="Yayasan Penyelengaraan Illahi"/>
    <s v="Sr. Cendra Tan, PI"/>
    <x v="70"/>
    <s v="C"/>
    <s v="Ibu Deetje Sontana"/>
    <m/>
    <n v="3"/>
    <n v="2022"/>
    <n v="2025"/>
    <x v="0"/>
    <s v="Lisensi"/>
    <s v="ITPreneur"/>
    <n v="15000"/>
    <m/>
    <n v="20000"/>
    <x v="12"/>
    <x v="6"/>
    <x v="7"/>
    <m/>
    <m/>
    <m/>
  </r>
  <r>
    <s v="054/BSW-DIGINUSA/MOU/VII/2022"/>
    <s v="Yayasan Penyelengaraan Illahi"/>
    <s v="Sr. Cendra Tan, PI"/>
    <x v="71"/>
    <s v="C"/>
    <s v="Sr. Susana, P.I"/>
    <m/>
    <n v="3"/>
    <n v="2022"/>
    <n v="2025"/>
    <x v="0"/>
    <s v="Lisensi"/>
    <s v="ITPreneur"/>
    <n v="15000"/>
    <m/>
    <n v="20000"/>
    <x v="12"/>
    <x v="6"/>
    <x v="8"/>
    <m/>
    <m/>
    <m/>
  </r>
  <r>
    <s v="054/BSW-DIGINUSA/MOU/VII/2022"/>
    <s v="Yayasan Penyelengaraan Illahi"/>
    <s v="Sr. Cendra Tan, PI"/>
    <x v="72"/>
    <s v="C"/>
    <s v="Yohana Suharti"/>
    <m/>
    <n v="3"/>
    <n v="2022"/>
    <n v="2025"/>
    <x v="0"/>
    <s v="Lisensi"/>
    <s v="SmartTK"/>
    <n v="10000"/>
    <m/>
    <s v="-"/>
    <x v="12"/>
    <x v="6"/>
    <x v="7"/>
    <n v="57"/>
    <m/>
    <m/>
  </r>
  <r>
    <s v="054/BSW-DIGINUSA/MOU/VII/2022"/>
    <s v="Yayasan Penyelengaraan Illahi"/>
    <s v="Sr. Cendra Tan, PI"/>
    <x v="73"/>
    <s v="C"/>
    <s v="Drs. Simeon Suhatna"/>
    <m/>
    <n v="3"/>
    <n v="2022"/>
    <n v="2025"/>
    <x v="0"/>
    <s v="Lisensi"/>
    <s v="SmartExplorer"/>
    <n v="35000"/>
    <m/>
    <n v="15000"/>
    <x v="7"/>
    <x v="6"/>
    <x v="7"/>
    <n v="317"/>
    <m/>
    <m/>
  </r>
  <r>
    <s v="054/BSW-DIGINUSA/MOU/VII/2022"/>
    <s v="Yayasan Penyelengaraan Illahi"/>
    <s v="Sr. Cendra Tan, PI"/>
    <x v="74"/>
    <s v="C"/>
    <s v="Anastasia Handayani"/>
    <m/>
    <n v="3"/>
    <n v="2022"/>
    <n v="2025"/>
    <x v="0"/>
    <m/>
    <s v="ITPreneur"/>
    <m/>
    <m/>
    <m/>
    <x v="7"/>
    <x v="6"/>
    <x v="9"/>
    <m/>
    <m/>
    <m/>
  </r>
  <r>
    <s v="054/BSW-DIGINUSA/MOU/VII/2022"/>
    <s v="Yayasan Penyelengaraan Illahi"/>
    <s v="Sr. Cendra Tan, PI"/>
    <x v="75"/>
    <s v="C"/>
    <s v="Sr. Veronika, SDP"/>
    <m/>
    <n v="3"/>
    <n v="2022"/>
    <n v="2025"/>
    <x v="0"/>
    <s v="Lisensi"/>
    <s v="SmartTK"/>
    <s v="free"/>
    <m/>
    <m/>
    <x v="7"/>
    <x v="6"/>
    <x v="7"/>
    <n v="317"/>
    <m/>
    <m/>
  </r>
  <r>
    <s v="054/BSW-DIGINUSA/MOU/VII/2022"/>
    <s v="Yayasan Penyelengaraan Illahi"/>
    <s v="Sr. Cendra Tan, PI"/>
    <x v="76"/>
    <s v="C"/>
    <s v="Trisia"/>
    <m/>
    <n v="3"/>
    <n v="2022"/>
    <n v="2025"/>
    <x v="0"/>
    <s v="Sewa Beli"/>
    <s v="SmartTK"/>
    <s v="Rp30.000 (angsuran komputer)"/>
    <m/>
    <m/>
    <x v="7"/>
    <x v="6"/>
    <x v="7"/>
    <m/>
    <m/>
    <m/>
  </r>
  <r>
    <s v="054/BSW-DIGINUSA/MOU/VII/2022"/>
    <s v="Yayasan Penyelengaraan Illahi"/>
    <s v="Sr. Cendra Tan, PI"/>
    <x v="77"/>
    <s v="C"/>
    <s v="Jeri"/>
    <m/>
    <n v="3"/>
    <n v="2022"/>
    <n v="2025"/>
    <x v="0"/>
    <s v="Sewa Beli"/>
    <s v="Informatika Kurmer"/>
    <s v="Rp30.000 (angsuran komputer)"/>
    <m/>
    <m/>
    <x v="7"/>
    <x v="6"/>
    <x v="7"/>
    <m/>
    <m/>
    <m/>
  </r>
  <r>
    <s v="041/BSW-DIGINUSA/MOU/VII/2023"/>
    <s v="Yayasan Mardi Yuana"/>
    <s v="RD. Stefanus Sri Haryono Putro, S.S."/>
    <x v="78"/>
    <s v="C"/>
    <s v="Ibu. Maria Margaretha Reny Indriastuti"/>
    <m/>
    <n v="3"/>
    <n v="2023"/>
    <n v="2026"/>
    <x v="0"/>
    <s v="Kontrak Pengajaran"/>
    <s v="SmartTK"/>
    <n v="13000"/>
    <m/>
    <m/>
    <x v="7"/>
    <x v="0"/>
    <x v="1"/>
    <n v="57"/>
    <m/>
    <m/>
  </r>
  <r>
    <s v="010/BSW-DIGINUSA/MOU/V/2020"/>
    <s v="Yayasan Mardi Yuana"/>
    <s v="RD. Ignatius Irwan S., M.Hum"/>
    <x v="79"/>
    <s v="C"/>
    <s v="Bp. D. Kartono"/>
    <m/>
    <n v="3"/>
    <n v="2020"/>
    <n v="2023"/>
    <x v="1"/>
    <s v="Kontrak Pengajaran"/>
    <s v="Informatika Kurmer"/>
    <n v="12500"/>
    <m/>
    <m/>
    <x v="7"/>
    <x v="0"/>
    <x v="1"/>
    <m/>
    <m/>
    <m/>
  </r>
  <r>
    <s v="010/BSW-DIGINUSA/MOU/V/2020"/>
    <s v="Yayasan Mardi Yuana"/>
    <s v="RD. Ignatius Irwan S., M.Hum"/>
    <x v="80"/>
    <s v="C"/>
    <s v="Bp. Romanus Setyo Irwanto"/>
    <m/>
    <n v="3"/>
    <n v="2020"/>
    <n v="2023"/>
    <x v="1"/>
    <s v="Lisensi"/>
    <s v="ITPreneur"/>
    <n v="14500"/>
    <m/>
    <m/>
    <x v="7"/>
    <x v="0"/>
    <x v="1"/>
    <m/>
    <m/>
    <m/>
  </r>
  <r>
    <s v="010/BSW-DIGINUSA/MOU/V/2020"/>
    <s v="Yayasan Mardi Yuana"/>
    <s v="RD. Ignatius Irwan S., M.Hum"/>
    <x v="81"/>
    <s v="C"/>
    <s v="Ibu, Stefani Wahyu"/>
    <m/>
    <n v="3"/>
    <n v="2020"/>
    <n v="2023"/>
    <x v="1"/>
    <m/>
    <s v="SmartTK"/>
    <n v="18000"/>
    <m/>
    <m/>
    <x v="8"/>
    <x v="0"/>
    <x v="1"/>
    <m/>
    <m/>
    <m/>
  </r>
  <r>
    <s v="041/BSW-DIGINUSA/MOU/VII/2023"/>
    <s v="Yayasan Mardi Yuana"/>
    <s v="RD. Stefanus Sri Haryono Putro, S.S."/>
    <x v="82"/>
    <s v="C"/>
    <s v="Bp. Bernardinus Supriyana"/>
    <m/>
    <n v="3"/>
    <n v="2023"/>
    <n v="2026"/>
    <x v="0"/>
    <s v="Kontrak Pengajaran"/>
    <s v="SmartProgram"/>
    <n v="18000"/>
    <m/>
    <m/>
    <x v="8"/>
    <x v="0"/>
    <x v="1"/>
    <n v="800"/>
    <m/>
    <m/>
  </r>
  <r>
    <s v="041/BSW-DIGINUSA/MOU/VII/2023"/>
    <s v="Yayasan Mardi Yuana"/>
    <s v="RD. Stefanus Sri Haryono Putro, S.S."/>
    <x v="83"/>
    <s v="C"/>
    <s v="Ibu. Maria Yuliana Sulastri, M.pd."/>
    <m/>
    <n v="3"/>
    <n v="2023"/>
    <n v="2026"/>
    <x v="0"/>
    <s v="Lisensi"/>
    <s v="ITPreneur"/>
    <n v="20500"/>
    <m/>
    <m/>
    <x v="8"/>
    <x v="0"/>
    <x v="1"/>
    <n v="560"/>
    <m/>
    <m/>
  </r>
  <r>
    <s v="041/BSW-DIGINUSA/MOU/VII/2023"/>
    <s v="Yayasan Mardi Yuana"/>
    <s v="RD. Stefanus Sri Haryono Putro, S.S."/>
    <x v="84"/>
    <s v="C"/>
    <s v="Ibu. Dra. Agnes Maria E. P"/>
    <m/>
    <n v="3"/>
    <n v="2023"/>
    <n v="2026"/>
    <x v="0"/>
    <s v="Lisensi"/>
    <s v="ITPreneur"/>
    <n v="14500"/>
    <m/>
    <m/>
    <x v="8"/>
    <x v="0"/>
    <x v="1"/>
    <n v="665"/>
    <m/>
    <m/>
  </r>
  <r>
    <s v="010/BSW-DIGINUSA/MOU/V/2020"/>
    <s v="Yayasan Mardi Yuana"/>
    <s v="RD. Ignatius Irwan S., M.Hum"/>
    <x v="85"/>
    <s v="C"/>
    <s v="Ibu. Juliana Siswodwirahaju"/>
    <m/>
    <n v="3"/>
    <n v="2020"/>
    <n v="2023"/>
    <x v="1"/>
    <m/>
    <s v="Informatika Kurmer"/>
    <n v="7500"/>
    <m/>
    <m/>
    <x v="0"/>
    <x v="0"/>
    <x v="1"/>
    <m/>
    <m/>
    <m/>
  </r>
  <r>
    <s v="041/BSW-DIGINUSA/MOU/VII/2023"/>
    <s v="Yayasan Mardi Yuana"/>
    <s v="RD. Stefanus Sri Haryono Putro, S.S."/>
    <x v="86"/>
    <s v="C"/>
    <s v="Bp. Martinus Doro Wulon"/>
    <m/>
    <n v="3"/>
    <n v="2023"/>
    <n v="2026"/>
    <x v="0"/>
    <s v="Kontrak Pengajaran"/>
    <s v="ITPreneur"/>
    <n v="22500"/>
    <m/>
    <m/>
    <x v="0"/>
    <x v="0"/>
    <x v="1"/>
    <n v="235"/>
    <m/>
    <m/>
  </r>
  <r>
    <s v="041/BSW-DIGINUSA/MOU/VII/2023"/>
    <s v="Yayasan Mardi Yuana"/>
    <s v="RD. Stefanus Sri Haryono Putro, S.S."/>
    <x v="87"/>
    <s v="C"/>
    <s v="Ibu. Restituta Indwardanti"/>
    <m/>
    <n v="3"/>
    <n v="2023"/>
    <n v="2026"/>
    <x v="0"/>
    <s v="Kontrak Pengajaran"/>
    <s v="ITPreneur"/>
    <n v="22500"/>
    <m/>
    <m/>
    <x v="0"/>
    <x v="0"/>
    <x v="1"/>
    <n v="280"/>
    <m/>
    <m/>
  </r>
  <r>
    <s v="041/BSW-DIGINUSA/MOU/VII/2023"/>
    <s v="Yayasan Mardi Yuana"/>
    <s v="RD. Stefanus Sri Haryono Putro, S.S."/>
    <x v="88"/>
    <s v="C"/>
    <s v="Ibu. Fl. Wuryanti"/>
    <m/>
    <n v="3"/>
    <n v="2023"/>
    <n v="2026"/>
    <x v="0"/>
    <s v="Kontrak Pengajaran"/>
    <s v="SmartTK"/>
    <n v="11000"/>
    <m/>
    <m/>
    <x v="13"/>
    <x v="0"/>
    <x v="1"/>
    <n v="50"/>
    <m/>
    <m/>
  </r>
  <r>
    <s v="010/BSW-DIGINUSA/MOU/V/2020"/>
    <s v="Yayasan Mardi Yuana"/>
    <s v="RD. Ignatius Irwan S., M.Hum"/>
    <x v="89"/>
    <s v="C"/>
    <s v="Bp. Yohanes Rajum"/>
    <m/>
    <n v="3"/>
    <n v="2020"/>
    <n v="2023"/>
    <x v="1"/>
    <s v="Kontrak Pengajaran"/>
    <s v="Informatika Kurmer"/>
    <n v="11000"/>
    <m/>
    <m/>
    <x v="13"/>
    <x v="0"/>
    <x v="1"/>
    <m/>
    <m/>
    <m/>
  </r>
  <r>
    <s v="041/BSW-DIGINUSA/MOU/VII/2023"/>
    <s v="Yayasan Mardi Yuana"/>
    <s v="RD. Stefanus Sri Haryono Putro, S.S."/>
    <x v="90"/>
    <s v="C"/>
    <s v="Ibu. Indun Priyati"/>
    <m/>
    <n v="3"/>
    <n v="2023"/>
    <n v="2026"/>
    <x v="0"/>
    <s v="Kontrak Pengajaran"/>
    <s v="SmartTK"/>
    <n v="11000"/>
    <m/>
    <m/>
    <x v="13"/>
    <x v="0"/>
    <x v="1"/>
    <n v="40"/>
    <m/>
    <m/>
  </r>
  <r>
    <s v="041/BSW-DIGINUSA/MOU/VII/2023"/>
    <s v="Yayasan Mardi Yuana"/>
    <s v="RD. Stefanus Sri Haryono Putro, S.S."/>
    <x v="91"/>
    <s v="C"/>
    <s v="Ibu. Eli Nurhartati"/>
    <m/>
    <n v="3"/>
    <n v="2023"/>
    <n v="2026"/>
    <x v="0"/>
    <s v="Kontrak Pengajaran"/>
    <s v="Informatika Kurmer"/>
    <n v="11000"/>
    <m/>
    <m/>
    <x v="13"/>
    <x v="0"/>
    <x v="1"/>
    <n v="134"/>
    <m/>
    <m/>
  </r>
  <r>
    <s v="041/BSW-DIGINUSA/MOU/VII/2023"/>
    <s v="Yayasan Mardi Yuana"/>
    <s v="RD. Stefanus Sri Haryono Putro, S.S."/>
    <x v="92"/>
    <s v="C"/>
    <s v="Bp. Satrio"/>
    <m/>
    <n v="3"/>
    <n v="2023"/>
    <n v="2026"/>
    <x v="0"/>
    <s v="Kontrak Pengajaran"/>
    <s v="Informatika Kurmer"/>
    <n v="12000"/>
    <m/>
    <m/>
    <x v="13"/>
    <x v="0"/>
    <x v="1"/>
    <n v="225"/>
    <m/>
    <m/>
  </r>
  <r>
    <s v="041/BSW-DIGINUSA/MOU/VII/2023"/>
    <s v="Yayasan Mardi Yuana"/>
    <s v="RD. Stefanus Sri Haryono Putro, S.S."/>
    <x v="93"/>
    <s v="C"/>
    <s v="Ibu. Cyrilla Eka Okta Setyawati"/>
    <m/>
    <n v="3"/>
    <n v="2023"/>
    <n v="2026"/>
    <x v="0"/>
    <s v="Kontrak Pengajaran"/>
    <s v="SmartTK"/>
    <n v="8500"/>
    <m/>
    <m/>
    <x v="13"/>
    <x v="0"/>
    <x v="1"/>
    <n v="36"/>
    <m/>
    <m/>
  </r>
  <r>
    <s v="010/BSW-DIGINUSA/MOU/V/2020"/>
    <s v="Yayasan Mardi Yuana"/>
    <s v="RD. Ignatius Irwan S., M.Hum"/>
    <x v="94"/>
    <s v="C"/>
    <s v="Sr. Maria Kristina Kolo"/>
    <m/>
    <n v="3"/>
    <n v="2020"/>
    <n v="2023"/>
    <x v="1"/>
    <s v="Lisensi"/>
    <s v="Informatika Kurmer"/>
    <n v="8500"/>
    <m/>
    <m/>
    <x v="13"/>
    <x v="0"/>
    <x v="1"/>
    <m/>
    <m/>
    <m/>
  </r>
  <r>
    <s v="041/BSW-DIGINUSA/MOU/VII/2023"/>
    <s v="Yayasan Mardi Yuana"/>
    <s v="RD. Stefanus Sri Haryono Putro, S.S."/>
    <x v="95"/>
    <s v="C"/>
    <s v="Ibu. Dewi"/>
    <m/>
    <n v="3"/>
    <n v="2023"/>
    <n v="2026"/>
    <x v="0"/>
    <s v="Lisensi"/>
    <s v="SmartTK"/>
    <n v="8500"/>
    <m/>
    <m/>
    <x v="14"/>
    <x v="0"/>
    <x v="1"/>
    <n v="130"/>
    <m/>
    <m/>
  </r>
  <r>
    <s v="041/BSW-DIGINUSA/MOU/VII/2023"/>
    <s v="Yayasan Mardi Yuana"/>
    <s v="RD. Stefanus Sri Haryono Putro, S.S."/>
    <x v="96"/>
    <s v="C"/>
    <s v="Bp. Tri Mugi"/>
    <m/>
    <n v="3"/>
    <n v="2023"/>
    <n v="2026"/>
    <x v="0"/>
    <s v="Lisensi"/>
    <s v="Informatika Kurmer"/>
    <n v="8500"/>
    <m/>
    <m/>
    <x v="14"/>
    <x v="0"/>
    <x v="1"/>
    <n v="548"/>
    <m/>
    <m/>
  </r>
  <r>
    <s v="011/BSW-DIGINUSA/MOU/V/2020"/>
    <s v="Yayasan Mardi Yuana"/>
    <s v="RD. Ignatius Irwan S., M.Hum"/>
    <x v="97"/>
    <s v="C"/>
    <s v="Bp. Leo Agung Sugimin, M.Pd."/>
    <m/>
    <n v="3"/>
    <n v="2020"/>
    <n v="2023"/>
    <x v="1"/>
    <s v="Lisensi"/>
    <s v="ITPreneur"/>
    <n v="14500"/>
    <m/>
    <m/>
    <x v="14"/>
    <x v="0"/>
    <x v="1"/>
    <m/>
    <m/>
    <m/>
  </r>
  <r>
    <s v="011/BSW-DIGINUSA/MOU/V/2020"/>
    <s v="Yayasan Mardi Yuana"/>
    <s v="RD. Ignatius Irwan S., M.Hum"/>
    <x v="98"/>
    <s v="C"/>
    <s v="Bp. Fransiskus Widarto, S. Pd."/>
    <m/>
    <n v="3"/>
    <n v="2020"/>
    <n v="2023"/>
    <x v="1"/>
    <s v="Lisensi"/>
    <s v="ITPreneur"/>
    <n v="14500"/>
    <m/>
    <m/>
    <x v="14"/>
    <x v="0"/>
    <x v="1"/>
    <m/>
    <m/>
    <m/>
  </r>
  <r>
    <s v="041/BSW-DIGINUSA/MOU/VII/2023"/>
    <s v="Yayasan Mardi Yuana"/>
    <s v="RD. Stefanus Sri Haryono Putro, S.S."/>
    <x v="99"/>
    <s v="C"/>
    <s v="Bp. Fr. Sumarno"/>
    <m/>
    <n v="3"/>
    <n v="2023"/>
    <n v="2026"/>
    <x v="0"/>
    <s v="Lisensi"/>
    <s v="Informatika Kurmer"/>
    <n v="8500"/>
    <m/>
    <m/>
    <x v="8"/>
    <x v="0"/>
    <x v="1"/>
    <n v="153"/>
    <m/>
    <m/>
  </r>
  <r>
    <s v="041/BSW-DIGINUSA/MOU/VII/2023"/>
    <s v="Yayasan Mardi Yuana"/>
    <s v="RD. Stefanus Sri Haryono Putro, S.S."/>
    <x v="100"/>
    <s v="C"/>
    <s v="Toto Nurbertus"/>
    <m/>
    <n v="3"/>
    <n v="2023"/>
    <n v="2026"/>
    <x v="0"/>
    <s v="Lisensi"/>
    <s v="Informatika Kurmer"/>
    <n v="8500"/>
    <m/>
    <m/>
    <x v="8"/>
    <x v="0"/>
    <x v="1"/>
    <n v="84"/>
    <m/>
    <m/>
  </r>
  <r>
    <s v="005/BSW-DIGINUSA/MOU/III/2022"/>
    <s v="Yayasan Kesejahteraan Karyawan Pajak"/>
    <s v="Ny. Santi Gina Hariati Rizal Atmaedy"/>
    <x v="101"/>
    <s v="C"/>
    <s v="Pak Purwanto Bambang"/>
    <m/>
    <n v="3"/>
    <n v="2022"/>
    <n v="2025"/>
    <x v="0"/>
    <s v="Sewa Pinjam"/>
    <s v="SmartExplorer"/>
    <n v="45000"/>
    <m/>
    <n v="25000"/>
    <x v="3"/>
    <x v="2"/>
    <x v="10"/>
    <n v="675"/>
    <m/>
    <m/>
  </r>
  <r>
    <s v="031/BSW-DIGINUSA/MOU/VI/2022"/>
    <s v="Yayasan Providentia"/>
    <m/>
    <x v="102"/>
    <s v="C"/>
    <s v="Ibu Yani"/>
    <m/>
    <n v="3"/>
    <n v="2022"/>
    <n v="2025"/>
    <x v="0"/>
    <s v="Sewa Pinjam"/>
    <s v="SmartTK"/>
    <s v="14.000.000 dan  khusus untuk pembayaran Juni dan Juli 7.000.000_x000a_"/>
    <m/>
    <m/>
    <x v="8"/>
    <x v="7"/>
    <x v="10"/>
    <m/>
    <m/>
    <m/>
  </r>
  <r>
    <s v="031/BSW-DIGINUSA/MOU/VI/2022"/>
    <s v="Yayasan Providentia"/>
    <m/>
    <x v="103"/>
    <s v="C"/>
    <s v="Ibu Yani"/>
    <m/>
    <n v="3"/>
    <n v="2022"/>
    <n v="2025"/>
    <x v="0"/>
    <s v="Sewa Pinjam"/>
    <s v="SmartExplorer"/>
    <s v="14.000.000 dan  khusus untuk pembayaran Juni dan Juli 7.000.000_x000a_"/>
    <m/>
    <m/>
    <x v="8"/>
    <x v="7"/>
    <x v="10"/>
    <m/>
    <m/>
    <m/>
  </r>
  <r>
    <s v="009/BSW-DIGINUSA/MOU/III/2022"/>
    <s v="Yayasan Mahatma Gading"/>
    <s v="Wawan Santoso SH, LL.M"/>
    <x v="104"/>
    <s v="C"/>
    <m/>
    <m/>
    <n v="3"/>
    <n v="2022"/>
    <n v="2025"/>
    <x v="0"/>
    <s v="Kontrak Pengajaran"/>
    <s v="SmartTK"/>
    <n v="6250000"/>
    <m/>
    <m/>
    <x v="15"/>
    <x v="5"/>
    <x v="5"/>
    <m/>
    <m/>
    <m/>
  </r>
  <r>
    <s v="009/BSW-DIGINUSA/MOU/III/2022"/>
    <s v="Yayasan Mahatma Gading"/>
    <s v="Wawan Santoso SH, LL.M"/>
    <x v="105"/>
    <s v="C"/>
    <s v="Mis Anjeni"/>
    <m/>
    <n v="3"/>
    <n v="2022"/>
    <n v="2025"/>
    <x v="0"/>
    <s v="Kontrak Pengajaran"/>
    <s v="SEIS"/>
    <n v="6250000"/>
    <m/>
    <m/>
    <x v="15"/>
    <x v="5"/>
    <x v="5"/>
    <m/>
    <m/>
    <m/>
  </r>
  <r>
    <s v="009/BSW-DIGINUSA/MOU/III/2022"/>
    <s v="Yayasan Mahatma Gading"/>
    <s v="Wawan Santoso SH, LL.M"/>
    <x v="106"/>
    <s v="C"/>
    <s v="Mis Okky Olivia"/>
    <m/>
    <n v="3"/>
    <n v="2022"/>
    <n v="2025"/>
    <x v="0"/>
    <s v="Kontrak Pengajaran"/>
    <s v="SmartTK"/>
    <n v="6250000"/>
    <m/>
    <m/>
    <x v="15"/>
    <x v="5"/>
    <x v="5"/>
    <m/>
    <m/>
    <m/>
  </r>
  <r>
    <s v="009/BSW-DIGINUSA/MOU/III/2022"/>
    <s v="Yayasan Mahatma Gading"/>
    <s v="Wawan Santoso SH, LL.M"/>
    <x v="107"/>
    <s v="C"/>
    <s v="Mis Erni"/>
    <m/>
    <n v="3"/>
    <n v="2022"/>
    <n v="2025"/>
    <x v="0"/>
    <s v="Kontrak Pengajaran"/>
    <s v="SmartExplorer"/>
    <n v="6250000"/>
    <m/>
    <m/>
    <x v="15"/>
    <x v="5"/>
    <x v="5"/>
    <m/>
    <m/>
    <m/>
  </r>
  <r>
    <s v="009/BSW-DIGINUSA/MOU/III/2022"/>
    <s v="Yayasan Mahatma Gading"/>
    <s v="Wawan Santoso SH, LL.M"/>
    <x v="108"/>
    <s v="C"/>
    <s v="Pak Suwito"/>
    <m/>
    <n v="3"/>
    <n v="2022"/>
    <n v="2025"/>
    <x v="0"/>
    <s v="Kontrak Pengajaran"/>
    <s v="ITPreneur"/>
    <n v="6250000"/>
    <m/>
    <m/>
    <x v="15"/>
    <x v="5"/>
    <x v="5"/>
    <m/>
    <m/>
    <m/>
  </r>
  <r>
    <s v="009/BSW-DIGINUSA/MOU/III/2022"/>
    <s v="Yayasan Mahatma Gading"/>
    <s v="Wawan Santoso SH, LL.M"/>
    <x v="109"/>
    <s v="C"/>
    <s v="Pak Denis"/>
    <m/>
    <n v="3"/>
    <n v="2022"/>
    <n v="2025"/>
    <x v="0"/>
    <s v="Kontrak Pengajaran"/>
    <s v="ITPreneur"/>
    <n v="6250000"/>
    <m/>
    <m/>
    <x v="15"/>
    <x v="5"/>
    <x v="5"/>
    <m/>
    <m/>
    <m/>
  </r>
  <r>
    <s v="014/BSW-DIGINUSA/MOU/V/2023"/>
    <s v="Yayasan Asti Dharma Cab. Cibubur"/>
    <m/>
    <x v="110"/>
    <s v="C"/>
    <s v="Sr Agusta HK"/>
    <m/>
    <n v="1"/>
    <n v="2023"/>
    <n v="2024"/>
    <x v="1"/>
    <s v="Kontrak Pengajaran"/>
    <s v="SmartTK"/>
    <n v="30000"/>
    <m/>
    <m/>
    <x v="0"/>
    <x v="5"/>
    <x v="5"/>
    <n v="110"/>
    <m/>
    <m/>
  </r>
  <r>
    <s v="027/BSW-DIGINUSA/MOU/VII/2021"/>
    <s v="Yayasan Asti Dharma Cab. Cibubur"/>
    <m/>
    <x v="111"/>
    <s v="C"/>
    <s v="Sr Valen HK"/>
    <m/>
    <n v="3"/>
    <n v="2021"/>
    <n v="2024"/>
    <x v="1"/>
    <s v="Kontrak Pengajaran"/>
    <s v="Informatika Kurmer"/>
    <s v="Rp15.000 x 20 anak karyawan SD_x000a_&amp; Rp30.000 x jumlah siswa"/>
    <m/>
    <m/>
    <x v="0"/>
    <x v="5"/>
    <x v="5"/>
    <n v="880"/>
    <m/>
    <m/>
  </r>
  <r>
    <s v="026/BSW-DIGINUSA/MOU/VI/2023"/>
    <s v="Yayasan Asti Dharma Cab. Grogol "/>
    <m/>
    <x v="112"/>
    <s v="C"/>
    <s v="Sr M Godeliva HK"/>
    <m/>
    <n v="1"/>
    <n v="2023"/>
    <n v="2024"/>
    <x v="1"/>
    <s v="Kontrak Pengajaran"/>
    <s v="SmartTK"/>
    <m/>
    <n v="2000000"/>
    <m/>
    <x v="9"/>
    <x v="5"/>
    <x v="5"/>
    <n v="40"/>
    <m/>
    <m/>
  </r>
  <r>
    <s v="027/BSW-DIGINUSA/MOU/VI/2023"/>
    <s v="Yayasan Asti Dharma Cab. Grogol "/>
    <m/>
    <x v="113"/>
    <s v="C"/>
    <s v="Yohana Triyani, S. Pd. SD."/>
    <m/>
    <n v="1"/>
    <n v="2023"/>
    <n v="2024"/>
    <x v="1"/>
    <s v="Kontrak Pengajaran"/>
    <s v="SmartProgram &amp; SmartExplorer"/>
    <n v="27500"/>
    <m/>
    <s v="LKS Smart Program Rp20.000_x000a_LKS Smart Explorer Rp25.000"/>
    <x v="9"/>
    <x v="5"/>
    <x v="5"/>
    <n v="627"/>
    <m/>
    <m/>
  </r>
  <r>
    <s v="021/BSW-DIGINUSA/MOU/V/2023"/>
    <s v="Yayasan Asti Dharma Cab. Grogol "/>
    <m/>
    <x v="114"/>
    <s v="C"/>
    <s v="Mustika Dewi Maria, S.Pd. "/>
    <m/>
    <n v="1"/>
    <n v="2023"/>
    <n v="2024"/>
    <x v="1"/>
    <s v="Kontrak Pengajaran"/>
    <s v="Informatika &amp; ITPreneur"/>
    <n v="26000"/>
    <m/>
    <s v="LKS Informatika Rp30.000_x000a_LKS ITPreneur Rp30.000"/>
    <x v="9"/>
    <x v="5"/>
    <x v="5"/>
    <n v="355"/>
    <m/>
    <m/>
  </r>
  <r>
    <s v="037/BSW/BSW-DIGINUSA/MOU/VII/2023"/>
    <s v="Yayasan Pendidikan Penabur Bogor "/>
    <s v="Aryawan"/>
    <x v="115"/>
    <s v="C"/>
    <s v="Ibu. Valentine Kirana Herhayuningtyas, S.Si"/>
    <m/>
    <n v="3"/>
    <n v="2023"/>
    <n v="2026"/>
    <x v="0"/>
    <s v="Kontrak Pengajaran"/>
    <s v="SmartTK"/>
    <n v="29500"/>
    <m/>
    <m/>
    <x v="0"/>
    <x v="0"/>
    <x v="11"/>
    <n v="49"/>
    <m/>
    <m/>
  </r>
  <r>
    <s v="037/BSW/BSW-DIGINUSA/MOU/VII/2023"/>
    <s v="Yayasan Pendidikan Penabur Bogor "/>
    <s v="Aryawan"/>
    <x v="116"/>
    <s v="C"/>
    <s v="Ibu. Wiwit Ayu Fajar Riyanti"/>
    <m/>
    <n v="3"/>
    <n v="2023"/>
    <n v="2026"/>
    <x v="0"/>
    <s v="Kontrak Pengajaran"/>
    <s v="SmartExplorer"/>
    <n v="29500"/>
    <m/>
    <s v="LKS Informatika Kurmer Rp30.000"/>
    <x v="0"/>
    <x v="0"/>
    <x v="11"/>
    <n v="323"/>
    <m/>
    <m/>
  </r>
  <r>
    <s v="037/BSW/BSW-DIGINUSA/MOU/VII/2023"/>
    <s v="Yayasan Pendidikan Penabur Bogor"/>
    <s v="Aryawan"/>
    <x v="117"/>
    <s v="C"/>
    <s v="Bp. Andi Supriyana"/>
    <m/>
    <n v="3"/>
    <n v="2023"/>
    <n v="2026"/>
    <x v="0"/>
    <s v="Kontrak Pengajaran"/>
    <s v="ITPreneur"/>
    <n v="33500"/>
    <m/>
    <s v="LKS Informatika Kurmer Rp30.000"/>
    <x v="0"/>
    <x v="0"/>
    <x v="11"/>
    <n v="293"/>
    <m/>
    <m/>
  </r>
  <r>
    <s v="033/BSW-DIGINUSA/MOU/VII/2021"/>
    <s v="Yayasan Pendidikan Penabur Cianjur"/>
    <s v="Edwin Sembiring, S.P."/>
    <x v="118"/>
    <s v="C"/>
    <s v="Ibu. Candra Maya"/>
    <m/>
    <n v="3"/>
    <n v="2021"/>
    <n v="2024"/>
    <x v="1"/>
    <s v="Lisensi"/>
    <s v="SmartTK"/>
    <n v="7000"/>
    <m/>
    <m/>
    <x v="13"/>
    <x v="0"/>
    <x v="11"/>
    <m/>
    <m/>
    <m/>
  </r>
  <r>
    <s v="033/BSW-DIGINUSA/MOU/VII/2021"/>
    <s v="Yayasan Pendidikan Penabur  Cianjur"/>
    <s v="Edwin Sembiring, S.P."/>
    <x v="119"/>
    <s v="C"/>
    <s v="Ibu. Melly Widyawati"/>
    <m/>
    <n v="3"/>
    <n v="2021"/>
    <n v="2024"/>
    <x v="1"/>
    <s v="Lisensi"/>
    <s v="SmartExplorer"/>
    <n v="7000"/>
    <m/>
    <m/>
    <x v="13"/>
    <x v="0"/>
    <x v="11"/>
    <n v="149"/>
    <m/>
    <m/>
  </r>
  <r>
    <s v="033/BSW-DIGINUSA/MOU/VII/2021"/>
    <s v="Yayasan Pendidikan Penabur Cianjur"/>
    <s v="Edwin Sembiring, S.P."/>
    <x v="120"/>
    <s v="C"/>
    <s v="Ibu. Yuni Hafsari"/>
    <m/>
    <n v="3"/>
    <n v="2021"/>
    <n v="2024"/>
    <x v="1"/>
    <s v="Lisensi"/>
    <s v="ITPreneur"/>
    <n v="24000"/>
    <m/>
    <m/>
    <x v="13"/>
    <x v="0"/>
    <x v="11"/>
    <n v="81"/>
    <m/>
    <m/>
  </r>
  <r>
    <s v="033/BSW-DIGINUSA/MOU/VII/2021"/>
    <s v="Yayasan Pendidikan Penabur Cianjur"/>
    <s v="Edwin Sembiring, S.P."/>
    <x v="121"/>
    <s v="C"/>
    <s v="Ibu. Andar Widayanti"/>
    <m/>
    <n v="3"/>
    <n v="2021"/>
    <n v="2024"/>
    <x v="1"/>
    <s v="Lisensi"/>
    <s v="ITPreneur"/>
    <n v="24000"/>
    <m/>
    <m/>
    <x v="13"/>
    <x v="0"/>
    <x v="11"/>
    <n v="105"/>
    <m/>
    <m/>
  </r>
  <r>
    <s v="024/BSW-DIGINUSA/MOU/VII/2021"/>
    <s v="Yayasan St. Fransiskus"/>
    <s v="Romo Matheus Batubara, OFM"/>
    <x v="122"/>
    <s v="D"/>
    <s v="Sr M. Mariana"/>
    <m/>
    <n v="3"/>
    <n v="2021"/>
    <n v="2024"/>
    <x v="1"/>
    <s v="Sewa Pinjam"/>
    <s v="SmartTK"/>
    <n v="2800000"/>
    <m/>
    <m/>
    <x v="14"/>
    <x v="7"/>
    <x v="4"/>
    <m/>
    <m/>
    <m/>
  </r>
  <r>
    <s v="024/BSW-DIGINUSA/MOU/VII/2021"/>
    <s v="Yayasan St. Fransiskus"/>
    <s v="Romo Matheus Batubara, OFM"/>
    <x v="123"/>
    <s v="D"/>
    <s v="Pak Thomas"/>
    <m/>
    <n v="3"/>
    <n v="2021"/>
    <n v="2024"/>
    <x v="1"/>
    <s v="Sewa Pinjam"/>
    <s v="SmartExplorer"/>
    <n v="2800000"/>
    <m/>
    <m/>
    <x v="14"/>
    <x v="7"/>
    <x v="4"/>
    <m/>
    <m/>
    <m/>
  </r>
  <r>
    <s v="024/BSW-DIGINUSA/MOU/VII/2021"/>
    <s v="Yayasan St. Fransiskus"/>
    <s v="Romo Matheus Batubara, OFM"/>
    <x v="124"/>
    <s v="D"/>
    <s v="Bruder Triyono"/>
    <m/>
    <n v="3"/>
    <n v="2021"/>
    <n v="2024"/>
    <x v="1"/>
    <s v="Sewa Pinjam"/>
    <s v="Informatika Kurmer"/>
    <n v="2800000"/>
    <m/>
    <m/>
    <x v="14"/>
    <x v="7"/>
    <x v="4"/>
    <m/>
    <m/>
    <m/>
  </r>
  <r>
    <s v="024/BSW-DIGINUSA/MOU/VII/2021"/>
    <s v="Yayasan St. Fransiskus"/>
    <s v="Romo Matheus Batubara, OFM"/>
    <x v="125"/>
    <m/>
    <s v="Romo John"/>
    <m/>
    <m/>
    <n v="2021"/>
    <n v="2024"/>
    <x v="1"/>
    <s v="Sewa Pinjam"/>
    <m/>
    <n v="2800000"/>
    <m/>
    <m/>
    <x v="14"/>
    <x v="7"/>
    <x v="4"/>
    <m/>
    <m/>
    <m/>
  </r>
  <r>
    <s v="024/BSW-DIGINUSA/MOU/VII/2021"/>
    <s v="Yayasan St. Fransiskus"/>
    <s v="Romo Matheus Batubara, OFM"/>
    <x v="126"/>
    <s v="D"/>
    <s v="Pak Gunawan"/>
    <m/>
    <n v="3"/>
    <n v="2021"/>
    <n v="2024"/>
    <x v="1"/>
    <s v="Sewa Pinjam"/>
    <s v="ITPreneur"/>
    <n v="2800000"/>
    <m/>
    <m/>
    <x v="14"/>
    <x v="7"/>
    <x v="4"/>
    <m/>
    <m/>
    <m/>
  </r>
  <r>
    <s v="024/BSW-DIGINUSA/MOU/VII/2021"/>
    <s v="Yayasan St. Fransiskus"/>
    <s v="Romo Matheus Batubara, OFM"/>
    <x v="127"/>
    <s v="D"/>
    <s v="Bu Mian"/>
    <m/>
    <n v="3"/>
    <n v="2021"/>
    <n v="2024"/>
    <x v="1"/>
    <s v="Sewa Pinjam"/>
    <s v="Informatika Kurmer"/>
    <n v="3000000"/>
    <m/>
    <m/>
    <x v="14"/>
    <x v="7"/>
    <x v="4"/>
    <m/>
    <m/>
    <m/>
  </r>
  <r>
    <s v="024/BSW-DIGINUSA/MOU/VII/2021"/>
    <s v="Yayasan St. Fransiskus"/>
    <s v="Romo Matheus Batubara, OFM"/>
    <x v="128"/>
    <s v="D"/>
    <s v="Bruder Rachmat"/>
    <m/>
    <n v="3"/>
    <n v="2021"/>
    <n v="2024"/>
    <x v="1"/>
    <s v="Sewa Pinjam"/>
    <s v="ITPreneur"/>
    <n v="3000000"/>
    <m/>
    <m/>
    <x v="14"/>
    <x v="7"/>
    <x v="4"/>
    <m/>
    <m/>
    <m/>
  </r>
  <r>
    <s v="088/BSW-DIGINUSA/MOU/VIII/2023"/>
    <s v="Yayasan Dwi Bhakti"/>
    <m/>
    <x v="129"/>
    <s v="D"/>
    <s v="Yuliana Retno Dwi W"/>
    <m/>
    <n v="2"/>
    <n v="2023"/>
    <n v="2025"/>
    <x v="0"/>
    <s v="Lisensi"/>
    <s v="Informatika Kurmer"/>
    <m/>
    <n v="4500000"/>
    <m/>
    <x v="14"/>
    <x v="7"/>
    <x v="4"/>
    <m/>
    <m/>
    <m/>
  </r>
  <r>
    <s v="072/BSW-DIGINUSA/MOU/VI/2023"/>
    <s v="Yayasan Charitas Jakarta"/>
    <s v="Sr. Immaculata, Fch"/>
    <x v="130"/>
    <s v="D"/>
    <s v="Sr Amanda"/>
    <m/>
    <n v="3"/>
    <n v="2023"/>
    <n v="2026"/>
    <x v="0"/>
    <s v="Lisensi"/>
    <s v="SmartExplorer"/>
    <n v="20000"/>
    <m/>
    <m/>
    <x v="3"/>
    <x v="3"/>
    <x v="2"/>
    <m/>
    <m/>
    <m/>
  </r>
  <r>
    <s v="072/BSW-DIGINUSA/MOU/VI/2023"/>
    <s v="Yayasan Charitas Jakarta"/>
    <s v="Sr. Immaculata, Fch"/>
    <x v="131"/>
    <s v="D"/>
    <s v="Sr Simonia"/>
    <m/>
    <n v="3"/>
    <n v="2023"/>
    <n v="2026"/>
    <x v="0"/>
    <s v="Lisensi"/>
    <s v="Informatika Kurmer"/>
    <n v="20000"/>
    <m/>
    <m/>
    <x v="3"/>
    <x v="3"/>
    <x v="2"/>
    <m/>
    <m/>
    <m/>
  </r>
  <r>
    <s v="072/BSW-DIGINUSA/MOU/VI/2023"/>
    <s v="Yayasan Charitas Jakarta"/>
    <s v="Sr. Immaculata, Fch"/>
    <x v="132"/>
    <s v="D"/>
    <s v="Sr. M. Beatrix. Fch"/>
    <m/>
    <n v="3"/>
    <n v="2023"/>
    <n v="2026"/>
    <x v="0"/>
    <s v="Lisensi"/>
    <s v="Informatika Kurmer"/>
    <n v="20000"/>
    <m/>
    <m/>
    <x v="3"/>
    <x v="3"/>
    <x v="2"/>
    <m/>
    <m/>
    <m/>
  </r>
  <r>
    <s v="056/BSW-DIGINUSA/MOU/VII/2022"/>
    <s v="Yayasan Galatia"/>
    <s v="Dra. Henny Sulaiman"/>
    <x v="133"/>
    <s v="D"/>
    <s v="Bu Ani"/>
    <m/>
    <n v="3"/>
    <n v="2022"/>
    <n v="2025"/>
    <x v="0"/>
    <s v="Sewa Pinjam"/>
    <s v="SmartTK"/>
    <n v="30000"/>
    <m/>
    <n v="30000"/>
    <x v="10"/>
    <x v="2"/>
    <x v="12"/>
    <m/>
    <m/>
    <m/>
  </r>
  <r>
    <s v="056/BSW-DIGINUSA/MOU/VII/2022"/>
    <s v="Yayasan Galatia"/>
    <s v="Dra. Henny Sulaiman"/>
    <x v="134"/>
    <s v="D"/>
    <s v="Bu Vera"/>
    <m/>
    <n v="3"/>
    <n v="2022"/>
    <n v="2025"/>
    <x v="0"/>
    <s v="Sewa Pinjam"/>
    <s v="SmartExplorer"/>
    <n v="30000"/>
    <m/>
    <n v="30000"/>
    <x v="10"/>
    <x v="2"/>
    <x v="12"/>
    <n v="91"/>
    <m/>
    <m/>
  </r>
  <r>
    <s v="056/BSW-DIGINUSA/MOU/VII/2022"/>
    <s v="Yayasan Galatia"/>
    <s v="Dra. Henny Sulaiman"/>
    <x v="135"/>
    <s v="D"/>
    <s v="Pak Wasis"/>
    <m/>
    <n v="3"/>
    <n v="2022"/>
    <n v="2025"/>
    <x v="0"/>
    <s v="Sewa Pinjam"/>
    <s v="ITPreneur"/>
    <n v="30000"/>
    <m/>
    <n v="30000"/>
    <x v="10"/>
    <x v="2"/>
    <x v="12"/>
    <n v="64"/>
    <m/>
    <m/>
  </r>
  <r>
    <s v="056/BSW-DIGINUSA/MOU/VII/2022"/>
    <s v="Yayasan Galatia"/>
    <s v="Dra. Henny Sulaiman"/>
    <x v="136"/>
    <s v="D"/>
    <s v="Bu Jannet"/>
    <m/>
    <n v="3"/>
    <n v="2022"/>
    <n v="2025"/>
    <x v="0"/>
    <s v="Sewa Pinjam"/>
    <s v="ITPreneur"/>
    <n v="30000"/>
    <m/>
    <n v="30000"/>
    <x v="10"/>
    <x v="2"/>
    <x v="12"/>
    <n v="82"/>
    <m/>
    <m/>
  </r>
  <r>
    <s v="056/BSW-DIGINUSA/MOU/VII/2022"/>
    <s v="Yayasan Galatia"/>
    <s v="Dra. Henny Sulaiman"/>
    <x v="137"/>
    <s v="D"/>
    <s v="Puji Rahayu"/>
    <m/>
    <n v="3"/>
    <n v="2022"/>
    <n v="2025"/>
    <x v="0"/>
    <s v="Sewa Pinjam"/>
    <s v="SmartTK"/>
    <n v="30000"/>
    <m/>
    <n v="30000"/>
    <x v="10"/>
    <x v="2"/>
    <x v="12"/>
    <n v="10"/>
    <m/>
    <m/>
  </r>
  <r>
    <s v="056/BSW-DIGINUSA/MOU/VII/2022"/>
    <s v="Yayasan Galatia"/>
    <s v="Dra. Henny Sulaiman"/>
    <x v="138"/>
    <s v="D"/>
    <s v="Emerita Hestu Maranani"/>
    <m/>
    <n v="3"/>
    <n v="2022"/>
    <n v="2025"/>
    <x v="0"/>
    <s v="Sewa Pinjam"/>
    <s v="SmartExplorer"/>
    <n v="30000"/>
    <m/>
    <n v="30000"/>
    <x v="10"/>
    <x v="2"/>
    <x v="12"/>
    <n v="120"/>
    <m/>
    <m/>
  </r>
  <r>
    <s v="056/BSW-DIGINUSA/MOU/VII/2022"/>
    <s v="Yayasan Galatia"/>
    <s v="Dra. Henny Sulaiman"/>
    <x v="139"/>
    <s v="D"/>
    <s v="Sondang Hartati. S"/>
    <m/>
    <n v="3"/>
    <n v="2022"/>
    <n v="2025"/>
    <x v="0"/>
    <s v="Sewa Pinjam"/>
    <s v="ITPreneur"/>
    <n v="30000"/>
    <m/>
    <n v="30000"/>
    <x v="10"/>
    <x v="2"/>
    <x v="12"/>
    <n v="95"/>
    <m/>
    <m/>
  </r>
  <r>
    <s v="056/BSW-DIGINUSA/MOU/VII/2022"/>
    <s v="Yayasan Galatia"/>
    <s v="Dra. Henny Sulaiman"/>
    <x v="140"/>
    <s v="D"/>
    <s v="Drs. A. Hary Subagio"/>
    <m/>
    <n v="3"/>
    <n v="2022"/>
    <n v="2025"/>
    <x v="0"/>
    <s v="Sewa Pinjam"/>
    <s v="ITPreneur"/>
    <n v="30000"/>
    <m/>
    <n v="30000"/>
    <x v="10"/>
    <x v="2"/>
    <x v="12"/>
    <n v="96"/>
    <m/>
    <m/>
  </r>
  <r>
    <s v="056/BSW-DIGINUSA/MOU/VII/2022"/>
    <s v="Yayasan Galatia"/>
    <s v="Dra. Henny Sulaiman"/>
    <x v="141"/>
    <s v="D"/>
    <s v="Bu Sri Rejekiningsih"/>
    <m/>
    <n v="3"/>
    <n v="2022"/>
    <n v="2025"/>
    <x v="0"/>
    <s v="Sewa Pinjam"/>
    <s v="SmartExplorer"/>
    <n v="30000"/>
    <m/>
    <n v="30000"/>
    <x v="10"/>
    <x v="2"/>
    <x v="12"/>
    <n v="45"/>
    <m/>
    <m/>
  </r>
  <r>
    <s v="061/BSW-DIGINUSA/MOU/VII/2022"/>
    <s v="Yayasan Pendidikan Gereja Methodist Medan"/>
    <s v="Sahara, S.S., M.Pd"/>
    <x v="142"/>
    <s v="D"/>
    <s v="Rolita Foryani Sinaga "/>
    <m/>
    <n v="3"/>
    <n v="2022"/>
    <n v="2025"/>
    <x v="0"/>
    <s v="Lisensi"/>
    <s v="SmartTK"/>
    <s v="  TA 2022-2023: Rp20.000.000                         _x000a_TA 2023-2024: Rp10.000.000  _x000a_TA 2024-2025: Rp10.000.000"/>
    <m/>
    <n v="40000"/>
    <x v="16"/>
    <x v="3"/>
    <x v="7"/>
    <m/>
    <m/>
    <m/>
  </r>
  <r>
    <s v="061/BSW-DIGINUSA/MOU/VII/2022"/>
    <s v="Yayasan Pendidikan Gereja Methodist Medan"/>
    <s v="Sahara, S.S., M.Pd"/>
    <x v="143"/>
    <s v="D"/>
    <s v="Rossiani "/>
    <m/>
    <n v="3"/>
    <n v="2022"/>
    <n v="2025"/>
    <x v="0"/>
    <s v="Lisensi"/>
    <m/>
    <s v="  TA 2022-2023: Rp20.000.000                         _x000a_TA 2023-2024: Rp10.000.000  _x000a_TA 2024-2025: Rp10.000.000"/>
    <m/>
    <n v="40000"/>
    <x v="16"/>
    <x v="3"/>
    <x v="7"/>
    <m/>
    <m/>
    <m/>
  </r>
  <r>
    <s v="061/BSW-DIGINUSA/MOU/VII/2022"/>
    <s v="Yayasan Pendidikan Gereja Methodist Medan"/>
    <s v="Sahara, S.S., M.Pd"/>
    <x v="144"/>
    <s v="D"/>
    <s v="Lisa"/>
    <m/>
    <n v="3"/>
    <n v="2022"/>
    <n v="2025"/>
    <x v="0"/>
    <s v="Lisensi"/>
    <s v="ITPreneur"/>
    <s v="  TA 2022-2023: Rp20.000.000                         _x000a_TA 2023-2024: Rp10.000.000  _x000a_TA 2024-2025: Rp10.000.000"/>
    <m/>
    <n v="40000"/>
    <x v="16"/>
    <x v="3"/>
    <x v="7"/>
    <m/>
    <m/>
    <m/>
  </r>
  <r>
    <s v="061/BSW-DIGINUSA/MOU/VII/2022"/>
    <s v="Yayasan Pendidikan Gereja Methodist Medan"/>
    <s v="Sahara, S.S., M.Pd"/>
    <x v="145"/>
    <s v="D"/>
    <s v="Lisa"/>
    <m/>
    <n v="3"/>
    <n v="2022"/>
    <n v="2025"/>
    <x v="0"/>
    <s v="Lisensi"/>
    <s v="ITPreneur"/>
    <s v="  TA 2022-2023: Rp20.000.000                         _x000a_TA 2023-2024: Rp10.000.000  _x000a_TA 2024-2025: Rp10.000.000"/>
    <m/>
    <n v="40000"/>
    <x v="16"/>
    <x v="3"/>
    <x v="7"/>
    <m/>
    <m/>
    <m/>
  </r>
  <r>
    <s v="060/BSW-DIGINUSA/MOU/VIII/2019"/>
    <s v="Yayasan Pantekosta Jelambar"/>
    <s v="Julius P. Candra"/>
    <x v="146"/>
    <s v="D"/>
    <s v="Sahara,s.s., M.pd."/>
    <m/>
    <n v="2"/>
    <n v="2019"/>
    <n v="2021"/>
    <x v="0"/>
    <s v="Kontrak Pengajaran"/>
    <m/>
    <m/>
    <m/>
    <m/>
    <x v="3"/>
    <x v="3"/>
    <x v="5"/>
    <m/>
    <m/>
    <m/>
  </r>
  <r>
    <s v="060/BSW-DIGINUSA/MOU/VIII/2019"/>
    <s v="Yayasan Pantekosta Jelambar"/>
    <s v="Julius P. Candra"/>
    <x v="147"/>
    <s v="D"/>
    <s v="Louis Natalia Tanza"/>
    <m/>
    <n v="2"/>
    <n v="2019"/>
    <n v="2021"/>
    <x v="0"/>
    <s v="Kontrak Pengajaran"/>
    <s v="Informatika Kurmer"/>
    <m/>
    <m/>
    <m/>
    <x v="3"/>
    <x v="3"/>
    <x v="5"/>
    <m/>
    <m/>
    <m/>
  </r>
  <r>
    <s v="060/BSW-DIGINUSA/MOU/VIII/2019"/>
    <s v="Yayasan Pantekosta Jelambar"/>
    <s v="Julius P. Candra"/>
    <x v="148"/>
    <s v="D"/>
    <s v="Pak Hartono"/>
    <m/>
    <n v="2"/>
    <n v="2019"/>
    <n v="2021"/>
    <x v="0"/>
    <s v="Kontrak Pengajaran"/>
    <s v="Informatika Kurmer"/>
    <m/>
    <m/>
    <m/>
    <x v="3"/>
    <x v="3"/>
    <x v="5"/>
    <m/>
    <m/>
    <m/>
  </r>
  <r>
    <s v="060/BSW-DIGINUSA/MOU/VIII/2019"/>
    <s v="Yayasan Pantekosta Jelambar"/>
    <s v="Julius P. Candra"/>
    <x v="149"/>
    <s v="D"/>
    <s v="Pak Joko Mandono"/>
    <m/>
    <n v="2"/>
    <n v="2019"/>
    <n v="2021"/>
    <x v="0"/>
    <s v="Kontrak Pengajaran"/>
    <s v="Informatika Kurmer"/>
    <m/>
    <m/>
    <m/>
    <x v="3"/>
    <x v="3"/>
    <x v="5"/>
    <m/>
    <m/>
    <m/>
  </r>
  <r>
    <s v="086/BSW-DIGINUSA/MOU/IX/2023"/>
    <s v="Yayasan Kartika"/>
    <s v="Rahmalia"/>
    <x v="150"/>
    <s v="D"/>
    <s v="Lisawati Pinem"/>
    <m/>
    <n v="1"/>
    <n v="2023"/>
    <n v="2024"/>
    <x v="1"/>
    <s v="Lisensi"/>
    <s v="Informatika Kurmer"/>
    <n v="15000"/>
    <m/>
    <m/>
    <x v="3"/>
    <x v="3"/>
    <x v="2"/>
    <n v="248"/>
    <m/>
    <m/>
  </r>
  <r>
    <s v="033/BSW-DIGINUSA/MOU/VII/2020"/>
    <s v="Yayasan Syuradikara"/>
    <m/>
    <x v="151"/>
    <s v="D"/>
    <s v="Achmad Sjaefudin"/>
    <m/>
    <n v="3"/>
    <n v="2020"/>
    <n v="2023"/>
    <x v="1"/>
    <s v="Sewa Pinjam"/>
    <s v="SmartTK"/>
    <n v="5130666.666666667"/>
    <m/>
    <m/>
    <x v="8"/>
    <x v="8"/>
    <x v="13"/>
    <m/>
    <m/>
    <m/>
  </r>
  <r>
    <s v="033/BSW-DIGINUSA/MOU/VII/2020"/>
    <s v="Yayasan Syuradikara"/>
    <m/>
    <x v="152"/>
    <s v="D"/>
    <s v="Elita Sari Girsang"/>
    <m/>
    <n v="3"/>
    <n v="2020"/>
    <n v="2023"/>
    <x v="1"/>
    <s v="Sewa Pinjam"/>
    <s v="Informatika Kurmer"/>
    <n v="5130666.666666667"/>
    <m/>
    <m/>
    <x v="8"/>
    <x v="8"/>
    <x v="13"/>
    <m/>
    <m/>
    <m/>
  </r>
  <r>
    <s v="033/BSW-DIGINUSA/MOU/VII/2020"/>
    <s v="Yayasan Syuradikara"/>
    <m/>
    <x v="153"/>
    <s v="D"/>
    <s v="B Dwianto Edi Prakasa"/>
    <m/>
    <n v="3"/>
    <n v="2020"/>
    <n v="2023"/>
    <x v="1"/>
    <s v="Sewa Pinjam"/>
    <s v="Informatika Kurmer"/>
    <n v="5130666.666666667"/>
    <m/>
    <m/>
    <x v="8"/>
    <x v="8"/>
    <x v="13"/>
    <m/>
    <m/>
    <m/>
  </r>
  <r>
    <s v="033/BSW-DIGINUSA/MOU/VII/2020"/>
    <s v="Yayasan Syuradikara"/>
    <m/>
    <x v="154"/>
    <s v="D"/>
    <s v="Edirondelino Manas"/>
    <m/>
    <n v="3"/>
    <n v="2020"/>
    <n v="2023"/>
    <x v="1"/>
    <s v="Sewa Pinjam"/>
    <s v="Informatika Kurmer"/>
    <n v="2500000"/>
    <m/>
    <m/>
    <x v="8"/>
    <x v="8"/>
    <x v="13"/>
    <m/>
    <m/>
    <m/>
  </r>
  <r>
    <s v="049/BSW-DIGINUSA/MOU/VII/2022"/>
    <s v="Yayasan Pendidikan Pusaka Abadi"/>
    <s v="Tinawati Sutjiawan"/>
    <x v="155"/>
    <s v="D"/>
    <s v="Bu Yulika"/>
    <m/>
    <n v="3"/>
    <n v="2022"/>
    <n v="2025"/>
    <x v="0"/>
    <s v="Sewa Pinjam"/>
    <s v="SmartTK"/>
    <n v="3750000"/>
    <m/>
    <m/>
    <x v="3"/>
    <x v="7"/>
    <x v="10"/>
    <m/>
    <m/>
    <m/>
  </r>
  <r>
    <s v="049/BSW-DIGINUSA/MOU/VII/2022"/>
    <s v="Yayasan Pendidikan Pusaka Abadi"/>
    <s v="Tinawati Sutjiawan"/>
    <x v="156"/>
    <s v="D"/>
    <s v="Pak Wui Yung"/>
    <m/>
    <n v="3"/>
    <n v="2022"/>
    <n v="2025"/>
    <x v="0"/>
    <s v="Sewa Pinjam"/>
    <s v="SmartExplorer"/>
    <n v="3750000"/>
    <m/>
    <m/>
    <x v="3"/>
    <x v="7"/>
    <x v="10"/>
    <m/>
    <m/>
    <m/>
  </r>
  <r>
    <s v="049/BSW-DIGINUSA/MOU/VII/2022"/>
    <s v="Yayasan Pendidikan Pusaka Abadi"/>
    <s v="Tinawati Sutjiawan"/>
    <x v="157"/>
    <s v="D"/>
    <s v="Pak Wui Yung"/>
    <m/>
    <n v="3"/>
    <n v="2022"/>
    <n v="2025"/>
    <x v="0"/>
    <s v="Sewa Pinjam"/>
    <s v="Informatika Kurmer"/>
    <n v="3750000"/>
    <m/>
    <m/>
    <x v="3"/>
    <x v="7"/>
    <x v="10"/>
    <m/>
    <m/>
    <m/>
  </r>
  <r>
    <s v="049/BSW-DIGINUSA/MOU/VII/2022"/>
    <s v="Yayasan Pendidikan Pusaka Abadi"/>
    <s v="Tinawati Sutjiawan"/>
    <x v="158"/>
    <s v="D"/>
    <s v="Bu Azizah"/>
    <m/>
    <n v="3"/>
    <n v="2022"/>
    <n v="2025"/>
    <x v="0"/>
    <s v="Sewa Pinjam"/>
    <s v="ITPreneur"/>
    <n v="3750000"/>
    <m/>
    <m/>
    <x v="3"/>
    <x v="7"/>
    <x v="10"/>
    <m/>
    <m/>
    <m/>
  </r>
  <r>
    <s v="062/BSW-DIGINUSA/MOU/VIII/2023"/>
    <s v="Yay. Pend. &amp; Kesejahteraan PT PLN"/>
    <m/>
    <x v="159"/>
    <s v="D"/>
    <s v="Dra. Zubaedah"/>
    <m/>
    <n v="3"/>
    <n v="2023"/>
    <n v="2026"/>
    <x v="0"/>
    <s v="Sewa Pinjam"/>
    <s v="SmartExplorer"/>
    <n v="1500000"/>
    <m/>
    <m/>
    <x v="9"/>
    <x v="1"/>
    <x v="12"/>
    <m/>
    <m/>
    <m/>
  </r>
  <r>
    <s v="007/BSW-DIGINUSA/MOU/V/2022"/>
    <s v="Yayasan Suaka Insan Suster-Suster Santo Paulus dari Chartes"/>
    <s v="Sr. Lucia Munde, SPC"/>
    <x v="160"/>
    <s v="D"/>
    <s v="Ibu Chirstina"/>
    <m/>
    <n v="3"/>
    <n v="2022"/>
    <n v="2025"/>
    <x v="0"/>
    <s v="Lisensi"/>
    <s v="SmartTK"/>
    <n v="8050000"/>
    <m/>
    <m/>
    <x v="14"/>
    <x v="1"/>
    <x v="12"/>
    <m/>
    <m/>
    <m/>
  </r>
  <r>
    <s v="016/BSW-DIGINUSA/MOU/VI/2021"/>
    <s v="Yayasan Suaka Insan Suster-Suster Santo Paulus dari Chartes"/>
    <s v="Sr. Anna Maria, SPC"/>
    <x v="161"/>
    <s v="D"/>
    <s v="BPk Kris"/>
    <m/>
    <n v="3"/>
    <n v="2021"/>
    <n v="2024"/>
    <x v="1"/>
    <s v="Lisensi"/>
    <s v="SmartExplorer"/>
    <n v="11500"/>
    <m/>
    <m/>
    <x v="14"/>
    <x v="1"/>
    <x v="12"/>
    <n v="450"/>
    <m/>
    <m/>
  </r>
  <r>
    <s v="016/BSW-DIGINUSA/MOU/VI/2021"/>
    <s v="Yayasan Suaka Insan Suster-Suster Santo Paulus dari Chartes"/>
    <s v="Sr. Anna Maria, SPC"/>
    <x v="162"/>
    <s v="D"/>
    <s v="BPk Eddy"/>
    <m/>
    <n v="3"/>
    <n v="2021"/>
    <n v="2024"/>
    <x v="1"/>
    <s v="Lisensi"/>
    <s v="Informatika Kurmer"/>
    <n v="13000"/>
    <m/>
    <m/>
    <x v="14"/>
    <x v="1"/>
    <x v="12"/>
    <n v="240"/>
    <m/>
    <m/>
  </r>
  <r>
    <s v="043/BSW-DIGINUSA/MOU/VII/2022"/>
    <s v="Yayasan Santo Dominikus"/>
    <m/>
    <x v="163"/>
    <s v="D"/>
    <s v="Bpk Tri"/>
    <m/>
    <n v="3"/>
    <n v="2022"/>
    <n v="2025"/>
    <x v="0"/>
    <s v="Lisensi"/>
    <s v="SmartExplorer"/>
    <n v="12000"/>
    <m/>
    <m/>
    <x v="12"/>
    <x v="1"/>
    <x v="6"/>
    <n v="356"/>
    <m/>
    <m/>
  </r>
  <r>
    <s v="078/BSW-DIGINUSA/MOU/VI/2023"/>
    <s v="Pendidikan Umum Bethel"/>
    <s v="David Michael Gerungan, M.M"/>
    <x v="164"/>
    <s v="D"/>
    <s v="Isna Lasmaria"/>
    <m/>
    <n v="4"/>
    <n v="2023"/>
    <n v="2027"/>
    <x v="0"/>
    <s v="Kontrak Pengajaran"/>
    <s v="SmartTK"/>
    <n v="10000"/>
    <m/>
    <m/>
    <x v="9"/>
    <x v="9"/>
    <x v="11"/>
    <n v="18"/>
    <m/>
    <m/>
  </r>
  <r>
    <s v="078/BSW-DIGINUSA/MOU/VI/2023"/>
    <s v="Pendidikan Umum Bethel"/>
    <s v="David Michael Gerungan, M.M"/>
    <x v="165"/>
    <s v="D"/>
    <s v="Ong Erlyana Natadipraja, S.Pd"/>
    <m/>
    <n v="4"/>
    <n v="2023"/>
    <n v="2027"/>
    <x v="0"/>
    <s v="Kontrak Pengajaran"/>
    <s v="SmartExplorer"/>
    <n v="10000"/>
    <m/>
    <m/>
    <x v="9"/>
    <x v="9"/>
    <x v="11"/>
    <n v="105"/>
    <m/>
    <m/>
  </r>
  <r>
    <s v="078/BSW-DIGINUSA/MOU/VI/2023"/>
    <s v="Pendidikan Umum Bethel"/>
    <s v="David Michael Gerungan, M.M"/>
    <x v="166"/>
    <s v="D"/>
    <s v="Roswita Sitorus"/>
    <m/>
    <n v="4"/>
    <n v="2023"/>
    <n v="2027"/>
    <x v="0"/>
    <s v="Kontrak Pengajaran"/>
    <s v="FuturePro"/>
    <n v="35000"/>
    <m/>
    <m/>
    <x v="9"/>
    <x v="9"/>
    <x v="11"/>
    <m/>
    <m/>
    <m/>
  </r>
  <r>
    <s v="078/BSW-DIGINUSA/MOU/VI/2023"/>
    <s v="Pendidikan Umum Bethel"/>
    <s v="David Michael Gerungan, M.M"/>
    <x v="167"/>
    <s v="D"/>
    <s v="Ong Lyanna Natadipraja"/>
    <m/>
    <n v="4"/>
    <n v="2023"/>
    <n v="2027"/>
    <x v="0"/>
    <s v="Kontrak Pengajaran"/>
    <s v="FuturePro"/>
    <n v="35000"/>
    <m/>
    <m/>
    <x v="9"/>
    <x v="9"/>
    <x v="11"/>
    <m/>
    <m/>
    <m/>
  </r>
  <r>
    <s v="078/BSW-DIGINUSA/MOU/VI/2023"/>
    <s v="Pendidikan Umum Bethel"/>
    <s v="David Michael Gerungan, M.M"/>
    <x v="168"/>
    <s v="D"/>
    <s v="Ruspinus"/>
    <m/>
    <n v="4"/>
    <n v="2023"/>
    <n v="2027"/>
    <x v="0"/>
    <s v="Sewa Pinjam"/>
    <s v="FuturePro"/>
    <n v="35000"/>
    <m/>
    <m/>
    <x v="9"/>
    <x v="9"/>
    <x v="11"/>
    <m/>
    <m/>
    <m/>
  </r>
  <r>
    <s v="004/BSW-DIGINUSA/MOU/III/2022"/>
    <s v="Yayasan Kesejahteraan Bhakti"/>
    <s v="Umi Ambarwati"/>
    <x v="169"/>
    <s v="D"/>
    <s v="Ibu Yuli"/>
    <m/>
    <n v="3"/>
    <n v="2022"/>
    <n v="2025"/>
    <x v="0"/>
    <s v="Sewa Pinjam"/>
    <s v="SmartProgram"/>
    <n v="9400000"/>
    <m/>
    <m/>
    <x v="3"/>
    <x v="9"/>
    <x v="2"/>
    <m/>
    <m/>
    <m/>
  </r>
  <r>
    <s v="057/BSW-DIGINUSA/MOU/VII/2022"/>
    <s v="Yayasan Asti Dharma Maluku Cab. Ambon"/>
    <s v="Sr. M. Christella Hayon, PBHK"/>
    <x v="170"/>
    <s v="D"/>
    <s v="Johanna Wulur"/>
    <m/>
    <n v="3"/>
    <n v="2022"/>
    <n v="2025"/>
    <x v="0"/>
    <s v="Sewa Beli"/>
    <s v="SmartTK"/>
    <s v="Iuran siswa/bulan total Rp1.125.000_x000a_Angsuran komputer Juni 2024 Rp15.000.000"/>
    <m/>
    <m/>
    <x v="10"/>
    <x v="9"/>
    <x v="5"/>
    <m/>
    <m/>
    <m/>
  </r>
  <r>
    <s v="021/BSW-DIGINUSA/MOU/V/2022"/>
    <s v="Yayasan Pendidikan Sekolah Permata Monika"/>
    <s v="Yeroham Febrianto"/>
    <x v="171"/>
    <s v="D"/>
    <s v="Retno Pancasilawati"/>
    <m/>
    <n v="3"/>
    <n v="2022"/>
    <n v="2025"/>
    <x v="0"/>
    <s v="Lisensi"/>
    <s v="SmartTK"/>
    <n v="15000"/>
    <m/>
    <m/>
    <x v="10"/>
    <x v="2"/>
    <x v="14"/>
    <m/>
    <m/>
    <m/>
  </r>
  <r>
    <s v="021/BSW-DIGINUSA/MOU/V/2022"/>
    <s v="Yayasan Pendidikan Sekolah Permata Monika"/>
    <s v="Yeroham Febrianto"/>
    <x v="172"/>
    <s v="D"/>
    <s v="Martini"/>
    <m/>
    <n v="3"/>
    <n v="2022"/>
    <n v="2025"/>
    <x v="0"/>
    <s v="Lisensi"/>
    <s v="SmartProgram"/>
    <n v="15000"/>
    <m/>
    <m/>
    <x v="10"/>
    <x v="2"/>
    <x v="14"/>
    <n v="128"/>
    <m/>
    <m/>
  </r>
  <r>
    <s v="028/BSW-DIGINUSA/MOU/VI/2022"/>
    <s v="Yayasan Harapan Tritunggal"/>
    <s v="Frida Lusia Kumambong"/>
    <x v="173"/>
    <s v="D"/>
    <s v="Budi Hartini"/>
    <m/>
    <n v="3"/>
    <n v="2022"/>
    <n v="2025"/>
    <x v="0"/>
    <s v="Lisensi"/>
    <s v="SEIS"/>
    <n v="35000"/>
    <m/>
    <n v="35000"/>
    <x v="15"/>
    <x v="2"/>
    <x v="2"/>
    <n v="114"/>
    <m/>
    <m/>
  </r>
  <r>
    <s v="034/BSW-DIGINUSA/MOU/VII/2021"/>
    <s v="Yayasan Nurul Falah Islamic Education Center"/>
    <s v="Hj. Mutia Lismar, S.Pd"/>
    <x v="174"/>
    <s v="D"/>
    <s v="Sabenih"/>
    <m/>
    <n v="3"/>
    <n v="2021"/>
    <n v="2024"/>
    <x v="1"/>
    <s v="Lisensi"/>
    <s v="SmartTK"/>
    <s v="TAB 22/23 Rp7.000_x000a_TAB 23/24 Rp8.000"/>
    <m/>
    <m/>
    <x v="10"/>
    <x v="2"/>
    <x v="12"/>
    <n v="20"/>
    <m/>
    <m/>
  </r>
  <r>
    <s v="029/BSW-DIGINUSA/MOU/VII/2021"/>
    <s v="Yayasan Paskalis Jakarta"/>
    <s v="Rm. Thomas Ferry Suharto, OFM"/>
    <x v="175"/>
    <s v="D"/>
    <s v="Maria Rosalina"/>
    <m/>
    <n v="3"/>
    <n v="2021"/>
    <n v="2024"/>
    <x v="1"/>
    <s v="Lisensi"/>
    <s v="SmartProgram"/>
    <n v="8000"/>
    <m/>
    <m/>
    <x v="10"/>
    <x v="2"/>
    <x v="14"/>
    <n v="102"/>
    <m/>
    <m/>
  </r>
  <r>
    <s v="029/BSW-DIGINUSA/MOU/VII/2021"/>
    <s v="Yayasan Paskalis Jakarta"/>
    <s v="Rm. Thomas Ferry Suharto, OFM"/>
    <x v="176"/>
    <s v="D"/>
    <s v="Maria Dwi Lestari"/>
    <m/>
    <n v="3"/>
    <n v="2021"/>
    <n v="2024"/>
    <x v="1"/>
    <s v="Lisensi"/>
    <s v="SmartProgram"/>
    <n v="8000"/>
    <m/>
    <m/>
    <x v="10"/>
    <x v="2"/>
    <x v="14"/>
    <n v="244"/>
    <m/>
    <m/>
  </r>
  <r>
    <s v="029/BSW-DIGINUSA/MOU/VII/2022"/>
    <s v="Yayasan Pendidikan Wisandya"/>
    <s v="Petrus Widyatmoko"/>
    <x v="177"/>
    <s v="D"/>
    <s v="Ibu Nuriti, S.Pd,.   "/>
    <m/>
    <n v="3"/>
    <n v="2022"/>
    <n v="2025"/>
    <x v="0"/>
    <s v="Kontrak Pengajaran"/>
    <s v="SmartExplorer"/>
    <n v="22000"/>
    <m/>
    <s v="LKS Smart Program Rp20.000 &amp; LKS FuturePro Rp25.000"/>
    <x v="10"/>
    <x v="2"/>
    <x v="14"/>
    <n v="239"/>
    <m/>
    <m/>
  </r>
  <r>
    <s v="029/BSW-DIGINUSA/MOU/VII/2022"/>
    <s v="Yayasan Pendidikan Wisandya"/>
    <s v="Petrus Widyatmoko"/>
    <x v="178"/>
    <s v="D"/>
    <s v="Drs. Sutriyadi, SH, MM"/>
    <m/>
    <n v="3"/>
    <n v="2022"/>
    <n v="2025"/>
    <x v="0"/>
    <s v="Kontrak Pengajaran"/>
    <s v="Informatika Kurmer"/>
    <n v="22000"/>
    <m/>
    <s v="LKS Smart Program Rp20.000 &amp; LKS FuturePro Rp25.001"/>
    <x v="10"/>
    <x v="2"/>
    <x v="14"/>
    <n v="124"/>
    <m/>
    <m/>
  </r>
  <r>
    <s v="078/BSW-DIGINUSA/MOU/VIII/2022"/>
    <s v="Spring Garden School"/>
    <m/>
    <x v="179"/>
    <s v="D"/>
    <s v="Linda Tedjo Rachmawati"/>
    <m/>
    <n v="2"/>
    <n v="2022"/>
    <n v="2024"/>
    <x v="1"/>
    <s v="Kontrak Pengajaran"/>
    <s v="SmartExplorer"/>
    <n v="25500"/>
    <m/>
    <n v="27000"/>
    <x v="3"/>
    <x v="2"/>
    <x v="12"/>
    <n v="167"/>
    <m/>
    <m/>
  </r>
  <r>
    <s v="078/BSW-DIGINUSA/MOU/VIII/2022"/>
    <s v="Spring Garden School"/>
    <m/>
    <x v="180"/>
    <s v="D"/>
    <s v="Nelly Betaria Manurung"/>
    <m/>
    <n v="2"/>
    <n v="2022"/>
    <n v="2024"/>
    <x v="1"/>
    <s v="Kontrak Pengajaran"/>
    <s v="ITPreneur"/>
    <n v="25500"/>
    <m/>
    <n v="27000"/>
    <x v="3"/>
    <x v="2"/>
    <x v="12"/>
    <n v="92"/>
    <m/>
    <m/>
  </r>
  <r>
    <s v="089/MK-BSW/MOU/VI/2018"/>
    <s v="Yayasan Fioretti"/>
    <s v="Sr. Alfonsa Simbolon, SFD"/>
    <x v="181"/>
    <s v="D"/>
    <s v="Lubertus Agung S.Fil"/>
    <m/>
    <m/>
    <n v="2018"/>
    <n v="2023"/>
    <x v="1"/>
    <s v="Sewa Beli"/>
    <s v="SmartExplorer"/>
    <n v="25000"/>
    <m/>
    <n v="30000"/>
    <x v="8"/>
    <x v="2"/>
    <x v="0"/>
    <m/>
    <m/>
    <m/>
  </r>
  <r>
    <s v="010/BSW-DIGINUSA/ADD/VII/2022"/>
    <s v="Yayasan Fioretti"/>
    <s v="Sr. Alfonsa Simbolon, SFD"/>
    <x v="181"/>
    <m/>
    <m/>
    <m/>
    <n v="5"/>
    <n v="2018"/>
    <n v="2023"/>
    <x v="1"/>
    <s v="Sewa Beli"/>
    <m/>
    <m/>
    <m/>
    <m/>
    <x v="7"/>
    <x v="2"/>
    <x v="0"/>
    <m/>
    <m/>
    <m/>
  </r>
  <r>
    <s v="089/MK-BSW/MOU/VI/2018"/>
    <s v="Yayasan Fioretti"/>
    <s v="Sr. Alfonsa Simbolon, SFD"/>
    <x v="182"/>
    <s v="D"/>
    <s v="Linoris Silalahi"/>
    <m/>
    <m/>
    <n v="2018"/>
    <n v="2023"/>
    <x v="1"/>
    <s v="Sewa Beli"/>
    <s v="ITPreneur"/>
    <n v="23000"/>
    <m/>
    <n v="30000"/>
    <x v="8"/>
    <x v="2"/>
    <x v="0"/>
    <m/>
    <m/>
    <m/>
  </r>
  <r>
    <s v="011/BSW-DIGINUSA/ADD/VII/2022"/>
    <s v="Yayasan Fioretti"/>
    <s v="Sr. Alfonsa Simbolon, SFD"/>
    <x v="182"/>
    <m/>
    <m/>
    <m/>
    <n v="5"/>
    <n v="2018"/>
    <n v="2023"/>
    <x v="1"/>
    <s v="Sewa Beli"/>
    <m/>
    <m/>
    <m/>
    <m/>
    <x v="7"/>
    <x v="2"/>
    <x v="0"/>
    <m/>
    <m/>
    <m/>
  </r>
  <r>
    <s v="028/BSW-DIGINUSA/MOU/VII/2021"/>
    <s v="Yayasan Pendidikan Santo Bellarminus"/>
    <s v="Sr. Alfonsa Simbolon, SFD"/>
    <x v="183"/>
    <s v="D"/>
    <s v="Damasus Nowo Krist Prasetyo"/>
    <m/>
    <n v="3"/>
    <n v="2021"/>
    <n v="2024"/>
    <x v="1"/>
    <s v="Lisensi"/>
    <s v="SmartExplorer"/>
    <n v="7000"/>
    <m/>
    <m/>
    <x v="10"/>
    <x v="2"/>
    <x v="6"/>
    <n v="430"/>
    <m/>
    <m/>
  </r>
  <r>
    <s v="028/BSW-DIGINUSA/MOU/VII/2021"/>
    <s v="Yayasan Pendidikan Santo Bellarminus"/>
    <s v="Sr. Alfonsa Simbolon, SFD"/>
    <x v="184"/>
    <s v="D"/>
    <s v="FX. Riyadi"/>
    <m/>
    <n v="3"/>
    <n v="2021"/>
    <n v="2024"/>
    <x v="1"/>
    <s v="Lisensi"/>
    <s v="ITPreneur"/>
    <n v="10000"/>
    <m/>
    <m/>
    <x v="10"/>
    <x v="2"/>
    <x v="6"/>
    <n v="177"/>
    <m/>
    <m/>
  </r>
  <r>
    <s v="028/BSW-DIGINUSA/MOU/VII/2021"/>
    <s v="Yayasan Pendidikan Santo Bellarminus"/>
    <s v="Sr. Alfonsa Simbolon, SFD"/>
    <x v="185"/>
    <s v="D"/>
    <s v="Petrus Yuli Susanto"/>
    <m/>
    <n v="3"/>
    <n v="2021"/>
    <n v="2024"/>
    <x v="1"/>
    <s v="Lisensi"/>
    <s v="ITPreneur"/>
    <n v="10000"/>
    <m/>
    <m/>
    <x v="10"/>
    <x v="2"/>
    <x v="6"/>
    <n v="120"/>
    <m/>
    <m/>
  </r>
  <r>
    <s v="039/BSW-DIGINUSA/MOU/V/2019"/>
    <s v="Yayasan Lembaga Miryam"/>
    <s v="Sr. Elisa, HK"/>
    <x v="186"/>
    <s v="D"/>
    <s v="Paustinus Edi Kristanto "/>
    <m/>
    <n v="0"/>
    <m/>
    <m/>
    <x v="2"/>
    <s v="Lisensi"/>
    <s v="Informatika Kurmer"/>
    <m/>
    <m/>
    <m/>
    <x v="17"/>
    <x v="10"/>
    <x v="5"/>
    <m/>
    <m/>
    <m/>
  </r>
  <r>
    <s v="013/BSW-DIGINUSA/MOU/V/2023"/>
    <s v="Yayasan Panti Asuhan Katolik"/>
    <s v="Veronica Tri Hartini, S.E., M.M."/>
    <x v="187"/>
    <s v="D"/>
    <s v="Raymundus Nonnatus Muklis Wiratmo"/>
    <m/>
    <n v="4"/>
    <n v="2023"/>
    <n v="2027"/>
    <x v="0"/>
    <s v="Sewa Beli"/>
    <s v="SmartTK"/>
    <s v="Juli 2023 - Sept 2024 Rp8.025.000 (Tunggakan TK &amp; SD)_x000a_TK Okt 2024-Sept 2027 Rp25.000"/>
    <m/>
    <m/>
    <x v="12"/>
    <x v="2"/>
    <x v="4"/>
    <n v="50"/>
    <m/>
    <m/>
  </r>
  <r>
    <s v="026/BSW-DIGINUSA/ADD/VII/2022"/>
    <s v="Yayasan Panti Asuhan Katolik"/>
    <s v="Veronica Tri Hartini, S.E., M.M."/>
    <x v="187"/>
    <m/>
    <m/>
    <m/>
    <m/>
    <n v="2018"/>
    <n v="2024"/>
    <x v="2"/>
    <s v="Sewa Beli"/>
    <m/>
    <m/>
    <m/>
    <m/>
    <x v="7"/>
    <x v="2"/>
    <x v="4"/>
    <m/>
    <m/>
    <m/>
  </r>
  <r>
    <s v="013/BSW-DIGINUSA/MOU/V/2023"/>
    <s v="Yayasan Panti Asuhan Katolik"/>
    <s v="Veronica Tri Hartini, S.E., M.M."/>
    <x v="188"/>
    <s v="D"/>
    <s v="Endarwati, S.pd, M.pd"/>
    <m/>
    <n v="4"/>
    <n v="2023"/>
    <n v="2027"/>
    <x v="0"/>
    <s v="Sewa Beli"/>
    <s v="SmartExplorer"/>
    <s v="Juli 2023 - Sept 2024 Rp8.025.000 (Tunggakan TK &amp; SD)_x000a_SD Okt 2024-Sept 2027 Rp27.000"/>
    <m/>
    <m/>
    <x v="12"/>
    <x v="2"/>
    <x v="4"/>
    <n v="264"/>
    <m/>
    <m/>
  </r>
  <r>
    <s v="026/BSW-DIGINUSA/ADD/VII/2022"/>
    <s v="Yayasan Panti Asuhan Katolik"/>
    <s v="Veronica Tri Hartini, S.E., M.M."/>
    <x v="188"/>
    <m/>
    <m/>
    <m/>
    <m/>
    <n v="2018"/>
    <n v="2024"/>
    <x v="2"/>
    <s v="Sewa Beli"/>
    <m/>
    <m/>
    <m/>
    <m/>
    <x v="7"/>
    <x v="2"/>
    <x v="4"/>
    <m/>
    <m/>
    <m/>
  </r>
  <r>
    <s v="002/BSW-DIGINUSA/MOU/I/2020"/>
    <s v="Yayasan Panti Asuhan Katolik"/>
    <s v="Veronica Tri Hartini, S.E., M.M."/>
    <x v="189"/>
    <s v="D"/>
    <s v="Vincentius Suroto"/>
    <m/>
    <n v="5"/>
    <n v="2020"/>
    <n v="2025"/>
    <x v="0"/>
    <s v="Sewa Beli"/>
    <m/>
    <n v="30000"/>
    <m/>
    <n v="30000"/>
    <x v="12"/>
    <x v="2"/>
    <x v="4"/>
    <n v="390"/>
    <m/>
    <m/>
  </r>
  <r>
    <s v="016/BSW-DIGINUSA/ADD/VII/2022"/>
    <s v="Yayasan Panti Asuhan Katolik"/>
    <s v="Veronica Tri Hartini, S.E., M.M."/>
    <x v="189"/>
    <m/>
    <m/>
    <m/>
    <m/>
    <n v="2020"/>
    <n v="2025"/>
    <x v="2"/>
    <s v="Sewa Beli"/>
    <m/>
    <m/>
    <m/>
    <m/>
    <x v="7"/>
    <x v="2"/>
    <x v="4"/>
    <m/>
    <m/>
    <m/>
  </r>
  <r>
    <s v="002/BSW-DIGINUSA/MOU/I/2020"/>
    <s v="Yayasan Panti Asuhan Katolik"/>
    <s v="Veronica Tri Hartini, S.E., M.M."/>
    <x v="190"/>
    <s v="D"/>
    <s v="Herybertus Priya Sulistya"/>
    <m/>
    <n v="5"/>
    <n v="2020"/>
    <n v="2025"/>
    <x v="0"/>
    <s v="Sewa Beli"/>
    <m/>
    <n v="30000"/>
    <m/>
    <n v="30000"/>
    <x v="12"/>
    <x v="2"/>
    <x v="4"/>
    <n v="240"/>
    <m/>
    <m/>
  </r>
  <r>
    <s v="016/BSW-DIGINUSA/ADD/VII/2022"/>
    <s v="Yayasan Panti Asuhan Katolik"/>
    <s v="Veronica Tri Hartini, S.E., M.M."/>
    <x v="190"/>
    <m/>
    <m/>
    <m/>
    <m/>
    <n v="2020"/>
    <n v="2025"/>
    <x v="2"/>
    <s v="Sewa Beli"/>
    <m/>
    <m/>
    <m/>
    <m/>
    <x v="7"/>
    <x v="2"/>
    <x v="4"/>
    <m/>
    <m/>
    <m/>
  </r>
  <r>
    <s v="003/BSW-DIGINUSA/MOU/I/2020"/>
    <s v="Yayasan Pendidikan Semeru Soemadhiharga"/>
    <s v="R.E. Sugiandhina"/>
    <x v="191"/>
    <s v="D"/>
    <s v="Sri Suryati"/>
    <m/>
    <n v="5"/>
    <n v="2020"/>
    <n v="2025"/>
    <x v="0"/>
    <s v="Sewa Beli"/>
    <s v="SmartExplorer"/>
    <n v="26500"/>
    <m/>
    <n v="25000"/>
    <x v="8"/>
    <x v="2"/>
    <x v="14"/>
    <m/>
    <m/>
    <m/>
  </r>
  <r>
    <s v="017/BSW-DIGINUSA/ADD/VII/2022"/>
    <s v="Yayasan Pendidikan Semeru Soemadhiharga"/>
    <s v="R.E. Sugiandhina"/>
    <x v="191"/>
    <m/>
    <s v="Sri Suryati"/>
    <m/>
    <m/>
    <n v="2020"/>
    <n v="2025"/>
    <x v="2"/>
    <s v="Sewa Beli"/>
    <s v="SmartExplorer"/>
    <n v="26500"/>
    <m/>
    <n v="25000"/>
    <x v="7"/>
    <x v="2"/>
    <x v="14"/>
    <m/>
    <m/>
    <m/>
  </r>
  <r>
    <s v="003/BSW-DIGINUSA/MOU/I/2020"/>
    <s v="Yayasan Pendidikan Semeru Soemadhiharga"/>
    <s v="R.E. Sugiandhina"/>
    <x v="192"/>
    <s v="D"/>
    <s v="Betsy Vernoleta"/>
    <m/>
    <n v="5"/>
    <n v="2020"/>
    <n v="2025"/>
    <x v="0"/>
    <s v="Sewa Beli"/>
    <s v="ITPreneur"/>
    <n v="26500"/>
    <m/>
    <n v="25000"/>
    <x v="8"/>
    <x v="2"/>
    <x v="14"/>
    <n v="126"/>
    <m/>
    <m/>
  </r>
  <r>
    <s v="017/BSW-DIGINUSA/ADD/VII/2022"/>
    <s v="Yayasan Pendidikan Semeru Soemadhiharga"/>
    <s v="R.E. Sugiandhina"/>
    <x v="192"/>
    <m/>
    <s v="Betsy Vernoleta"/>
    <m/>
    <m/>
    <n v="2020"/>
    <n v="2025"/>
    <x v="2"/>
    <s v="Sewa Beli"/>
    <s v="ITPreneur"/>
    <n v="26500"/>
    <m/>
    <n v="25000"/>
    <x v="7"/>
    <x v="2"/>
    <x v="14"/>
    <m/>
    <m/>
    <m/>
  </r>
  <r>
    <s v="048/BSW-DIGINUSA/MOU/VII/2022"/>
    <s v="Yayasan Baptis Elim"/>
    <s v="Yusuf Suryo Darmanto"/>
    <x v="193"/>
    <s v="D"/>
    <s v="Diana Kurniawati"/>
    <m/>
    <n v="3"/>
    <n v="2022"/>
    <n v="2025"/>
    <x v="0"/>
    <s v="Kontrak Pengajaran"/>
    <s v="SmartTK"/>
    <n v="50000"/>
    <m/>
    <m/>
    <x v="4"/>
    <x v="2"/>
    <x v="10"/>
    <n v="30"/>
    <m/>
    <m/>
  </r>
  <r>
    <s v="048/BSW-DIGINUSA/MOU/VII/2022"/>
    <s v="Yayasan Baptis Elim"/>
    <s v="Yusuf Suryo Darmanto"/>
    <x v="194"/>
    <s v="D"/>
    <s v="Nunuk Tri Lestari"/>
    <m/>
    <n v="3"/>
    <n v="2022"/>
    <n v="2025"/>
    <x v="0"/>
    <s v="Kontrak Pengajaran"/>
    <s v="SmartExplorer"/>
    <n v="50000"/>
    <m/>
    <m/>
    <x v="4"/>
    <x v="2"/>
    <x v="10"/>
    <n v="94"/>
    <m/>
    <m/>
  </r>
  <r>
    <s v="048/BSW-DIGINUSA/MOU/VII/2022"/>
    <s v="Yayasan Baptis Elim"/>
    <s v="Yusuf Suryo Darmanto"/>
    <x v="195"/>
    <s v="D"/>
    <s v="Sri Wahyuningsih"/>
    <m/>
    <n v="3"/>
    <n v="2022"/>
    <n v="2025"/>
    <x v="0"/>
    <s v="Kontrak Pengajaran"/>
    <s v="Informatika Kurmer"/>
    <n v="50000"/>
    <m/>
    <m/>
    <x v="4"/>
    <x v="2"/>
    <x v="10"/>
    <n v="52"/>
    <m/>
    <m/>
  </r>
  <r>
    <s v="064/BSW-DIGINUSA/MOU/VIII/2022"/>
    <s v="Almasih Christian School"/>
    <s v="Ibu Grace"/>
    <x v="196"/>
    <s v="D"/>
    <m/>
    <m/>
    <n v="3"/>
    <n v="2022"/>
    <n v="2025"/>
    <x v="0"/>
    <s v="Lisensi"/>
    <s v="SmartTK"/>
    <n v="30000"/>
    <m/>
    <m/>
    <x v="2"/>
    <x v="8"/>
    <x v="10"/>
    <n v="24"/>
    <m/>
    <m/>
  </r>
  <r>
    <s v="064/BSW-DIGINUSA/MOU/VIII/2022"/>
    <s v="Almasih Christian School"/>
    <s v="Ibu Grace"/>
    <x v="197"/>
    <s v="D"/>
    <m/>
    <m/>
    <n v="3"/>
    <n v="2022"/>
    <n v="2025"/>
    <x v="0"/>
    <s v="Lisensi"/>
    <s v="SmartExplorer"/>
    <n v="30000"/>
    <m/>
    <m/>
    <x v="2"/>
    <x v="8"/>
    <x v="10"/>
    <n v="93"/>
    <m/>
    <m/>
  </r>
  <r>
    <s v="064/BSW-DIGINUSA/MOU/VIII/2022"/>
    <s v="Almasih Christian School"/>
    <s v="Ibu Grace"/>
    <x v="198"/>
    <s v="D"/>
    <m/>
    <m/>
    <n v="3"/>
    <n v="2022"/>
    <n v="2025"/>
    <x v="0"/>
    <s v="Lisensi"/>
    <s v="ITPreneur"/>
    <n v="30000"/>
    <m/>
    <m/>
    <x v="2"/>
    <x v="8"/>
    <x v="10"/>
    <n v="66"/>
    <m/>
    <m/>
  </r>
  <r>
    <s v="064/BSW-DIGINUSA/MOU/VIII/2022"/>
    <s v="Almasih Christian School"/>
    <s v="Ibu Grace"/>
    <x v="199"/>
    <s v="D"/>
    <m/>
    <m/>
    <n v="3"/>
    <n v="2022"/>
    <n v="2025"/>
    <x v="0"/>
    <s v="Lisensi"/>
    <s v="ITPreneur"/>
    <n v="30000"/>
    <m/>
    <m/>
    <x v="2"/>
    <x v="8"/>
    <x v="10"/>
    <n v="40"/>
    <m/>
    <m/>
  </r>
  <r>
    <s v="067/BSW-DIGINUSA/MOU/VIII/2022"/>
    <s v="Yayasan Sakyamuni"/>
    <m/>
    <x v="200"/>
    <s v="D"/>
    <s v="Marmimi "/>
    <m/>
    <n v="3"/>
    <n v="2022"/>
    <n v="2025"/>
    <x v="0"/>
    <s v="Lisensi"/>
    <s v="SmartTK"/>
    <n v="2400000"/>
    <m/>
    <m/>
    <x v="10"/>
    <x v="2"/>
    <x v="12"/>
    <m/>
    <m/>
    <m/>
  </r>
  <r>
    <s v="067/BSW-DIGINUSA/MOU/VIII/2022"/>
    <s v="Yayasan Sakyamuni"/>
    <m/>
    <x v="201"/>
    <s v="D"/>
    <s v="Tusin"/>
    <m/>
    <n v="3"/>
    <n v="2022"/>
    <n v="2025"/>
    <x v="0"/>
    <s v="Lisensi"/>
    <s v="SmartExplorer"/>
    <n v="2400000"/>
    <m/>
    <m/>
    <x v="10"/>
    <x v="2"/>
    <x v="12"/>
    <m/>
    <m/>
    <m/>
  </r>
  <r>
    <s v="071/BSW-DIGINUSA/MOU/VIII/2022"/>
    <s v="Yayasan BPK Penabur Metro"/>
    <s v="dr. Alexander K Ruslim, Sp.PK"/>
    <x v="202"/>
    <s v="D"/>
    <s v="Yohana Kalvarita "/>
    <m/>
    <n v="3"/>
    <n v="2022"/>
    <n v="2025"/>
    <x v="0"/>
    <m/>
    <m/>
    <n v="12000"/>
    <m/>
    <m/>
    <x v="17"/>
    <x v="2"/>
    <x v="13"/>
    <m/>
    <m/>
    <m/>
  </r>
  <r>
    <s v="071/BSW-DIGINUSA/MOU/VIII/2022"/>
    <s v="Yayasan BPK Penabur Metro"/>
    <s v="dr. Alexander K Ruslim, Sp.PK"/>
    <x v="203"/>
    <s v="D"/>
    <s v="Vincentia Hariyati"/>
    <m/>
    <n v="3"/>
    <n v="2022"/>
    <n v="2025"/>
    <x v="0"/>
    <m/>
    <m/>
    <n v="12000"/>
    <m/>
    <m/>
    <x v="17"/>
    <x v="2"/>
    <x v="13"/>
    <m/>
    <m/>
    <m/>
  </r>
  <r>
    <s v="039/BSW-DIGINUSA/MOU/VII/2022"/>
    <m/>
    <m/>
    <x v="204"/>
    <s v="D"/>
    <s v="FX Oktaf Laudensius"/>
    <m/>
    <n v="3"/>
    <n v="2022"/>
    <n v="2025"/>
    <x v="0"/>
    <s v="Kontrak Pengajaran"/>
    <s v="SmartExplorer"/>
    <s v="Rp20.000 x Jumlah Siswa_x000a_Rp10.000 x 30 Siswa"/>
    <m/>
    <m/>
    <x v="12"/>
    <x v="2"/>
    <x v="6"/>
    <n v="435"/>
    <m/>
    <m/>
  </r>
  <r>
    <s v="024/BSW-DIGINUSA/MOU/VI/2023"/>
    <s v="Yayasan St. Agatha"/>
    <s v="K.S. Tjeni (Bendahara Yayasan)"/>
    <x v="205"/>
    <s v="D"/>
    <s v="Andri Widi Susanti"/>
    <m/>
    <n v="2"/>
    <n v="2023"/>
    <n v="2025"/>
    <x v="0"/>
    <s v="Lisensi"/>
    <s v="Informatika"/>
    <n v="17000"/>
    <m/>
    <s v="LKS Smart Explorer Rp25.000_x000a_LKS Informatika Rp30.000"/>
    <x v="15"/>
    <x v="5"/>
    <x v="14"/>
    <m/>
    <m/>
    <m/>
  </r>
  <r>
    <s v="040/BSW-DIGINUSA/MOU/VII/2023"/>
    <s v="Yayasan Melania Jkt"/>
    <s v="Suhartini S W, S.E."/>
    <x v="206"/>
    <s v="D"/>
    <s v="Ferianty Elizabeth T"/>
    <m/>
    <n v="1"/>
    <n v="2023"/>
    <n v="2024"/>
    <x v="1"/>
    <s v="Sewa Pinjam"/>
    <s v="SmartProgram"/>
    <n v="1666666.6666666667"/>
    <m/>
    <m/>
    <x v="15"/>
    <x v="5"/>
    <x v="10"/>
    <m/>
    <m/>
    <m/>
  </r>
  <r>
    <s v="040/BSW-DIGINUSA/MOU/VII/2023"/>
    <s v="Yayasan Melania Jkt"/>
    <s v="Suhartini S W, S.E."/>
    <x v="207"/>
    <s v="D"/>
    <s v="Flora Masta Sinaga"/>
    <m/>
    <n v="1"/>
    <n v="2023"/>
    <n v="2024"/>
    <x v="1"/>
    <s v="Sewa Pinjam"/>
    <s v="Informatika Kurmer"/>
    <n v="1666666.6666666667"/>
    <m/>
    <m/>
    <x v="15"/>
    <x v="5"/>
    <x v="10"/>
    <m/>
    <m/>
    <m/>
  </r>
  <r>
    <s v="040/BSW-DIGINUSA/MOU/VII/2023"/>
    <s v="Yayasan Melania Jkt"/>
    <s v="Suhartini S W, S.E."/>
    <x v="208"/>
    <s v="D"/>
    <s v="Pak Ari"/>
    <m/>
    <n v="1"/>
    <n v="2023"/>
    <n v="2024"/>
    <x v="1"/>
    <s v="Sewa Pinjam"/>
    <s v="FuturePro"/>
    <n v="1666666.6666666667"/>
    <m/>
    <m/>
    <x v="15"/>
    <x v="5"/>
    <x v="10"/>
    <m/>
    <m/>
    <m/>
  </r>
  <r>
    <s v="040/BSW-DIGINUSA/MOU/VII/2023"/>
    <s v="Yayasan Melania Jkt"/>
    <s v="Suhartini S W, S.E."/>
    <x v="209"/>
    <s v="D"/>
    <s v="Ibu Ceacilia"/>
    <m/>
    <n v="1"/>
    <n v="2023"/>
    <n v="2024"/>
    <x v="1"/>
    <s v="Sewa Pinjam"/>
    <s v="SmartTK"/>
    <n v="1666666.6666666667"/>
    <m/>
    <m/>
    <x v="15"/>
    <x v="5"/>
    <x v="10"/>
    <m/>
    <m/>
    <m/>
  </r>
  <r>
    <s v="040/BSW-DIGINUSA/MOU/VII/2023"/>
    <s v="Yayasan Melania Jkt"/>
    <s v="Suhartini S W, S.E."/>
    <x v="210"/>
    <s v="D"/>
    <s v="Pak Nandus"/>
    <m/>
    <n v="1"/>
    <n v="2023"/>
    <n v="2024"/>
    <x v="1"/>
    <s v="Sewa Pinjam"/>
    <s v="SmartProgram"/>
    <n v="1666666.6666666667"/>
    <m/>
    <m/>
    <x v="15"/>
    <x v="5"/>
    <x v="10"/>
    <m/>
    <m/>
    <m/>
  </r>
  <r>
    <s v="040/BSW-DIGINUSA/MOU/VII/2023"/>
    <s v="Yayasan Melania Jkt"/>
    <s v="Suhartini S W, S.E."/>
    <x v="211"/>
    <s v="D"/>
    <s v="Ayu Pebrina Dewi Setyorini "/>
    <m/>
    <n v="1"/>
    <n v="2023"/>
    <n v="2024"/>
    <x v="1"/>
    <s v="Sewa Pinjam"/>
    <s v="Informatika Kurmer"/>
    <n v="1666666.6666666667"/>
    <m/>
    <m/>
    <x v="15"/>
    <x v="5"/>
    <x v="10"/>
    <m/>
    <m/>
    <m/>
  </r>
  <r>
    <s v="005/BSW-DIGINUSA/MOU/III/2021"/>
    <s v="Yayasan Widya Maria"/>
    <s v="Drs. H. Y. Dite Haryoko"/>
    <x v="212"/>
    <s v="D"/>
    <s v="Antonia Tumijah"/>
    <m/>
    <n v="3"/>
    <n v="2021"/>
    <n v="2024"/>
    <x v="1"/>
    <s v="Lisensi"/>
    <s v="SmartTK"/>
    <n v="12000"/>
    <m/>
    <m/>
    <x v="17"/>
    <x v="5"/>
    <x v="14"/>
    <n v="21"/>
    <m/>
    <m/>
  </r>
  <r>
    <s v="005/BSW-DIGINUSA/MOU/III/2021"/>
    <s v="Yayasan Widya Maria"/>
    <s v="Drs. H. Y. Dite Haryoko"/>
    <x v="213"/>
    <s v="D"/>
    <s v="Laurensia Abong"/>
    <m/>
    <n v="3"/>
    <n v="2021"/>
    <n v="2024"/>
    <x v="1"/>
    <s v="Lisensi"/>
    <s v="SmartProgram"/>
    <n v="12000"/>
    <m/>
    <m/>
    <x v="17"/>
    <x v="5"/>
    <x v="14"/>
    <n v="171"/>
    <m/>
    <m/>
  </r>
  <r>
    <s v="005/BSW-DIGINUSA/MOU/III/2021"/>
    <s v="Yayasan Widya Maria"/>
    <s v="Drs. H. Y. Dite Haryoko"/>
    <x v="214"/>
    <s v="D"/>
    <s v="Eva Rimna Sinulingga"/>
    <m/>
    <n v="3"/>
    <n v="2021"/>
    <n v="2024"/>
    <x v="1"/>
    <s v="Lisensi"/>
    <s v="Informatika Kurmer"/>
    <n v="12000"/>
    <m/>
    <m/>
    <x v="17"/>
    <x v="5"/>
    <x v="14"/>
    <n v="129"/>
    <m/>
    <m/>
  </r>
  <r>
    <s v="058/BSW-DIGINUSA/MOU/VII/2022"/>
    <s v="PT Bina Cahaya Abadi"/>
    <s v="Tini, S.Si, APt"/>
    <x v="215"/>
    <s v="D"/>
    <s v="Bu Dra Sriyati"/>
    <m/>
    <n v="3"/>
    <n v="2022"/>
    <n v="2025"/>
    <x v="0"/>
    <s v="Lisensi"/>
    <s v="SEIS"/>
    <s v="Rinician:_x000a_Tunggakan Rp1.645.00_x000a_Lisensi Rp2.400.000_x000a_Yang dibayarkan Rp4.045.000"/>
    <m/>
    <m/>
    <x v="14"/>
    <x v="5"/>
    <x v="6"/>
    <m/>
    <m/>
    <m/>
  </r>
  <r>
    <s v="029/BSW-DIGINUSA/MOU/VI/2023"/>
    <s v="Yayasan Lembaga Miryam"/>
    <s v="Sr. Elisa, HK"/>
    <x v="216"/>
    <s v="D"/>
    <s v="Sr. Modesta, HK"/>
    <m/>
    <n v="1"/>
    <n v="2023"/>
    <n v="2024"/>
    <x v="1"/>
    <s v="Kontrak Pengajaran"/>
    <s v="SmartExplorer &amp; Informatika"/>
    <n v="9000"/>
    <m/>
    <s v="LKS Smart Explorer Rp25.000_x000a_LKS Informatika Rp25.000"/>
    <x v="18"/>
    <x v="5"/>
    <x v="14"/>
    <n v="825"/>
    <m/>
    <m/>
  </r>
  <r>
    <s v="074/BSW-DIGINUSA/MOU/VIII/2022"/>
    <s v="Yayasan Lembaga Miryam"/>
    <m/>
    <x v="217"/>
    <s v="D"/>
    <s v="Sr. Marcella Sumarsih, HK. S.Pd."/>
    <m/>
    <n v="1"/>
    <n v="2022"/>
    <n v="2023"/>
    <x v="1"/>
    <m/>
    <s v="ITPreneur"/>
    <n v="15000"/>
    <m/>
    <n v="24000"/>
    <x v="17"/>
    <x v="5"/>
    <x v="5"/>
    <m/>
    <m/>
    <m/>
  </r>
  <r>
    <s v="044/BSW-DIGINUSA/MOU/VII/2022"/>
    <s v="Sekolah Taruna Bangsa"/>
    <s v="Ling Ling Dewi Muniarti, S.E."/>
    <x v="218"/>
    <s v="D"/>
    <s v="Nur Aliyah, S.Pd.SD"/>
    <m/>
    <n v="3"/>
    <n v="2022"/>
    <n v="2025"/>
    <x v="0"/>
    <s v="Lisensi"/>
    <s v="SmartTK"/>
    <n v="10000"/>
    <m/>
    <m/>
    <x v="0"/>
    <x v="5"/>
    <x v="12"/>
    <m/>
    <m/>
    <m/>
  </r>
  <r>
    <s v="044/BSW-DIGINUSA/MOU/VII/2022"/>
    <s v="Sekolah Taruna Bangsa"/>
    <s v="Ling Ling Dewi Muniarti, S.E."/>
    <x v="219"/>
    <s v="D"/>
    <s v="Ephi Sutisna "/>
    <m/>
    <n v="3"/>
    <n v="2022"/>
    <n v="2025"/>
    <x v="0"/>
    <s v="Lisensi"/>
    <s v="Informatika Kurmer"/>
    <n v="10000"/>
    <m/>
    <m/>
    <x v="0"/>
    <x v="5"/>
    <x v="12"/>
    <n v="382"/>
    <m/>
    <m/>
  </r>
  <r>
    <s v="054/BSW-DIGINUSA/ADD/VII/2023"/>
    <s v="Yayasan Kasih Abadi"/>
    <s v="Michel Sanjaya"/>
    <x v="220"/>
    <s v="D"/>
    <s v="Linda "/>
    <m/>
    <n v="3"/>
    <n v="2022"/>
    <n v="2025"/>
    <x v="0"/>
    <s v="Lisensi"/>
    <s v="SEIS"/>
    <n v="15000"/>
    <m/>
    <m/>
    <x v="14"/>
    <x v="0"/>
    <x v="4"/>
    <n v="696"/>
    <m/>
    <m/>
  </r>
  <r>
    <s v="033/BSW-DIGINUSA/MOU/VI/2022"/>
    <s v="Yayasan Kasih Abadi"/>
    <s v="Michel Sanjaya"/>
    <x v="221"/>
    <s v="D"/>
    <s v="Ms. Nina Francesca Fuentes-Genardo"/>
    <m/>
    <n v="3"/>
    <n v="2022"/>
    <n v="2025"/>
    <x v="0"/>
    <s v="Lisensi"/>
    <s v="ITPreneur Inter "/>
    <n v="25000"/>
    <m/>
    <n v="50000"/>
    <x v="14"/>
    <x v="0"/>
    <x v="4"/>
    <n v="192"/>
    <m/>
    <m/>
  </r>
  <r>
    <s v="033/BSW-DIGINUSA/MOU/VI/2022"/>
    <s v="Yayasan Kasih Abadi"/>
    <s v="Michel Sanjaya"/>
    <x v="222"/>
    <s v="D"/>
    <s v="Ms. Nina Francesca Fuentes-Genardo"/>
    <m/>
    <n v="3"/>
    <n v="2022"/>
    <n v="2025"/>
    <x v="0"/>
    <s v="Lisensi"/>
    <s v="ITPreneur Inter "/>
    <n v="25000"/>
    <m/>
    <n v="50000"/>
    <x v="14"/>
    <x v="0"/>
    <x v="4"/>
    <n v="106"/>
    <m/>
    <m/>
  </r>
  <r>
    <s v="008/BSW-DIGINUSA/MOU/IV/2023"/>
    <s v="Yayasan Xaverius Palembang"/>
    <s v="C. Mujito, S.Pd (Kepala Kantor Perwakilan  YXP)"/>
    <x v="223"/>
    <s v="D"/>
    <s v="Maryanti "/>
    <m/>
    <n v="3"/>
    <n v="2023"/>
    <n v="2026"/>
    <x v="0"/>
    <s v="Lisensi"/>
    <s v="SmartExplorer"/>
    <n v="11000"/>
    <m/>
    <m/>
    <x v="10"/>
    <x v="11"/>
    <x v="6"/>
    <n v="737"/>
    <m/>
    <m/>
  </r>
  <r>
    <s v="008/BSW-DIGINUSA/MOU/IV/2023"/>
    <s v="Yayasan Xaverius Palembang"/>
    <s v="C. Mujito, S.Pd (Kepala Kantor Perwakilan  YXP)"/>
    <x v="224"/>
    <m/>
    <s v="Thomas Klimin "/>
    <m/>
    <n v="3"/>
    <n v="2023"/>
    <n v="2026"/>
    <x v="0"/>
    <s v="Lisensi"/>
    <m/>
    <n v="11000"/>
    <m/>
    <m/>
    <x v="17"/>
    <x v="11"/>
    <x v="6"/>
    <n v="128"/>
    <m/>
    <m/>
  </r>
  <r>
    <s v="025/BSW-DIGINUSA/MOU/VI/2023"/>
    <s v="Yayasan Pendidikan Regina Pacis FMM Cab. Jambi"/>
    <m/>
    <x v="225"/>
    <m/>
    <s v="Sr. Emiliana Surajinah, FMM"/>
    <m/>
    <n v="3"/>
    <n v="2023"/>
    <n v="2026"/>
    <x v="0"/>
    <s v="Sewa Pinjam"/>
    <s v="Informatika Kurmer"/>
    <s v="Setiap bulan Rp25.000.000_x000a_Desember Rp20.000.000_x000a_Juli Rp12.500.000"/>
    <m/>
    <s v="LKS tahun 1 Rp35.000_x000a_LKS tahun 2&amp;3 Rp45.000"/>
    <x v="10"/>
    <x v="6"/>
    <x v="6"/>
    <m/>
    <m/>
    <m/>
  </r>
  <r>
    <s v="052/MK-BSW/MOU/V/2018"/>
    <s v="YPK Anugerah Abadi"/>
    <m/>
    <x v="226"/>
    <s v="D"/>
    <s v="Caroline Grace Marlyn, SE"/>
    <m/>
    <n v="0"/>
    <m/>
    <m/>
    <x v="0"/>
    <s v="Lisensi"/>
    <s v="SmartTK"/>
    <m/>
    <m/>
    <m/>
    <x v="4"/>
    <x v="6"/>
    <x v="10"/>
    <m/>
    <m/>
    <m/>
  </r>
  <r>
    <s v="049/BSW-DIGINUSA/MOU/VII/2023"/>
    <s v="Yayasan Anugerah Abadi "/>
    <s v="Caroline Grace Marlyn, S.E., M.Pd. (Badan Pengurus Harian)"/>
    <x v="227"/>
    <s v="D"/>
    <s v="Caroline Grace Marlyn, SE"/>
    <m/>
    <n v="3"/>
    <n v="2023"/>
    <n v="2026"/>
    <x v="0"/>
    <s v="Lisensi"/>
    <s v="Informatika Kurmer"/>
    <n v="2000000"/>
    <m/>
    <m/>
    <x v="4"/>
    <x v="6"/>
    <x v="2"/>
    <n v="149"/>
    <m/>
    <m/>
  </r>
  <r>
    <s v="049/BSW-DIGINUSA/MOU/VII/2023"/>
    <m/>
    <s v="Caroline Grace Marlyn, S.E., M.Pd. (Badan Pengurus Harian)"/>
    <x v="228"/>
    <s v="D"/>
    <s v="Caroline Grace Marlyn, SE"/>
    <m/>
    <n v="3"/>
    <n v="2023"/>
    <n v="2026"/>
    <x v="0"/>
    <s v="Lisensi"/>
    <s v="Informatika Kurmer"/>
    <n v="2000000"/>
    <m/>
    <m/>
    <x v="4"/>
    <x v="6"/>
    <x v="2"/>
    <n v="77"/>
    <m/>
    <m/>
  </r>
  <r>
    <s v="053/BSW-DIGINUSA/MOU/VI/2023"/>
    <m/>
    <m/>
    <x v="229"/>
    <s v="D"/>
    <s v="Fransiskus Pranoto"/>
    <m/>
    <n v="3"/>
    <n v="2023"/>
    <n v="2026"/>
    <x v="0"/>
    <s v="Lisensi"/>
    <s v="Informatika Kurmer"/>
    <n v="10000"/>
    <m/>
    <m/>
    <x v="4"/>
    <x v="6"/>
    <x v="14"/>
    <n v="350"/>
    <m/>
    <m/>
  </r>
  <r>
    <s v="053/BSW-DIGINUSA/MOU/VI/2023"/>
    <m/>
    <m/>
    <x v="230"/>
    <s v="D"/>
    <s v="Partono"/>
    <m/>
    <n v="3"/>
    <n v="2023"/>
    <n v="2026"/>
    <x v="0"/>
    <s v="Lisensi"/>
    <s v="Informatika Kurmer"/>
    <n v="10000"/>
    <m/>
    <m/>
    <x v="4"/>
    <x v="6"/>
    <x v="14"/>
    <n v="186"/>
    <m/>
    <m/>
  </r>
  <r>
    <s v="046/BSW-DIGINUSA/MOU/VII/2022"/>
    <s v="Yayasan Pendidikan Nitya Bhakti"/>
    <s v="Sr. Hilda Sri Purwaningsih, OSU"/>
    <x v="231"/>
    <s v="D"/>
    <s v="Juliati sofia "/>
    <m/>
    <n v="1"/>
    <n v="2022"/>
    <n v="2023"/>
    <x v="1"/>
    <s v="Lisensi"/>
    <s v="SmartExplorer"/>
    <n v="10000"/>
    <m/>
    <m/>
    <x v="15"/>
    <x v="6"/>
    <x v="9"/>
    <m/>
    <m/>
    <m/>
  </r>
  <r>
    <s v="019/BSW-DIGINUSA/MOU/VII/2021"/>
    <s v="Yayasan Salib Suci Bandung"/>
    <s v="Pst. Dr. Fransiskus Samong, OSC"/>
    <x v="232"/>
    <s v="D"/>
    <s v="Gaudentia Nina Suhastuti "/>
    <m/>
    <n v="3"/>
    <n v="2021"/>
    <n v="2024"/>
    <x v="1"/>
    <s v="Lisensi"/>
    <s v="Informatika Kurmer"/>
    <n v="9000"/>
    <m/>
    <m/>
    <x v="8"/>
    <x v="12"/>
    <x v="12"/>
    <n v="414"/>
    <m/>
    <m/>
  </r>
  <r>
    <s v="040/BSW-DIGINUSA/MOU/XII/2021"/>
    <s v="Yayasan Taruna Bakti"/>
    <s v="Ibramsyah Amir, S.E., M.B.A. Tech."/>
    <x v="233"/>
    <s v="D"/>
    <s v="Irma Meirani"/>
    <m/>
    <n v="2"/>
    <n v="2022"/>
    <n v="2024"/>
    <x v="1"/>
    <s v="Sewa Beli"/>
    <s v="Informatika Kurmer"/>
    <s v="Semula Rp28.785 menjadi Rp31.000"/>
    <m/>
    <m/>
    <x v="19"/>
    <x v="6"/>
    <x v="11"/>
    <n v="519"/>
    <m/>
    <m/>
  </r>
  <r>
    <s v="083/BSW-DIGINUSA/ADD/XII/2022"/>
    <s v="Yayasan Taruna Bakti"/>
    <s v="Ibramsyah Amir, S.E., M.B.A. Tech."/>
    <x v="233"/>
    <m/>
    <s v="Irma Meirani"/>
    <m/>
    <n v="2"/>
    <n v="2022"/>
    <n v="2024"/>
    <x v="1"/>
    <s v="Sewa Beli"/>
    <s v="Informatika Kurmer"/>
    <s v="Semula Rp28.785 menjadi Rp31.000"/>
    <m/>
    <m/>
    <x v="19"/>
    <x v="6"/>
    <x v="11"/>
    <m/>
    <m/>
    <m/>
  </r>
  <r>
    <s v="023/BSW-DIGINUSA/MOU/V/2022"/>
    <m/>
    <m/>
    <x v="234"/>
    <s v="D"/>
    <s v="Sr. Feliciana, OSF"/>
    <m/>
    <n v="3"/>
    <n v="2022"/>
    <n v="2025"/>
    <x v="0"/>
    <s v="Sewa Beli"/>
    <s v="SmartExplorer"/>
    <n v="35000"/>
    <m/>
    <m/>
    <x v="12"/>
    <x v="6"/>
    <x v="12"/>
    <n v="395"/>
    <m/>
    <m/>
  </r>
  <r>
    <s v="022/BSW-DIGINUSA/MOU/VI/2023"/>
    <s v="Yayasan Karya Sang Timur"/>
    <m/>
    <x v="235"/>
    <s v="D"/>
    <s v="Sr. Sylvia, PIJ"/>
    <m/>
    <n v="3"/>
    <n v="2023"/>
    <n v="2026"/>
    <x v="0"/>
    <s v="Sewa Pinjam"/>
    <s v="SmartExplorer"/>
    <n v="8600000"/>
    <m/>
    <m/>
    <x v="6"/>
    <x v="4"/>
    <x v="3"/>
    <m/>
    <m/>
    <m/>
  </r>
  <r>
    <s v="068/BSW-DIGINUSA/MOU/IX/2022"/>
    <m/>
    <m/>
    <x v="236"/>
    <s v="D"/>
    <s v="Elisabeth Murniati, S.Pd."/>
    <m/>
    <n v="3"/>
    <n v="2022"/>
    <n v="2025"/>
    <x v="0"/>
    <s v="Sewa Pinjam"/>
    <s v="Informatika Kurmer"/>
    <n v="5040000"/>
    <m/>
    <m/>
    <x v="6"/>
    <x v="4"/>
    <x v="3"/>
    <m/>
    <m/>
    <m/>
  </r>
  <r>
    <s v="006/BSW-DIGINUSA/MOU/IV/2021"/>
    <s v="Yayasan Yohanes Gabriel"/>
    <s v="RD. Antonius Iwan Setyabudi"/>
    <x v="237"/>
    <s v="D"/>
    <s v="Bernardus Didik Sumarsono"/>
    <m/>
    <n v="3"/>
    <n v="2021"/>
    <n v="2024"/>
    <x v="1"/>
    <s v="Kontrak Pengajaran"/>
    <m/>
    <s v="Rp21.000 (Setiap TAB pembayaran dibagi menjadi 3 waktu, info lebih detail cek ke Rekap Pembayaran)"/>
    <m/>
    <m/>
    <x v="6"/>
    <x v="13"/>
    <x v="3"/>
    <m/>
    <m/>
    <m/>
  </r>
  <r>
    <s v="002/BSW-DIGINUSA/MOU/II/2022"/>
    <s v="Yayasan Kalam Kudus  Indonesia Cabang  Surabaya (YKKI)"/>
    <s v="Sieto Nini Bachry"/>
    <x v="238"/>
    <m/>
    <s v="Augie Constanta Pentury "/>
    <m/>
    <n v="3"/>
    <n v="2022"/>
    <n v="2025"/>
    <x v="0"/>
    <s v="Lisensi"/>
    <s v="SmartTK"/>
    <n v="1700000"/>
    <m/>
    <m/>
    <x v="6"/>
    <x v="4"/>
    <x v="3"/>
    <m/>
    <m/>
    <m/>
  </r>
  <r>
    <s v="002/BSW-DIGINUSA/MOU/II/2022"/>
    <s v="Yayasan Kalam Kudus  Indonesia Cabang  Surabaya (YKKI)"/>
    <s v="Sieto Nini Bachry"/>
    <x v="239"/>
    <s v="D"/>
    <s v="Diana Taniwel"/>
    <m/>
    <n v="3"/>
    <n v="2022"/>
    <n v="2025"/>
    <x v="0"/>
    <s v="Lisensi"/>
    <s v="Informatika Kurmer"/>
    <n v="1700000"/>
    <m/>
    <m/>
    <x v="6"/>
    <x v="4"/>
    <x v="3"/>
    <m/>
    <m/>
    <m/>
  </r>
  <r>
    <s v="002/BSW-DIGINUSA/MOU/II/2022"/>
    <s v="Yayasan Kalam Kudus  Indonesia Cabang  Surabaya (YKKI)"/>
    <s v="Sieto Nini Bachry"/>
    <x v="240"/>
    <s v="D"/>
    <s v="Siintia Alberthina Nanuru"/>
    <m/>
    <n v="3"/>
    <n v="2022"/>
    <n v="2025"/>
    <x v="0"/>
    <s v="Lisensi"/>
    <s v="Informatika Kurmer"/>
    <n v="1700000"/>
    <m/>
    <m/>
    <x v="6"/>
    <x v="4"/>
    <x v="3"/>
    <m/>
    <m/>
    <m/>
  </r>
  <r>
    <s v="002/BSW-DIGINUSA/MOU/II/2022"/>
    <s v="Yayasan Kalam Kudus  Indonesia Cabang  Surabaya (YKKI)"/>
    <s v="Sieto Nini Bachry"/>
    <x v="241"/>
    <s v="D"/>
    <s v="Herlin Pattipeilohy"/>
    <m/>
    <n v="3"/>
    <n v="2022"/>
    <n v="2025"/>
    <x v="0"/>
    <s v="Lisensi"/>
    <s v="Informatika Kurmer"/>
    <n v="1700000"/>
    <m/>
    <m/>
    <x v="6"/>
    <x v="4"/>
    <x v="3"/>
    <m/>
    <m/>
    <m/>
  </r>
  <r>
    <s v="050/BSW-DIGINUSA/MOU/VII/2022"/>
    <m/>
    <m/>
    <x v="242"/>
    <s v="D"/>
    <s v="Choirul Fauzi, M.Pd.I"/>
    <m/>
    <n v="3"/>
    <n v="2022"/>
    <n v="2025"/>
    <x v="0"/>
    <s v="Lisensi"/>
    <m/>
    <n v="4000000"/>
    <m/>
    <m/>
    <x v="6"/>
    <x v="4"/>
    <x v="3"/>
    <m/>
    <m/>
    <m/>
  </r>
  <r>
    <s v="036/BSW-DIGINUSA/MOU/VII/2023"/>
    <s v="Yayasan Anak Bangsa"/>
    <s v="Felix, S.T. (Head of General Affair)"/>
    <x v="243"/>
    <s v="D"/>
    <s v="Simeon Sulistyo, S.Psi., M.Sc., M.Pd. (HRD)"/>
    <m/>
    <n v="1"/>
    <n v="2023"/>
    <n v="2024"/>
    <x v="1"/>
    <s v="Sewa Pinjam"/>
    <s v="Informatika Kurmer"/>
    <n v="39500"/>
    <m/>
    <m/>
    <x v="6"/>
    <x v="13"/>
    <x v="3"/>
    <n v="83"/>
    <m/>
    <m/>
  </r>
  <r>
    <s v="036/BSW-DIGINUSA/MOU/VII/2023"/>
    <s v="Yayasan Anak Bangsa"/>
    <s v="Felix, S.T. (Head of General Affair)"/>
    <x v="244"/>
    <s v="D"/>
    <s v="Simeon Sulistyo, S.Psi., M.Sc., M.Pd. (HRD)"/>
    <m/>
    <n v="1"/>
    <n v="2023"/>
    <n v="2024"/>
    <x v="1"/>
    <s v="Sewa Pinjam"/>
    <s v="Informatika Kurmer"/>
    <n v="39500"/>
    <m/>
    <m/>
    <x v="6"/>
    <x v="13"/>
    <x v="3"/>
    <n v="83"/>
    <m/>
    <m/>
  </r>
  <r>
    <s v="036/BSW-DIGINUSA/MOU/VII/2023"/>
    <s v="Yayasan Anak Bangsa"/>
    <s v="Felix, S.T. (Head of General Affair)"/>
    <x v="245"/>
    <s v="D"/>
    <s v="Simeon Sulistyo, S.Psi., M.Sc., M.Pd. (HRD)"/>
    <m/>
    <n v="1"/>
    <n v="2023"/>
    <n v="2024"/>
    <x v="1"/>
    <s v="Sewa Pinjam"/>
    <s v="Informatika Kurmer"/>
    <n v="39500"/>
    <m/>
    <m/>
    <x v="6"/>
    <x v="13"/>
    <x v="3"/>
    <n v="83"/>
    <m/>
    <m/>
  </r>
  <r>
    <s v="053/BSW-DIGINUSA/MOU/VII/2022"/>
    <s v="Yayasan Margie"/>
    <s v="Listiyani Hadiwidjaja, S.E., M.Fin."/>
    <x v="246"/>
    <s v="D"/>
    <s v="Siti Aisa"/>
    <m/>
    <n v="1"/>
    <n v="2022"/>
    <n v="2023"/>
    <x v="1"/>
    <s v="Kontrak Pengajaran"/>
    <s v="SmartTK"/>
    <m/>
    <m/>
    <m/>
    <x v="6"/>
    <x v="13"/>
    <x v="3"/>
    <m/>
    <m/>
    <m/>
  </r>
  <r>
    <s v="065/BSW-DIGINUSA/MOU/VII/2023"/>
    <s v="Yayasan Margie"/>
    <s v="Listiyani Hadiwidjaja, S.E., M.Fin."/>
    <x v="247"/>
    <s v="D"/>
    <s v="Sri Edawati"/>
    <m/>
    <n v="1"/>
    <n v="2023"/>
    <n v="2024"/>
    <x v="1"/>
    <s v="Kontrak Pengajaran"/>
    <s v="Informatika Kurmer"/>
    <n v="27666666.666666668"/>
    <m/>
    <m/>
    <x v="6"/>
    <x v="13"/>
    <x v="3"/>
    <m/>
    <m/>
    <m/>
  </r>
  <r>
    <s v="065/BSW-DIGINUSA/MOU/VII/2023"/>
    <s v="Yayasan Margie"/>
    <s v="Listiyani Hadiwidjaja, S.E., M.Fin."/>
    <x v="248"/>
    <s v="D"/>
    <s v="Dini Hapsari"/>
    <m/>
    <n v="1"/>
    <n v="2023"/>
    <n v="2024"/>
    <x v="1"/>
    <s v="Kontrak Pengajaran"/>
    <s v="Informatika Kurmer"/>
    <n v="27666666.666666668"/>
    <m/>
    <m/>
    <x v="6"/>
    <x v="13"/>
    <x v="3"/>
    <m/>
    <m/>
    <m/>
  </r>
  <r>
    <s v="065/BSW-DIGINUSA/MOU/VII/2023"/>
    <s v="Yayasan Margie"/>
    <s v="Listiyani Hadiwidjaja, S.E., M.Fin."/>
    <x v="249"/>
    <s v="D"/>
    <s v="PLT - Dini Hapsari"/>
    <m/>
    <n v="1"/>
    <n v="2023"/>
    <n v="2024"/>
    <x v="1"/>
    <s v="Kontrak Pengajaran"/>
    <s v="Informatika Kurmer"/>
    <n v="27666666.666666668"/>
    <m/>
    <m/>
    <x v="6"/>
    <x v="13"/>
    <x v="3"/>
    <m/>
    <m/>
    <m/>
  </r>
  <r>
    <s v="025/BSW-DIGINUSA/MOU/V/2022"/>
    <s v="Yayasan Happy Family School"/>
    <s v="Eddy Soeprapto"/>
    <x v="250"/>
    <s v="D"/>
    <s v="Ms. Irene Fransisca Caturtiasih, S.H.,M.M."/>
    <m/>
    <n v="3"/>
    <n v="2022"/>
    <n v="2025"/>
    <x v="0"/>
    <s v="Kontrak Pengajaran"/>
    <s v="Informatika Kurmer"/>
    <n v="5400000"/>
    <m/>
    <m/>
    <x v="6"/>
    <x v="13"/>
    <x v="3"/>
    <m/>
    <m/>
    <m/>
  </r>
  <r>
    <s v="025/BSW-DIGINUSA/MOU/V/2022"/>
    <s v="Yayasan Happy Family School"/>
    <s v="Eddy Soeprapto"/>
    <x v="251"/>
    <s v="D"/>
    <s v="Ms. Fifi Trisnawati, S.T., M.M."/>
    <m/>
    <n v="3"/>
    <n v="2022"/>
    <n v="2025"/>
    <x v="0"/>
    <s v="Kontrak Pengajaran"/>
    <s v="Informatika Kurmer"/>
    <n v="1600000"/>
    <m/>
    <m/>
    <x v="6"/>
    <x v="13"/>
    <x v="3"/>
    <m/>
    <m/>
    <m/>
  </r>
  <r>
    <s v="082/MK-BSW/MOU/VIII/2018"/>
    <s v="PT. Masa Depan Cemerlang"/>
    <s v="Inge Tenggara"/>
    <x v="252"/>
    <s v="D"/>
    <s v="PLT - Yosi Eka Mulyaningsih"/>
    <m/>
    <n v="5"/>
    <n v="2018"/>
    <n v="2023"/>
    <x v="1"/>
    <s v="Sewa Pinjam"/>
    <s v="SmartTK"/>
    <s v="April Rp5.000.000 &amp; Juni Rp5.000.0000"/>
    <m/>
    <m/>
    <x v="6"/>
    <x v="13"/>
    <x v="3"/>
    <m/>
    <m/>
    <m/>
  </r>
  <r>
    <s v="075/BSW-DIGINUSA/ADD/IX/2022"/>
    <s v="PT. Masa Depan Cemerlang"/>
    <s v="Inge Tenggara"/>
    <x v="252"/>
    <m/>
    <m/>
    <m/>
    <m/>
    <m/>
    <m/>
    <x v="2"/>
    <s v="Sewa Pinjam"/>
    <s v="SmartTK"/>
    <s v="April Rp5.000.000 &amp; Juni Rp5.000.0001"/>
    <m/>
    <m/>
    <x v="7"/>
    <x v="13"/>
    <x v="3"/>
    <m/>
    <m/>
    <m/>
  </r>
  <r>
    <s v="082/MK-BSW/MOU/VIII/2018"/>
    <s v="PT. Masa Depan Cemerlang"/>
    <s v="Inge Tenggara"/>
    <x v="253"/>
    <s v="D"/>
    <s v="Yosi Eka Mulyaningsih"/>
    <m/>
    <n v="5"/>
    <n v="2018"/>
    <n v="2023"/>
    <x v="1"/>
    <s v="Sewa Pinjam"/>
    <m/>
    <s v="April Rp5.000.000 &amp; Juni Rp5.000.0002"/>
    <m/>
    <m/>
    <x v="6"/>
    <x v="13"/>
    <x v="3"/>
    <m/>
    <m/>
    <m/>
  </r>
  <r>
    <s v="075/BSW-DIGINUSA/ADD/IX/2022"/>
    <s v="PT. Masa Depan Cemerlang"/>
    <s v="Inge Tenggara"/>
    <x v="253"/>
    <m/>
    <m/>
    <m/>
    <m/>
    <m/>
    <m/>
    <x v="2"/>
    <s v="Sewa Pinjam"/>
    <s v="Informatika Kurmer"/>
    <s v="April Rp5.000.000 &amp; Juni Rp5.000.0003"/>
    <m/>
    <m/>
    <x v="7"/>
    <x v="13"/>
    <x v="3"/>
    <m/>
    <m/>
    <m/>
  </r>
  <r>
    <s v="055/BSW-DIGINUSA/MOU/VII/2023"/>
    <s v="Yayasan Paratha Bhakti"/>
    <s v="Sr. Noorwindhi Kartika Dewi, OSU"/>
    <x v="254"/>
    <s v="D"/>
    <s v="Yunitha Ike Christyowati, S.Pd"/>
    <m/>
    <n v="1"/>
    <n v="2023"/>
    <n v="2024"/>
    <x v="1"/>
    <s v="Kontrak Pengajaran"/>
    <s v="SmartExplorer"/>
    <n v="18500"/>
    <m/>
    <m/>
    <x v="6"/>
    <x v="13"/>
    <x v="3"/>
    <n v="545"/>
    <m/>
    <m/>
  </r>
  <r>
    <s v="082/BSW-DIGINUSA/MOU/XI/2022"/>
    <m/>
    <m/>
    <x v="255"/>
    <s v="D"/>
    <s v="Drs. Madhari"/>
    <m/>
    <n v="2"/>
    <n v="2023"/>
    <n v="2025"/>
    <x v="0"/>
    <s v="Sewa Beli"/>
    <m/>
    <n v="8250000"/>
    <m/>
    <m/>
    <x v="9"/>
    <x v="1"/>
    <x v="7"/>
    <m/>
    <m/>
    <m/>
  </r>
  <r>
    <s v="082/BSW-DIGINUSA/MOU/XI/2022"/>
    <m/>
    <m/>
    <x v="256"/>
    <s v="D"/>
    <s v="Drs. Madhari"/>
    <m/>
    <n v="2"/>
    <n v="2023"/>
    <n v="2025"/>
    <x v="0"/>
    <s v="Sewa Beli"/>
    <m/>
    <n v="8250000"/>
    <m/>
    <m/>
    <x v="9"/>
    <x v="1"/>
    <x v="7"/>
    <m/>
    <m/>
    <m/>
  </r>
  <r>
    <s v="048/BSW-DIGINUSA/MOU/VI/2023"/>
    <s v="Yayasan Abdi Karya"/>
    <m/>
    <x v="257"/>
    <s v="D"/>
    <s v="Dra. Luky Mardiana"/>
    <m/>
    <n v="1"/>
    <n v="2023"/>
    <n v="2024"/>
    <x v="1"/>
    <s v="Lisensi"/>
    <s v="ITPreneur"/>
    <n v="20000"/>
    <m/>
    <m/>
    <x v="9"/>
    <x v="1"/>
    <x v="4"/>
    <n v="400"/>
    <m/>
    <m/>
  </r>
  <r>
    <s v="020/BSW-DIGINUSA/MOU/IV/2022"/>
    <m/>
    <m/>
    <x v="258"/>
    <m/>
    <s v="Yuliana Astarina M S.Pd."/>
    <m/>
    <n v="3"/>
    <n v="2022"/>
    <n v="2025"/>
    <x v="0"/>
    <s v="Intra"/>
    <s v="Robotik"/>
    <n v="4255000"/>
    <m/>
    <m/>
    <x v="6"/>
    <x v="14"/>
    <x v="3"/>
    <m/>
    <m/>
    <m/>
  </r>
  <r>
    <s v="058/BSW-DIGINUSA/MOU/VII/2023"/>
    <s v="Yayasan Pelita Kasih Abadi"/>
    <s v="Elsje Tjandinegara"/>
    <x v="259"/>
    <m/>
    <s v="Margriet Utami Taher"/>
    <m/>
    <n v="1"/>
    <n v="2023"/>
    <n v="2024"/>
    <x v="1"/>
    <s v="Intra"/>
    <s v="Robotik"/>
    <n v="35000"/>
    <n v="3500000"/>
    <m/>
    <x v="7"/>
    <x v="7"/>
    <x v="15"/>
    <m/>
    <m/>
    <m/>
  </r>
  <r>
    <s v="017/BSW-DIGINUSA/MOU/V/2023"/>
    <m/>
    <m/>
    <x v="260"/>
    <m/>
    <s v="Muhammad Farid Ma'ruf, M.Pd."/>
    <m/>
    <n v="1"/>
    <n v="2023"/>
    <n v="2024"/>
    <x v="1"/>
    <s v="Ekskul"/>
    <s v="Robotik"/>
    <n v="5100000"/>
    <m/>
    <m/>
    <x v="6"/>
    <x v="14"/>
    <x v="3"/>
    <m/>
    <m/>
    <m/>
  </r>
  <r>
    <s v="071/BSW-DIGINUSA/MOU/VIII/2023"/>
    <m/>
    <m/>
    <x v="261"/>
    <m/>
    <s v="Mario Naulibasa Tamba"/>
    <m/>
    <n v="1"/>
    <n v="2023"/>
    <n v="2024"/>
    <x v="1"/>
    <s v="Ekskul"/>
    <s v="Robotik"/>
    <n v="50000"/>
    <m/>
    <m/>
    <x v="7"/>
    <x v="8"/>
    <x v="15"/>
    <n v="15"/>
    <m/>
    <m/>
  </r>
  <r>
    <s v="064/BSW-DIGINUSA/MOU/VIII/2023"/>
    <s v="Yayasan Salib Suci"/>
    <m/>
    <x v="262"/>
    <m/>
    <s v="Goudentia Nina Suhasti"/>
    <m/>
    <n v="1"/>
    <n v="2023"/>
    <n v="2024"/>
    <x v="1"/>
    <s v="Ekskul"/>
    <s v="Coding"/>
    <n v="27000"/>
    <m/>
    <m/>
    <x v="8"/>
    <x v="12"/>
    <x v="15"/>
    <n v="51"/>
    <m/>
    <m/>
  </r>
  <r>
    <s v="073/BSW-DIGINUSA/MOU/IX/2022"/>
    <s v="Yayasan Salib Suci"/>
    <m/>
    <x v="263"/>
    <m/>
    <s v="Fransisca Dwi Sariasmara, S.T."/>
    <m/>
    <n v="1"/>
    <n v="2022"/>
    <n v="2023"/>
    <x v="1"/>
    <m/>
    <s v="Coding"/>
    <n v="32500"/>
    <m/>
    <m/>
    <x v="8"/>
    <x v="12"/>
    <x v="9"/>
    <m/>
    <m/>
    <m/>
  </r>
  <r>
    <s v="069/BSW-DIGINUSA/MOU/IX/2022"/>
    <m/>
    <m/>
    <x v="264"/>
    <m/>
    <s v="Elisabeth Murniati, S.Pd."/>
    <m/>
    <n v="3"/>
    <n v="2022"/>
    <n v="2025"/>
    <x v="0"/>
    <s v="Intra"/>
    <s v="Robotik"/>
    <n v="5040000"/>
    <m/>
    <m/>
    <x v="6"/>
    <x v="4"/>
    <x v="3"/>
    <m/>
    <m/>
    <m/>
  </r>
  <r>
    <s v="002/BSW-DIGINUSA/MOU/II/2023"/>
    <m/>
    <m/>
    <x v="265"/>
    <m/>
    <s v="Sr. M. Agnesita Pujiati, OSF"/>
    <m/>
    <n v="1"/>
    <n v="2023"/>
    <n v="2024"/>
    <x v="1"/>
    <s v="Ekskul"/>
    <s v="Coding"/>
    <n v="10000"/>
    <m/>
    <m/>
    <x v="12"/>
    <x v="6"/>
    <x v="15"/>
    <n v="70"/>
    <m/>
    <m/>
  </r>
  <r>
    <s v="006/BSW-DIGINUSA/MOU/III/2023"/>
    <m/>
    <s v="Sr. Brigitta, CB (Sekretaris Eksekutif)"/>
    <x v="266"/>
    <m/>
    <m/>
    <m/>
    <n v="2"/>
    <n v="2023"/>
    <n v="2025"/>
    <x v="0"/>
    <s v="Sewa Pinjam"/>
    <s v="DKV, Animasi &amp; Informatika"/>
    <s v="Tahun pertama Rp27.500.000_x000a_Tahun Kedua Rp28.000.000"/>
    <m/>
    <m/>
    <x v="15"/>
    <x v="11"/>
    <x v="0"/>
    <m/>
    <m/>
    <m/>
  </r>
  <r>
    <s v="080/BSW-DIGINUSA/MOU/VIII/2023"/>
    <s v="Yayasan Pendidikan Regina Pacis FMM Cab. Jambi"/>
    <m/>
    <x v="267"/>
    <m/>
    <s v="Sr. Emiliana Surajinah, FMM, S.Pd., M.Pd."/>
    <m/>
    <s v="24 sesi"/>
    <n v="2023"/>
    <n v="2024"/>
    <x v="1"/>
    <s v="Ekskul"/>
    <s v="Robotik"/>
    <n v="135000"/>
    <m/>
    <m/>
    <x v="7"/>
    <x v="6"/>
    <x v="15"/>
    <n v="30"/>
    <m/>
    <m/>
  </r>
  <r>
    <s v="003/BSW-DIGINUSA/MOU/III/2022"/>
    <s v="Yayasan Dhira Bhakti"/>
    <s v="Sr. Regina Supraptiwi, OSU"/>
    <x v="268"/>
    <m/>
    <m/>
    <m/>
    <n v="3"/>
    <n v="2022"/>
    <n v="2025"/>
    <x v="0"/>
    <s v="Ekskul"/>
    <s v="Robotik"/>
    <n v="9000000"/>
    <m/>
    <m/>
    <x v="7"/>
    <x v="4"/>
    <x v="3"/>
    <m/>
    <m/>
    <m/>
  </r>
  <r>
    <s v="009/BSW-DIGINUSA/MOU/IV/2023"/>
    <m/>
    <m/>
    <x v="269"/>
    <m/>
    <s v="Yosef Todarung, S.S.,M.M."/>
    <m/>
    <n v="1"/>
    <n v="2023"/>
    <n v="2024"/>
    <x v="1"/>
    <s v="Lisensi"/>
    <s v="HW/SW"/>
    <s v="Juli 2023 Rp24.900.000_x000a_Desember 2023 Rp24.900.000"/>
    <m/>
    <m/>
    <x v="7"/>
    <x v="9"/>
    <x v="0"/>
    <m/>
    <m/>
    <m/>
  </r>
  <r>
    <s v="013/BSW-DIGINUSA/MOU/V/2023"/>
    <s v="Yayasan Panti Asuhan Katolik "/>
    <s v="Veronica Tri Hartini, S.E., M.M."/>
    <x v="270"/>
    <m/>
    <m/>
    <m/>
    <n v="3"/>
    <n v="2023"/>
    <n v="2026"/>
    <x v="0"/>
    <s v="Sewa Beli"/>
    <s v="DKV Animasi "/>
    <n v="27000"/>
    <m/>
    <m/>
    <x v="7"/>
    <x v="2"/>
    <x v="6"/>
    <n v="402"/>
    <m/>
    <m/>
  </r>
  <r>
    <s v="011/BSW-DIGINUSA/MOU/IV/2023"/>
    <m/>
    <m/>
    <x v="271"/>
    <m/>
    <s v="Agustina Wagiyanti"/>
    <m/>
    <n v="1"/>
    <n v="2023"/>
    <n v="2024"/>
    <x v="1"/>
    <s v="Lisensi"/>
    <s v="TIK"/>
    <n v="10000"/>
    <m/>
    <m/>
    <x v="9"/>
    <x v="6"/>
    <x v="12"/>
    <n v="331"/>
    <m/>
    <m/>
  </r>
  <r>
    <s v="015/BSW-DIGINUSA/MOU/V/2023"/>
    <s v="Yayasan Tunas Harapan"/>
    <s v="Irene Setiawati, M.Pd. (Kepala Dept. Kurikulum)"/>
    <x v="272"/>
    <m/>
    <m/>
    <m/>
    <n v="3"/>
    <n v="2023"/>
    <n v="2026"/>
    <x v="0"/>
    <s v="Sewa Pinjam"/>
    <s v="TIK"/>
    <n v="18000"/>
    <m/>
    <m/>
    <x v="0"/>
    <x v="0"/>
    <x v="2"/>
    <n v="80"/>
    <m/>
    <m/>
  </r>
  <r>
    <s v="015/BSW-DIGINUSA/MOU/V/2023"/>
    <s v="Yayasan Tunas Harapan"/>
    <s v="Irene Setiawati, M.Pd. (Kepala Dept. Kurikulum)"/>
    <x v="273"/>
    <m/>
    <m/>
    <m/>
    <n v="3"/>
    <n v="2023"/>
    <n v="2026"/>
    <x v="0"/>
    <s v="Sewa Pinjam"/>
    <s v="TIK"/>
    <n v="18000"/>
    <m/>
    <m/>
    <x v="0"/>
    <x v="0"/>
    <x v="2"/>
    <n v="325"/>
    <m/>
    <m/>
  </r>
  <r>
    <s v="015/BSW-DIGINUSA/MOU/V/2023"/>
    <s v="Yayasan Tunas Harapan"/>
    <s v="Irene Setiawati, M.Pd. (Kepala Dept. Kurikulum)"/>
    <x v="274"/>
    <m/>
    <m/>
    <m/>
    <n v="3"/>
    <n v="2023"/>
    <n v="2026"/>
    <x v="0"/>
    <s v="Sewa Pinjam"/>
    <s v="TIK"/>
    <n v="38000"/>
    <m/>
    <m/>
    <x v="0"/>
    <x v="0"/>
    <x v="2"/>
    <n v="111"/>
    <m/>
    <m/>
  </r>
  <r>
    <s v="015/BSW-DIGINUSA/MOU/V/2023"/>
    <s v="Yayasan Tunas Harapan"/>
    <s v="Irene Setiawati, M.Pd. (Kepala Dept. Kurikulum)"/>
    <x v="275"/>
    <m/>
    <m/>
    <m/>
    <n v="3"/>
    <n v="2023"/>
    <n v="2026"/>
    <x v="0"/>
    <s v="Sewa Pinjam"/>
    <s v="TIK"/>
    <n v="38000"/>
    <m/>
    <m/>
    <x v="0"/>
    <x v="0"/>
    <x v="2"/>
    <n v="138"/>
    <m/>
    <m/>
  </r>
  <r>
    <s v="073/BSW-DIGINUSA/MOU/VIII/2023"/>
    <m/>
    <m/>
    <x v="276"/>
    <m/>
    <s v="Dian Pramani (Koordinator Ekskul)"/>
    <m/>
    <s v="24 sesi"/>
    <n v="2023"/>
    <n v="2024"/>
    <x v="1"/>
    <m/>
    <s v="Robotik"/>
    <n v="200000"/>
    <m/>
    <m/>
    <x v="7"/>
    <x v="6"/>
    <x v="15"/>
    <n v="47"/>
    <m/>
    <m/>
  </r>
  <r>
    <s v="008/BSW-DIGINUSA/MOU/IV/2022"/>
    <s v="Yayasan Sekar Laut Pelni"/>
    <m/>
    <x v="277"/>
    <m/>
    <s v="Dra. Tri Ujiati, M.Pd"/>
    <m/>
    <n v="3"/>
    <n v="2022"/>
    <n v="2025"/>
    <x v="0"/>
    <s v="Kontrak Pengajaran"/>
    <s v="TIK"/>
    <n v="28500"/>
    <m/>
    <m/>
    <x v="9"/>
    <x v="1"/>
    <x v="5"/>
    <m/>
    <m/>
    <m/>
  </r>
  <r>
    <s v="021/BSW-DIGINUSA/MOU/VII/2021"/>
    <s v="Yayasan Pendidikan Cahaya Sakti Jakarta"/>
    <s v="Sritun Gandaputra"/>
    <x v="278"/>
    <m/>
    <m/>
    <m/>
    <n v="3"/>
    <n v="2021"/>
    <n v="2024"/>
    <x v="1"/>
    <s v="Kontrak Pengajaran"/>
    <s v="TIK"/>
    <n v="25000"/>
    <m/>
    <m/>
    <x v="9"/>
    <x v="7"/>
    <x v="2"/>
    <m/>
    <m/>
    <m/>
  </r>
  <r>
    <s v="021/BSW-DIGINUSA/MOU/VII/2021"/>
    <s v="Yayasan Pendidikan Cahaya Sakti Jakarta"/>
    <s v="Sritun Gandaputra"/>
    <x v="279"/>
    <m/>
    <m/>
    <m/>
    <n v="3"/>
    <n v="2021"/>
    <n v="2024"/>
    <x v="1"/>
    <s v="Kontrak Pengajaran"/>
    <s v="TIK"/>
    <n v="25000"/>
    <m/>
    <m/>
    <x v="9"/>
    <x v="7"/>
    <x v="2"/>
    <m/>
    <m/>
    <m/>
  </r>
  <r>
    <s v="077/BSW-DIGINUSA/MOU/X/2022"/>
    <m/>
    <m/>
    <x v="280"/>
    <m/>
    <s v="Paustinus Edo Kristanto"/>
    <m/>
    <n v="2"/>
    <n v="2022"/>
    <n v="2024"/>
    <x v="1"/>
    <s v="Lisensi"/>
    <m/>
    <n v="12500"/>
    <m/>
    <m/>
    <x v="7"/>
    <x v="2"/>
    <x v="11"/>
    <m/>
    <m/>
    <m/>
  </r>
  <r>
    <s v="028/BSW-DIGINUSA/MOU/VI/2023"/>
    <m/>
    <m/>
    <x v="281"/>
    <m/>
    <s v="Jaisah,S.Pd.I.,S.Pd."/>
    <m/>
    <n v="3"/>
    <n v="2023"/>
    <n v="2026"/>
    <x v="0"/>
    <s v="Lisensi"/>
    <s v="TIK"/>
    <m/>
    <s v="Agustus, Oktober, Desember, Maret Rp21.175.000 (Pembayaran setiap bulan tersebut)"/>
    <m/>
    <x v="20"/>
    <x v="13"/>
    <x v="3"/>
    <m/>
    <m/>
    <m/>
  </r>
  <r>
    <s v="037/BSW/BSW-DIGINUSA/MOU/VII/2023"/>
    <s v="Yayasan BPK Penabur Bogor"/>
    <s v="Aryawan"/>
    <x v="282"/>
    <m/>
    <m/>
    <m/>
    <n v="3"/>
    <n v="2023"/>
    <n v="2026"/>
    <x v="0"/>
    <s v="Kontrak Pengajaran"/>
    <s v="TIK"/>
    <n v="50000"/>
    <m/>
    <m/>
    <x v="0"/>
    <x v="0"/>
    <x v="11"/>
    <n v="102"/>
    <m/>
    <m/>
  </r>
  <r>
    <s v="037/BSW/BSW-DIGINUSA/MOU/VII/2023"/>
    <s v="Yayasan BPK Penabur Bogor"/>
    <s v="Aryawan"/>
    <x v="283"/>
    <m/>
    <m/>
    <m/>
    <n v="3"/>
    <n v="2023"/>
    <n v="2026"/>
    <x v="0"/>
    <s v="Kontrak Pengajaran"/>
    <s v="TIK"/>
    <n v="55000"/>
    <m/>
    <s v="LKS ITPreneur Internasional Rp30.000"/>
    <x v="0"/>
    <x v="0"/>
    <x v="11"/>
    <n v="98"/>
    <m/>
    <m/>
  </r>
  <r>
    <s v="030/BSW-DIGINUSA/MOU/VI/2023"/>
    <s v="Yayasan Bina Murni"/>
    <s v="Winarta"/>
    <x v="284"/>
    <m/>
    <m/>
    <m/>
    <n v="3"/>
    <n v="2023"/>
    <n v="2026"/>
    <x v="0"/>
    <s v="Lisensi"/>
    <s v="TIK"/>
    <m/>
    <s v="Setiap bulan Rp8.300.000_x000a_Juni &amp; Juli Rp4.150.000"/>
    <m/>
    <x v="21"/>
    <x v="7"/>
    <x v="10"/>
    <m/>
    <m/>
    <m/>
  </r>
  <r>
    <s v="030/BSW-DIGINUSA/MOU/VI/2023"/>
    <s v="Yayasan Bina Murni"/>
    <s v="Winarta"/>
    <x v="285"/>
    <m/>
    <m/>
    <m/>
    <n v="3"/>
    <n v="2023"/>
    <n v="2026"/>
    <x v="0"/>
    <s v="Lisensi"/>
    <s v="TIK"/>
    <m/>
    <s v="Setiap bulan Rp8.300.000_x000a_Juni &amp; Juli Rp4.150.000"/>
    <m/>
    <x v="21"/>
    <x v="7"/>
    <x v="10"/>
    <m/>
    <m/>
    <m/>
  </r>
  <r>
    <s v="033/BSW-DIGINUSA/MOU/VI/2023"/>
    <m/>
    <m/>
    <x v="265"/>
    <m/>
    <s v="Sr. M. Agnesita Pujiati, OSF, S.Pd."/>
    <m/>
    <n v="2"/>
    <n v="2023"/>
    <n v="2025"/>
    <x v="0"/>
    <s v="Lisensi"/>
    <s v="TIK"/>
    <n v="10000"/>
    <m/>
    <m/>
    <x v="9"/>
    <x v="6"/>
    <x v="12"/>
    <n v="418"/>
    <m/>
    <m/>
  </r>
  <r>
    <m/>
    <m/>
    <m/>
    <x v="286"/>
    <m/>
    <m/>
    <m/>
    <m/>
    <m/>
    <m/>
    <x v="2"/>
    <m/>
    <m/>
    <m/>
    <m/>
    <m/>
    <x v="7"/>
    <x v="15"/>
    <x v="9"/>
    <m/>
    <m/>
    <m/>
  </r>
  <r>
    <m/>
    <m/>
    <m/>
    <x v="287"/>
    <m/>
    <m/>
    <m/>
    <m/>
    <m/>
    <m/>
    <x v="2"/>
    <m/>
    <s v="HW/SW"/>
    <m/>
    <n v="33600000"/>
    <m/>
    <x v="7"/>
    <x v="5"/>
    <x v="9"/>
    <m/>
    <m/>
    <m/>
  </r>
  <r>
    <m/>
    <m/>
    <m/>
    <x v="288"/>
    <m/>
    <m/>
    <m/>
    <m/>
    <m/>
    <m/>
    <x v="2"/>
    <m/>
    <s v="HW/SW"/>
    <m/>
    <n v="11700000"/>
    <m/>
    <x v="7"/>
    <x v="1"/>
    <x v="9"/>
    <m/>
    <m/>
    <m/>
  </r>
  <r>
    <m/>
    <m/>
    <m/>
    <x v="289"/>
    <m/>
    <m/>
    <m/>
    <m/>
    <m/>
    <m/>
    <x v="2"/>
    <m/>
    <s v="HW/SW"/>
    <m/>
    <n v="31080000"/>
    <m/>
    <x v="7"/>
    <x v="16"/>
    <x v="9"/>
    <m/>
    <m/>
    <m/>
  </r>
  <r>
    <m/>
    <m/>
    <m/>
    <x v="290"/>
    <m/>
    <m/>
    <m/>
    <m/>
    <m/>
    <m/>
    <x v="2"/>
    <m/>
    <s v="HW/SW"/>
    <m/>
    <n v="10550550"/>
    <m/>
    <x v="7"/>
    <x v="8"/>
    <x v="9"/>
    <m/>
    <m/>
    <m/>
  </r>
  <r>
    <m/>
    <m/>
    <m/>
    <x v="291"/>
    <m/>
    <m/>
    <m/>
    <m/>
    <m/>
    <m/>
    <x v="2"/>
    <m/>
    <s v="HW/SW"/>
    <m/>
    <n v="5550000"/>
    <m/>
    <x v="7"/>
    <x v="8"/>
    <x v="9"/>
    <m/>
    <m/>
    <m/>
  </r>
  <r>
    <s v="066/BSW-DIGINUSA/MOU/VIII/2023"/>
    <m/>
    <m/>
    <x v="292"/>
    <m/>
    <s v="Joko Pitoyo, S.Pd., M.M."/>
    <m/>
    <s v="4 bulan"/>
    <s v="1 Agustus 2023"/>
    <s v="31 Desember 2023"/>
    <x v="3"/>
    <s v="Kontrak Pengajaran"/>
    <s v="TIK"/>
    <m/>
    <s v="- Agustus 2023 Rp74.280.000_x000a_- September 2023 Rp74.280.000_x000a_-Oktober 2023 Rp74.280.000_x000a_- November Rp74.280.000"/>
    <m/>
    <x v="7"/>
    <x v="7"/>
    <x v="7"/>
    <m/>
    <m/>
    <m/>
  </r>
  <r>
    <m/>
    <m/>
    <m/>
    <x v="293"/>
    <m/>
    <m/>
    <m/>
    <m/>
    <m/>
    <m/>
    <x v="2"/>
    <m/>
    <s v="HW/SW"/>
    <m/>
    <n v="22000000"/>
    <m/>
    <x v="7"/>
    <x v="5"/>
    <x v="9"/>
    <m/>
    <m/>
    <m/>
  </r>
  <r>
    <s v="067/BSW-DIGINUSA/MOU/VIII/2023"/>
    <s v="Yayasan Salib Suci"/>
    <m/>
    <x v="294"/>
    <m/>
    <s v="Gemma Kunthidewi T., S.Pd.AUD"/>
    <m/>
    <n v="1"/>
    <n v="2023"/>
    <n v="2024"/>
    <x v="1"/>
    <s v="Lisensi"/>
    <s v="TIK"/>
    <m/>
    <n v="1500000"/>
    <m/>
    <x v="22"/>
    <x v="12"/>
    <x v="12"/>
    <m/>
    <m/>
    <m/>
  </r>
  <r>
    <s v="035/BSW-DIGINUSA/MOU/VI/2023"/>
    <m/>
    <m/>
    <x v="295"/>
    <m/>
    <s v="Sr. M. Virgilia, AK., S.Pd."/>
    <m/>
    <n v="3"/>
    <n v="2023"/>
    <n v="2026"/>
    <x v="0"/>
    <m/>
    <s v="Robotik"/>
    <n v="180000"/>
    <n v="5400000"/>
    <m/>
    <x v="20"/>
    <x v="13"/>
    <x v="9"/>
    <n v="30"/>
    <m/>
    <m/>
  </r>
  <r>
    <s v="042/BSW-DIGINUSA/MOU/VII/2023"/>
    <s v="Yayasan Ananta Bhakti"/>
    <m/>
    <x v="296"/>
    <m/>
    <s v="Maria Maya Mayesta Sareng"/>
    <m/>
    <s v="24 sesi"/>
    <n v="2023"/>
    <n v="2024"/>
    <x v="1"/>
    <m/>
    <s v="Coding"/>
    <n v="35000"/>
    <s v="Termin 1: Rp4.830.000_x000a_Termin 2: Rp4.830.000_x000a_Termin 3: Rp4.830.000_x000a_Termin 4: Rp4.830.000"/>
    <m/>
    <x v="7"/>
    <x v="8"/>
    <x v="9"/>
    <n v="70"/>
    <m/>
    <m/>
  </r>
  <r>
    <s v="003/BSW-DIGINUSA/MOU/II/2023"/>
    <m/>
    <m/>
    <x v="297"/>
    <m/>
    <s v="Dra. Luky Mardiana"/>
    <m/>
    <m/>
    <n v="2023"/>
    <n v="2024"/>
    <x v="2"/>
    <m/>
    <s v="HW/SW"/>
    <m/>
    <n v="5220000"/>
    <m/>
    <x v="7"/>
    <x v="16"/>
    <x v="9"/>
    <m/>
    <m/>
    <m/>
  </r>
  <r>
    <s v="004/BSW-DIGINUSA/MOU/II/2023"/>
    <m/>
    <m/>
    <x v="298"/>
    <m/>
    <s v="Suci Widiarti, S.Pd., M.M"/>
    <m/>
    <m/>
    <n v="2023"/>
    <n v="2024"/>
    <x v="3"/>
    <m/>
    <s v="HW/SW"/>
    <m/>
    <n v="5220000"/>
    <m/>
    <x v="7"/>
    <x v="16"/>
    <x v="9"/>
    <m/>
    <m/>
    <m/>
  </r>
  <r>
    <s v="005/BSW-DIGINUSA/MOU/II/2023"/>
    <m/>
    <m/>
    <x v="299"/>
    <m/>
    <s v="Daniel Manurung"/>
    <m/>
    <m/>
    <n v="2023"/>
    <n v="2024"/>
    <x v="3"/>
    <m/>
    <s v="HW/SW"/>
    <m/>
    <n v="5220000"/>
    <m/>
    <x v="7"/>
    <x v="16"/>
    <x v="9"/>
    <m/>
    <m/>
    <m/>
  </r>
  <r>
    <s v="018/BSW-DIGINUSA/MOU/V/2023"/>
    <m/>
    <m/>
    <x v="300"/>
    <m/>
    <m/>
    <m/>
    <m/>
    <m/>
    <m/>
    <x v="3"/>
    <m/>
    <s v="HW/SW"/>
    <m/>
    <n v="10000000"/>
    <m/>
    <x v="7"/>
    <x v="16"/>
    <x v="9"/>
    <m/>
    <m/>
    <m/>
  </r>
  <r>
    <s v="016/BSW-DIGINUSA/MOU/V/2023"/>
    <s v="Yayasan Santo Markus "/>
    <m/>
    <x v="301"/>
    <m/>
    <m/>
    <m/>
    <m/>
    <m/>
    <m/>
    <x v="3"/>
    <m/>
    <s v="HW/SW"/>
    <m/>
    <n v="174920000"/>
    <m/>
    <x v="7"/>
    <x v="8"/>
    <x v="9"/>
    <m/>
    <m/>
    <m/>
  </r>
  <r>
    <s v="034/BSW-DIGINUSA/MOU/VI/2023"/>
    <s v="Yayasan Tarakanita Jakarta"/>
    <m/>
    <x v="302"/>
    <m/>
    <m/>
    <m/>
    <m/>
    <m/>
    <m/>
    <x v="3"/>
    <s v="Lisensi"/>
    <s v="HW/SW"/>
    <m/>
    <s v="Juli 2023 Rp21.450.000_x000a_November 2023 Rp21.450.000_x000a_Maret 2024 Rp21.450.000"/>
    <m/>
    <x v="7"/>
    <x v="9"/>
    <x v="9"/>
    <m/>
    <m/>
    <m/>
  </r>
  <r>
    <s v="010/BSW-DIGINUSA/MOU/IV/2023"/>
    <s v="Yayasan Pendidikan Permai"/>
    <s v="Djoko Wihardjo"/>
    <x v="303"/>
    <m/>
    <m/>
    <m/>
    <m/>
    <n v="2023"/>
    <m/>
    <x v="3"/>
    <m/>
    <s v="HW/SW"/>
    <m/>
    <n v="299910000"/>
    <m/>
    <x v="7"/>
    <x v="2"/>
    <x v="9"/>
    <m/>
    <m/>
    <m/>
  </r>
  <r>
    <m/>
    <m/>
    <m/>
    <x v="304"/>
    <m/>
    <m/>
    <m/>
    <m/>
    <m/>
    <m/>
    <x v="2"/>
    <m/>
    <s v="HW/SW"/>
    <m/>
    <n v="20000000"/>
    <m/>
    <x v="7"/>
    <x v="2"/>
    <x v="9"/>
    <m/>
    <m/>
    <m/>
  </r>
  <r>
    <m/>
    <m/>
    <m/>
    <x v="305"/>
    <m/>
    <m/>
    <m/>
    <m/>
    <m/>
    <m/>
    <x v="2"/>
    <m/>
    <s v="HW/SW"/>
    <m/>
    <n v="198000000"/>
    <m/>
    <x v="7"/>
    <x v="2"/>
    <x v="9"/>
    <m/>
    <m/>
    <m/>
  </r>
  <r>
    <m/>
    <m/>
    <m/>
    <x v="306"/>
    <m/>
    <m/>
    <m/>
    <m/>
    <m/>
    <m/>
    <x v="2"/>
    <m/>
    <s v="HW/SW"/>
    <m/>
    <n v="352500000"/>
    <m/>
    <x v="7"/>
    <x v="2"/>
    <x v="9"/>
    <m/>
    <m/>
    <m/>
  </r>
  <r>
    <m/>
    <m/>
    <m/>
    <x v="307"/>
    <m/>
    <m/>
    <m/>
    <m/>
    <m/>
    <m/>
    <x v="2"/>
    <m/>
    <s v="HW/SW"/>
    <m/>
    <n v="28125000"/>
    <m/>
    <x v="7"/>
    <x v="3"/>
    <x v="9"/>
    <m/>
    <m/>
    <m/>
  </r>
  <r>
    <m/>
    <m/>
    <m/>
    <x v="308"/>
    <m/>
    <m/>
    <m/>
    <m/>
    <m/>
    <m/>
    <x v="2"/>
    <m/>
    <s v="HW/SW"/>
    <m/>
    <n v="195000000"/>
    <m/>
    <x v="7"/>
    <x v="1"/>
    <x v="9"/>
    <m/>
    <m/>
    <m/>
  </r>
  <r>
    <m/>
    <m/>
    <m/>
    <x v="309"/>
    <m/>
    <m/>
    <m/>
    <m/>
    <m/>
    <m/>
    <x v="2"/>
    <m/>
    <s v="HW/SW"/>
    <m/>
    <n v="18800000"/>
    <m/>
    <x v="7"/>
    <x v="3"/>
    <x v="9"/>
    <m/>
    <m/>
    <m/>
  </r>
  <r>
    <m/>
    <m/>
    <m/>
    <x v="310"/>
    <m/>
    <m/>
    <m/>
    <m/>
    <m/>
    <m/>
    <x v="3"/>
    <m/>
    <s v="HW/SW"/>
    <m/>
    <n v="285000000"/>
    <m/>
    <x v="7"/>
    <x v="2"/>
    <x v="9"/>
    <m/>
    <m/>
    <m/>
  </r>
  <r>
    <s v="045/BSW-DIGINUSA/MOU/VII/2023"/>
    <m/>
    <s v="Eni Listijani H., BA (Direktur)"/>
    <x v="311"/>
    <m/>
    <m/>
    <m/>
    <n v="3"/>
    <n v="2023"/>
    <n v="2026"/>
    <x v="0"/>
    <s v="Lisensi"/>
    <s v="TIK"/>
    <m/>
    <n v="20000"/>
    <m/>
    <x v="7"/>
    <x v="4"/>
    <x v="3"/>
    <m/>
    <m/>
    <m/>
  </r>
  <r>
    <s v="052/BSW-DIGINUSA/MOU/VII/2023"/>
    <m/>
    <m/>
    <x v="312"/>
    <m/>
    <s v="Angela Sri Utami"/>
    <m/>
    <n v="1"/>
    <n v="2023"/>
    <n v="2024"/>
    <x v="3"/>
    <m/>
    <s v="HW/SW"/>
    <m/>
    <n v="5000000"/>
    <m/>
    <x v="7"/>
    <x v="6"/>
    <x v="15"/>
    <m/>
    <m/>
    <m/>
  </r>
  <r>
    <s v="051/BSW-DIGINUSA/MOU/VII/2023"/>
    <m/>
    <m/>
    <x v="312"/>
    <m/>
    <s v="Angela Sri Utami"/>
    <m/>
    <n v="1"/>
    <n v="2023"/>
    <n v="2024"/>
    <x v="1"/>
    <m/>
    <s v="Coding"/>
    <m/>
    <n v="2400000"/>
    <m/>
    <x v="7"/>
    <x v="6"/>
    <x v="15"/>
    <n v="60"/>
    <m/>
    <m/>
  </r>
  <r>
    <s v="074/BSW-DIGINUSA/MOU/VII/2023"/>
    <m/>
    <m/>
    <x v="313"/>
    <m/>
    <m/>
    <m/>
    <n v="3"/>
    <n v="2023"/>
    <n v="2026"/>
    <x v="0"/>
    <s v="Lisensi"/>
    <s v="TIK"/>
    <m/>
    <n v="10000"/>
    <m/>
    <x v="7"/>
    <x v="3"/>
    <x v="2"/>
    <n v="216"/>
    <m/>
    <m/>
  </r>
  <r>
    <s v="074/BSW-DIGINUSA/MOU/VII/2023"/>
    <m/>
    <m/>
    <x v="314"/>
    <m/>
    <m/>
    <m/>
    <n v="3"/>
    <n v="2023"/>
    <n v="2026"/>
    <x v="0"/>
    <s v="Lisensi"/>
    <s v="TIK"/>
    <m/>
    <n v="10000"/>
    <m/>
    <x v="7"/>
    <x v="3"/>
    <x v="2"/>
    <n v="179"/>
    <m/>
    <m/>
  </r>
  <r>
    <s v="050/BSW-DIGINUSA/MOU/VII/2023"/>
    <s v="Yayasan St. Dominikus Kantor Cab. Cimahi"/>
    <m/>
    <x v="315"/>
    <m/>
    <m/>
    <m/>
    <n v="1"/>
    <n v="2023"/>
    <n v="2024"/>
    <x v="1"/>
    <s v="Lisensi"/>
    <s v="TIK"/>
    <m/>
    <n v="12000"/>
    <m/>
    <x v="7"/>
    <x v="3"/>
    <x v="6"/>
    <n v="90"/>
    <m/>
    <m/>
  </r>
  <r>
    <s v="068/BSW-DIGINUSA/MOU/VIII/2023"/>
    <m/>
    <m/>
    <x v="316"/>
    <m/>
    <s v="Sr. M. Valentine A. Pawarrangan, PBHK"/>
    <m/>
    <s v="26 sesi"/>
    <n v="2023"/>
    <n v="2024"/>
    <x v="1"/>
    <m/>
    <s v="Coding"/>
    <n v="35000"/>
    <m/>
    <m/>
    <x v="7"/>
    <x v="12"/>
    <x v="9"/>
    <n v="90"/>
    <m/>
    <m/>
  </r>
  <r>
    <s v="059/BSW-DIGINUSA/MOU/VII/2023"/>
    <s v="Yayasan Kasih Abadi"/>
    <s v="Michael Senjaya"/>
    <x v="317"/>
    <m/>
    <m/>
    <m/>
    <n v="1"/>
    <n v="2023"/>
    <n v="2024"/>
    <x v="1"/>
    <s v="Lisensi"/>
    <s v="TIK"/>
    <m/>
    <s v="Free"/>
    <m/>
    <x v="7"/>
    <x v="0"/>
    <x v="6"/>
    <m/>
    <m/>
    <m/>
  </r>
  <r>
    <s v="059/BSW-DIGINUSA/MOU/VII/2023"/>
    <s v="Yayasan Kasih Abadi"/>
    <s v="Michael Senjaya"/>
    <x v="318"/>
    <m/>
    <m/>
    <m/>
    <n v="1"/>
    <n v="2023"/>
    <n v="2024"/>
    <x v="1"/>
    <s v="Lisensi"/>
    <s v="TIK"/>
    <m/>
    <n v="4975000"/>
    <m/>
    <x v="7"/>
    <x v="0"/>
    <x v="6"/>
    <n v="398"/>
    <m/>
    <m/>
  </r>
  <r>
    <s v="059/BSW-DIGINUSA/MOU/VII/2023"/>
    <s v="Yayasan Kasih Abadi"/>
    <s v="Michael Senjaya"/>
    <x v="319"/>
    <m/>
    <m/>
    <m/>
    <n v="1"/>
    <n v="2023"/>
    <n v="2024"/>
    <x v="1"/>
    <s v="Lisensi"/>
    <s v="TIK"/>
    <m/>
    <n v="2050000"/>
    <m/>
    <x v="7"/>
    <x v="0"/>
    <x v="6"/>
    <n v="164"/>
    <m/>
    <m/>
  </r>
  <r>
    <s v="059/BSW-DIGINUSA/MOU/VII/2023"/>
    <s v="Yayasan Kasih Abadi"/>
    <s v="Michael Senjaya"/>
    <x v="320"/>
    <m/>
    <m/>
    <m/>
    <n v="1"/>
    <n v="2023"/>
    <n v="2024"/>
    <x v="1"/>
    <s v="Lisensi"/>
    <s v="TIK"/>
    <m/>
    <n v="2000000"/>
    <m/>
    <x v="7"/>
    <x v="0"/>
    <x v="6"/>
    <n v="160"/>
    <m/>
    <m/>
  </r>
  <r>
    <m/>
    <m/>
    <m/>
    <x v="321"/>
    <m/>
    <m/>
    <m/>
    <m/>
    <m/>
    <m/>
    <x v="2"/>
    <m/>
    <s v="TIK"/>
    <m/>
    <n v="10000"/>
    <n v="1210000"/>
    <x v="7"/>
    <x v="2"/>
    <x v="9"/>
    <m/>
    <m/>
    <m/>
  </r>
  <r>
    <s v="056/BSW-DIGINUSA/MOU/VII/2023"/>
    <s v="Yayasan Santa Maria"/>
    <s v="Sr. Maria Eufrasia, SND"/>
    <x v="322"/>
    <m/>
    <m/>
    <m/>
    <n v="3"/>
    <n v="2023"/>
    <n v="2026"/>
    <x v="0"/>
    <s v="Lisensi"/>
    <s v="TIK"/>
    <m/>
    <s v="Tahun 1 Rp10.000_x000a_Tahun 2 Rp15.000_x000a_Tahun 3 Rp15.000"/>
    <s v="LKS Tahun ke-1 Rp30.000 x jumlah siswa_x000a_Tahun ke-2 &amp; ke-3 Rp35.000 x jumlah siswa"/>
    <x v="7"/>
    <x v="2"/>
    <x v="7"/>
    <n v="373"/>
    <m/>
    <m/>
  </r>
  <r>
    <s v="056/BSW-DIGINUSA/MOU/VII/2023"/>
    <s v="Yayasan Santa Maria"/>
    <s v="Sr. Maria Eufrasia, SND"/>
    <x v="323"/>
    <m/>
    <m/>
    <m/>
    <n v="3"/>
    <n v="2023"/>
    <n v="2026"/>
    <x v="0"/>
    <s v="Lisensi"/>
    <s v="TIK"/>
    <m/>
    <s v="Tahun 1 Rp10.000_x000a_Tahun 2 Rp15.000_x000a_Tahun 3 Rp15.000"/>
    <m/>
    <x v="7"/>
    <x v="2"/>
    <x v="7"/>
    <n v="213"/>
    <m/>
    <m/>
  </r>
  <r>
    <s v="056/BSW-DIGINUSA/MOU/VII/2022"/>
    <s v="Yayasan Galatia"/>
    <s v="Dra. Henny Sulaiman"/>
    <x v="324"/>
    <m/>
    <m/>
    <m/>
    <n v="3"/>
    <n v="2022"/>
    <n v="2025"/>
    <x v="0"/>
    <s v="Sewa Pinjam"/>
    <s v="TIK"/>
    <n v="30000"/>
    <m/>
    <n v="30000"/>
    <x v="7"/>
    <x v="2"/>
    <x v="12"/>
    <n v="25"/>
    <m/>
    <m/>
  </r>
  <r>
    <s v="034/BSW-DIGINUSA/MOU/VII/2021"/>
    <s v="Yayasan Nurul Falah Islamic Education Center"/>
    <s v="Hj. Mutia Lismar, S.Pd"/>
    <x v="325"/>
    <m/>
    <m/>
    <m/>
    <n v="3"/>
    <n v="2021"/>
    <n v="2024"/>
    <x v="1"/>
    <m/>
    <s v="TIK"/>
    <m/>
    <m/>
    <m/>
    <x v="7"/>
    <x v="2"/>
    <x v="12"/>
    <m/>
    <m/>
    <m/>
  </r>
  <r>
    <s v="054/BSW-DIGINUSA/MOU/VII/2022"/>
    <m/>
    <m/>
    <x v="326"/>
    <m/>
    <m/>
    <m/>
    <n v="3"/>
    <n v="2022"/>
    <n v="2025"/>
    <x v="0"/>
    <m/>
    <s v="TIK"/>
    <s v="Free"/>
    <m/>
    <m/>
    <x v="7"/>
    <x v="6"/>
    <x v="7"/>
    <m/>
    <m/>
    <m/>
  </r>
  <r>
    <s v="024/BSW-DIGINUSA/MOU/VI/2023"/>
    <s v="Yayasan St. Agatha"/>
    <s v="K.S. Tjeni (Bendahara Yayasan)"/>
    <x v="327"/>
    <m/>
    <m/>
    <m/>
    <n v="2"/>
    <n v="2023"/>
    <n v="2025"/>
    <x v="0"/>
    <s v="Lisensi"/>
    <s v="TIK"/>
    <m/>
    <n v="17000"/>
    <m/>
    <x v="23"/>
    <x v="5"/>
    <x v="14"/>
    <m/>
    <m/>
    <m/>
  </r>
  <r>
    <s v="028/BSW-DIGINUSA/MOU/VI/2022"/>
    <s v="Yayasan Harapan Tritunggal"/>
    <s v="Frida Lusia Kumambong"/>
    <x v="328"/>
    <m/>
    <m/>
    <m/>
    <n v="3"/>
    <n v="2022"/>
    <n v="2025"/>
    <x v="0"/>
    <s v="Lisensi"/>
    <s v="TIK"/>
    <m/>
    <n v="35000"/>
    <m/>
    <x v="7"/>
    <x v="10"/>
    <x v="2"/>
    <m/>
    <m/>
    <m/>
  </r>
  <r>
    <s v="061/BSW-DIGINUSA/MOU/VII/2023"/>
    <m/>
    <m/>
    <x v="329"/>
    <m/>
    <m/>
    <m/>
    <m/>
    <m/>
    <m/>
    <x v="2"/>
    <m/>
    <s v="HW/SW"/>
    <m/>
    <n v="3300000"/>
    <m/>
    <x v="7"/>
    <x v="5"/>
    <x v="9"/>
    <m/>
    <m/>
    <m/>
  </r>
  <r>
    <s v="063/BSW-DIGINUSA/MOU/VII/2023"/>
    <m/>
    <m/>
    <x v="269"/>
    <m/>
    <m/>
    <m/>
    <m/>
    <m/>
    <m/>
    <x v="2"/>
    <m/>
    <s v="HW/SW"/>
    <m/>
    <n v="5550000"/>
    <m/>
    <x v="7"/>
    <x v="9"/>
    <x v="9"/>
    <m/>
    <m/>
    <m/>
  </r>
  <r>
    <s v="041/BSW-DIGINUSA/MOU/VII/2023"/>
    <s v="Yayasan Mardi Yuana"/>
    <s v="RD. Stefanus Sri Haryono Putro, S.S."/>
    <x v="330"/>
    <m/>
    <m/>
    <m/>
    <n v="3"/>
    <n v="2023"/>
    <n v="2026"/>
    <x v="0"/>
    <s v="Lisensi"/>
    <s v="TIK"/>
    <m/>
    <n v="10000"/>
    <m/>
    <x v="7"/>
    <x v="0"/>
    <x v="1"/>
    <m/>
    <m/>
    <m/>
  </r>
  <r>
    <s v="054/BSW-DIGINUSA/ADD/VII/2023"/>
    <m/>
    <m/>
    <x v="331"/>
    <m/>
    <m/>
    <m/>
    <m/>
    <m/>
    <m/>
    <x v="2"/>
    <m/>
    <s v="TIK"/>
    <m/>
    <n v="15000"/>
    <n v="1350000"/>
    <x v="7"/>
    <x v="0"/>
    <x v="4"/>
    <m/>
    <m/>
    <m/>
  </r>
  <r>
    <s v="043/BSW-DIGINUSA/MOU/VII/2023"/>
    <s v="Yayasan Islam Siti Halimah "/>
    <m/>
    <x v="332"/>
    <m/>
    <m/>
    <m/>
    <n v="1"/>
    <n v="2023"/>
    <n v="2024"/>
    <x v="1"/>
    <s v="Lisensi"/>
    <s v="TIK"/>
    <m/>
    <n v="2000000"/>
    <m/>
    <x v="7"/>
    <x v="16"/>
    <x v="2"/>
    <m/>
    <m/>
    <m/>
  </r>
  <r>
    <s v="047/BSW-DIGINUSA/MOU/VII/2023"/>
    <s v="Yayasan Karya Sang Timur"/>
    <m/>
    <x v="333"/>
    <m/>
    <m/>
    <m/>
    <m/>
    <m/>
    <m/>
    <x v="2"/>
    <m/>
    <s v="HW/SW"/>
    <m/>
    <m/>
    <n v="57500000"/>
    <x v="7"/>
    <x v="5"/>
    <x v="9"/>
    <m/>
    <m/>
    <m/>
  </r>
  <r>
    <s v="069/BSW-DIGINUSA/MOU/VIII/2023"/>
    <m/>
    <m/>
    <x v="334"/>
    <m/>
    <s v="Sr. Rahayu, PI"/>
    <m/>
    <m/>
    <n v="2023"/>
    <n v="2024"/>
    <x v="1"/>
    <m/>
    <s v="HW/SW"/>
    <m/>
    <n v="5000000"/>
    <m/>
    <x v="7"/>
    <x v="6"/>
    <x v="9"/>
    <m/>
    <m/>
    <m/>
  </r>
  <r>
    <s v="081/BSW-DIGINUSA/MOU/VIII/2023"/>
    <m/>
    <m/>
    <x v="335"/>
    <m/>
    <s v="Sr. Krista Yustina, PI"/>
    <m/>
    <s v="24 sesi"/>
    <d v="2023-09-01T00:00:00"/>
    <n v="2024"/>
    <x v="1"/>
    <m/>
    <s v="Robotik"/>
    <m/>
    <n v="160000"/>
    <n v="3200000"/>
    <x v="7"/>
    <x v="6"/>
    <x v="9"/>
    <n v="20"/>
    <m/>
    <m/>
  </r>
  <r>
    <s v="082/BSW-DIGINUSA/MOU/VIII/2023"/>
    <m/>
    <m/>
    <x v="336"/>
    <m/>
    <s v="Heny Widayanti"/>
    <m/>
    <s v="24 sesi"/>
    <d v="2023-09-01T00:00:00"/>
    <n v="2024"/>
    <x v="1"/>
    <m/>
    <s v="Robotik"/>
    <m/>
    <n v="220000"/>
    <n v="3520000"/>
    <x v="7"/>
    <x v="6"/>
    <x v="9"/>
    <n v="16"/>
    <m/>
    <m/>
  </r>
  <r>
    <s v="088/BSW-DIGINUSA/MOU/VIII/2023"/>
    <s v="Yayasan Dwi Bhakti"/>
    <m/>
    <x v="337"/>
    <m/>
    <s v="Yustina Tri Budi Pamularsih"/>
    <m/>
    <n v="2"/>
    <n v="2023"/>
    <n v="2025"/>
    <x v="0"/>
    <s v="Lisensi"/>
    <s v="TIK"/>
    <m/>
    <n v="4500000"/>
    <m/>
    <x v="7"/>
    <x v="7"/>
    <x v="4"/>
    <m/>
    <m/>
    <m/>
  </r>
  <r>
    <m/>
    <m/>
    <m/>
    <x v="338"/>
    <m/>
    <m/>
    <m/>
    <m/>
    <m/>
    <m/>
    <x v="2"/>
    <m/>
    <s v="HW/SW"/>
    <m/>
    <n v="66000000"/>
    <m/>
    <x v="7"/>
    <x v="2"/>
    <x v="9"/>
    <m/>
    <m/>
    <m/>
  </r>
  <r>
    <m/>
    <m/>
    <m/>
    <x v="339"/>
    <m/>
    <m/>
    <m/>
    <m/>
    <m/>
    <m/>
    <x v="2"/>
    <m/>
    <s v="HW/SW"/>
    <m/>
    <n v="362099990"/>
    <m/>
    <x v="7"/>
    <x v="2"/>
    <x v="9"/>
    <m/>
    <m/>
    <m/>
  </r>
  <r>
    <s v="054/BSW-DIGINUSA/ADD/VII/2023"/>
    <s v="Yayasan Kasih Abadi"/>
    <m/>
    <x v="340"/>
    <m/>
    <m/>
    <m/>
    <n v="3"/>
    <n v="2023"/>
    <n v="2025"/>
    <x v="0"/>
    <m/>
    <m/>
    <m/>
    <m/>
    <m/>
    <x v="7"/>
    <x v="0"/>
    <x v="9"/>
    <m/>
    <m/>
    <m/>
  </r>
  <r>
    <s v="057/BSW-DIGINUSA/ADD/VII/2023"/>
    <s v="Yayasan Penyelenggaraan Ilahi Indonesia - Jakarta"/>
    <s v="Sr. Aniesta, SDP"/>
    <x v="341"/>
    <m/>
    <m/>
    <m/>
    <n v="3"/>
    <n v="2022"/>
    <n v="2025"/>
    <x v="0"/>
    <s v="Sewa Pinjam"/>
    <s v="TIK"/>
    <n v="10000"/>
    <n v="570000"/>
    <m/>
    <x v="7"/>
    <x v="10"/>
    <x v="16"/>
    <m/>
    <m/>
    <m/>
  </r>
  <r>
    <s v="057/BSW-DIGINUSA/ADD/VII/2023"/>
    <s v="Yayasan Penyelenggaraan Ilahi Indonesia - Jakarta"/>
    <s v="Sr. Aniesta, SDP"/>
    <x v="342"/>
    <m/>
    <m/>
    <m/>
    <n v="3"/>
    <n v="2022"/>
    <n v="2025"/>
    <x v="0"/>
    <s v="Sewa Pinjam"/>
    <s v="TIK"/>
    <n v="40000"/>
    <n v="12680000"/>
    <n v="15000"/>
    <x v="7"/>
    <x v="10"/>
    <x v="16"/>
    <m/>
    <m/>
    <m/>
  </r>
  <r>
    <s v="076/BSW-DIGINUSA/ADD/VIII/2023"/>
    <s v="Yayasan Regina Pacis"/>
    <s v="Sr. Christina Sri Murni FMM"/>
    <x v="343"/>
    <m/>
    <m/>
    <m/>
    <n v="5"/>
    <n v="2022"/>
    <n v="2027"/>
    <x v="0"/>
    <m/>
    <s v="TIK"/>
    <s v="TAB 2022-2023 Rp29.000_x000a_TAB 2023-2024 Rp 33.500_x000a_TAB 2024-2025, 2025-2026, 2026-2027 Rp34.500"/>
    <m/>
    <m/>
    <x v="7"/>
    <x v="0"/>
    <x v="0"/>
    <n v="146"/>
    <m/>
    <m/>
  </r>
  <r>
    <s v="076/BSW-DIGINUSA/ADD/VIII/2023"/>
    <s v="Yayasan Regina Pacis"/>
    <s v="Sr. Christina Sri Murni FMM"/>
    <x v="344"/>
    <m/>
    <m/>
    <m/>
    <n v="5"/>
    <n v="2022"/>
    <n v="2027"/>
    <x v="0"/>
    <m/>
    <s v="TIK"/>
    <s v="TAB 2022-2023 90% Rp51.000 &amp; 10% Rp22.500_x000a_TAB 2023-2024 90% Rp55.500 &amp; 10% Rp26.000_x000a_TAB 2024-2025, 2025-2026, 2026-2027 90% Rp56.500 &amp; 10% Rp26.000"/>
    <m/>
    <m/>
    <x v="7"/>
    <x v="0"/>
    <x v="0"/>
    <n v="896"/>
    <m/>
    <m/>
  </r>
  <r>
    <s v="076/BSW-DIGINUSA/ADD/VIII/2023"/>
    <s v="Yayasan Regina Pacis"/>
    <s v="Sr. Christina Sri Murni FMM"/>
    <x v="345"/>
    <m/>
    <m/>
    <m/>
    <n v="5"/>
    <n v="2022"/>
    <n v="2027"/>
    <x v="0"/>
    <m/>
    <s v="TIK"/>
    <s v="TAB 2022-2023 90% Rp56.000 &amp; 10% Rp32.500_x000a_TAB 2023-2024 90% Rp60.500 &amp; 10% Rp36.000_x000a_TAB 2024-2025, 2025-2026, 2026-2027 90% Rp51.000 &amp; 10% Rp36.000"/>
    <m/>
    <m/>
    <x v="7"/>
    <x v="0"/>
    <x v="0"/>
    <n v="616"/>
    <m/>
    <m/>
  </r>
  <r>
    <s v="076/BSW-DIGINUSA/ADD/VIII/2023"/>
    <s v="Yayasan Regina Pacis"/>
    <s v="Sr. Christina Sri Murni FMM"/>
    <x v="346"/>
    <m/>
    <m/>
    <m/>
    <n v="5"/>
    <n v="2022"/>
    <n v="2027"/>
    <x v="0"/>
    <m/>
    <s v="TIK"/>
    <s v="TAB 2022-2023 90% Rp56.000 &amp; 10% Rp32.500_x000a_TAB 2023-2024 90% Rp60.500 &amp; 10% Rp36.000_x000a_TAB 2024-2025, 2025-2026, 2026-2027 90% Rp51.000 &amp; 10% Rp36.000"/>
    <m/>
    <m/>
    <x v="7"/>
    <x v="0"/>
    <x v="0"/>
    <n v="884"/>
    <m/>
    <m/>
  </r>
  <r>
    <s v="089/BSW-DIGINUSA/MOU/IX/2023"/>
    <m/>
    <m/>
    <x v="347"/>
    <m/>
    <m/>
    <m/>
    <m/>
    <m/>
    <m/>
    <x v="2"/>
    <m/>
    <s v="HW/SW"/>
    <m/>
    <m/>
    <m/>
    <x v="7"/>
    <x v="16"/>
    <x v="9"/>
    <m/>
    <m/>
    <m/>
  </r>
  <r>
    <m/>
    <s v="Yayasan Seri Amal"/>
    <m/>
    <x v="348"/>
    <m/>
    <m/>
    <m/>
    <m/>
    <m/>
    <m/>
    <x v="2"/>
    <m/>
    <s v="HW/SW"/>
    <n v="305800000"/>
    <m/>
    <m/>
    <x v="7"/>
    <x v="3"/>
    <x v="9"/>
    <m/>
    <m/>
    <m/>
  </r>
  <r>
    <m/>
    <s v="Yayasan Seri Amal"/>
    <m/>
    <x v="349"/>
    <m/>
    <m/>
    <m/>
    <m/>
    <m/>
    <m/>
    <x v="2"/>
    <m/>
    <s v="HW/SW"/>
    <n v="305800000"/>
    <m/>
    <m/>
    <x v="7"/>
    <x v="3"/>
    <x v="9"/>
    <m/>
    <m/>
    <m/>
  </r>
  <r>
    <m/>
    <s v="Yayasan Seri Amal"/>
    <m/>
    <x v="350"/>
    <m/>
    <m/>
    <m/>
    <m/>
    <m/>
    <m/>
    <x v="2"/>
    <m/>
    <s v="HW/SW"/>
    <n v="260200000"/>
    <m/>
    <m/>
    <x v="7"/>
    <x v="3"/>
    <x v="9"/>
    <m/>
    <m/>
    <m/>
  </r>
  <r>
    <s v="079/BSW-DIGINUSA/MOU/VIII/2023"/>
    <m/>
    <m/>
    <x v="103"/>
    <m/>
    <s v="Bernadetha Laginah, S.Ag."/>
    <m/>
    <s v="11 bulan"/>
    <d v="2023-09-01T00:00:00"/>
    <n v="2024"/>
    <x v="1"/>
    <m/>
    <s v="Robotik"/>
    <n v="114000"/>
    <m/>
    <m/>
    <x v="7"/>
    <x v="7"/>
    <x v="15"/>
    <n v="16"/>
    <m/>
    <m/>
  </r>
  <r>
    <s v="079/BSW-DIGINUSA/MOU/VIII/2023"/>
    <m/>
    <m/>
    <x v="103"/>
    <m/>
    <s v="Bernadetha Laginah, S.Ag."/>
    <m/>
    <s v="11 bulan"/>
    <d v="2023-09-01T00:00:00"/>
    <n v="2024"/>
    <x v="1"/>
    <m/>
    <s v="Coding"/>
    <n v="95000"/>
    <m/>
    <m/>
    <x v="7"/>
    <x v="7"/>
    <x v="15"/>
    <n v="12"/>
    <m/>
    <m/>
  </r>
  <r>
    <m/>
    <m/>
    <m/>
    <x v="40"/>
    <m/>
    <m/>
    <m/>
    <m/>
    <m/>
    <m/>
    <x v="2"/>
    <m/>
    <s v="HW/SW "/>
    <n v="1750000"/>
    <m/>
    <m/>
    <x v="7"/>
    <x v="5"/>
    <x v="9"/>
    <m/>
    <m/>
    <m/>
  </r>
  <r>
    <s v="090/BSW-DIGINUSA/MOU/IX/2023"/>
    <m/>
    <m/>
    <x v="351"/>
    <m/>
    <m/>
    <m/>
    <m/>
    <m/>
    <m/>
    <x v="2"/>
    <m/>
    <s v="HW/SW"/>
    <n v="5000000"/>
    <m/>
    <m/>
    <x v="7"/>
    <x v="9"/>
    <x v="9"/>
    <m/>
    <m/>
    <m/>
  </r>
  <r>
    <m/>
    <m/>
    <m/>
    <x v="40"/>
    <m/>
    <m/>
    <m/>
    <m/>
    <m/>
    <m/>
    <x v="2"/>
    <m/>
    <s v="HW/SW"/>
    <n v="300000"/>
    <m/>
    <m/>
    <x v="7"/>
    <x v="5"/>
    <x v="9"/>
    <m/>
    <m/>
    <m/>
  </r>
  <r>
    <s v="072/BSW-DIGINUSA/MOU/VI/2023"/>
    <s v="Yayasan Charitas Jakarta"/>
    <s v="Sr. Immaculata, Fch"/>
    <x v="352"/>
    <s v="D"/>
    <m/>
    <m/>
    <n v="3"/>
    <n v="2023"/>
    <n v="2026"/>
    <x v="0"/>
    <s v="Lisensi"/>
    <s v="SmartTK"/>
    <n v="20000"/>
    <m/>
    <m/>
    <x v="7"/>
    <x v="3"/>
    <x v="9"/>
    <m/>
    <m/>
    <m/>
  </r>
  <r>
    <s v="074/BSW-DIGINUSA/MOU/VII/2023"/>
    <m/>
    <m/>
    <x v="353"/>
    <m/>
    <m/>
    <m/>
    <n v="3"/>
    <n v="2023"/>
    <n v="2026"/>
    <x v="0"/>
    <s v="Lisensi"/>
    <s v="TIK"/>
    <m/>
    <n v="10000"/>
    <m/>
    <x v="7"/>
    <x v="3"/>
    <x v="2"/>
    <n v="84"/>
    <m/>
    <m/>
  </r>
  <r>
    <s v="074/BSW-DIGINUSA/MOU/VII/2023"/>
    <m/>
    <m/>
    <x v="354"/>
    <m/>
    <m/>
    <m/>
    <n v="3"/>
    <n v="2023"/>
    <n v="2026"/>
    <x v="0"/>
    <s v="Lisensi"/>
    <s v="TIK"/>
    <m/>
    <n v="10000"/>
    <m/>
    <x v="7"/>
    <x v="3"/>
    <x v="2"/>
    <n v="87"/>
    <m/>
    <m/>
  </r>
  <r>
    <m/>
    <m/>
    <m/>
    <x v="40"/>
    <m/>
    <m/>
    <m/>
    <m/>
    <m/>
    <m/>
    <x v="2"/>
    <m/>
    <s v="HW/SW"/>
    <n v="2475000"/>
    <m/>
    <m/>
    <x v="7"/>
    <x v="5"/>
    <x v="9"/>
    <m/>
    <m/>
    <m/>
  </r>
  <r>
    <s v="092/BSW-DIGINUSA/MOU/IX/2023"/>
    <m/>
    <m/>
    <x v="355"/>
    <m/>
    <s v="Sr. M. Agnesita Pujiati"/>
    <m/>
    <s v="24 sesi"/>
    <s v="Oktober 2023"/>
    <n v="2024"/>
    <x v="3"/>
    <m/>
    <s v="Coding"/>
    <n v="1000000"/>
    <m/>
    <m/>
    <x v="7"/>
    <x v="6"/>
    <x v="15"/>
    <n v="23"/>
    <m/>
    <m/>
  </r>
  <r>
    <s v="091/BSW-DIGINUSA/MOU/IX/2023                    "/>
    <s v="Yayasan Abdi Wacana"/>
    <s v="M.A. Christian"/>
    <x v="356"/>
    <m/>
    <m/>
    <m/>
    <m/>
    <s v="Oktober 2023"/>
    <d v="2024-02-01T00:00:00"/>
    <x v="3"/>
    <m/>
    <s v="Robotik"/>
    <s v="Oktober 2023 Rp5.000.000_x000a_Februari 2024 Rp5.000.000"/>
    <m/>
    <m/>
    <x v="7"/>
    <x v="8"/>
    <x v="15"/>
    <m/>
    <m/>
    <m/>
  </r>
  <r>
    <s v="096/BSW-DIGINUSA/MOU/VI/2023"/>
    <m/>
    <m/>
    <x v="357"/>
    <m/>
    <s v="FX Oktaf Laudensius"/>
    <m/>
    <n v="3"/>
    <n v="2022"/>
    <n v="2025"/>
    <x v="0"/>
    <s v="Sewa Pinjam "/>
    <s v="Smart Explorer"/>
    <n v="8900000"/>
    <m/>
    <m/>
    <x v="9"/>
    <x v="2"/>
    <x v="6"/>
    <n v="460"/>
    <m/>
    <m/>
  </r>
  <r>
    <s v="096/BSW-DIGINUSA/MOU/VI/2023"/>
    <m/>
    <m/>
    <x v="358"/>
    <m/>
    <s v="Sr. Paulia, OSF"/>
    <m/>
    <n v="3"/>
    <n v="2022"/>
    <n v="2025"/>
    <x v="3"/>
    <s v="Sewa Pinjam "/>
    <s v="Smart TK"/>
    <n v="800000"/>
    <m/>
    <m/>
    <x v="9"/>
    <x v="2"/>
    <x v="6"/>
    <n v="80"/>
    <m/>
    <m/>
  </r>
  <r>
    <s v="001/BSW-DIGINUSA/MOU/I/2024"/>
    <s v="Yayasan Taruna Bakti"/>
    <m/>
    <x v="359"/>
    <m/>
    <s v="Ibrahim AMirm S.E., M.B.A.Tech. (Ketua umum pengurus)"/>
    <m/>
    <s v="6 bulan"/>
    <s v="Januari 2024"/>
    <s v="Juni 2024"/>
    <x v="3"/>
    <s v="Lisensi"/>
    <s v="SmartTK"/>
    <n v="1500000"/>
    <m/>
    <m/>
    <x v="7"/>
    <x v="6"/>
    <x v="9"/>
    <m/>
    <m/>
    <m/>
  </r>
  <r>
    <s v="002/BSW-DIGINUSA/ADD/I/2024"/>
    <s v="Yayasan Pendidikan Umum Bethel"/>
    <s v="David Michael Gerungan, M.M."/>
    <x v="360"/>
    <m/>
    <m/>
    <m/>
    <s v="4 tahun"/>
    <s v="1 Juli 2023"/>
    <s v="30 Juni 2027"/>
    <x v="0"/>
    <s v="Kontrak Pengajaran"/>
    <s v="SmartTK"/>
    <n v="10000"/>
    <s v="Addendum Per Feb Hardware 7.000.000"/>
    <m/>
    <x v="7"/>
    <x v="9"/>
    <x v="17"/>
    <m/>
    <m/>
    <m/>
  </r>
  <r>
    <s v="002/BSW-DIGINUSA/ADD/I/2024"/>
    <s v="Yayasan Pendidikan Umum Bethel"/>
    <s v="David Michael Gerungan, M.M."/>
    <x v="361"/>
    <m/>
    <m/>
    <m/>
    <s v="4 tahun"/>
    <s v="1 Juli 2023"/>
    <s v="30 Juni 2027"/>
    <x v="0"/>
    <s v="Kontrak Pengajaran"/>
    <s v="Smart Explorer"/>
    <n v="10000"/>
    <m/>
    <m/>
    <x v="7"/>
    <x v="9"/>
    <x v="17"/>
    <m/>
    <m/>
    <m/>
  </r>
  <r>
    <s v="002/BSW-DIGINUSA/ADD/I/2024"/>
    <s v="Yayasan Pendidikan Umum Bethel"/>
    <s v="David Michael Gerungan, M.M."/>
    <x v="362"/>
    <m/>
    <m/>
    <m/>
    <s v="4 tahun"/>
    <s v="1 Juli 2023"/>
    <s v="30 Juni 2027"/>
    <x v="0"/>
    <s v="Kontrak Pengajaran"/>
    <s v="Future Pro"/>
    <n v="35000"/>
    <m/>
    <m/>
    <x v="7"/>
    <x v="9"/>
    <x v="17"/>
    <m/>
    <m/>
    <m/>
  </r>
  <r>
    <s v="002/BSW-DIGINUSA/ADD/I/2024"/>
    <s v="Yayasan Pendidikan Umum Bethel"/>
    <s v="David Michael Gerungan, M.M."/>
    <x v="363"/>
    <m/>
    <m/>
    <m/>
    <s v="4 tahun"/>
    <s v="1 Juli 2023"/>
    <s v="30 Juni 2027"/>
    <x v="0"/>
    <s v="Kontrak Pengajaran"/>
    <s v="Future Pro"/>
    <n v="35000"/>
    <m/>
    <m/>
    <x v="7"/>
    <x v="9"/>
    <x v="17"/>
    <m/>
    <m/>
    <m/>
  </r>
  <r>
    <s v="002/BSW-DIGINUSA/ADD/I/2024"/>
    <s v="Yayasan Pendidikan Umum Bethel"/>
    <s v="David Michael Gerungan, M.M."/>
    <x v="364"/>
    <m/>
    <m/>
    <m/>
    <s v="4 tahun"/>
    <s v="1 Juli 2023"/>
    <s v="30 Juni 2027"/>
    <x v="0"/>
    <s v="Sewa Pinjam"/>
    <s v="Future Pro"/>
    <n v="35000"/>
    <m/>
    <m/>
    <x v="7"/>
    <x v="9"/>
    <x v="17"/>
    <m/>
    <m/>
    <m/>
  </r>
  <r>
    <s v="003/BSW-DIGINUSA/MOU/III/2024"/>
    <s v="Candle Tree School"/>
    <s v="Handy Tan"/>
    <x v="365"/>
    <m/>
    <m/>
    <m/>
    <s v="1 tahun"/>
    <s v="1 Juli 2024"/>
    <s v="30 Juni 2025"/>
    <x v="3"/>
    <s v="Sewa Pinjam"/>
    <s v="Informatika Kurmer"/>
    <s v="flat"/>
    <n v="9200000"/>
    <m/>
    <x v="24"/>
    <x v="8"/>
    <x v="0"/>
    <m/>
    <m/>
    <m/>
  </r>
  <r>
    <s v="003/BSW-DIGINUSA/MOU/III/2024"/>
    <s v="Candle Tree School"/>
    <s v="Handy Tan"/>
    <x v="366"/>
    <m/>
    <m/>
    <m/>
    <s v="1 tahun"/>
    <s v="1 Juli 2024"/>
    <s v="30 Juni 2025"/>
    <x v="3"/>
    <s v="Sewa Pinjam"/>
    <s v="ITPreneur"/>
    <s v="flat"/>
    <n v="9200000"/>
    <m/>
    <x v="24"/>
    <x v="8"/>
    <x v="0"/>
    <m/>
    <m/>
    <m/>
  </r>
  <r>
    <s v="004/BSW-DIGINUSA/MOU/IV/2024"/>
    <s v="Yayasan Suaka Insan Suster-Suster Santo Paulus daro Chartres"/>
    <m/>
    <x v="367"/>
    <m/>
    <s v="Sr. Lucia Munde, SPC (Kepala Sub. Perwakilan YSI - SPC Jakarta)"/>
    <m/>
    <s v="3 tahun"/>
    <s v="1 Juli 2024"/>
    <s v="30 Juni 2027"/>
    <x v="0"/>
    <s v="Sewa Pinjam"/>
    <s v="Informatika Kurmer"/>
    <n v="11500"/>
    <n v="5175000"/>
    <m/>
    <x v="2"/>
    <x v="1"/>
    <x v="12"/>
    <m/>
    <m/>
    <m/>
  </r>
  <r>
    <s v="004/BSW-DIGINUSA/MOU/IV/2024"/>
    <s v="Yayasan Suaka Insan Suster-Suster Santo Paulus daro Chartres"/>
    <m/>
    <x v="368"/>
    <m/>
    <s v="Sr. Lucia Munde, SPC (Kepala Sub. Perwakilan YSI - SPC Jakarta)"/>
    <m/>
    <s v="3 tahun"/>
    <s v="1 Juli 2024"/>
    <s v="30 Juni 2027"/>
    <x v="0"/>
    <s v="Sewa Pinjam"/>
    <s v="Informatika Kurmer"/>
    <n v="13000"/>
    <n v="3120000"/>
    <m/>
    <x v="2"/>
    <x v="1"/>
    <x v="12"/>
    <m/>
    <m/>
    <m/>
  </r>
  <r>
    <s v="005/BSW-DIGINUSA/MOU/II/2024"/>
    <m/>
    <m/>
    <x v="369"/>
    <m/>
    <m/>
    <m/>
    <s v="2 tahun"/>
    <s v="1 Juli 2024"/>
    <s v="30 Juni 2026"/>
    <x v="3"/>
    <s v="Lisensi"/>
    <s v="Informatika Kurmer"/>
    <s v="(Termin)"/>
    <n v="33330000"/>
    <s v="9,090,000 (Dibayarkan Mei &amp; Agustus 2024) _x000a_18,180,000 (Dibayarkan Agustus 2025)"/>
    <x v="7"/>
    <x v="9"/>
    <x v="13"/>
    <m/>
    <m/>
    <m/>
  </r>
  <r>
    <s v="006/BSW-DIGINUSA/MOU/...../2024"/>
    <s v="Yayasan Kasih Abadi"/>
    <m/>
    <x v="319"/>
    <m/>
    <m/>
    <m/>
    <m/>
    <m/>
    <m/>
    <x v="2"/>
    <m/>
    <m/>
    <m/>
    <m/>
    <m/>
    <x v="7"/>
    <x v="10"/>
    <x v="9"/>
    <m/>
    <m/>
    <m/>
  </r>
  <r>
    <s v="006/BSW-DIGINUSA/MOU/...../2024"/>
    <s v="Yayasan Kasih Abadi"/>
    <m/>
    <x v="320"/>
    <m/>
    <m/>
    <m/>
    <m/>
    <m/>
    <m/>
    <x v="2"/>
    <m/>
    <m/>
    <m/>
    <m/>
    <m/>
    <x v="7"/>
    <x v="10"/>
    <x v="9"/>
    <m/>
    <m/>
    <m/>
  </r>
  <r>
    <s v="007/BSW-DIGINUSA/MOU/V/2024"/>
    <s v="Yayasan Tarakanita Wilayah Surabaya"/>
    <m/>
    <x v="370"/>
    <m/>
    <m/>
    <m/>
    <s v="1 tahun"/>
    <s v="15 Agustus 2024"/>
    <s v="15 Mei 2025"/>
    <x v="0"/>
    <s v="Sewa Pinjam"/>
    <s v="Informatika Kurmer"/>
    <n v="40000"/>
    <s v="x jumlah siswa"/>
    <s v="35.000 dis 20% jadi 28.000 (Dibayarkan Oktober)"/>
    <x v="6"/>
    <x v="4"/>
    <x v="3"/>
    <m/>
    <m/>
    <m/>
  </r>
  <r>
    <s v="007/BSW-DIGINUSA/MOU/V/2024"/>
    <s v="Yayasan Tarakanita Wilayah Surabaya"/>
    <m/>
    <x v="26"/>
    <m/>
    <m/>
    <m/>
    <s v="1 tahun"/>
    <s v="15 Agustus 2024"/>
    <s v="15 Mei 2025"/>
    <x v="0"/>
    <s v="Sewa Pinjam"/>
    <s v="Informatika Kurmer &amp; ITPreneur"/>
    <n v="59000"/>
    <s v="x jumlah siswa"/>
    <s v="70.000 dis 20% jadi 56.000 (Dibayarkan Oktober)"/>
    <x v="6"/>
    <x v="4"/>
    <x v="3"/>
    <m/>
    <m/>
    <m/>
  </r>
  <r>
    <s v="007/BSW-DIGINUSA/MOU/V/2024"/>
    <s v="Yayasan Tarakanita Wilayah Surabaya"/>
    <m/>
    <x v="371"/>
    <m/>
    <m/>
    <m/>
    <s v="1 tahun"/>
    <s v="15 Agustus 2024"/>
    <s v="15 Mei 2025"/>
    <x v="0"/>
    <s v="Sewa Pinjam"/>
    <s v="Informatika Kurmer &amp; ITPreneur"/>
    <n v="59000"/>
    <s v="x jumlah siswa"/>
    <s v="70.000 dis 20% jadi 56.000 (Dibayarkan Oktober)"/>
    <x v="6"/>
    <x v="4"/>
    <x v="3"/>
    <m/>
    <m/>
    <m/>
  </r>
  <r>
    <s v="007/BSW-DIGINUSA/MOU/V/2024"/>
    <s v="Yayasan Tarakanita Wilayah Surabaya"/>
    <m/>
    <x v="29"/>
    <m/>
    <m/>
    <m/>
    <s v="1 tahun"/>
    <s v="15 Agustus 2024"/>
    <s v="15 Mei 2025"/>
    <x v="0"/>
    <s v="Sewa Pinjam"/>
    <s v="Informatika Kurmer"/>
    <n v="40000"/>
    <s v="x jumlah siswa"/>
    <s v="35.000 dis 20% jadi 28.000 (Dibayarkan Oktober)"/>
    <x v="6"/>
    <x v="4"/>
    <x v="3"/>
    <m/>
    <m/>
    <m/>
  </r>
  <r>
    <s v="007/BSW-DIGINUSA/MOU/V/2024"/>
    <s v="Yayasan Tarakanita Wilayah Surabaya"/>
    <m/>
    <x v="28"/>
    <m/>
    <m/>
    <m/>
    <s v="1 tahun"/>
    <s v="15 Agustus 2024"/>
    <s v="15 Mei 2025"/>
    <x v="0"/>
    <s v="Sewa Pinjam"/>
    <s v="Informatika Kurmer &amp; ITPreneur"/>
    <n v="59000"/>
    <s v="x jumlah siswa"/>
    <s v="70.000 dis 20% jadi 56.000 (Dibayarkan Oktober)"/>
    <x v="6"/>
    <x v="4"/>
    <x v="3"/>
    <m/>
    <m/>
    <m/>
  </r>
  <r>
    <s v="008/BSW-DIGINUSA/MOU/V/2024"/>
    <s v="Yayasan Karya Sang Timur Cakung"/>
    <m/>
    <x v="372"/>
    <m/>
    <m/>
    <m/>
    <m/>
    <m/>
    <m/>
    <x v="2"/>
    <m/>
    <m/>
    <m/>
    <m/>
    <m/>
    <x v="7"/>
    <x v="10"/>
    <x v="9"/>
    <m/>
    <m/>
    <m/>
  </r>
  <r>
    <s v="009/BSW-DIGINUSA/MOU/V/2024"/>
    <s v="Yayasan Asti Darma Cab. Grogol"/>
    <s v="Sr. M. Godeliva, PBHK"/>
    <x v="373"/>
    <m/>
    <m/>
    <m/>
    <s v="1 tahun"/>
    <s v="1 Juli 2024"/>
    <s v="30 Juni 2025"/>
    <x v="0"/>
    <s v="Kontrak Pengajaran"/>
    <s v="Smart TK"/>
    <s v="flat"/>
    <n v="2000000"/>
    <m/>
    <x v="25"/>
    <x v="5"/>
    <x v="6"/>
    <m/>
    <m/>
    <m/>
  </r>
  <r>
    <s v="010/BSW-DIGINUSA/MOU/..../2024"/>
    <m/>
    <m/>
    <x v="374"/>
    <m/>
    <m/>
    <m/>
    <m/>
    <m/>
    <m/>
    <x v="2"/>
    <m/>
    <m/>
    <m/>
    <m/>
    <m/>
    <x v="7"/>
    <x v="10"/>
    <x v="9"/>
    <m/>
    <m/>
    <m/>
  </r>
  <r>
    <s v="011/BSW-DIGINUSA/MOU/..../2024"/>
    <m/>
    <m/>
    <x v="374"/>
    <m/>
    <m/>
    <m/>
    <m/>
    <m/>
    <m/>
    <x v="2"/>
    <m/>
    <m/>
    <m/>
    <m/>
    <m/>
    <x v="7"/>
    <x v="10"/>
    <x v="9"/>
    <m/>
    <m/>
    <m/>
  </r>
  <r>
    <s v="012/BSW-DIGINUSA/MOU/V/2024"/>
    <m/>
    <m/>
    <x v="375"/>
    <m/>
    <m/>
    <m/>
    <s v="2 tahun"/>
    <s v="1 Agustus 2024"/>
    <s v="31 Mei 2026"/>
    <x v="0"/>
    <s v="Lisensi"/>
    <s v="Informatika Kurmer"/>
    <s v="free"/>
    <s v="-"/>
    <m/>
    <x v="26"/>
    <x v="6"/>
    <x v="12"/>
    <m/>
    <m/>
    <m/>
  </r>
  <r>
    <s v="012/BSW-DIGINUSA/MOU/V/2024"/>
    <m/>
    <m/>
    <x v="271"/>
    <m/>
    <s v="Agustina Wagiyanti"/>
    <m/>
    <s v="2 tahun"/>
    <s v="1 Agustus 2024"/>
    <s v="31 Mei 2026"/>
    <x v="0"/>
    <s v="Lisensi"/>
    <s v="Informatika Kurmer"/>
    <n v="11500"/>
    <n v="3450000"/>
    <m/>
    <x v="26"/>
    <x v="6"/>
    <x v="12"/>
    <m/>
    <m/>
    <m/>
  </r>
  <r>
    <s v="013/BSW-DIGINUSA/MOU/VI/2024"/>
    <s v="Yayasan Asti Darma Pusat"/>
    <m/>
    <x v="376"/>
    <m/>
    <m/>
    <m/>
    <m/>
    <m/>
    <m/>
    <x v="2"/>
    <m/>
    <m/>
    <m/>
    <m/>
    <m/>
    <x v="7"/>
    <x v="10"/>
    <x v="9"/>
    <m/>
    <m/>
    <m/>
  </r>
  <r>
    <s v="014/BSW-DIGINUSA/MOU/V/2024"/>
    <s v="BPK Penabur Cianjur"/>
    <m/>
    <x v="377"/>
    <m/>
    <m/>
    <m/>
    <m/>
    <m/>
    <m/>
    <x v="2"/>
    <m/>
    <m/>
    <m/>
    <m/>
    <m/>
    <x v="7"/>
    <x v="10"/>
    <x v="9"/>
    <m/>
    <m/>
    <m/>
  </r>
  <r>
    <s v="014/BSW-DIGINUSA/MOU/V/2024"/>
    <s v="BPK Penabur Cianjur"/>
    <m/>
    <x v="378"/>
    <m/>
    <m/>
    <m/>
    <m/>
    <m/>
    <m/>
    <x v="2"/>
    <m/>
    <m/>
    <m/>
    <m/>
    <m/>
    <x v="7"/>
    <x v="10"/>
    <x v="9"/>
    <m/>
    <m/>
    <m/>
  </r>
  <r>
    <s v="014/BSW-DIGINUSA/MOU/V/2024"/>
    <s v="BPK Penabur Cianjur"/>
    <m/>
    <x v="379"/>
    <m/>
    <m/>
    <m/>
    <m/>
    <m/>
    <m/>
    <x v="2"/>
    <m/>
    <m/>
    <m/>
    <m/>
    <m/>
    <x v="7"/>
    <x v="10"/>
    <x v="9"/>
    <m/>
    <m/>
    <m/>
  </r>
  <r>
    <s v="014/BSW-DIGINUSA/MOU/V/2024"/>
    <s v="BPK Penabur Cianjur"/>
    <m/>
    <x v="380"/>
    <m/>
    <m/>
    <m/>
    <m/>
    <m/>
    <m/>
    <x v="2"/>
    <m/>
    <m/>
    <m/>
    <m/>
    <m/>
    <x v="7"/>
    <x v="10"/>
    <x v="9"/>
    <m/>
    <m/>
    <m/>
  </r>
  <r>
    <s v="015/BSW-DIGINUSA/MOU/V/2024"/>
    <m/>
    <m/>
    <x v="381"/>
    <m/>
    <s v="Maya Indira, S.Pd"/>
    <m/>
    <s v="3 tahun"/>
    <s v="1 Juni 2024"/>
    <s v="31 Mei 2027"/>
    <x v="3"/>
    <s v="Sewa Pinjam"/>
    <s v="Informatika Kurmer"/>
    <n v="15000"/>
    <n v="4935000"/>
    <m/>
    <x v="27"/>
    <x v="7"/>
    <x v="12"/>
    <m/>
    <m/>
    <m/>
  </r>
  <r>
    <s v="016/BSW-DIGINUSA/MOU/VI/2024"/>
    <m/>
    <m/>
    <x v="382"/>
    <m/>
    <m/>
    <m/>
    <m/>
    <m/>
    <m/>
    <x v="2"/>
    <m/>
    <m/>
    <m/>
    <m/>
    <m/>
    <x v="7"/>
    <x v="10"/>
    <x v="9"/>
    <m/>
    <m/>
    <m/>
  </r>
  <r>
    <s v="016/BSW-DIGINUSA/MOU/VI/2024"/>
    <m/>
    <m/>
    <x v="383"/>
    <m/>
    <m/>
    <m/>
    <m/>
    <m/>
    <m/>
    <x v="2"/>
    <m/>
    <m/>
    <m/>
    <m/>
    <m/>
    <x v="7"/>
    <x v="10"/>
    <x v="9"/>
    <m/>
    <m/>
    <m/>
  </r>
  <r>
    <s v="017/BSW-DIGINUSA/MOU/VII/2024"/>
    <s v="Yayasan Tarakanita Jawa Tengah"/>
    <m/>
    <x v="374"/>
    <m/>
    <m/>
    <m/>
    <m/>
    <m/>
    <m/>
    <x v="2"/>
    <m/>
    <m/>
    <m/>
    <m/>
    <m/>
    <x v="7"/>
    <x v="10"/>
    <x v="9"/>
    <m/>
    <m/>
    <m/>
  </r>
  <r>
    <s v="018/BSW-DIGINUSA/MOU/VI/2024"/>
    <s v="Yayasan Lembaga Miryam"/>
    <m/>
    <x v="384"/>
    <m/>
    <s v="Sr. Modesta, HK"/>
    <m/>
    <s v="1 tahun"/>
    <s v="1 Agustus 2024"/>
    <s v="30 Juni 2025"/>
    <x v="0"/>
    <s v="Lisensi"/>
    <s v="Informatika Kurmer"/>
    <n v="13000"/>
    <s v="x jumlah siswa"/>
    <m/>
    <x v="28"/>
    <x v="5"/>
    <x v="12"/>
    <m/>
    <m/>
    <m/>
  </r>
  <r>
    <s v="019/BSW-DIGINUSA/MOU/VI/2024"/>
    <s v="Yayasan Seri Amal Medan"/>
    <m/>
    <x v="374"/>
    <m/>
    <m/>
    <m/>
    <m/>
    <m/>
    <m/>
    <x v="2"/>
    <m/>
    <m/>
    <m/>
    <m/>
    <m/>
    <x v="7"/>
    <x v="10"/>
    <x v="9"/>
    <m/>
    <m/>
    <m/>
  </r>
  <r>
    <s v="020/BSW-DIGINUSA/MOU/VI/2024"/>
    <s v="Yayasan Sekolah Anak Bangsa Surabaya"/>
    <m/>
    <x v="374"/>
    <m/>
    <m/>
    <m/>
    <m/>
    <m/>
    <m/>
    <x v="2"/>
    <m/>
    <m/>
    <m/>
    <m/>
    <m/>
    <x v="7"/>
    <x v="10"/>
    <x v="9"/>
    <m/>
    <m/>
    <m/>
  </r>
  <r>
    <s v="021/BSW-DIGINUSA/MOU/VI/2024"/>
    <s v="Yayasan Kasih Abadi "/>
    <m/>
    <x v="317"/>
    <m/>
    <m/>
    <m/>
    <m/>
    <m/>
    <m/>
    <x v="2"/>
    <m/>
    <m/>
    <m/>
    <m/>
    <m/>
    <x v="7"/>
    <x v="10"/>
    <x v="9"/>
    <m/>
    <m/>
    <m/>
  </r>
  <r>
    <s v="021/BSW-DIGINUSA/MOU/VI/2024"/>
    <s v="Yayasan Kasih Abadi "/>
    <m/>
    <x v="318"/>
    <m/>
    <m/>
    <m/>
    <m/>
    <m/>
    <m/>
    <x v="2"/>
    <m/>
    <m/>
    <m/>
    <m/>
    <m/>
    <x v="7"/>
    <x v="10"/>
    <x v="9"/>
    <m/>
    <m/>
    <m/>
  </r>
  <r>
    <s v="022/BSW-DIGINUSA/MOU/VI/2024"/>
    <s v="Yayasan Lembaga Miryam"/>
    <m/>
    <x v="385"/>
    <m/>
    <m/>
    <m/>
    <m/>
    <m/>
    <m/>
    <x v="2"/>
    <m/>
    <m/>
    <m/>
    <m/>
    <m/>
    <x v="7"/>
    <x v="10"/>
    <x v="9"/>
    <m/>
    <m/>
    <m/>
  </r>
  <r>
    <s v="023/BSW-DIGINUSA/MOU/VI/2024"/>
    <s v="Yayasan Penyelenggara Ilahi Indonesia"/>
    <s v="Sr. Aniseta, SDP"/>
    <x v="386"/>
    <m/>
    <m/>
    <m/>
    <s v="1 tahun"/>
    <s v="1 Juli 2024"/>
    <s v="30 Juni 2025"/>
    <x v="3"/>
    <s v="Lisensi"/>
    <s v="Informatika Kurmer"/>
    <m/>
    <n v="2550000"/>
    <n v="20000"/>
    <x v="29"/>
    <x v="6"/>
    <x v="12"/>
    <m/>
    <m/>
    <m/>
  </r>
  <r>
    <s v="024/BSW-DIGINUSA/MOU/VII/2024"/>
    <s v="Yayasan Asti Dharma Cab. Bogor"/>
    <m/>
    <x v="387"/>
    <m/>
    <m/>
    <m/>
    <m/>
    <m/>
    <m/>
    <x v="2"/>
    <m/>
    <m/>
    <m/>
    <m/>
    <m/>
    <x v="7"/>
    <x v="10"/>
    <x v="9"/>
    <m/>
    <m/>
    <m/>
  </r>
  <r>
    <s v="025/BSW-DIGINUSA/MOU/VI/2024"/>
    <m/>
    <m/>
    <x v="388"/>
    <m/>
    <m/>
    <m/>
    <m/>
    <m/>
    <m/>
    <x v="2"/>
    <m/>
    <m/>
    <m/>
    <m/>
    <m/>
    <x v="7"/>
    <x v="10"/>
    <x v="9"/>
    <m/>
    <m/>
    <m/>
  </r>
  <r>
    <s v="026/BSW-DIGINUSA/MOU/VI/2024"/>
    <s v="Yayasan Pelita Kasih "/>
    <m/>
    <x v="389"/>
    <m/>
    <m/>
    <m/>
    <m/>
    <m/>
    <m/>
    <x v="2"/>
    <m/>
    <m/>
    <m/>
    <m/>
    <m/>
    <x v="7"/>
    <x v="10"/>
    <x v="9"/>
    <m/>
    <m/>
    <m/>
  </r>
  <r>
    <s v="027/BSW-DIGINUSA/MOU/VI/2024"/>
    <s v="Yayasan Margie"/>
    <m/>
    <x v="390"/>
    <m/>
    <m/>
    <m/>
    <m/>
    <m/>
    <m/>
    <x v="2"/>
    <m/>
    <m/>
    <m/>
    <m/>
    <m/>
    <x v="7"/>
    <x v="10"/>
    <x v="9"/>
    <m/>
    <m/>
    <m/>
  </r>
  <r>
    <s v="027/BSW-DIGINUSA/MOU/VI/2024"/>
    <s v="Yayasan Margie"/>
    <m/>
    <x v="391"/>
    <m/>
    <m/>
    <m/>
    <m/>
    <m/>
    <m/>
    <x v="2"/>
    <m/>
    <m/>
    <m/>
    <m/>
    <m/>
    <x v="7"/>
    <x v="10"/>
    <x v="9"/>
    <m/>
    <m/>
    <m/>
  </r>
  <r>
    <s v="027/BSW-DIGINUSA/MOU/VI/2024"/>
    <s v="Yayasan Margie"/>
    <m/>
    <x v="392"/>
    <m/>
    <m/>
    <m/>
    <m/>
    <m/>
    <m/>
    <x v="2"/>
    <m/>
    <m/>
    <m/>
    <m/>
    <m/>
    <x v="7"/>
    <x v="10"/>
    <x v="9"/>
    <m/>
    <m/>
    <m/>
  </r>
  <r>
    <s v="027/BSW-DIGINUSA/MOU/VI/2024"/>
    <s v="Yayasan Margie"/>
    <m/>
    <x v="393"/>
    <m/>
    <m/>
    <m/>
    <m/>
    <m/>
    <m/>
    <x v="2"/>
    <m/>
    <m/>
    <m/>
    <m/>
    <m/>
    <x v="7"/>
    <x v="10"/>
    <x v="9"/>
    <m/>
    <m/>
    <m/>
  </r>
  <r>
    <s v="028/BSW-DIGINUSA/MOU/VI/2024"/>
    <m/>
    <m/>
    <x v="260"/>
    <m/>
    <m/>
    <m/>
    <m/>
    <m/>
    <m/>
    <x v="2"/>
    <m/>
    <m/>
    <m/>
    <m/>
    <m/>
    <x v="7"/>
    <x v="10"/>
    <x v="9"/>
    <m/>
    <m/>
    <m/>
  </r>
  <r>
    <s v="029/BSW-DIGINUSA/MOU/VI/2024"/>
    <s v="Yayasan Paskalis"/>
    <m/>
    <x v="394"/>
    <m/>
    <m/>
    <m/>
    <m/>
    <m/>
    <m/>
    <x v="2"/>
    <m/>
    <m/>
    <m/>
    <m/>
    <m/>
    <x v="7"/>
    <x v="10"/>
    <x v="9"/>
    <m/>
    <m/>
    <m/>
  </r>
  <r>
    <s v="029/BSW-DIGINUSA/MOU/VI/2024"/>
    <s v="Yayasan Paskalis"/>
    <m/>
    <x v="395"/>
    <m/>
    <m/>
    <m/>
    <m/>
    <m/>
    <m/>
    <x v="2"/>
    <m/>
    <m/>
    <m/>
    <m/>
    <m/>
    <x v="7"/>
    <x v="10"/>
    <x v="9"/>
    <m/>
    <m/>
    <m/>
  </r>
  <r>
    <s v="030/BSW-DIGINUSA/MOU/VI/2024"/>
    <s v="Permai School"/>
    <m/>
    <x v="396"/>
    <m/>
    <m/>
    <m/>
    <m/>
    <m/>
    <m/>
    <x v="2"/>
    <m/>
    <m/>
    <m/>
    <m/>
    <m/>
    <x v="7"/>
    <x v="10"/>
    <x v="9"/>
    <m/>
    <m/>
    <m/>
  </r>
  <r>
    <s v="030/BSW-DIGINUSA/MOU/VI/2024"/>
    <s v="Permai School"/>
    <m/>
    <x v="397"/>
    <m/>
    <m/>
    <m/>
    <m/>
    <m/>
    <m/>
    <x v="2"/>
    <m/>
    <m/>
    <m/>
    <m/>
    <m/>
    <x v="7"/>
    <x v="10"/>
    <x v="9"/>
    <m/>
    <m/>
    <m/>
  </r>
  <r>
    <s v="030/BSW-DIGINUSA/MOU/VI/2024"/>
    <s v="Permai School"/>
    <m/>
    <x v="398"/>
    <m/>
    <m/>
    <m/>
    <m/>
    <m/>
    <m/>
    <x v="2"/>
    <m/>
    <m/>
    <m/>
    <m/>
    <m/>
    <x v="7"/>
    <x v="10"/>
    <x v="9"/>
    <m/>
    <m/>
    <m/>
  </r>
  <r>
    <s v="031/BSW-DIGINUSA/MOU/VI/2024"/>
    <s v="Yayasan Abdi Karya "/>
    <m/>
    <x v="399"/>
    <m/>
    <s v="Dra. Luky Mardiana"/>
    <m/>
    <s v="1 tahun"/>
    <s v="1 Juli 2024"/>
    <s v="30 Juni 2025"/>
    <x v="0"/>
    <s v="Lisensi"/>
    <s v="ITPreneur"/>
    <n v="20000"/>
    <n v="9000000"/>
    <n v="15"/>
    <x v="7"/>
    <x v="17"/>
    <x v="4"/>
    <s v="Idy"/>
    <m/>
    <m/>
  </r>
  <r>
    <s v="032/BSW-DIGINUSA/MOU/VI/2024"/>
    <m/>
    <m/>
    <x v="355"/>
    <m/>
    <m/>
    <m/>
    <m/>
    <m/>
    <m/>
    <x v="2"/>
    <m/>
    <m/>
    <m/>
    <m/>
    <m/>
    <x v="7"/>
    <x v="10"/>
    <x v="9"/>
    <m/>
    <m/>
    <m/>
  </r>
  <r>
    <s v="033/BSW-DIGINUSA/MOU/VII/2024"/>
    <s v="Yayasan Xaverius Palembang"/>
    <m/>
    <x v="400"/>
    <m/>
    <m/>
    <m/>
    <m/>
    <m/>
    <m/>
    <x v="2"/>
    <m/>
    <m/>
    <m/>
    <m/>
    <m/>
    <x v="7"/>
    <x v="10"/>
    <x v="9"/>
    <m/>
    <m/>
    <m/>
  </r>
  <r>
    <s v="034/BSW-DIGINUSA/MOU/VII/2024"/>
    <s v="Al Masih Christian School"/>
    <m/>
    <x v="401"/>
    <m/>
    <m/>
    <m/>
    <m/>
    <m/>
    <m/>
    <x v="2"/>
    <m/>
    <m/>
    <m/>
    <m/>
    <m/>
    <x v="7"/>
    <x v="10"/>
    <x v="9"/>
    <m/>
    <m/>
    <m/>
  </r>
  <r>
    <s v="034/BSW-DIGINUSA/MOU/VII/2024"/>
    <s v="Al Masih Christian School"/>
    <m/>
    <x v="402"/>
    <m/>
    <m/>
    <m/>
    <m/>
    <m/>
    <m/>
    <x v="2"/>
    <m/>
    <m/>
    <m/>
    <m/>
    <m/>
    <x v="7"/>
    <x v="10"/>
    <x v="9"/>
    <m/>
    <m/>
    <m/>
  </r>
  <r>
    <s v="034/BSW-DIGINUSA/MOU/VII/2024"/>
    <s v="Al Masih Christian School"/>
    <m/>
    <x v="403"/>
    <m/>
    <m/>
    <m/>
    <m/>
    <m/>
    <m/>
    <x v="2"/>
    <m/>
    <m/>
    <m/>
    <m/>
    <m/>
    <x v="7"/>
    <x v="10"/>
    <x v="9"/>
    <m/>
    <m/>
    <m/>
  </r>
  <r>
    <s v="034/BSW-DIGINUSA/MOU/VII/2024"/>
    <s v="Al Masih Christian School"/>
    <m/>
    <x v="404"/>
    <m/>
    <m/>
    <m/>
    <m/>
    <m/>
    <m/>
    <x v="2"/>
    <m/>
    <m/>
    <m/>
    <m/>
    <m/>
    <x v="7"/>
    <x v="10"/>
    <x v="9"/>
    <m/>
    <m/>
    <m/>
  </r>
  <r>
    <s v="035/BSW-DIGINUSA/ADD/VII/2024"/>
    <s v="Yayasan Panti Asuhan Katolik"/>
    <m/>
    <x v="405"/>
    <m/>
    <m/>
    <m/>
    <m/>
    <m/>
    <m/>
    <x v="2"/>
    <m/>
    <m/>
    <m/>
    <m/>
    <m/>
    <x v="7"/>
    <x v="10"/>
    <x v="9"/>
    <m/>
    <m/>
    <m/>
  </r>
  <r>
    <s v="035/BSW-DIGINUSA/ADD/VII/2024"/>
    <s v="Yayasan Panti Asuhan Katolik"/>
    <m/>
    <x v="406"/>
    <m/>
    <m/>
    <m/>
    <m/>
    <m/>
    <m/>
    <x v="2"/>
    <m/>
    <m/>
    <m/>
    <m/>
    <m/>
    <x v="7"/>
    <x v="10"/>
    <x v="9"/>
    <m/>
    <m/>
    <m/>
  </r>
  <r>
    <s v="035/BSW-DIGINUSA/ADD/VII/2024"/>
    <s v="Yayasan Panti Asuhan Katolik"/>
    <m/>
    <x v="270"/>
    <m/>
    <m/>
    <m/>
    <m/>
    <m/>
    <m/>
    <x v="2"/>
    <m/>
    <m/>
    <m/>
    <m/>
    <m/>
    <x v="7"/>
    <x v="10"/>
    <x v="9"/>
    <m/>
    <m/>
    <m/>
  </r>
  <r>
    <s v="036/BSW-DIGINUSA/ADD/VII/2024"/>
    <s v="Yayasan Panti Asuhan Katolik"/>
    <m/>
    <x v="407"/>
    <m/>
    <m/>
    <m/>
    <m/>
    <m/>
    <m/>
    <x v="2"/>
    <m/>
    <m/>
    <m/>
    <m/>
    <m/>
    <x v="7"/>
    <x v="10"/>
    <x v="9"/>
    <m/>
    <m/>
    <m/>
  </r>
  <r>
    <s v="036/BSW-DIGINUSA/ADD/VII/2024"/>
    <s v="Yayasan Panti Asuhan Katolik"/>
    <m/>
    <x v="408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  <r>
    <m/>
    <m/>
    <m/>
    <x v="374"/>
    <m/>
    <m/>
    <m/>
    <m/>
    <m/>
    <m/>
    <x v="2"/>
    <m/>
    <m/>
    <m/>
    <m/>
    <m/>
    <x v="7"/>
    <x v="10"/>
    <x v="9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 - Cust Retention" cacheId="22" applyNumberFormats="0" applyBorderFormats="0" applyFontFormats="0" applyPatternFormats="0" applyAlignmentFormats="0" applyWidthHeightFormats="0" dataCaption="" updatedVersion="8" rowGrandTotals="0" compact="0" compactData="0">
  <location ref="A11:B125" firstHeaderRow="1" firstDataRow="1" firstDataCol="2"/>
  <pivotFields count="22">
    <pivotField name="No Perjanjian" compact="0" outline="0" multipleItemSelectionAllowed="1" showAll="0"/>
    <pivotField name="Nama Yayasan" compact="0" outline="0" multipleItemSelectionAllowed="1" showAll="0"/>
    <pivotField name="Nama Ketua Yayasan" compact="0" outline="0" multipleItemSelectionAllowed="1" showAll="0"/>
    <pivotField name="Nama Sekolah" axis="axisRow" compact="0" outline="0" multipleItemSelectionAllowed="1" showAll="0" sortType="ascending">
      <items count="410">
        <item x="261"/>
        <item x="286"/>
        <item x="301"/>
        <item x="288"/>
        <item x="313"/>
        <item x="353"/>
        <item x="46"/>
        <item x="205"/>
        <item x="5"/>
        <item x="197"/>
        <item x="402"/>
        <item x="177"/>
        <item x="152"/>
        <item x="243"/>
        <item x="227"/>
        <item x="194"/>
        <item x="308"/>
        <item x="361"/>
        <item x="165"/>
        <item x="101"/>
        <item x="169"/>
        <item x="316"/>
        <item x="287"/>
        <item x="111"/>
        <item x="113"/>
        <item x="378"/>
        <item x="116"/>
        <item x="119"/>
        <item x="202"/>
        <item x="311"/>
        <item x="63"/>
        <item x="279"/>
        <item x="365"/>
        <item x="130"/>
        <item x="268"/>
        <item x="191"/>
        <item x="181"/>
        <item x="129"/>
        <item x="138"/>
        <item x="134"/>
        <item x="141"/>
        <item x="250"/>
        <item x="232"/>
        <item x="350"/>
        <item x="262"/>
        <item x="147"/>
        <item x="281"/>
        <item x="215"/>
        <item x="163"/>
        <item x="239"/>
        <item x="150"/>
        <item x="376"/>
        <item x="57"/>
        <item x="61"/>
        <item x="335"/>
        <item x="273"/>
        <item x="253"/>
        <item x="107"/>
        <item x="105"/>
        <item x="247"/>
        <item x="391"/>
        <item x="69"/>
        <item x="64"/>
        <item x="357"/>
        <item x="234"/>
        <item x="312"/>
        <item x="271"/>
        <item x="265"/>
        <item x="204"/>
        <item x="210"/>
        <item x="207"/>
        <item x="143"/>
        <item x="395"/>
        <item x="176"/>
        <item x="85"/>
        <item x="91"/>
        <item x="94"/>
        <item x="89"/>
        <item x="79"/>
        <item x="82"/>
        <item x="99"/>
        <item x="96"/>
        <item x="383"/>
        <item x="325"/>
        <item x="67"/>
        <item x="336"/>
        <item x="175"/>
        <item x="394"/>
        <item x="201"/>
        <item x="11"/>
        <item x="8"/>
        <item x="396"/>
        <item x="172"/>
        <item x="322"/>
        <item x="332"/>
        <item x="103"/>
        <item x="156"/>
        <item x="344"/>
        <item x="1"/>
        <item x="40"/>
        <item x="36"/>
        <item x="259"/>
        <item x="309"/>
        <item x="367"/>
        <item x="73"/>
        <item x="342"/>
        <item x="229"/>
        <item x="173"/>
        <item x="179"/>
        <item x="22"/>
        <item x="19"/>
        <item x="276"/>
        <item x="14"/>
        <item x="406"/>
        <item x="389"/>
        <item x="27"/>
        <item x="370"/>
        <item x="254"/>
        <item x="296"/>
        <item x="29"/>
        <item x="183"/>
        <item x="123"/>
        <item x="231"/>
        <item x="213"/>
        <item x="161"/>
        <item x="318"/>
        <item x="340"/>
        <item x="220"/>
        <item x="351"/>
        <item x="48"/>
        <item x="52"/>
        <item x="233"/>
        <item x="219"/>
        <item x="381"/>
        <item x="77"/>
        <item x="267"/>
        <item x="384"/>
        <item x="225"/>
        <item x="216"/>
        <item x="306"/>
        <item x="400"/>
        <item x="223"/>
        <item x="224"/>
        <item x="305"/>
        <item x="310"/>
        <item x="369"/>
        <item x="260"/>
        <item x="30"/>
        <item x="333"/>
        <item x="235"/>
        <item x="38"/>
        <item x="264"/>
        <item x="236"/>
        <item x="295"/>
        <item x="303"/>
        <item x="356"/>
        <item x="362"/>
        <item x="277"/>
        <item x="43"/>
        <item x="41"/>
        <item x="7"/>
        <item x="199"/>
        <item x="404"/>
        <item x="154"/>
        <item x="245"/>
        <item x="167"/>
        <item x="380"/>
        <item x="121"/>
        <item x="256"/>
        <item x="24"/>
        <item x="366"/>
        <item x="132"/>
        <item x="140"/>
        <item x="136"/>
        <item x="348"/>
        <item x="21"/>
        <item x="149"/>
        <item x="241"/>
        <item x="59"/>
        <item x="334"/>
        <item x="275"/>
        <item x="109"/>
        <item x="249"/>
        <item x="393"/>
        <item x="145"/>
        <item x="87"/>
        <item x="84"/>
        <item x="98"/>
        <item x="13"/>
        <item x="398"/>
        <item x="285"/>
        <item x="158"/>
        <item x="346"/>
        <item x="3"/>
        <item x="242"/>
        <item x="190"/>
        <item x="15"/>
        <item x="408"/>
        <item x="25"/>
        <item x="127"/>
        <item x="125"/>
        <item x="32"/>
        <item x="349"/>
        <item x="34"/>
        <item x="371"/>
        <item x="185"/>
        <item x="320"/>
        <item x="222"/>
        <item x="302"/>
        <item x="50"/>
        <item x="71"/>
        <item x="257"/>
        <item x="297"/>
        <item x="299"/>
        <item x="399"/>
        <item x="292"/>
        <item x="237"/>
        <item x="291"/>
        <item x="364"/>
        <item x="168"/>
        <item x="270"/>
        <item x="128"/>
        <item x="126"/>
        <item x="388"/>
        <item x="266"/>
        <item x="51"/>
        <item x="300"/>
        <item x="298"/>
        <item x="289"/>
        <item x="290"/>
        <item x="347"/>
        <item x="314"/>
        <item x="354"/>
        <item x="44"/>
        <item x="42"/>
        <item x="47"/>
        <item x="6"/>
        <item x="198"/>
        <item x="403"/>
        <item x="178"/>
        <item x="153"/>
        <item x="244"/>
        <item x="228"/>
        <item x="195"/>
        <item x="166"/>
        <item x="114"/>
        <item x="379"/>
        <item x="283"/>
        <item x="117"/>
        <item x="120"/>
        <item x="203"/>
        <item x="255"/>
        <item x="23"/>
        <item x="131"/>
        <item x="192"/>
        <item x="182"/>
        <item x="324"/>
        <item x="139"/>
        <item x="135"/>
        <item x="251"/>
        <item x="20"/>
        <item x="263"/>
        <item x="148"/>
        <item x="240"/>
        <item x="58"/>
        <item x="274"/>
        <item x="108"/>
        <item x="248"/>
        <item x="392"/>
        <item x="65"/>
        <item x="211"/>
        <item x="208"/>
        <item x="144"/>
        <item x="86"/>
        <item x="80"/>
        <item x="92"/>
        <item x="83"/>
        <item x="100"/>
        <item x="97"/>
        <item x="12"/>
        <item x="9"/>
        <item x="397"/>
        <item x="323"/>
        <item x="284"/>
        <item x="157"/>
        <item x="345"/>
        <item x="2"/>
        <item x="37"/>
        <item x="307"/>
        <item x="368"/>
        <item x="74"/>
        <item x="230"/>
        <item x="180"/>
        <item x="16"/>
        <item x="26"/>
        <item x="31"/>
        <item x="28"/>
        <item x="33"/>
        <item x="386"/>
        <item x="184"/>
        <item x="124"/>
        <item x="214"/>
        <item x="162"/>
        <item x="319"/>
        <item x="221"/>
        <item x="355"/>
        <item x="269"/>
        <item x="49"/>
        <item x="55"/>
        <item x="53"/>
        <item x="70"/>
        <item x="280"/>
        <item x="385"/>
        <item x="217"/>
        <item x="186"/>
        <item x="189"/>
        <item x="407"/>
        <item x="258"/>
        <item x="363"/>
        <item x="45"/>
        <item x="4"/>
        <item x="196"/>
        <item x="401"/>
        <item x="151"/>
        <item x="226"/>
        <item x="193"/>
        <item x="360"/>
        <item x="164"/>
        <item x="293"/>
        <item x="110"/>
        <item x="112"/>
        <item x="387"/>
        <item x="377"/>
        <item x="282"/>
        <item x="115"/>
        <item x="118"/>
        <item x="62"/>
        <item x="278"/>
        <item x="352"/>
        <item x="66"/>
        <item x="17"/>
        <item x="137"/>
        <item x="133"/>
        <item x="18"/>
        <item x="294"/>
        <item x="146"/>
        <item x="238"/>
        <item x="373"/>
        <item x="60"/>
        <item x="272"/>
        <item x="252"/>
        <item x="106"/>
        <item x="104"/>
        <item x="246"/>
        <item x="390"/>
        <item x="68"/>
        <item x="326"/>
        <item x="375"/>
        <item x="358"/>
        <item x="209"/>
        <item x="206"/>
        <item x="142"/>
        <item x="75"/>
        <item x="405"/>
        <item x="90"/>
        <item x="93"/>
        <item x="88"/>
        <item x="78"/>
        <item x="81"/>
        <item x="330"/>
        <item x="95"/>
        <item x="382"/>
        <item x="174"/>
        <item x="200"/>
        <item x="160"/>
        <item x="10"/>
        <item x="171"/>
        <item x="102"/>
        <item x="155"/>
        <item x="343"/>
        <item x="0"/>
        <item x="159"/>
        <item x="372"/>
        <item x="39"/>
        <item x="35"/>
        <item x="337"/>
        <item x="321"/>
        <item x="72"/>
        <item x="341"/>
        <item x="56"/>
        <item x="328"/>
        <item x="327"/>
        <item x="315"/>
        <item x="122"/>
        <item x="212"/>
        <item x="317"/>
        <item x="331"/>
        <item x="54"/>
        <item x="359"/>
        <item x="218"/>
        <item x="76"/>
        <item x="170"/>
        <item x="304"/>
        <item x="339"/>
        <item x="329"/>
        <item x="338"/>
        <item x="188"/>
        <item x="187"/>
        <item x="374"/>
        <item t="default"/>
      </items>
    </pivotField>
    <pivotField name="Grade" compact="0" outline="0" multipleItemSelectionAllowed="1" showAll="0"/>
    <pivotField name="Kepala Sekolah" compact="0" outline="0" multipleItemSelectionAllowed="1" showAll="0"/>
    <pivotField name="Email" compact="0" outline="0" multipleItemSelectionAllowed="1" showAll="0"/>
    <pivotField name="Masa Kerja Sama" compact="0" outline="0" multipleItemSelectionAllowed="1" showAll="0"/>
    <pivotField name="Awal Kerja Sama" compact="0" outline="0" multipleItemSelectionAllowed="1" showAll="0"/>
    <pivotField name="Akhir Kerja Sama" compact="0" outline="0" multipleItemSelectionAllowed="1" showAll="0"/>
    <pivotField name="Status Kerja Sama" axis="axisRow" compact="0" outline="0" multipleItemSelectionAllowed="1" showAll="0" sortType="ascending" defaultSubtotal="0">
      <items count="4">
        <item h="1" x="0"/>
        <item h="1" x="3"/>
        <item x="1"/>
        <item h="1" x="2"/>
      </items>
    </pivotField>
    <pivotField name="Jenis Kerja Sama" compact="0" outline="0" multipleItemSelectionAllowed="1" showAll="0"/>
    <pivotField name="Produk TIK" compact="0" outline="0" multipleItemSelectionAllowed="1" showAll="0"/>
    <pivotField name="Iuran Siswa/ Bulan" compact="0" outline="0" multipleItemSelectionAllowed="1" showAll="0"/>
    <pivotField name="Omzet Perbulan" compact="0" outline="0" multipleItemSelectionAllowed="1" showAll="0"/>
    <pivotField compact="0" outline="0" showAll="0" includeNewItemsInFilter="1"/>
    <pivotField name="Teknisi" compact="0" outline="0" multipleItemSelectionAllowed="1" showAll="0"/>
    <pivotField name="Sales" compact="0" outline="0" multipleItemSelectionAllowed="1" showAll="0"/>
    <pivotField name="Akademik" compact="0" outline="0" multipleItemSelectionAllowed="1" showAll="0"/>
    <pivotField name="Min. Jumlah Siswa" compact="0" outline="0" multipleItemSelectionAllowed="1" showAll="0"/>
    <pivotField name="Guru" compact="0" outline="0" multipleItemSelectionAllowed="1" showAll="0"/>
    <pivotField name="LKS" compact="0" outline="0" multipleItemSelectionAllowed="1" showAll="0"/>
  </pivotFields>
  <rowFields count="2">
    <field x="10"/>
    <field x="3"/>
  </rowFields>
  <rowItems count="114">
    <i>
      <x v="2"/>
      <x/>
    </i>
    <i r="1">
      <x v="12"/>
    </i>
    <i r="1">
      <x v="13"/>
    </i>
    <i r="1">
      <x v="21"/>
    </i>
    <i r="1">
      <x v="23"/>
    </i>
    <i r="1">
      <x v="24"/>
    </i>
    <i r="1">
      <x v="27"/>
    </i>
    <i r="1">
      <x v="31"/>
    </i>
    <i r="1">
      <x v="36"/>
    </i>
    <i r="1">
      <x v="42"/>
    </i>
    <i r="1">
      <x v="44"/>
    </i>
    <i r="1">
      <x v="50"/>
    </i>
    <i r="1">
      <x v="54"/>
    </i>
    <i r="1">
      <x v="56"/>
    </i>
    <i r="1">
      <x v="59"/>
    </i>
    <i r="1">
      <x v="65"/>
    </i>
    <i r="1">
      <x v="66"/>
    </i>
    <i r="1">
      <x v="67"/>
    </i>
    <i r="1">
      <x v="69"/>
    </i>
    <i r="1">
      <x v="70"/>
    </i>
    <i r="1">
      <x v="73"/>
    </i>
    <i r="1">
      <x v="74"/>
    </i>
    <i r="1">
      <x v="76"/>
    </i>
    <i r="1">
      <x v="77"/>
    </i>
    <i r="1">
      <x v="78"/>
    </i>
    <i r="1">
      <x v="83"/>
    </i>
    <i r="1">
      <x v="85"/>
    </i>
    <i r="1">
      <x v="86"/>
    </i>
    <i r="1">
      <x v="90"/>
    </i>
    <i r="1">
      <x v="94"/>
    </i>
    <i r="1">
      <x v="95"/>
    </i>
    <i r="1">
      <x v="101"/>
    </i>
    <i r="1">
      <x v="108"/>
    </i>
    <i r="1">
      <x v="111"/>
    </i>
    <i r="1">
      <x v="115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9"/>
    </i>
    <i r="1">
      <x v="130"/>
    </i>
    <i r="1">
      <x v="131"/>
    </i>
    <i r="1">
      <x v="135"/>
    </i>
    <i r="1">
      <x v="138"/>
    </i>
    <i r="1">
      <x v="146"/>
    </i>
    <i r="1">
      <x v="147"/>
    </i>
    <i r="1">
      <x v="163"/>
    </i>
    <i r="1">
      <x v="164"/>
    </i>
    <i r="1">
      <x v="167"/>
    </i>
    <i r="1">
      <x v="179"/>
    </i>
    <i r="1">
      <x v="182"/>
    </i>
    <i r="1">
      <x v="187"/>
    </i>
    <i r="1">
      <x v="198"/>
    </i>
    <i r="1">
      <x v="199"/>
    </i>
    <i r="1">
      <x v="200"/>
    </i>
    <i r="1">
      <x v="205"/>
    </i>
    <i r="1">
      <x v="206"/>
    </i>
    <i r="1">
      <x v="209"/>
    </i>
    <i r="1">
      <x v="211"/>
    </i>
    <i r="1">
      <x v="216"/>
    </i>
    <i r="1">
      <x v="221"/>
    </i>
    <i r="1">
      <x v="222"/>
    </i>
    <i r="1">
      <x v="225"/>
    </i>
    <i r="1">
      <x v="240"/>
    </i>
    <i r="1">
      <x v="241"/>
    </i>
    <i r="1">
      <x v="245"/>
    </i>
    <i r="1">
      <x v="249"/>
    </i>
    <i r="1">
      <x v="255"/>
    </i>
    <i r="1">
      <x v="261"/>
    </i>
    <i r="1">
      <x v="267"/>
    </i>
    <i r="1">
      <x v="270"/>
    </i>
    <i r="1">
      <x v="271"/>
    </i>
    <i r="1">
      <x v="274"/>
    </i>
    <i r="1">
      <x v="278"/>
    </i>
    <i r="1">
      <x v="280"/>
    </i>
    <i r="1">
      <x v="292"/>
    </i>
    <i r="1">
      <x v="294"/>
    </i>
    <i r="1">
      <x v="296"/>
    </i>
    <i r="1">
      <x v="299"/>
    </i>
    <i r="1">
      <x v="300"/>
    </i>
    <i r="1">
      <x v="301"/>
    </i>
    <i r="1">
      <x v="302"/>
    </i>
    <i r="1">
      <x v="303"/>
    </i>
    <i r="1">
      <x v="306"/>
    </i>
    <i r="1">
      <x v="307"/>
    </i>
    <i r="1">
      <x v="308"/>
    </i>
    <i r="1">
      <x v="309"/>
    </i>
    <i r="1">
      <x v="311"/>
    </i>
    <i r="1">
      <x v="313"/>
    </i>
    <i r="1">
      <x v="323"/>
    </i>
    <i r="1">
      <x v="329"/>
    </i>
    <i r="1">
      <x v="330"/>
    </i>
    <i r="1">
      <x v="335"/>
    </i>
    <i r="1">
      <x v="337"/>
    </i>
    <i r="1">
      <x v="340"/>
    </i>
    <i r="1">
      <x v="343"/>
    </i>
    <i r="1">
      <x v="344"/>
    </i>
    <i r="1">
      <x v="350"/>
    </i>
    <i r="1">
      <x v="353"/>
    </i>
    <i r="1">
      <x v="359"/>
    </i>
    <i r="1">
      <x v="360"/>
    </i>
    <i r="1">
      <x v="368"/>
    </i>
    <i r="1">
      <x v="372"/>
    </i>
    <i r="1">
      <x v="383"/>
    </i>
    <i r="1">
      <x v="392"/>
    </i>
    <i r="1">
      <x v="393"/>
    </i>
    <i r="1">
      <x v="394"/>
    </i>
    <i r="1">
      <x v="395"/>
    </i>
    <i r="1">
      <x v="397"/>
    </i>
  </rowItems>
  <colItems count="1">
    <i/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Pivot - Cust Existing" cacheId="22" applyNumberFormats="0" applyBorderFormats="0" applyFontFormats="0" applyPatternFormats="0" applyAlignmentFormats="0" applyWidthHeightFormats="0" dataCaption="" updatedVersion="8" rowGrandTotals="0" compact="0" compactData="0">
  <location ref="A2:B229" firstHeaderRow="1" firstDataRow="1" firstDataCol="2"/>
  <pivotFields count="22">
    <pivotField name="No Perjanjian" compact="0" outline="0" multipleItemSelectionAllowed="1" showAll="0"/>
    <pivotField name="Nama Yayasan" compact="0" outline="0" multipleItemSelectionAllowed="1" showAll="0"/>
    <pivotField name="Nama Ketua Yayasan" compact="0" outline="0" multipleItemSelectionAllowed="1" showAll="0"/>
    <pivotField name="Nama Sekolah" axis="axisRow" compact="0" outline="0" multipleItemSelectionAllowed="1" showAll="0" sortType="ascending">
      <items count="410">
        <item x="261"/>
        <item x="286"/>
        <item x="301"/>
        <item x="288"/>
        <item x="313"/>
        <item x="353"/>
        <item x="46"/>
        <item x="205"/>
        <item x="5"/>
        <item x="197"/>
        <item x="402"/>
        <item x="177"/>
        <item x="152"/>
        <item x="243"/>
        <item x="227"/>
        <item x="194"/>
        <item x="308"/>
        <item x="361"/>
        <item x="165"/>
        <item x="101"/>
        <item x="169"/>
        <item x="316"/>
        <item x="287"/>
        <item x="111"/>
        <item x="113"/>
        <item x="378"/>
        <item x="116"/>
        <item x="119"/>
        <item x="202"/>
        <item x="311"/>
        <item x="63"/>
        <item x="279"/>
        <item x="365"/>
        <item x="130"/>
        <item x="268"/>
        <item x="191"/>
        <item x="181"/>
        <item x="129"/>
        <item x="138"/>
        <item x="134"/>
        <item x="141"/>
        <item x="250"/>
        <item x="232"/>
        <item x="350"/>
        <item x="262"/>
        <item x="147"/>
        <item x="281"/>
        <item x="215"/>
        <item x="163"/>
        <item x="239"/>
        <item x="150"/>
        <item x="376"/>
        <item x="57"/>
        <item x="61"/>
        <item x="335"/>
        <item x="273"/>
        <item x="253"/>
        <item x="107"/>
        <item x="105"/>
        <item x="247"/>
        <item x="391"/>
        <item x="69"/>
        <item x="64"/>
        <item x="357"/>
        <item x="234"/>
        <item x="312"/>
        <item x="271"/>
        <item x="265"/>
        <item x="204"/>
        <item x="210"/>
        <item x="207"/>
        <item x="143"/>
        <item x="395"/>
        <item x="176"/>
        <item x="85"/>
        <item x="91"/>
        <item x="94"/>
        <item x="89"/>
        <item x="79"/>
        <item x="82"/>
        <item x="99"/>
        <item x="96"/>
        <item x="383"/>
        <item x="325"/>
        <item x="67"/>
        <item x="336"/>
        <item x="175"/>
        <item x="394"/>
        <item x="201"/>
        <item x="11"/>
        <item x="8"/>
        <item x="396"/>
        <item x="172"/>
        <item x="322"/>
        <item x="332"/>
        <item x="103"/>
        <item x="156"/>
        <item x="344"/>
        <item x="1"/>
        <item x="40"/>
        <item x="36"/>
        <item x="259"/>
        <item x="309"/>
        <item x="367"/>
        <item x="73"/>
        <item x="342"/>
        <item x="229"/>
        <item x="173"/>
        <item x="179"/>
        <item x="22"/>
        <item x="19"/>
        <item x="276"/>
        <item x="14"/>
        <item x="406"/>
        <item x="389"/>
        <item x="27"/>
        <item x="370"/>
        <item x="254"/>
        <item x="296"/>
        <item x="29"/>
        <item x="183"/>
        <item x="123"/>
        <item x="231"/>
        <item x="213"/>
        <item x="161"/>
        <item x="318"/>
        <item x="340"/>
        <item x="220"/>
        <item x="351"/>
        <item x="48"/>
        <item x="52"/>
        <item x="233"/>
        <item x="219"/>
        <item x="381"/>
        <item x="77"/>
        <item x="267"/>
        <item x="384"/>
        <item x="225"/>
        <item x="216"/>
        <item x="306"/>
        <item x="400"/>
        <item x="223"/>
        <item x="224"/>
        <item x="305"/>
        <item x="310"/>
        <item x="369"/>
        <item x="260"/>
        <item x="30"/>
        <item x="333"/>
        <item x="235"/>
        <item x="38"/>
        <item x="264"/>
        <item x="236"/>
        <item x="295"/>
        <item x="303"/>
        <item x="356"/>
        <item x="362"/>
        <item x="277"/>
        <item x="43"/>
        <item x="41"/>
        <item x="7"/>
        <item x="199"/>
        <item x="404"/>
        <item x="154"/>
        <item x="245"/>
        <item x="167"/>
        <item x="380"/>
        <item x="121"/>
        <item x="256"/>
        <item x="24"/>
        <item x="366"/>
        <item x="132"/>
        <item x="140"/>
        <item x="136"/>
        <item x="348"/>
        <item x="21"/>
        <item x="149"/>
        <item x="241"/>
        <item x="59"/>
        <item x="334"/>
        <item x="275"/>
        <item x="109"/>
        <item x="249"/>
        <item x="393"/>
        <item x="145"/>
        <item x="87"/>
        <item x="84"/>
        <item x="98"/>
        <item x="13"/>
        <item x="398"/>
        <item x="285"/>
        <item x="158"/>
        <item x="346"/>
        <item x="3"/>
        <item x="242"/>
        <item x="190"/>
        <item x="15"/>
        <item x="408"/>
        <item x="25"/>
        <item x="127"/>
        <item x="125"/>
        <item x="32"/>
        <item x="349"/>
        <item x="34"/>
        <item x="371"/>
        <item x="185"/>
        <item x="320"/>
        <item x="222"/>
        <item x="302"/>
        <item x="50"/>
        <item x="71"/>
        <item x="257"/>
        <item x="297"/>
        <item x="299"/>
        <item x="399"/>
        <item x="292"/>
        <item x="237"/>
        <item x="291"/>
        <item x="364"/>
        <item x="168"/>
        <item x="270"/>
        <item x="128"/>
        <item x="126"/>
        <item x="388"/>
        <item x="266"/>
        <item x="51"/>
        <item x="300"/>
        <item x="298"/>
        <item x="289"/>
        <item x="290"/>
        <item x="347"/>
        <item x="314"/>
        <item x="354"/>
        <item x="44"/>
        <item x="42"/>
        <item x="47"/>
        <item x="6"/>
        <item x="198"/>
        <item x="403"/>
        <item x="178"/>
        <item x="153"/>
        <item x="244"/>
        <item x="228"/>
        <item x="195"/>
        <item x="166"/>
        <item x="114"/>
        <item x="379"/>
        <item x="283"/>
        <item x="117"/>
        <item x="120"/>
        <item x="203"/>
        <item x="255"/>
        <item x="23"/>
        <item x="131"/>
        <item x="192"/>
        <item x="182"/>
        <item x="324"/>
        <item x="139"/>
        <item x="135"/>
        <item x="251"/>
        <item x="20"/>
        <item x="263"/>
        <item x="148"/>
        <item x="240"/>
        <item x="58"/>
        <item x="274"/>
        <item x="108"/>
        <item x="248"/>
        <item x="392"/>
        <item x="65"/>
        <item x="211"/>
        <item x="208"/>
        <item x="144"/>
        <item x="86"/>
        <item x="80"/>
        <item x="92"/>
        <item x="83"/>
        <item x="100"/>
        <item x="97"/>
        <item x="12"/>
        <item x="9"/>
        <item x="397"/>
        <item x="323"/>
        <item x="284"/>
        <item x="157"/>
        <item x="345"/>
        <item x="2"/>
        <item x="37"/>
        <item x="307"/>
        <item x="368"/>
        <item x="74"/>
        <item x="230"/>
        <item x="180"/>
        <item x="16"/>
        <item x="26"/>
        <item x="31"/>
        <item x="28"/>
        <item x="33"/>
        <item x="386"/>
        <item x="184"/>
        <item x="124"/>
        <item x="214"/>
        <item x="162"/>
        <item x="319"/>
        <item x="221"/>
        <item x="355"/>
        <item x="269"/>
        <item x="49"/>
        <item x="55"/>
        <item x="53"/>
        <item x="70"/>
        <item x="280"/>
        <item x="385"/>
        <item x="217"/>
        <item x="186"/>
        <item x="189"/>
        <item x="407"/>
        <item x="258"/>
        <item x="363"/>
        <item x="45"/>
        <item x="4"/>
        <item x="196"/>
        <item x="401"/>
        <item x="151"/>
        <item x="226"/>
        <item x="193"/>
        <item x="360"/>
        <item x="164"/>
        <item x="293"/>
        <item x="110"/>
        <item x="112"/>
        <item x="387"/>
        <item x="377"/>
        <item x="282"/>
        <item x="115"/>
        <item x="118"/>
        <item x="62"/>
        <item x="278"/>
        <item x="352"/>
        <item x="66"/>
        <item x="17"/>
        <item x="137"/>
        <item x="133"/>
        <item x="18"/>
        <item x="294"/>
        <item x="146"/>
        <item x="238"/>
        <item x="373"/>
        <item x="60"/>
        <item x="272"/>
        <item x="252"/>
        <item x="106"/>
        <item x="104"/>
        <item x="246"/>
        <item x="390"/>
        <item x="68"/>
        <item x="326"/>
        <item x="375"/>
        <item x="358"/>
        <item x="209"/>
        <item x="206"/>
        <item x="142"/>
        <item x="75"/>
        <item x="405"/>
        <item x="90"/>
        <item x="93"/>
        <item x="88"/>
        <item x="78"/>
        <item x="81"/>
        <item x="330"/>
        <item x="95"/>
        <item x="382"/>
        <item x="174"/>
        <item x="200"/>
        <item x="160"/>
        <item x="10"/>
        <item x="171"/>
        <item x="102"/>
        <item x="155"/>
        <item x="343"/>
        <item x="0"/>
        <item x="159"/>
        <item x="372"/>
        <item x="39"/>
        <item x="35"/>
        <item x="337"/>
        <item x="321"/>
        <item x="72"/>
        <item x="341"/>
        <item x="56"/>
        <item x="328"/>
        <item x="327"/>
        <item x="315"/>
        <item x="122"/>
        <item x="212"/>
        <item x="317"/>
        <item x="331"/>
        <item x="54"/>
        <item x="359"/>
        <item x="218"/>
        <item x="76"/>
        <item x="170"/>
        <item x="304"/>
        <item x="339"/>
        <item x="329"/>
        <item x="338"/>
        <item x="188"/>
        <item x="187"/>
        <item x="374"/>
        <item t="default"/>
      </items>
    </pivotField>
    <pivotField name="Grade" compact="0" outline="0" multipleItemSelectionAllowed="1" showAll="0"/>
    <pivotField name="Kepala Sekolah" compact="0" outline="0" multipleItemSelectionAllowed="1" showAll="0"/>
    <pivotField name="Email" compact="0" outline="0" multipleItemSelectionAllowed="1" showAll="0"/>
    <pivotField name="Masa Kerja Sama" compact="0" outline="0" multipleItemSelectionAllowed="1" showAll="0"/>
    <pivotField name="Awal Kerja Sama" compact="0" outline="0" multipleItemSelectionAllowed="1" showAll="0"/>
    <pivotField name="Akhir Kerja Sama" compact="0" outline="0" multipleItemSelectionAllowed="1" showAll="0"/>
    <pivotField name="Status Kerja Sama" axis="axisRow" compact="0" outline="0" multipleItemSelectionAllowed="1" showAll="0" sortType="ascending" defaultSubtotal="0">
      <items count="4">
        <item x="0"/>
        <item h="1" x="3"/>
        <item h="1" x="1"/>
        <item h="1" x="2"/>
      </items>
    </pivotField>
    <pivotField name="Jenis Kerja Sama" compact="0" outline="0" multipleItemSelectionAllowed="1" showAll="0"/>
    <pivotField name="Produk TIK" compact="0" outline="0" multipleItemSelectionAllowed="1" showAll="0"/>
    <pivotField name="Iuran Siswa/ Bulan" compact="0" outline="0" multipleItemSelectionAllowed="1" showAll="0"/>
    <pivotField name="Omzet Perbulan" compact="0" outline="0" multipleItemSelectionAllowed="1" showAll="0"/>
    <pivotField compact="0" outline="0" showAll="0" includeNewItemsInFilter="1"/>
    <pivotField name="Teknisi" compact="0" outline="0" multipleItemSelectionAllowed="1" showAll="0"/>
    <pivotField name="Sales" compact="0" outline="0" multipleItemSelectionAllowed="1" showAll="0"/>
    <pivotField name="Akademik" compact="0" outline="0" multipleItemSelectionAllowed="1" showAll="0"/>
    <pivotField name="Min. Jumlah Siswa" compact="0" outline="0" multipleItemSelectionAllowed="1" showAll="0"/>
    <pivotField name="Guru" compact="0" outline="0" multipleItemSelectionAllowed="1" showAll="0"/>
    <pivotField name="LKS" compact="0" outline="0" multipleItemSelectionAllowed="1" showAll="0"/>
  </pivotFields>
  <rowFields count="2">
    <field x="10"/>
    <field x="3"/>
  </rowFields>
  <rowItems count="227">
    <i>
      <x/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4"/>
    </i>
    <i r="1">
      <x v="15"/>
    </i>
    <i r="1">
      <x v="17"/>
    </i>
    <i r="1">
      <x v="18"/>
    </i>
    <i r="1">
      <x v="19"/>
    </i>
    <i r="1">
      <x v="20"/>
    </i>
    <i r="1">
      <x v="26"/>
    </i>
    <i r="1">
      <x v="28"/>
    </i>
    <i r="1">
      <x v="29"/>
    </i>
    <i r="1">
      <x v="30"/>
    </i>
    <i r="1">
      <x v="33"/>
    </i>
    <i r="1">
      <x v="34"/>
    </i>
    <i r="1">
      <x v="35"/>
    </i>
    <i r="1">
      <x v="37"/>
    </i>
    <i r="1">
      <x v="38"/>
    </i>
    <i r="1">
      <x v="39"/>
    </i>
    <i r="1">
      <x v="40"/>
    </i>
    <i r="1">
      <x v="41"/>
    </i>
    <i r="1">
      <x v="45"/>
    </i>
    <i r="1">
      <x v="46"/>
    </i>
    <i r="1">
      <x v="47"/>
    </i>
    <i r="1">
      <x v="48"/>
    </i>
    <i r="1">
      <x v="49"/>
    </i>
    <i r="1">
      <x v="52"/>
    </i>
    <i r="1">
      <x v="53"/>
    </i>
    <i r="1">
      <x v="55"/>
    </i>
    <i r="1">
      <x v="57"/>
    </i>
    <i r="1">
      <x v="58"/>
    </i>
    <i r="1">
      <x v="61"/>
    </i>
    <i r="1">
      <x v="62"/>
    </i>
    <i r="1">
      <x v="63"/>
    </i>
    <i r="1">
      <x v="64"/>
    </i>
    <i r="1">
      <x v="66"/>
    </i>
    <i r="1">
      <x v="67"/>
    </i>
    <i r="1">
      <x v="68"/>
    </i>
    <i r="1">
      <x v="71"/>
    </i>
    <i r="1">
      <x v="75"/>
    </i>
    <i r="1">
      <x v="79"/>
    </i>
    <i r="1">
      <x v="80"/>
    </i>
    <i r="1">
      <x v="81"/>
    </i>
    <i r="1">
      <x v="84"/>
    </i>
    <i r="1">
      <x v="88"/>
    </i>
    <i r="1">
      <x v="89"/>
    </i>
    <i r="1">
      <x v="92"/>
    </i>
    <i r="1">
      <x v="93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3"/>
    </i>
    <i r="1">
      <x v="104"/>
    </i>
    <i r="1">
      <x v="105"/>
    </i>
    <i r="1">
      <x v="106"/>
    </i>
    <i r="1">
      <x v="107"/>
    </i>
    <i r="1">
      <x v="109"/>
    </i>
    <i r="1">
      <x v="110"/>
    </i>
    <i r="1">
      <x v="112"/>
    </i>
    <i r="1">
      <x v="116"/>
    </i>
    <i r="1">
      <x v="119"/>
    </i>
    <i r="1">
      <x v="126"/>
    </i>
    <i r="1">
      <x v="127"/>
    </i>
    <i r="1">
      <x v="132"/>
    </i>
    <i r="1">
      <x v="134"/>
    </i>
    <i r="1">
      <x v="136"/>
    </i>
    <i r="1">
      <x v="137"/>
    </i>
    <i r="1">
      <x v="141"/>
    </i>
    <i r="1">
      <x v="142"/>
    </i>
    <i r="1">
      <x v="149"/>
    </i>
    <i r="1">
      <x v="150"/>
    </i>
    <i r="1">
      <x v="151"/>
    </i>
    <i r="1">
      <x v="152"/>
    </i>
    <i r="1">
      <x v="153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5"/>
    </i>
    <i r="1">
      <x v="168"/>
    </i>
    <i r="1">
      <x v="169"/>
    </i>
    <i r="1">
      <x v="171"/>
    </i>
    <i r="1">
      <x v="172"/>
    </i>
    <i r="1">
      <x v="173"/>
    </i>
    <i r="1">
      <x v="175"/>
    </i>
    <i r="1">
      <x v="176"/>
    </i>
    <i r="1">
      <x v="177"/>
    </i>
    <i r="1">
      <x v="178"/>
    </i>
    <i r="1">
      <x v="180"/>
    </i>
    <i r="1">
      <x v="181"/>
    </i>
    <i r="1">
      <x v="184"/>
    </i>
    <i r="1">
      <x v="185"/>
    </i>
    <i r="1">
      <x v="186"/>
    </i>
    <i r="1">
      <x v="188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201"/>
    </i>
    <i r="1">
      <x v="203"/>
    </i>
    <i r="1">
      <x v="204"/>
    </i>
    <i r="1">
      <x v="207"/>
    </i>
    <i r="1">
      <x v="210"/>
    </i>
    <i r="1">
      <x v="214"/>
    </i>
    <i r="1">
      <x v="218"/>
    </i>
    <i r="1">
      <x v="219"/>
    </i>
    <i r="1">
      <x v="220"/>
    </i>
    <i r="1">
      <x v="224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9"/>
    </i>
    <i r="1">
      <x v="242"/>
    </i>
    <i r="1">
      <x v="243"/>
    </i>
    <i r="1">
      <x v="244"/>
    </i>
    <i r="1">
      <x v="247"/>
    </i>
    <i r="1">
      <x v="248"/>
    </i>
    <i r="1">
      <x v="250"/>
    </i>
    <i r="1">
      <x v="251"/>
    </i>
    <i r="1">
      <x v="252"/>
    </i>
    <i r="1">
      <x v="253"/>
    </i>
    <i r="1">
      <x v="254"/>
    </i>
    <i r="1">
      <x v="256"/>
    </i>
    <i r="1">
      <x v="257"/>
    </i>
    <i r="1">
      <x v="258"/>
    </i>
    <i r="1">
      <x v="259"/>
    </i>
    <i r="1">
      <x v="260"/>
    </i>
    <i r="1">
      <x v="262"/>
    </i>
    <i r="1">
      <x v="263"/>
    </i>
    <i r="1">
      <x v="264"/>
    </i>
    <i r="1">
      <x v="265"/>
    </i>
    <i r="1">
      <x v="266"/>
    </i>
    <i r="1">
      <x v="269"/>
    </i>
    <i r="1">
      <x v="272"/>
    </i>
    <i r="1">
      <x v="273"/>
    </i>
    <i r="1">
      <x v="275"/>
    </i>
    <i r="1">
      <x v="276"/>
    </i>
    <i r="1">
      <x v="277"/>
    </i>
    <i r="1">
      <x v="279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9"/>
    </i>
    <i r="1">
      <x v="290"/>
    </i>
    <i r="1">
      <x v="291"/>
    </i>
    <i r="1">
      <x v="293"/>
    </i>
    <i r="1">
      <x v="294"/>
    </i>
    <i r="1">
      <x v="295"/>
    </i>
    <i r="1">
      <x v="296"/>
    </i>
    <i r="1">
      <x v="297"/>
    </i>
    <i r="1">
      <x v="304"/>
    </i>
    <i r="1">
      <x v="310"/>
    </i>
    <i r="1">
      <x v="315"/>
    </i>
    <i r="1">
      <x v="317"/>
    </i>
    <i r="1">
      <x v="318"/>
    </i>
    <i r="1">
      <x v="319"/>
    </i>
    <i r="1">
      <x v="320"/>
    </i>
    <i r="1">
      <x v="321"/>
    </i>
    <i r="1">
      <x v="324"/>
    </i>
    <i r="1">
      <x v="325"/>
    </i>
    <i r="1">
      <x v="326"/>
    </i>
    <i r="1">
      <x v="327"/>
    </i>
    <i r="1">
      <x v="333"/>
    </i>
    <i r="1">
      <x v="334"/>
    </i>
    <i r="1">
      <x v="336"/>
    </i>
    <i r="1">
      <x v="338"/>
    </i>
    <i r="1">
      <x v="339"/>
    </i>
    <i r="1">
      <x v="341"/>
    </i>
    <i r="1">
      <x v="342"/>
    </i>
    <i r="1">
      <x v="345"/>
    </i>
    <i r="1">
      <x v="346"/>
    </i>
    <i r="1">
      <x v="347"/>
    </i>
    <i r="1">
      <x v="348"/>
    </i>
    <i r="1">
      <x v="349"/>
    </i>
    <i r="1">
      <x v="351"/>
    </i>
    <i r="1">
      <x v="352"/>
    </i>
    <i r="1">
      <x v="355"/>
    </i>
    <i r="1">
      <x v="356"/>
    </i>
    <i r="1">
      <x v="357"/>
    </i>
    <i r="1">
      <x v="361"/>
    </i>
    <i r="1">
      <x v="362"/>
    </i>
    <i r="1">
      <x v="364"/>
    </i>
    <i r="1">
      <x v="365"/>
    </i>
    <i r="1">
      <x v="366"/>
    </i>
    <i r="1">
      <x v="367"/>
    </i>
    <i r="1">
      <x v="369"/>
    </i>
    <i r="1">
      <x v="370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4"/>
    </i>
    <i r="1">
      <x v="385"/>
    </i>
    <i r="1">
      <x v="387"/>
    </i>
    <i r="1">
      <x v="388"/>
    </i>
    <i r="1">
      <x v="389"/>
    </i>
    <i r="1">
      <x v="390"/>
    </i>
    <i r="1">
      <x v="391"/>
    </i>
    <i r="1">
      <x v="399"/>
    </i>
    <i r="1">
      <x v="400"/>
    </i>
    <i r="1">
      <x v="401"/>
    </i>
    <i r="1">
      <x v="406"/>
    </i>
    <i r="1">
      <x v="407"/>
    </i>
  </rowItems>
  <colItems count="1">
    <i/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3000000}" name="Pivot - PIC" cacheId="22" applyNumberFormats="0" applyBorderFormats="0" applyFontFormats="0" applyPatternFormats="0" applyAlignmentFormats="0" applyWidthHeightFormats="0" dataCaption="" updatedVersion="8" rowGrandTotals="0" compact="0" compactData="0">
  <location ref="A1:D443" firstHeaderRow="1" firstDataRow="1" firstDataCol="4"/>
  <pivotFields count="22">
    <pivotField name="No Perjanjian" compact="0" outline="0" multipleItemSelectionAllowed="1" showAll="0"/>
    <pivotField name="Nama Yayasan" compact="0" outline="0" multipleItemSelectionAllowed="1" showAll="0"/>
    <pivotField name="Nama Ketua Yayasan" compact="0" outline="0" multipleItemSelectionAllowed="1" showAll="0"/>
    <pivotField name="Nama Sekolah" axis="axisRow" compact="0" outline="0" multipleItemSelectionAllowed="1" showAll="0" sortType="ascending" defaultSubtotal="0">
      <items count="409">
        <item x="261"/>
        <item x="286"/>
        <item x="301"/>
        <item x="288"/>
        <item x="313"/>
        <item x="353"/>
        <item x="46"/>
        <item x="205"/>
        <item x="5"/>
        <item x="197"/>
        <item x="402"/>
        <item x="177"/>
        <item x="152"/>
        <item x="243"/>
        <item x="227"/>
        <item x="194"/>
        <item x="308"/>
        <item x="361"/>
        <item x="165"/>
        <item x="101"/>
        <item x="169"/>
        <item x="316"/>
        <item x="287"/>
        <item x="111"/>
        <item x="113"/>
        <item x="378"/>
        <item x="116"/>
        <item x="119"/>
        <item x="202"/>
        <item x="311"/>
        <item x="63"/>
        <item x="279"/>
        <item x="365"/>
        <item x="130"/>
        <item x="268"/>
        <item x="191"/>
        <item x="181"/>
        <item x="129"/>
        <item x="138"/>
        <item x="134"/>
        <item x="141"/>
        <item x="250"/>
        <item x="232"/>
        <item x="350"/>
        <item x="262"/>
        <item x="147"/>
        <item x="281"/>
        <item x="215"/>
        <item x="163"/>
        <item x="239"/>
        <item x="150"/>
        <item x="376"/>
        <item x="57"/>
        <item x="61"/>
        <item x="335"/>
        <item x="273"/>
        <item x="253"/>
        <item x="107"/>
        <item x="105"/>
        <item x="247"/>
        <item x="391"/>
        <item x="69"/>
        <item x="64"/>
        <item x="357"/>
        <item x="234"/>
        <item x="312"/>
        <item x="271"/>
        <item x="265"/>
        <item x="204"/>
        <item x="210"/>
        <item x="207"/>
        <item x="143"/>
        <item x="395"/>
        <item x="176"/>
        <item x="85"/>
        <item x="91"/>
        <item x="94"/>
        <item x="89"/>
        <item x="79"/>
        <item x="82"/>
        <item x="99"/>
        <item x="96"/>
        <item x="383"/>
        <item x="325"/>
        <item x="67"/>
        <item x="336"/>
        <item x="175"/>
        <item x="394"/>
        <item x="201"/>
        <item x="11"/>
        <item x="8"/>
        <item x="396"/>
        <item x="172"/>
        <item x="322"/>
        <item x="332"/>
        <item x="103"/>
        <item x="156"/>
        <item x="344"/>
        <item x="1"/>
        <item x="40"/>
        <item x="36"/>
        <item x="259"/>
        <item x="309"/>
        <item x="367"/>
        <item x="73"/>
        <item x="342"/>
        <item x="229"/>
        <item x="173"/>
        <item x="179"/>
        <item x="22"/>
        <item x="19"/>
        <item x="276"/>
        <item x="14"/>
        <item x="406"/>
        <item x="389"/>
        <item x="27"/>
        <item x="370"/>
        <item x="254"/>
        <item x="296"/>
        <item x="29"/>
        <item x="183"/>
        <item x="123"/>
        <item x="231"/>
        <item x="213"/>
        <item x="161"/>
        <item x="318"/>
        <item x="340"/>
        <item x="220"/>
        <item x="351"/>
        <item x="48"/>
        <item x="52"/>
        <item x="233"/>
        <item x="219"/>
        <item x="381"/>
        <item x="77"/>
        <item x="267"/>
        <item x="384"/>
        <item x="225"/>
        <item x="216"/>
        <item x="306"/>
        <item x="400"/>
        <item x="223"/>
        <item x="224"/>
        <item x="305"/>
        <item x="310"/>
        <item x="369"/>
        <item x="260"/>
        <item x="30"/>
        <item x="333"/>
        <item x="235"/>
        <item x="38"/>
        <item x="264"/>
        <item x="236"/>
        <item x="295"/>
        <item x="303"/>
        <item x="356"/>
        <item x="362"/>
        <item x="277"/>
        <item x="43"/>
        <item x="41"/>
        <item x="7"/>
        <item x="199"/>
        <item x="404"/>
        <item x="154"/>
        <item x="245"/>
        <item x="167"/>
        <item x="380"/>
        <item x="121"/>
        <item x="256"/>
        <item x="24"/>
        <item x="366"/>
        <item x="132"/>
        <item x="140"/>
        <item x="136"/>
        <item x="348"/>
        <item x="21"/>
        <item x="149"/>
        <item x="241"/>
        <item x="59"/>
        <item x="334"/>
        <item x="275"/>
        <item x="109"/>
        <item x="249"/>
        <item x="393"/>
        <item x="145"/>
        <item x="87"/>
        <item x="84"/>
        <item x="98"/>
        <item x="13"/>
        <item x="398"/>
        <item x="285"/>
        <item x="158"/>
        <item x="346"/>
        <item x="3"/>
        <item x="242"/>
        <item x="190"/>
        <item x="15"/>
        <item x="408"/>
        <item x="25"/>
        <item x="127"/>
        <item x="125"/>
        <item x="32"/>
        <item x="349"/>
        <item x="34"/>
        <item x="371"/>
        <item x="185"/>
        <item x="320"/>
        <item x="222"/>
        <item x="302"/>
        <item x="50"/>
        <item x="71"/>
        <item x="257"/>
        <item x="297"/>
        <item x="299"/>
        <item x="399"/>
        <item x="292"/>
        <item x="237"/>
        <item x="291"/>
        <item x="364"/>
        <item x="168"/>
        <item x="270"/>
        <item x="128"/>
        <item x="126"/>
        <item x="388"/>
        <item x="266"/>
        <item x="51"/>
        <item x="300"/>
        <item x="298"/>
        <item x="289"/>
        <item x="290"/>
        <item x="347"/>
        <item x="314"/>
        <item x="354"/>
        <item x="44"/>
        <item x="42"/>
        <item x="47"/>
        <item x="6"/>
        <item x="198"/>
        <item x="403"/>
        <item x="178"/>
        <item x="153"/>
        <item x="244"/>
        <item x="228"/>
        <item x="195"/>
        <item x="166"/>
        <item x="114"/>
        <item x="379"/>
        <item x="283"/>
        <item x="117"/>
        <item x="120"/>
        <item x="203"/>
        <item x="255"/>
        <item x="23"/>
        <item x="131"/>
        <item x="192"/>
        <item x="182"/>
        <item x="324"/>
        <item x="139"/>
        <item x="135"/>
        <item x="251"/>
        <item x="20"/>
        <item x="263"/>
        <item x="148"/>
        <item x="240"/>
        <item x="58"/>
        <item x="274"/>
        <item x="108"/>
        <item x="248"/>
        <item x="392"/>
        <item x="65"/>
        <item x="211"/>
        <item x="208"/>
        <item x="144"/>
        <item x="86"/>
        <item x="80"/>
        <item x="92"/>
        <item x="83"/>
        <item x="100"/>
        <item x="97"/>
        <item x="12"/>
        <item x="9"/>
        <item x="397"/>
        <item x="323"/>
        <item x="284"/>
        <item x="157"/>
        <item x="345"/>
        <item x="2"/>
        <item x="37"/>
        <item x="307"/>
        <item x="368"/>
        <item x="74"/>
        <item x="230"/>
        <item x="180"/>
        <item x="16"/>
        <item x="26"/>
        <item x="31"/>
        <item x="28"/>
        <item x="33"/>
        <item x="386"/>
        <item x="184"/>
        <item x="124"/>
        <item x="214"/>
        <item x="162"/>
        <item x="319"/>
        <item x="221"/>
        <item x="355"/>
        <item x="269"/>
        <item x="49"/>
        <item x="55"/>
        <item x="53"/>
        <item x="70"/>
        <item x="280"/>
        <item x="385"/>
        <item x="217"/>
        <item x="186"/>
        <item x="189"/>
        <item x="407"/>
        <item x="258"/>
        <item x="363"/>
        <item x="45"/>
        <item x="4"/>
        <item x="196"/>
        <item x="401"/>
        <item x="151"/>
        <item x="226"/>
        <item x="193"/>
        <item x="360"/>
        <item x="164"/>
        <item x="293"/>
        <item x="110"/>
        <item x="112"/>
        <item x="387"/>
        <item x="377"/>
        <item x="282"/>
        <item x="115"/>
        <item x="118"/>
        <item x="62"/>
        <item x="278"/>
        <item x="352"/>
        <item x="66"/>
        <item x="17"/>
        <item x="137"/>
        <item x="133"/>
        <item x="18"/>
        <item x="294"/>
        <item x="146"/>
        <item x="238"/>
        <item x="373"/>
        <item x="60"/>
        <item x="272"/>
        <item x="252"/>
        <item x="106"/>
        <item x="104"/>
        <item x="246"/>
        <item x="390"/>
        <item x="68"/>
        <item x="326"/>
        <item x="375"/>
        <item x="358"/>
        <item x="209"/>
        <item x="206"/>
        <item x="142"/>
        <item x="75"/>
        <item x="405"/>
        <item x="90"/>
        <item x="93"/>
        <item x="88"/>
        <item x="78"/>
        <item x="81"/>
        <item x="330"/>
        <item x="95"/>
        <item x="382"/>
        <item x="174"/>
        <item x="200"/>
        <item x="160"/>
        <item x="10"/>
        <item x="171"/>
        <item x="102"/>
        <item x="155"/>
        <item x="343"/>
        <item x="0"/>
        <item x="159"/>
        <item x="372"/>
        <item x="39"/>
        <item x="35"/>
        <item x="337"/>
        <item x="321"/>
        <item x="72"/>
        <item x="341"/>
        <item x="56"/>
        <item x="328"/>
        <item x="327"/>
        <item x="315"/>
        <item x="122"/>
        <item x="212"/>
        <item x="317"/>
        <item x="331"/>
        <item x="54"/>
        <item x="359"/>
        <item x="218"/>
        <item x="76"/>
        <item x="170"/>
        <item x="304"/>
        <item x="339"/>
        <item x="329"/>
        <item x="338"/>
        <item x="188"/>
        <item x="187"/>
        <item x="374"/>
      </items>
    </pivotField>
    <pivotField name="Grade" compact="0" outline="0" multipleItemSelectionAllowed="1" showAll="0"/>
    <pivotField name="Kepala Sekolah" compact="0" outline="0" multipleItemSelectionAllowed="1" showAll="0"/>
    <pivotField name="Email" compact="0" outline="0" multipleItemSelectionAllowed="1" showAll="0"/>
    <pivotField name="Masa Kerja Sama" compact="0" outline="0" multipleItemSelectionAllowed="1" showAll="0"/>
    <pivotField name="Awal Kerja Sama" compact="0" outline="0" multipleItemSelectionAllowed="1" showAll="0"/>
    <pivotField name="Akhir Kerja Sama" compact="0" outline="0" multipleItemSelectionAllowed="1" showAll="0"/>
    <pivotField name="Status Kerja Sama" compact="0" outline="0" multipleItemSelectionAllowed="1" showAll="0"/>
    <pivotField name="Jenis Kerja Sama" compact="0" outline="0" multipleItemSelectionAllowed="1" showAll="0"/>
    <pivotField name="Produk TIK" compact="0" outline="0" multipleItemSelectionAllowed="1" showAll="0"/>
    <pivotField name="Iuran Siswa/ Bulan" compact="0" outline="0" multipleItemSelectionAllowed="1" showAll="0"/>
    <pivotField name="Omzet Perbulan" compact="0" outline="0" multipleItemSelectionAllowed="1" showAll="0"/>
    <pivotField compact="0" outline="0" showAll="0" includeNewItemsInFilter="1"/>
    <pivotField name="Teknisi" axis="axisRow" compact="0" outline="0" multipleItemSelectionAllowed="1" showAll="0" sortType="ascending">
      <items count="31">
        <item x="22"/>
        <item x="9"/>
        <item x="13"/>
        <item x="3"/>
        <item x="24"/>
        <item x="21"/>
        <item x="8"/>
        <item x="2"/>
        <item x="1"/>
        <item x="14"/>
        <item x="29"/>
        <item x="19"/>
        <item x="25"/>
        <item x="6"/>
        <item x="20"/>
        <item x="5"/>
        <item x="16"/>
        <item x="27"/>
        <item x="23"/>
        <item x="12"/>
        <item x="10"/>
        <item x="26"/>
        <item x="18"/>
        <item x="28"/>
        <item x="17"/>
        <item x="4"/>
        <item x="0"/>
        <item x="15"/>
        <item x="11"/>
        <item x="7"/>
        <item t="default"/>
      </items>
    </pivotField>
    <pivotField name="Sales" axis="axisRow" compact="0" outline="0" multipleItemSelectionAllowed="1" showAll="0" sortType="ascending" defaultSubtotal="0">
      <items count="18">
        <item x="4"/>
        <item x="3"/>
        <item x="7"/>
        <item x="17"/>
        <item x="13"/>
        <item x="14"/>
        <item x="0"/>
        <item x="1"/>
        <item x="9"/>
        <item x="2"/>
        <item x="5"/>
        <item x="15"/>
        <item x="11"/>
        <item x="16"/>
        <item x="8"/>
        <item x="6"/>
        <item x="12"/>
        <item x="10"/>
      </items>
    </pivotField>
    <pivotField name="Akademik" axis="axisRow" compact="0" outline="0" multipleItemSelectionAllowed="1" showAll="0" sortType="ascending" defaultSubtotal="0">
      <items count="18">
        <item x="14"/>
        <item x="7"/>
        <item x="16"/>
        <item x="17"/>
        <item x="10"/>
        <item x="11"/>
        <item x="2"/>
        <item x="5"/>
        <item x="1"/>
        <item x="12"/>
        <item x="8"/>
        <item x="4"/>
        <item x="3"/>
        <item x="6"/>
        <item x="13"/>
        <item x="15"/>
        <item x="0"/>
        <item x="9"/>
      </items>
    </pivotField>
    <pivotField name="Min. Jumlah Siswa" compact="0" outline="0" multipleItemSelectionAllowed="1" showAll="0"/>
    <pivotField name="Guru" compact="0" outline="0" multipleItemSelectionAllowed="1" showAll="0"/>
    <pivotField name="LKS" compact="0" outline="0" multipleItemSelectionAllowed="1" showAll="0"/>
  </pivotFields>
  <rowFields count="4">
    <field x="3"/>
    <field x="18"/>
    <field x="17"/>
    <field x="16"/>
  </rowFields>
  <rowItems count="442">
    <i>
      <x/>
      <x v="15"/>
      <x v="14"/>
      <x v="29"/>
    </i>
    <i>
      <x v="1"/>
      <x v="17"/>
      <x v="11"/>
      <x v="29"/>
    </i>
    <i>
      <x v="2"/>
      <x v="17"/>
      <x v="14"/>
      <x v="29"/>
    </i>
    <i>
      <x v="3"/>
      <x v="17"/>
      <x v="7"/>
      <x v="29"/>
    </i>
    <i>
      <x v="4"/>
      <x v="6"/>
      <x v="1"/>
      <x v="29"/>
    </i>
    <i>
      <x v="5"/>
      <x v="6"/>
      <x v="1"/>
      <x v="29"/>
    </i>
    <i>
      <x v="6"/>
      <x v="7"/>
      <x v="1"/>
      <x v="1"/>
    </i>
    <i>
      <x v="7"/>
      <x/>
      <x v="10"/>
      <x v="27"/>
    </i>
    <i>
      <x v="8"/>
      <x v="8"/>
      <x v="7"/>
      <x v="8"/>
    </i>
    <i>
      <x v="9"/>
      <x v="4"/>
      <x v="14"/>
      <x v="7"/>
    </i>
    <i>
      <x v="10"/>
      <x v="17"/>
      <x v="17"/>
      <x v="29"/>
    </i>
    <i>
      <x v="11"/>
      <x/>
      <x v="9"/>
      <x v="20"/>
    </i>
    <i>
      <x v="12"/>
      <x v="14"/>
      <x v="14"/>
      <x v="6"/>
    </i>
    <i>
      <x v="13"/>
      <x v="12"/>
      <x v="4"/>
      <x v="13"/>
    </i>
    <i>
      <x v="14"/>
      <x v="6"/>
      <x v="15"/>
      <x v="25"/>
    </i>
    <i>
      <x v="15"/>
      <x v="4"/>
      <x v="9"/>
      <x v="25"/>
    </i>
    <i>
      <x v="16"/>
      <x v="17"/>
      <x v="7"/>
      <x v="29"/>
    </i>
    <i>
      <x v="17"/>
      <x v="3"/>
      <x v="8"/>
      <x v="29"/>
    </i>
    <i>
      <x v="18"/>
      <x v="5"/>
      <x v="8"/>
      <x v="1"/>
    </i>
    <i>
      <x v="19"/>
      <x v="4"/>
      <x v="9"/>
      <x v="3"/>
    </i>
    <i>
      <x v="20"/>
      <x v="6"/>
      <x v="8"/>
      <x v="3"/>
    </i>
    <i>
      <x v="21"/>
      <x v="17"/>
      <x v="16"/>
      <x v="29"/>
    </i>
    <i>
      <x v="22"/>
      <x v="17"/>
      <x v="10"/>
      <x v="29"/>
    </i>
    <i>
      <x v="23"/>
      <x v="7"/>
      <x v="10"/>
      <x v="26"/>
    </i>
    <i>
      <x v="24"/>
      <x v="7"/>
      <x v="10"/>
      <x v="1"/>
    </i>
    <i>
      <x v="25"/>
      <x v="17"/>
      <x v="17"/>
      <x v="29"/>
    </i>
    <i>
      <x v="26"/>
      <x v="5"/>
      <x v="6"/>
      <x v="26"/>
    </i>
    <i>
      <x v="27"/>
      <x v="5"/>
      <x v="6"/>
      <x v="2"/>
    </i>
    <i>
      <x v="28"/>
      <x v="14"/>
      <x v="9"/>
      <x v="24"/>
    </i>
    <i>
      <x v="29"/>
      <x v="12"/>
      <x/>
      <x v="29"/>
    </i>
    <i>
      <x v="30"/>
      <x v="1"/>
      <x v="15"/>
      <x v="19"/>
    </i>
    <i>
      <x v="31"/>
      <x v="6"/>
      <x v="2"/>
      <x v="1"/>
    </i>
    <i>
      <x v="32"/>
      <x v="16"/>
      <x v="14"/>
      <x v="4"/>
    </i>
    <i>
      <x v="33"/>
      <x v="6"/>
      <x v="1"/>
      <x v="3"/>
    </i>
    <i>
      <x v="34"/>
      <x v="12"/>
      <x/>
      <x v="29"/>
    </i>
    <i>
      <x v="35"/>
      <x/>
      <x v="9"/>
      <x v="6"/>
    </i>
    <i r="3">
      <x v="29"/>
    </i>
    <i>
      <x v="36"/>
      <x v="16"/>
      <x v="9"/>
      <x v="6"/>
    </i>
    <i r="3">
      <x v="29"/>
    </i>
    <i>
      <x v="37"/>
      <x v="11"/>
      <x v="2"/>
      <x v="9"/>
    </i>
    <i>
      <x v="38"/>
      <x v="9"/>
      <x v="9"/>
      <x v="20"/>
    </i>
    <i>
      <x v="39"/>
      <x v="9"/>
      <x v="9"/>
      <x v="20"/>
    </i>
    <i>
      <x v="40"/>
      <x v="9"/>
      <x v="9"/>
      <x v="20"/>
    </i>
    <i>
      <x v="41"/>
      <x v="12"/>
      <x v="4"/>
      <x v="13"/>
    </i>
    <i>
      <x v="42"/>
      <x v="9"/>
      <x v="16"/>
      <x v="6"/>
    </i>
    <i>
      <x v="43"/>
      <x v="17"/>
      <x v="1"/>
      <x v="29"/>
    </i>
    <i>
      <x v="44"/>
      <x v="15"/>
      <x v="16"/>
      <x v="6"/>
    </i>
    <i>
      <x v="45"/>
      <x v="7"/>
      <x v="1"/>
      <x v="3"/>
    </i>
    <i>
      <x v="46"/>
      <x v="12"/>
      <x v="4"/>
      <x v="14"/>
    </i>
    <i>
      <x v="47"/>
      <x v="13"/>
      <x v="10"/>
      <x v="9"/>
    </i>
    <i>
      <x v="48"/>
      <x v="13"/>
      <x v="7"/>
      <x v="19"/>
    </i>
    <i>
      <x v="49"/>
      <x v="12"/>
      <x/>
      <x v="13"/>
    </i>
    <i>
      <x v="50"/>
      <x v="6"/>
      <x v="1"/>
      <x v="3"/>
    </i>
    <i>
      <x v="51"/>
      <x v="17"/>
      <x v="17"/>
      <x v="29"/>
    </i>
    <i>
      <x v="52"/>
      <x v="1"/>
      <x v="15"/>
      <x v="19"/>
    </i>
    <i>
      <x v="53"/>
      <x v="1"/>
      <x v="15"/>
      <x v="19"/>
    </i>
    <i>
      <x v="54"/>
      <x v="17"/>
      <x v="15"/>
      <x v="29"/>
    </i>
    <i>
      <x v="55"/>
      <x v="6"/>
      <x v="6"/>
      <x v="26"/>
    </i>
    <i>
      <x v="56"/>
      <x v="12"/>
      <x v="4"/>
      <x v="13"/>
    </i>
    <i r="3">
      <x v="29"/>
    </i>
    <i>
      <x v="57"/>
      <x v="7"/>
      <x v="10"/>
      <x v="27"/>
    </i>
    <i>
      <x v="58"/>
      <x v="7"/>
      <x v="10"/>
      <x v="27"/>
    </i>
    <i>
      <x v="59"/>
      <x v="12"/>
      <x v="4"/>
      <x v="13"/>
    </i>
    <i>
      <x v="60"/>
      <x v="17"/>
      <x v="17"/>
      <x v="29"/>
    </i>
    <i>
      <x v="61"/>
      <x v="1"/>
      <x v="15"/>
      <x v="19"/>
    </i>
    <i>
      <x v="62"/>
      <x v="1"/>
      <x v="15"/>
      <x v="19"/>
    </i>
    <i>
      <x v="63"/>
      <x v="13"/>
      <x v="9"/>
      <x v="1"/>
    </i>
    <i>
      <x v="64"/>
      <x v="9"/>
      <x v="15"/>
      <x v="19"/>
    </i>
    <i>
      <x v="65"/>
      <x v="15"/>
      <x v="15"/>
      <x v="29"/>
    </i>
    <i>
      <x v="66"/>
      <x v="9"/>
      <x v="15"/>
      <x v="1"/>
    </i>
    <i r="3">
      <x v="21"/>
    </i>
    <i>
      <x v="67"/>
      <x v="9"/>
      <x v="15"/>
      <x v="1"/>
    </i>
    <i r="1">
      <x v="15"/>
      <x v="15"/>
      <x v="19"/>
    </i>
    <i>
      <x v="68"/>
      <x v="13"/>
      <x v="9"/>
      <x v="19"/>
    </i>
    <i>
      <x v="69"/>
      <x v="4"/>
      <x v="10"/>
      <x v="27"/>
    </i>
    <i>
      <x v="70"/>
      <x v="4"/>
      <x v="10"/>
      <x v="27"/>
    </i>
    <i>
      <x v="71"/>
      <x v="1"/>
      <x v="1"/>
      <x v="16"/>
    </i>
    <i>
      <x v="72"/>
      <x v="17"/>
      <x v="17"/>
      <x v="29"/>
    </i>
    <i>
      <x v="73"/>
      <x/>
      <x v="9"/>
      <x v="20"/>
    </i>
    <i>
      <x v="74"/>
      <x v="8"/>
      <x v="6"/>
      <x v="26"/>
    </i>
    <i>
      <x v="75"/>
      <x v="8"/>
      <x v="6"/>
      <x v="2"/>
    </i>
    <i>
      <x v="76"/>
      <x v="8"/>
      <x v="6"/>
      <x v="2"/>
    </i>
    <i>
      <x v="77"/>
      <x v="8"/>
      <x v="6"/>
      <x v="2"/>
    </i>
    <i>
      <x v="78"/>
      <x v="8"/>
      <x v="6"/>
      <x v="29"/>
    </i>
    <i>
      <x v="79"/>
      <x v="8"/>
      <x v="6"/>
      <x v="6"/>
    </i>
    <i>
      <x v="80"/>
      <x v="8"/>
      <x v="6"/>
      <x v="6"/>
    </i>
    <i>
      <x v="81"/>
      <x v="8"/>
      <x v="6"/>
      <x v="9"/>
    </i>
    <i>
      <x v="82"/>
      <x v="17"/>
      <x v="17"/>
      <x v="29"/>
    </i>
    <i>
      <x v="83"/>
      <x v="9"/>
      <x v="9"/>
      <x v="29"/>
    </i>
    <i>
      <x v="84"/>
      <x v="1"/>
      <x v="15"/>
      <x v="19"/>
    </i>
    <i>
      <x v="85"/>
      <x v="17"/>
      <x v="15"/>
      <x v="29"/>
    </i>
    <i>
      <x v="86"/>
      <x/>
      <x v="9"/>
      <x v="20"/>
    </i>
    <i>
      <x v="87"/>
      <x v="17"/>
      <x v="17"/>
      <x v="29"/>
    </i>
    <i>
      <x v="88"/>
      <x v="9"/>
      <x v="9"/>
      <x v="20"/>
    </i>
    <i>
      <x v="89"/>
      <x v="6"/>
      <x v="9"/>
      <x v="25"/>
    </i>
    <i>
      <x v="90"/>
      <x v="6"/>
      <x v="9"/>
      <x v="3"/>
    </i>
    <i>
      <x v="91"/>
      <x v="17"/>
      <x v="17"/>
      <x v="29"/>
    </i>
    <i>
      <x v="92"/>
      <x/>
      <x v="9"/>
      <x v="20"/>
    </i>
    <i>
      <x v="93"/>
      <x v="1"/>
      <x v="9"/>
      <x v="29"/>
    </i>
    <i>
      <x v="94"/>
      <x v="6"/>
      <x v="13"/>
      <x v="29"/>
    </i>
    <i>
      <x v="95"/>
      <x v="4"/>
      <x v="2"/>
      <x v="6"/>
    </i>
    <i r="1">
      <x v="15"/>
      <x v="2"/>
      <x v="29"/>
    </i>
    <i>
      <x v="96"/>
      <x v="4"/>
      <x v="2"/>
      <x v="3"/>
    </i>
    <i>
      <x v="97"/>
      <x v="16"/>
      <x v="6"/>
      <x v="29"/>
    </i>
    <i>
      <x v="98"/>
      <x v="16"/>
      <x v="6"/>
      <x v="26"/>
    </i>
    <i>
      <x v="99"/>
      <x v="8"/>
      <x v="10"/>
      <x v="28"/>
    </i>
    <i r="1">
      <x v="17"/>
      <x v="10"/>
      <x v="29"/>
    </i>
    <i>
      <x v="100"/>
      <x v="8"/>
      <x v="10"/>
      <x v="1"/>
    </i>
    <i>
      <x v="101"/>
      <x v="15"/>
      <x v="2"/>
      <x v="29"/>
    </i>
    <i>
      <x v="102"/>
      <x v="17"/>
      <x v="1"/>
      <x v="29"/>
    </i>
    <i>
      <x v="103"/>
      <x v="9"/>
      <x v="7"/>
      <x v="7"/>
    </i>
    <i>
      <x v="104"/>
      <x v="1"/>
      <x v="15"/>
      <x v="29"/>
    </i>
    <i>
      <x v="105"/>
      <x v="2"/>
      <x v="17"/>
      <x v="29"/>
    </i>
    <i>
      <x v="106"/>
      <x/>
      <x v="15"/>
      <x v="25"/>
    </i>
    <i>
      <x v="107"/>
      <x v="6"/>
      <x v="9"/>
      <x v="27"/>
    </i>
    <i>
      <x v="108"/>
      <x v="9"/>
      <x v="9"/>
      <x v="3"/>
    </i>
    <i>
      <x v="109"/>
      <x v="16"/>
      <x v="1"/>
      <x v="15"/>
    </i>
    <i>
      <x v="110"/>
      <x v="16"/>
      <x v="1"/>
      <x v="15"/>
    </i>
    <i>
      <x v="111"/>
      <x v="15"/>
      <x v="15"/>
      <x v="29"/>
    </i>
    <i>
      <x v="112"/>
      <x v="16"/>
      <x v="1"/>
      <x v="15"/>
    </i>
    <i>
      <x v="113"/>
      <x v="17"/>
      <x v="17"/>
      <x v="29"/>
    </i>
    <i>
      <x v="114"/>
      <x v="17"/>
      <x v="17"/>
      <x v="29"/>
    </i>
    <i>
      <x v="115"/>
      <x v="12"/>
      <x/>
      <x v="29"/>
    </i>
    <i>
      <x v="116"/>
      <x v="12"/>
      <x/>
      <x v="13"/>
    </i>
    <i>
      <x v="117"/>
      <x v="12"/>
      <x v="4"/>
      <x v="13"/>
    </i>
    <i>
      <x v="118"/>
      <x v="17"/>
      <x v="14"/>
      <x v="29"/>
    </i>
    <i>
      <x v="119"/>
      <x v="12"/>
      <x/>
      <x v="13"/>
    </i>
    <i r="3">
      <x v="29"/>
    </i>
    <i>
      <x v="120"/>
      <x v="13"/>
      <x v="9"/>
      <x v="20"/>
    </i>
    <i>
      <x v="121"/>
      <x v="11"/>
      <x v="2"/>
      <x v="9"/>
    </i>
    <i>
      <x v="122"/>
      <x v="17"/>
      <x v="15"/>
      <x v="27"/>
    </i>
    <i>
      <x v="123"/>
      <x/>
      <x v="10"/>
      <x v="24"/>
    </i>
    <i>
      <x v="124"/>
      <x v="9"/>
      <x v="7"/>
      <x v="9"/>
    </i>
    <i>
      <x v="125"/>
      <x v="13"/>
      <x v="6"/>
      <x v="29"/>
    </i>
    <i r="1">
      <x v="17"/>
      <x v="17"/>
      <x v="29"/>
    </i>
    <i>
      <x v="126"/>
      <x v="17"/>
      <x v="6"/>
      <x v="29"/>
    </i>
    <i>
      <x v="127"/>
      <x v="11"/>
      <x v="6"/>
      <x v="9"/>
    </i>
    <i>
      <x v="128"/>
      <x v="17"/>
      <x v="8"/>
      <x v="29"/>
    </i>
    <i>
      <x v="129"/>
      <x v="13"/>
      <x v="15"/>
      <x v="19"/>
    </i>
    <i r="3">
      <x v="29"/>
    </i>
    <i>
      <x v="130"/>
      <x v="13"/>
      <x v="15"/>
      <x v="19"/>
    </i>
    <i r="3">
      <x v="29"/>
    </i>
    <i>
      <x v="131"/>
      <x v="5"/>
      <x v="15"/>
      <x v="11"/>
    </i>
    <i>
      <x v="132"/>
      <x v="9"/>
      <x v="10"/>
      <x v="26"/>
    </i>
    <i>
      <x v="133"/>
      <x v="9"/>
      <x v="2"/>
      <x v="17"/>
    </i>
    <i>
      <x v="134"/>
      <x v="1"/>
      <x v="15"/>
      <x v="29"/>
    </i>
    <i>
      <x v="135"/>
      <x v="15"/>
      <x v="15"/>
      <x v="29"/>
    </i>
    <i>
      <x v="136"/>
      <x v="9"/>
      <x v="10"/>
      <x v="23"/>
    </i>
    <i>
      <x v="137"/>
      <x v="13"/>
      <x v="15"/>
      <x v="20"/>
    </i>
    <i>
      <x v="138"/>
      <x/>
      <x v="10"/>
      <x v="22"/>
    </i>
    <i>
      <x v="139"/>
      <x v="17"/>
      <x v="9"/>
      <x v="29"/>
    </i>
    <i>
      <x v="140"/>
      <x v="17"/>
      <x v="17"/>
      <x v="29"/>
    </i>
    <i>
      <x v="141"/>
      <x v="13"/>
      <x v="12"/>
      <x v="20"/>
    </i>
    <i>
      <x v="142"/>
      <x v="13"/>
      <x v="12"/>
      <x v="24"/>
    </i>
    <i>
      <x v="143"/>
      <x v="17"/>
      <x v="9"/>
      <x v="29"/>
    </i>
    <i>
      <x v="144"/>
      <x v="17"/>
      <x v="9"/>
      <x v="29"/>
    </i>
    <i>
      <x v="145"/>
      <x v="14"/>
      <x v="8"/>
      <x v="29"/>
    </i>
    <i>
      <x v="146"/>
      <x v="12"/>
      <x v="5"/>
      <x v="13"/>
    </i>
    <i r="1">
      <x v="17"/>
      <x v="17"/>
      <x v="29"/>
    </i>
    <i>
      <x v="147"/>
      <x v="12"/>
      <x/>
      <x v="29"/>
    </i>
    <i>
      <x v="148"/>
      <x v="17"/>
      <x v="10"/>
      <x v="29"/>
    </i>
    <i>
      <x v="149"/>
      <x v="12"/>
      <x/>
      <x v="13"/>
    </i>
    <i>
      <x v="150"/>
      <x v="8"/>
      <x v="10"/>
      <x v="20"/>
    </i>
    <i>
      <x v="151"/>
      <x v="12"/>
      <x/>
      <x v="13"/>
    </i>
    <i>
      <x v="152"/>
      <x v="12"/>
      <x/>
      <x v="13"/>
    </i>
    <i>
      <x v="153"/>
      <x v="17"/>
      <x v="4"/>
      <x v="14"/>
    </i>
    <i>
      <x v="154"/>
      <x v="17"/>
      <x v="9"/>
      <x v="29"/>
    </i>
    <i>
      <x v="155"/>
      <x v="15"/>
      <x v="14"/>
      <x v="29"/>
    </i>
    <i>
      <x v="156"/>
      <x v="3"/>
      <x v="8"/>
      <x v="29"/>
    </i>
    <i>
      <x v="157"/>
      <x v="7"/>
      <x v="7"/>
      <x v="1"/>
    </i>
    <i>
      <x v="158"/>
      <x v="7"/>
      <x v="1"/>
      <x v="6"/>
    </i>
    <i>
      <x v="159"/>
      <x v="7"/>
      <x v="1"/>
      <x v="6"/>
    </i>
    <i>
      <x v="160"/>
      <x v="8"/>
      <x v="7"/>
      <x v="7"/>
    </i>
    <i>
      <x v="161"/>
      <x v="4"/>
      <x v="14"/>
      <x v="7"/>
    </i>
    <i>
      <x v="162"/>
      <x v="17"/>
      <x v="17"/>
      <x v="29"/>
    </i>
    <i>
      <x v="163"/>
      <x v="14"/>
      <x v="14"/>
      <x v="6"/>
    </i>
    <i>
      <x v="164"/>
      <x v="12"/>
      <x v="4"/>
      <x v="13"/>
    </i>
    <i>
      <x v="165"/>
      <x v="5"/>
      <x v="8"/>
      <x v="1"/>
    </i>
    <i>
      <x v="166"/>
      <x v="17"/>
      <x v="17"/>
      <x v="29"/>
    </i>
    <i>
      <x v="167"/>
      <x v="5"/>
      <x v="6"/>
      <x v="2"/>
    </i>
    <i>
      <x v="168"/>
      <x v="1"/>
      <x v="7"/>
      <x v="1"/>
    </i>
    <i>
      <x v="169"/>
      <x v="16"/>
      <x v="1"/>
      <x v="15"/>
    </i>
    <i>
      <x v="170"/>
      <x v="16"/>
      <x v="14"/>
      <x v="4"/>
    </i>
    <i>
      <x v="171"/>
      <x v="6"/>
      <x v="1"/>
      <x v="3"/>
    </i>
    <i>
      <x v="172"/>
      <x v="9"/>
      <x v="9"/>
      <x v="20"/>
    </i>
    <i>
      <x v="173"/>
      <x v="9"/>
      <x v="9"/>
      <x v="20"/>
    </i>
    <i>
      <x v="174"/>
      <x v="17"/>
      <x v="1"/>
      <x v="29"/>
    </i>
    <i>
      <x v="175"/>
      <x v="16"/>
      <x v="1"/>
      <x v="15"/>
    </i>
    <i>
      <x v="176"/>
      <x v="7"/>
      <x v="1"/>
      <x v="3"/>
    </i>
    <i>
      <x v="177"/>
      <x v="12"/>
      <x/>
      <x v="13"/>
    </i>
    <i>
      <x v="178"/>
      <x v="1"/>
      <x v="15"/>
      <x v="19"/>
    </i>
    <i>
      <x v="179"/>
      <x v="17"/>
      <x v="15"/>
      <x v="29"/>
    </i>
    <i>
      <x v="180"/>
      <x v="6"/>
      <x v="6"/>
      <x v="26"/>
    </i>
    <i>
      <x v="181"/>
      <x v="7"/>
      <x v="10"/>
      <x v="27"/>
    </i>
    <i>
      <x v="182"/>
      <x v="12"/>
      <x v="4"/>
      <x v="13"/>
    </i>
    <i>
      <x v="183"/>
      <x v="17"/>
      <x v="17"/>
      <x v="29"/>
    </i>
    <i>
      <x v="184"/>
      <x v="1"/>
      <x v="1"/>
      <x v="16"/>
    </i>
    <i>
      <x v="185"/>
      <x v="8"/>
      <x v="6"/>
      <x v="26"/>
    </i>
    <i>
      <x v="186"/>
      <x v="8"/>
      <x v="6"/>
      <x v="6"/>
    </i>
    <i>
      <x v="187"/>
      <x v="8"/>
      <x v="6"/>
      <x v="9"/>
    </i>
    <i>
      <x v="188"/>
      <x v="6"/>
      <x v="9"/>
      <x v="25"/>
    </i>
    <i>
      <x v="189"/>
      <x v="17"/>
      <x v="17"/>
      <x v="29"/>
    </i>
    <i>
      <x v="190"/>
      <x v="4"/>
      <x v="2"/>
      <x v="5"/>
    </i>
    <i>
      <x v="191"/>
      <x v="4"/>
      <x v="2"/>
      <x v="3"/>
    </i>
    <i>
      <x v="192"/>
      <x v="16"/>
      <x v="6"/>
      <x v="29"/>
    </i>
    <i>
      <x v="193"/>
      <x v="16"/>
      <x v="6"/>
      <x v="26"/>
    </i>
    <i>
      <x v="194"/>
      <x v="12"/>
      <x/>
      <x v="13"/>
    </i>
    <i>
      <x v="195"/>
      <x v="11"/>
      <x v="9"/>
      <x v="19"/>
    </i>
    <i r="3">
      <x v="29"/>
    </i>
    <i>
      <x v="196"/>
      <x v="16"/>
      <x v="1"/>
      <x v="15"/>
    </i>
    <i>
      <x v="197"/>
      <x v="17"/>
      <x v="17"/>
      <x v="29"/>
    </i>
    <i>
      <x v="198"/>
      <x v="12"/>
      <x/>
      <x v="13"/>
    </i>
    <i>
      <x v="199"/>
      <x v="11"/>
      <x v="2"/>
      <x v="9"/>
    </i>
    <i>
      <x v="200"/>
      <x v="11"/>
      <x v="2"/>
      <x v="9"/>
    </i>
    <i>
      <x v="201"/>
      <x v="11"/>
      <x v="1"/>
      <x v="6"/>
    </i>
    <i>
      <x v="202"/>
      <x v="17"/>
      <x v="1"/>
      <x v="29"/>
    </i>
    <i>
      <x v="203"/>
      <x v="11"/>
      <x v="1"/>
      <x v="6"/>
    </i>
    <i>
      <x v="204"/>
      <x v="12"/>
      <x/>
      <x v="13"/>
    </i>
    <i>
      <x v="205"/>
      <x v="13"/>
      <x v="9"/>
      <x v="20"/>
    </i>
    <i>
      <x v="206"/>
      <x v="13"/>
      <x v="6"/>
      <x v="29"/>
    </i>
    <i r="1">
      <x v="17"/>
      <x v="17"/>
      <x v="29"/>
    </i>
    <i>
      <x v="207"/>
      <x v="11"/>
      <x v="6"/>
      <x v="9"/>
    </i>
    <i>
      <x v="208"/>
      <x v="17"/>
      <x v="8"/>
      <x v="29"/>
    </i>
    <i>
      <x v="209"/>
      <x v="13"/>
      <x v="15"/>
      <x v="19"/>
    </i>
    <i r="3">
      <x v="29"/>
    </i>
    <i>
      <x v="210"/>
      <x v="10"/>
      <x v="15"/>
      <x v="19"/>
    </i>
    <i>
      <x v="211"/>
      <x v="11"/>
      <x v="7"/>
      <x v="1"/>
    </i>
    <i>
      <x v="212"/>
      <x v="17"/>
      <x v="13"/>
      <x v="29"/>
    </i>
    <i>
      <x v="213"/>
      <x v="17"/>
      <x v="13"/>
      <x v="29"/>
    </i>
    <i>
      <x v="214"/>
      <x v="11"/>
      <x v="3"/>
      <x v="29"/>
    </i>
    <i>
      <x v="215"/>
      <x v="1"/>
      <x v="2"/>
      <x v="29"/>
    </i>
    <i>
      <x v="216"/>
      <x v="12"/>
      <x v="4"/>
      <x v="13"/>
    </i>
    <i>
      <x v="217"/>
      <x v="17"/>
      <x v="14"/>
      <x v="29"/>
    </i>
    <i>
      <x v="218"/>
      <x v="3"/>
      <x v="8"/>
      <x v="29"/>
    </i>
    <i>
      <x v="219"/>
      <x v="5"/>
      <x v="8"/>
      <x v="1"/>
    </i>
    <i>
      <x v="220"/>
      <x v="13"/>
      <x v="9"/>
      <x v="29"/>
    </i>
    <i r="1">
      <x v="17"/>
      <x v="17"/>
      <x v="29"/>
    </i>
    <i>
      <x v="221"/>
      <x v="11"/>
      <x v="2"/>
      <x v="9"/>
    </i>
    <i>
      <x v="222"/>
      <x v="11"/>
      <x v="2"/>
      <x v="9"/>
    </i>
    <i>
      <x v="223"/>
      <x v="17"/>
      <x v="17"/>
      <x v="29"/>
    </i>
    <i>
      <x v="224"/>
      <x v="16"/>
      <x v="12"/>
      <x v="27"/>
    </i>
    <i>
      <x v="225"/>
      <x v="13"/>
      <x v="15"/>
      <x v="19"/>
    </i>
    <i r="3">
      <x v="29"/>
    </i>
    <i>
      <x v="226"/>
      <x v="17"/>
      <x v="13"/>
      <x v="29"/>
    </i>
    <i>
      <x v="227"/>
      <x v="17"/>
      <x v="13"/>
      <x v="29"/>
    </i>
    <i>
      <x v="228"/>
      <x v="17"/>
      <x v="13"/>
      <x v="29"/>
    </i>
    <i>
      <x v="229"/>
      <x v="17"/>
      <x v="14"/>
      <x v="29"/>
    </i>
    <i>
      <x v="230"/>
      <x v="17"/>
      <x v="13"/>
      <x v="29"/>
    </i>
    <i>
      <x v="231"/>
      <x v="6"/>
      <x v="1"/>
      <x v="29"/>
    </i>
    <i>
      <x v="232"/>
      <x v="6"/>
      <x v="1"/>
      <x v="29"/>
    </i>
    <i>
      <x v="233"/>
      <x v="7"/>
      <x v="1"/>
      <x v="6"/>
    </i>
    <i>
      <x v="234"/>
      <x v="7"/>
      <x v="1"/>
      <x v="6"/>
    </i>
    <i>
      <x v="235"/>
      <x v="7"/>
      <x v="1"/>
      <x v="1"/>
    </i>
    <i>
      <x v="236"/>
      <x v="8"/>
      <x v="7"/>
      <x v="7"/>
    </i>
    <i>
      <x v="237"/>
      <x v="4"/>
      <x v="14"/>
      <x v="7"/>
    </i>
    <i>
      <x v="238"/>
      <x v="17"/>
      <x v="17"/>
      <x v="29"/>
    </i>
    <i>
      <x v="239"/>
      <x/>
      <x v="9"/>
      <x v="20"/>
    </i>
    <i>
      <x v="240"/>
      <x v="14"/>
      <x v="14"/>
      <x v="6"/>
    </i>
    <i>
      <x v="241"/>
      <x v="12"/>
      <x v="4"/>
      <x v="13"/>
    </i>
    <i>
      <x v="242"/>
      <x v="6"/>
      <x v="15"/>
      <x v="25"/>
    </i>
    <i>
      <x v="243"/>
      <x v="4"/>
      <x v="9"/>
      <x v="25"/>
    </i>
    <i>
      <x v="244"/>
      <x v="5"/>
      <x v="8"/>
      <x v="1"/>
    </i>
    <i>
      <x v="245"/>
      <x v="7"/>
      <x v="10"/>
      <x v="1"/>
    </i>
    <i>
      <x v="246"/>
      <x v="17"/>
      <x v="17"/>
      <x v="29"/>
    </i>
    <i>
      <x v="247"/>
      <x v="5"/>
      <x v="6"/>
      <x v="26"/>
    </i>
    <i>
      <x v="248"/>
      <x v="5"/>
      <x v="6"/>
      <x v="26"/>
    </i>
    <i>
      <x v="249"/>
      <x v="5"/>
      <x v="6"/>
      <x v="2"/>
    </i>
    <i>
      <x v="250"/>
      <x v="14"/>
      <x v="9"/>
      <x v="24"/>
    </i>
    <i>
      <x v="251"/>
      <x v="1"/>
      <x v="7"/>
      <x v="1"/>
    </i>
    <i>
      <x v="252"/>
      <x v="16"/>
      <x v="1"/>
      <x v="15"/>
    </i>
    <i>
      <x v="253"/>
      <x v="6"/>
      <x v="1"/>
      <x v="3"/>
    </i>
    <i>
      <x v="254"/>
      <x/>
      <x v="9"/>
      <x v="6"/>
    </i>
    <i r="3">
      <x v="29"/>
    </i>
    <i>
      <x v="255"/>
      <x v="16"/>
      <x v="9"/>
      <x v="6"/>
    </i>
    <i r="3">
      <x v="29"/>
    </i>
    <i>
      <x v="256"/>
      <x v="9"/>
      <x v="9"/>
      <x v="29"/>
    </i>
    <i>
      <x v="257"/>
      <x v="9"/>
      <x v="9"/>
      <x v="20"/>
    </i>
    <i>
      <x v="258"/>
      <x v="9"/>
      <x v="9"/>
      <x v="20"/>
    </i>
    <i>
      <x v="259"/>
      <x v="12"/>
      <x v="4"/>
      <x v="13"/>
    </i>
    <i>
      <x v="260"/>
      <x v="16"/>
      <x v="1"/>
      <x v="15"/>
    </i>
    <i>
      <x v="261"/>
      <x v="17"/>
      <x v="16"/>
      <x v="6"/>
    </i>
    <i>
      <x v="262"/>
      <x v="7"/>
      <x v="1"/>
      <x v="3"/>
    </i>
    <i>
      <x v="263"/>
      <x v="12"/>
      <x/>
      <x v="13"/>
    </i>
    <i>
      <x v="264"/>
      <x v="1"/>
      <x v="15"/>
      <x v="19"/>
    </i>
    <i>
      <x v="265"/>
      <x v="6"/>
      <x v="6"/>
      <x v="26"/>
    </i>
    <i>
      <x v="266"/>
      <x v="7"/>
      <x v="10"/>
      <x v="27"/>
    </i>
    <i>
      <x v="267"/>
      <x v="12"/>
      <x v="4"/>
      <x v="13"/>
    </i>
    <i>
      <x v="268"/>
      <x v="17"/>
      <x v="17"/>
      <x v="29"/>
    </i>
    <i>
      <x v="269"/>
      <x v="1"/>
      <x v="15"/>
      <x v="19"/>
    </i>
    <i>
      <x v="270"/>
      <x v="4"/>
      <x v="10"/>
      <x v="27"/>
    </i>
    <i>
      <x v="271"/>
      <x v="4"/>
      <x v="10"/>
      <x v="27"/>
    </i>
    <i>
      <x v="272"/>
      <x v="1"/>
      <x v="1"/>
      <x v="16"/>
    </i>
    <i>
      <x v="273"/>
      <x v="8"/>
      <x v="6"/>
      <x v="26"/>
    </i>
    <i>
      <x v="274"/>
      <x v="8"/>
      <x v="6"/>
      <x v="29"/>
    </i>
    <i>
      <x v="275"/>
      <x v="8"/>
      <x v="6"/>
      <x v="2"/>
    </i>
    <i>
      <x v="276"/>
      <x v="8"/>
      <x v="6"/>
      <x v="6"/>
    </i>
    <i>
      <x v="277"/>
      <x v="8"/>
      <x v="6"/>
      <x v="6"/>
    </i>
    <i>
      <x v="278"/>
      <x v="8"/>
      <x v="6"/>
      <x v="9"/>
    </i>
    <i>
      <x v="279"/>
      <x v="6"/>
      <x v="9"/>
      <x v="25"/>
    </i>
    <i>
      <x v="280"/>
      <x v="6"/>
      <x v="9"/>
      <x v="3"/>
    </i>
    <i>
      <x v="281"/>
      <x v="17"/>
      <x v="17"/>
      <x v="29"/>
    </i>
    <i>
      <x v="282"/>
      <x v="1"/>
      <x v="9"/>
      <x v="29"/>
    </i>
    <i>
      <x v="283"/>
      <x v="4"/>
      <x v="2"/>
      <x v="5"/>
    </i>
    <i>
      <x v="284"/>
      <x v="4"/>
      <x v="2"/>
      <x v="3"/>
    </i>
    <i>
      <x v="285"/>
      <x v="16"/>
      <x v="6"/>
      <x v="29"/>
    </i>
    <i>
      <x v="286"/>
      <x v="16"/>
      <x v="6"/>
      <x v="26"/>
    </i>
    <i>
      <x v="287"/>
      <x v="8"/>
      <x v="10"/>
      <x v="1"/>
    </i>
    <i>
      <x v="288"/>
      <x v="17"/>
      <x v="1"/>
      <x v="29"/>
    </i>
    <i>
      <x v="289"/>
      <x v="9"/>
      <x v="7"/>
      <x v="7"/>
    </i>
    <i>
      <x v="290"/>
      <x v="17"/>
      <x v="15"/>
      <x v="29"/>
    </i>
    <i>
      <x v="291"/>
      <x/>
      <x v="15"/>
      <x v="25"/>
    </i>
    <i>
      <x v="292"/>
      <x v="9"/>
      <x v="9"/>
      <x v="3"/>
    </i>
    <i>
      <x v="293"/>
      <x v="16"/>
      <x v="1"/>
      <x v="15"/>
    </i>
    <i>
      <x v="294"/>
      <x v="12"/>
      <x/>
      <x v="13"/>
    </i>
    <i r="3">
      <x v="29"/>
    </i>
    <i>
      <x v="295"/>
      <x v="11"/>
      <x v="1"/>
      <x v="6"/>
    </i>
    <i>
      <x v="296"/>
      <x v="12"/>
      <x/>
      <x v="13"/>
    </i>
    <i r="3">
      <x v="29"/>
    </i>
    <i>
      <x v="297"/>
      <x v="11"/>
      <x v="1"/>
      <x v="6"/>
    </i>
    <i>
      <x v="298"/>
      <x v="9"/>
      <x v="15"/>
      <x v="10"/>
    </i>
    <i>
      <x v="299"/>
      <x v="13"/>
      <x v="9"/>
      <x v="20"/>
    </i>
    <i>
      <x v="300"/>
      <x v="11"/>
      <x v="2"/>
      <x v="9"/>
    </i>
    <i>
      <x v="301"/>
      <x/>
      <x v="10"/>
      <x v="24"/>
    </i>
    <i>
      <x v="302"/>
      <x v="9"/>
      <x v="7"/>
      <x v="9"/>
    </i>
    <i>
      <x v="303"/>
      <x v="13"/>
      <x v="6"/>
      <x v="29"/>
    </i>
    <i r="1">
      <x v="17"/>
      <x v="17"/>
      <x v="29"/>
    </i>
    <i>
      <x v="304"/>
      <x v="11"/>
      <x v="6"/>
      <x v="9"/>
    </i>
    <i>
      <x v="305"/>
      <x v="15"/>
      <x v="15"/>
      <x v="29"/>
    </i>
    <i r="1">
      <x v="17"/>
      <x v="17"/>
      <x v="29"/>
    </i>
    <i>
      <x v="306"/>
      <x v="16"/>
      <x v="8"/>
      <x v="29"/>
    </i>
    <i r="1">
      <x v="17"/>
      <x v="8"/>
      <x v="29"/>
    </i>
    <i>
      <x v="307"/>
      <x v="13"/>
      <x v="15"/>
      <x v="19"/>
    </i>
    <i r="3">
      <x v="29"/>
    </i>
    <i>
      <x v="308"/>
      <x v="13"/>
      <x v="15"/>
      <x v="19"/>
    </i>
    <i r="3">
      <x v="29"/>
    </i>
    <i>
      <x v="309"/>
      <x v="13"/>
      <x v="15"/>
      <x v="19"/>
    </i>
    <i r="3">
      <x v="29"/>
    </i>
    <i>
      <x v="310"/>
      <x v="1"/>
      <x v="15"/>
      <x v="19"/>
    </i>
    <i>
      <x v="311"/>
      <x v="5"/>
      <x v="9"/>
      <x v="29"/>
    </i>
    <i>
      <x v="312"/>
      <x v="17"/>
      <x v="17"/>
      <x v="29"/>
    </i>
    <i>
      <x v="313"/>
      <x v="7"/>
      <x v="10"/>
      <x v="24"/>
    </i>
    <i>
      <x v="314"/>
      <x v="7"/>
      <x v="17"/>
      <x v="24"/>
    </i>
    <i>
      <x v="315"/>
      <x v="11"/>
      <x v="9"/>
      <x v="19"/>
    </i>
    <i r="3">
      <x v="29"/>
    </i>
    <i>
      <x v="316"/>
      <x v="17"/>
      <x v="17"/>
      <x v="29"/>
    </i>
    <i>
      <x v="317"/>
      <x v="12"/>
      <x v="5"/>
      <x v="13"/>
    </i>
    <i>
      <x v="318"/>
      <x v="3"/>
      <x v="8"/>
      <x v="29"/>
    </i>
    <i>
      <x v="319"/>
      <x v="7"/>
      <x v="1"/>
      <x v="1"/>
    </i>
    <i>
      <x v="320"/>
      <x v="8"/>
      <x v="7"/>
      <x v="8"/>
    </i>
    <i>
      <x v="321"/>
      <x v="4"/>
      <x v="14"/>
      <x v="7"/>
    </i>
    <i>
      <x v="322"/>
      <x v="17"/>
      <x v="17"/>
      <x v="29"/>
    </i>
    <i>
      <x v="323"/>
      <x v="14"/>
      <x v="14"/>
      <x v="6"/>
    </i>
    <i>
      <x v="324"/>
      <x v="4"/>
      <x v="15"/>
      <x v="25"/>
    </i>
    <i>
      <x v="325"/>
      <x v="4"/>
      <x v="9"/>
      <x v="25"/>
    </i>
    <i>
      <x v="326"/>
      <x v="3"/>
      <x v="8"/>
      <x v="29"/>
    </i>
    <i>
      <x v="327"/>
      <x v="5"/>
      <x v="8"/>
      <x v="1"/>
    </i>
    <i>
      <x v="328"/>
      <x v="17"/>
      <x v="10"/>
      <x v="29"/>
    </i>
    <i>
      <x v="329"/>
      <x v="7"/>
      <x v="10"/>
      <x v="26"/>
    </i>
    <i>
      <x v="330"/>
      <x v="7"/>
      <x v="10"/>
      <x v="1"/>
    </i>
    <i>
      <x v="331"/>
      <x v="17"/>
      <x v="17"/>
      <x v="29"/>
    </i>
    <i>
      <x v="332"/>
      <x v="17"/>
      <x v="17"/>
      <x v="29"/>
    </i>
    <i>
      <x v="333"/>
      <x v="5"/>
      <x v="6"/>
      <x v="26"/>
    </i>
    <i>
      <x v="334"/>
      <x v="5"/>
      <x v="6"/>
      <x v="26"/>
    </i>
    <i>
      <x v="335"/>
      <x v="5"/>
      <x v="6"/>
      <x v="2"/>
    </i>
    <i>
      <x v="336"/>
      <x v="1"/>
      <x v="15"/>
      <x v="19"/>
    </i>
    <i>
      <x v="337"/>
      <x v="6"/>
      <x v="2"/>
      <x v="1"/>
    </i>
    <i>
      <x v="338"/>
      <x v="17"/>
      <x v="1"/>
      <x v="29"/>
    </i>
    <i>
      <x v="339"/>
      <x v="1"/>
      <x v="15"/>
      <x v="19"/>
    </i>
    <i>
      <x v="340"/>
      <x v="16"/>
      <x v="1"/>
      <x v="15"/>
    </i>
    <i>
      <x v="341"/>
      <x v="9"/>
      <x v="9"/>
      <x v="20"/>
    </i>
    <i>
      <x v="342"/>
      <x v="9"/>
      <x v="9"/>
      <x v="20"/>
    </i>
    <i>
      <x v="343"/>
      <x v="16"/>
      <x v="1"/>
      <x v="15"/>
    </i>
    <i>
      <x v="344"/>
      <x v="9"/>
      <x v="16"/>
      <x/>
    </i>
    <i>
      <x v="345"/>
      <x v="7"/>
      <x v="1"/>
      <x v="3"/>
    </i>
    <i>
      <x v="346"/>
      <x v="12"/>
      <x/>
      <x v="13"/>
    </i>
    <i>
      <x v="347"/>
      <x v="13"/>
      <x v="10"/>
      <x v="12"/>
    </i>
    <i>
      <x v="348"/>
      <x v="1"/>
      <x v="15"/>
      <x v="19"/>
    </i>
    <i>
      <x v="349"/>
      <x v="6"/>
      <x v="6"/>
      <x v="26"/>
    </i>
    <i>
      <x v="350"/>
      <x v="12"/>
      <x v="4"/>
      <x v="13"/>
    </i>
    <i r="3">
      <x v="29"/>
    </i>
    <i>
      <x v="351"/>
      <x v="7"/>
      <x v="10"/>
      <x v="27"/>
    </i>
    <i>
      <x v="352"/>
      <x v="7"/>
      <x v="10"/>
      <x v="27"/>
    </i>
    <i>
      <x v="353"/>
      <x v="12"/>
      <x v="4"/>
      <x v="13"/>
    </i>
    <i>
      <x v="354"/>
      <x v="17"/>
      <x v="17"/>
      <x v="29"/>
    </i>
    <i>
      <x v="355"/>
      <x v="1"/>
      <x v="15"/>
      <x v="19"/>
    </i>
    <i>
      <x v="356"/>
      <x v="1"/>
      <x v="15"/>
      <x v="29"/>
    </i>
    <i>
      <x v="357"/>
      <x v="9"/>
      <x v="15"/>
      <x v="21"/>
    </i>
    <i>
      <x v="358"/>
      <x v="13"/>
      <x v="9"/>
      <x v="1"/>
    </i>
    <i>
      <x v="359"/>
      <x v="4"/>
      <x v="10"/>
      <x v="27"/>
    </i>
    <i>
      <x v="360"/>
      <x v="4"/>
      <x v="10"/>
      <x v="27"/>
    </i>
    <i>
      <x v="361"/>
      <x v="1"/>
      <x v="1"/>
      <x v="16"/>
    </i>
    <i>
      <x v="362"/>
      <x v="1"/>
      <x v="15"/>
      <x v="29"/>
    </i>
    <i>
      <x v="363"/>
      <x v="17"/>
      <x v="17"/>
      <x v="29"/>
    </i>
    <i>
      <x v="364"/>
      <x v="8"/>
      <x v="6"/>
      <x v="2"/>
    </i>
    <i>
      <x v="365"/>
      <x v="8"/>
      <x v="6"/>
      <x v="2"/>
    </i>
    <i>
      <x v="366"/>
      <x v="8"/>
      <x v="6"/>
      <x v="2"/>
    </i>
    <i>
      <x v="367"/>
      <x v="8"/>
      <x v="6"/>
      <x v="29"/>
    </i>
    <i>
      <x v="368"/>
      <x v="8"/>
      <x v="6"/>
      <x v="6"/>
    </i>
    <i>
      <x v="369"/>
      <x v="8"/>
      <x v="6"/>
      <x v="29"/>
    </i>
    <i>
      <x v="370"/>
      <x v="8"/>
      <x v="6"/>
      <x v="9"/>
    </i>
    <i>
      <x v="371"/>
      <x v="17"/>
      <x v="17"/>
      <x v="29"/>
    </i>
    <i>
      <x v="372"/>
      <x v="9"/>
      <x v="9"/>
      <x v="20"/>
    </i>
    <i>
      <x v="373"/>
      <x v="9"/>
      <x v="9"/>
      <x v="20"/>
    </i>
    <i>
      <x v="374"/>
      <x v="9"/>
      <x v="7"/>
      <x v="9"/>
    </i>
    <i>
      <x v="375"/>
      <x v="6"/>
      <x v="9"/>
      <x v="25"/>
    </i>
    <i>
      <x v="376"/>
      <x/>
      <x v="9"/>
      <x v="20"/>
    </i>
    <i>
      <x v="377"/>
      <x v="4"/>
      <x v="2"/>
      <x v="6"/>
    </i>
    <i>
      <x v="378"/>
      <x v="4"/>
      <x v="2"/>
      <x v="3"/>
    </i>
    <i>
      <x v="379"/>
      <x v="16"/>
      <x v="6"/>
      <x v="29"/>
    </i>
    <i>
      <x v="380"/>
      <x v="16"/>
      <x v="6"/>
      <x v="26"/>
    </i>
    <i>
      <x v="381"/>
      <x v="9"/>
      <x v="7"/>
      <x v="1"/>
    </i>
    <i>
      <x v="382"/>
      <x v="17"/>
      <x v="17"/>
      <x v="29"/>
    </i>
    <i>
      <x v="383"/>
      <x v="8"/>
      <x v="10"/>
      <x v="28"/>
    </i>
    <i>
      <x v="384"/>
      <x v="8"/>
      <x v="10"/>
      <x v="1"/>
    </i>
    <i>
      <x v="385"/>
      <x v="11"/>
      <x v="2"/>
      <x v="29"/>
    </i>
    <i>
      <x v="386"/>
      <x v="17"/>
      <x v="9"/>
      <x v="29"/>
    </i>
    <i>
      <x v="387"/>
      <x v="1"/>
      <x v="15"/>
      <x v="19"/>
    </i>
    <i>
      <x v="388"/>
      <x v="2"/>
      <x v="17"/>
      <x v="29"/>
    </i>
    <i>
      <x v="389"/>
      <x v="1"/>
      <x v="15"/>
      <x v="19"/>
    </i>
    <i>
      <x v="390"/>
      <x v="6"/>
      <x v="17"/>
      <x v="29"/>
    </i>
    <i>
      <x v="391"/>
      <x/>
      <x v="10"/>
      <x v="18"/>
    </i>
    <i>
      <x v="392"/>
      <x v="13"/>
      <x v="1"/>
      <x v="29"/>
    </i>
    <i>
      <x v="393"/>
      <x v="11"/>
      <x v="2"/>
      <x v="9"/>
    </i>
    <i>
      <x v="394"/>
      <x/>
      <x v="10"/>
      <x v="24"/>
    </i>
    <i>
      <x v="395"/>
      <x v="13"/>
      <x v="6"/>
      <x v="29"/>
    </i>
    <i r="1">
      <x v="17"/>
      <x v="17"/>
      <x v="29"/>
    </i>
    <i>
      <x v="396"/>
      <x v="11"/>
      <x v="6"/>
      <x v="29"/>
    </i>
    <i>
      <x v="397"/>
      <x v="13"/>
      <x v="15"/>
      <x v="19"/>
    </i>
    <i r="3">
      <x v="29"/>
    </i>
    <i>
      <x v="398"/>
      <x v="17"/>
      <x v="15"/>
      <x v="29"/>
    </i>
    <i>
      <x v="399"/>
      <x v="9"/>
      <x v="10"/>
      <x v="26"/>
    </i>
    <i>
      <x v="400"/>
      <x v="1"/>
      <x v="15"/>
      <x v="29"/>
    </i>
    <i>
      <x v="401"/>
      <x v="7"/>
      <x v="8"/>
      <x v="20"/>
    </i>
    <i>
      <x v="402"/>
      <x v="17"/>
      <x v="9"/>
      <x v="29"/>
    </i>
    <i>
      <x v="403"/>
      <x v="17"/>
      <x v="9"/>
      <x v="29"/>
    </i>
    <i>
      <x v="404"/>
      <x v="17"/>
      <x v="10"/>
      <x v="29"/>
    </i>
    <i>
      <x v="405"/>
      <x v="17"/>
      <x v="9"/>
      <x v="29"/>
    </i>
    <i>
      <x v="406"/>
      <x v="11"/>
      <x v="9"/>
      <x v="19"/>
    </i>
    <i r="3">
      <x v="29"/>
    </i>
    <i>
      <x v="407"/>
      <x v="11"/>
      <x v="9"/>
      <x v="19"/>
    </i>
    <i r="3">
      <x v="29"/>
    </i>
    <i>
      <x v="408"/>
      <x v="17"/>
      <x v="17"/>
      <x v="29"/>
    </i>
  </rowItems>
  <colItems count="1">
    <i/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4000000}" name="Pivot Table 5" cacheId="14" applyNumberFormats="0" applyBorderFormats="0" applyFontFormats="0" applyPatternFormats="0" applyAlignmentFormats="0" applyWidthHeightFormats="0" dataCaption="" updatedVersion="8" rowGrandTotals="0" compact="0" compactData="0">
  <location ref="A1:B22" firstHeaderRow="1" firstDataRow="1" firstDataCol="2"/>
  <pivotFields count="20">
    <pivotField name="No" compact="0" outline="0" multipleItemSelectionAllowed="1" showAll="0"/>
    <pivotField name="No Perjanjian" compact="0" outline="0" multipleItemSelectionAllowed="1" showAll="0"/>
    <pivotField name="Nama Yayasan" compact="0" outline="0" multipleItemSelectionAllowed="1" showAll="0"/>
    <pivotField name="Nama Ketua Yayasan" compact="0" outline="0" multipleItemSelectionAllowed="1" showAll="0"/>
    <pivotField name="Nama Sekolah" axis="axisRow" compact="0" outline="0" multipleItemSelectionAllowed="1" showAll="0" sortType="ascending">
      <items count="410">
        <item x="261"/>
        <item x="286"/>
        <item x="301"/>
        <item x="288"/>
        <item x="313"/>
        <item x="353"/>
        <item x="46"/>
        <item x="205"/>
        <item x="5"/>
        <item x="197"/>
        <item x="402"/>
        <item x="177"/>
        <item x="152"/>
        <item x="243"/>
        <item x="227"/>
        <item x="194"/>
        <item x="308"/>
        <item x="361"/>
        <item x="165"/>
        <item x="101"/>
        <item x="169"/>
        <item x="316"/>
        <item x="287"/>
        <item x="111"/>
        <item x="113"/>
        <item x="378"/>
        <item x="116"/>
        <item x="119"/>
        <item x="202"/>
        <item x="311"/>
        <item x="63"/>
        <item x="279"/>
        <item x="365"/>
        <item x="130"/>
        <item x="268"/>
        <item x="191"/>
        <item x="181"/>
        <item x="129"/>
        <item x="138"/>
        <item x="134"/>
        <item x="141"/>
        <item x="250"/>
        <item x="232"/>
        <item x="350"/>
        <item x="262"/>
        <item x="147"/>
        <item x="281"/>
        <item x="215"/>
        <item x="163"/>
        <item x="239"/>
        <item x="150"/>
        <item x="376"/>
        <item x="57"/>
        <item x="61"/>
        <item x="335"/>
        <item x="273"/>
        <item x="253"/>
        <item x="107"/>
        <item x="105"/>
        <item x="247"/>
        <item x="391"/>
        <item x="69"/>
        <item x="64"/>
        <item x="357"/>
        <item x="234"/>
        <item x="312"/>
        <item x="271"/>
        <item x="265"/>
        <item x="204"/>
        <item x="210"/>
        <item x="207"/>
        <item x="143"/>
        <item x="395"/>
        <item x="176"/>
        <item x="85"/>
        <item x="91"/>
        <item x="94"/>
        <item x="89"/>
        <item x="79"/>
        <item x="82"/>
        <item x="99"/>
        <item x="96"/>
        <item x="383"/>
        <item x="325"/>
        <item x="67"/>
        <item x="336"/>
        <item x="175"/>
        <item x="394"/>
        <item x="201"/>
        <item x="11"/>
        <item x="8"/>
        <item x="396"/>
        <item x="172"/>
        <item x="322"/>
        <item x="332"/>
        <item x="103"/>
        <item x="156"/>
        <item x="344"/>
        <item x="1"/>
        <item x="40"/>
        <item x="36"/>
        <item x="259"/>
        <item x="309"/>
        <item x="367"/>
        <item x="73"/>
        <item x="342"/>
        <item x="229"/>
        <item x="173"/>
        <item x="179"/>
        <item x="22"/>
        <item x="19"/>
        <item x="276"/>
        <item x="14"/>
        <item x="406"/>
        <item x="389"/>
        <item x="27"/>
        <item x="370"/>
        <item x="254"/>
        <item x="296"/>
        <item x="29"/>
        <item x="183"/>
        <item x="123"/>
        <item x="231"/>
        <item x="213"/>
        <item x="161"/>
        <item x="318"/>
        <item x="340"/>
        <item x="220"/>
        <item x="351"/>
        <item x="48"/>
        <item x="52"/>
        <item x="233"/>
        <item x="219"/>
        <item x="381"/>
        <item x="77"/>
        <item x="267"/>
        <item x="384"/>
        <item x="225"/>
        <item x="216"/>
        <item x="306"/>
        <item x="400"/>
        <item x="223"/>
        <item x="224"/>
        <item x="305"/>
        <item x="310"/>
        <item x="369"/>
        <item x="260"/>
        <item x="30"/>
        <item x="333"/>
        <item x="235"/>
        <item x="38"/>
        <item x="264"/>
        <item x="236"/>
        <item x="295"/>
        <item x="303"/>
        <item x="356"/>
        <item x="362"/>
        <item x="277"/>
        <item x="43"/>
        <item x="41"/>
        <item x="7"/>
        <item x="199"/>
        <item x="404"/>
        <item x="154"/>
        <item x="245"/>
        <item x="167"/>
        <item x="380"/>
        <item x="121"/>
        <item x="256"/>
        <item x="24"/>
        <item x="366"/>
        <item x="132"/>
        <item x="140"/>
        <item x="136"/>
        <item x="348"/>
        <item x="21"/>
        <item x="149"/>
        <item x="241"/>
        <item x="59"/>
        <item x="334"/>
        <item x="275"/>
        <item x="109"/>
        <item x="249"/>
        <item x="393"/>
        <item x="145"/>
        <item x="87"/>
        <item x="84"/>
        <item x="98"/>
        <item x="13"/>
        <item x="398"/>
        <item x="285"/>
        <item x="158"/>
        <item x="346"/>
        <item x="3"/>
        <item x="242"/>
        <item x="190"/>
        <item x="15"/>
        <item x="408"/>
        <item x="25"/>
        <item x="127"/>
        <item x="125"/>
        <item x="32"/>
        <item x="349"/>
        <item x="34"/>
        <item x="371"/>
        <item x="185"/>
        <item x="320"/>
        <item x="222"/>
        <item x="302"/>
        <item x="50"/>
        <item x="71"/>
        <item x="257"/>
        <item x="297"/>
        <item x="299"/>
        <item x="399"/>
        <item x="292"/>
        <item x="237"/>
        <item x="291"/>
        <item x="364"/>
        <item x="168"/>
        <item x="270"/>
        <item x="128"/>
        <item x="126"/>
        <item x="388"/>
        <item x="266"/>
        <item x="51"/>
        <item x="300"/>
        <item x="298"/>
        <item x="289"/>
        <item x="290"/>
        <item x="347"/>
        <item x="314"/>
        <item x="354"/>
        <item x="44"/>
        <item x="42"/>
        <item x="47"/>
        <item x="6"/>
        <item x="198"/>
        <item x="403"/>
        <item x="178"/>
        <item x="153"/>
        <item x="244"/>
        <item x="228"/>
        <item x="195"/>
        <item x="166"/>
        <item x="114"/>
        <item x="379"/>
        <item x="283"/>
        <item x="117"/>
        <item x="120"/>
        <item x="203"/>
        <item x="255"/>
        <item x="23"/>
        <item x="131"/>
        <item x="192"/>
        <item x="182"/>
        <item x="324"/>
        <item x="139"/>
        <item x="135"/>
        <item x="251"/>
        <item x="20"/>
        <item x="263"/>
        <item x="148"/>
        <item x="240"/>
        <item x="58"/>
        <item x="274"/>
        <item x="108"/>
        <item x="248"/>
        <item x="392"/>
        <item x="65"/>
        <item x="211"/>
        <item x="208"/>
        <item x="144"/>
        <item x="86"/>
        <item x="80"/>
        <item x="92"/>
        <item x="83"/>
        <item x="100"/>
        <item x="97"/>
        <item x="12"/>
        <item x="9"/>
        <item x="397"/>
        <item x="323"/>
        <item x="284"/>
        <item x="157"/>
        <item x="345"/>
        <item x="2"/>
        <item x="37"/>
        <item x="307"/>
        <item x="368"/>
        <item x="74"/>
        <item x="230"/>
        <item x="180"/>
        <item x="16"/>
        <item x="26"/>
        <item x="31"/>
        <item x="28"/>
        <item x="33"/>
        <item x="386"/>
        <item x="184"/>
        <item x="124"/>
        <item x="214"/>
        <item x="162"/>
        <item x="319"/>
        <item x="221"/>
        <item x="355"/>
        <item x="269"/>
        <item x="49"/>
        <item x="55"/>
        <item x="53"/>
        <item x="70"/>
        <item x="280"/>
        <item x="385"/>
        <item x="217"/>
        <item x="186"/>
        <item x="189"/>
        <item x="407"/>
        <item x="258"/>
        <item x="363"/>
        <item x="45"/>
        <item x="4"/>
        <item x="196"/>
        <item x="401"/>
        <item x="151"/>
        <item x="226"/>
        <item x="193"/>
        <item x="360"/>
        <item x="164"/>
        <item x="293"/>
        <item x="110"/>
        <item x="112"/>
        <item x="387"/>
        <item x="377"/>
        <item x="282"/>
        <item x="115"/>
        <item x="118"/>
        <item x="62"/>
        <item x="278"/>
        <item x="352"/>
        <item x="66"/>
        <item x="17"/>
        <item x="137"/>
        <item x="133"/>
        <item x="18"/>
        <item x="294"/>
        <item x="146"/>
        <item x="238"/>
        <item x="373"/>
        <item x="60"/>
        <item x="272"/>
        <item x="252"/>
        <item x="106"/>
        <item x="104"/>
        <item x="246"/>
        <item x="390"/>
        <item x="68"/>
        <item x="326"/>
        <item x="375"/>
        <item x="358"/>
        <item x="209"/>
        <item x="206"/>
        <item x="142"/>
        <item x="75"/>
        <item x="405"/>
        <item x="90"/>
        <item x="93"/>
        <item x="88"/>
        <item x="78"/>
        <item x="81"/>
        <item x="330"/>
        <item x="95"/>
        <item x="382"/>
        <item x="174"/>
        <item x="200"/>
        <item x="160"/>
        <item x="10"/>
        <item x="171"/>
        <item x="102"/>
        <item x="155"/>
        <item x="343"/>
        <item x="0"/>
        <item x="159"/>
        <item x="372"/>
        <item x="39"/>
        <item x="35"/>
        <item x="337"/>
        <item x="321"/>
        <item x="72"/>
        <item x="341"/>
        <item x="56"/>
        <item x="328"/>
        <item x="327"/>
        <item x="315"/>
        <item x="122"/>
        <item x="212"/>
        <item x="317"/>
        <item x="331"/>
        <item x="54"/>
        <item x="359"/>
        <item x="218"/>
        <item x="76"/>
        <item x="170"/>
        <item x="304"/>
        <item x="339"/>
        <item x="329"/>
        <item x="338"/>
        <item x="188"/>
        <item x="187"/>
        <item x="374"/>
        <item t="default"/>
      </items>
    </pivotField>
    <pivotField name="Grade" compact="0" outline="0" multipleItemSelectionAllowed="1" showAll="0"/>
    <pivotField name="Kepala Sekolah" compact="0" outline="0" multipleItemSelectionAllowed="1" showAll="0"/>
    <pivotField name="Email" compact="0" outline="0" multipleItemSelectionAllowed="1" showAll="0"/>
    <pivotField name="Masa Kerja Sama" compact="0" outline="0" multipleItemSelectionAllowed="1" showAll="0"/>
    <pivotField name="Awal Kerja Sama" compact="0" outline="0" multipleItemSelectionAllowed="1" showAll="0"/>
    <pivotField name="Akhir Kerja Sama" compact="0" outline="0" multipleItemSelectionAllowed="1" showAll="0"/>
    <pivotField name="Status Kerja Sama" axis="axisRow" compact="0" outline="0" multipleItemSelectionAllowed="1" showAll="0" sortType="ascending" defaultSubtotal="0">
      <items count="4">
        <item sd="0" x="0"/>
        <item x="3"/>
        <item sd="0" x="1"/>
        <item sd="0" x="2"/>
      </items>
    </pivotField>
    <pivotField name="Jenis Kerja Sama" compact="0" outline="0" multipleItemSelectionAllowed="1" showAll="0"/>
    <pivotField name="Produk TIK" compact="0" outline="0" multipleItemSelectionAllowed="1" showAll="0"/>
    <pivotField name="Iuran Siswa/ Bulan" compact="0" outline="0" multipleItemSelectionAllowed="1" showAll="0"/>
    <pivotField name="Omzet Perbulan" compact="0" outline="0" multipleItemSelectionAllowed="1" showAll="0"/>
    <pivotField compact="0" outline="0" showAll="0" includeNewItemsInFilter="1"/>
    <pivotField name="Teknisi" compact="0" outline="0" multipleItemSelectionAllowed="1" showAll="0"/>
    <pivotField name="Sales" compact="0" outline="0" multipleItemSelectionAllowed="1" showAll="0"/>
    <pivotField name="Akademik" compact="0" outline="0" multipleItemSelectionAllowed="1" showAll="0"/>
  </pivotFields>
  <rowFields count="2">
    <field x="11"/>
    <field x="4"/>
  </rowFields>
  <rowItems count="21">
    <i>
      <x/>
    </i>
    <i>
      <x v="1"/>
      <x v="2"/>
    </i>
    <i r="1">
      <x v="32"/>
    </i>
    <i r="1">
      <x v="65"/>
    </i>
    <i r="1">
      <x v="133"/>
    </i>
    <i r="1">
      <x v="144"/>
    </i>
    <i r="1">
      <x v="145"/>
    </i>
    <i r="1">
      <x v="154"/>
    </i>
    <i r="1">
      <x v="155"/>
    </i>
    <i r="1">
      <x v="170"/>
    </i>
    <i r="1">
      <x v="208"/>
    </i>
    <i r="1">
      <x v="213"/>
    </i>
    <i r="1">
      <x v="215"/>
    </i>
    <i r="1">
      <x v="226"/>
    </i>
    <i r="1">
      <x v="227"/>
    </i>
    <i r="1">
      <x v="298"/>
    </i>
    <i r="1">
      <x v="305"/>
    </i>
    <i r="1">
      <x v="358"/>
    </i>
    <i r="1">
      <x v="398"/>
    </i>
    <i>
      <x v="2"/>
    </i>
    <i>
      <x v="3"/>
    </i>
  </rowItems>
  <colItems count="1">
    <i/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800-000005000000}" name="Pivot Table 4" cacheId="9" applyNumberFormats="0" applyBorderFormats="0" applyFontFormats="0" applyPatternFormats="0" applyAlignmentFormats="0" applyWidthHeightFormats="0" dataCaption="" updatedVersion="8" rowGrandTotals="0" compact="0" compactData="0">
  <location ref="A1:C140" firstHeaderRow="1" firstDataRow="1" firstDataCol="3"/>
  <pivotFields count="34">
    <pivotField name="NO" compact="0" outline="0" multipleItemSelectionAllowed="1" showAll="0"/>
    <pivotField name="KET" compact="0" outline="0" multipleItemSelectionAllowed="1" showAll="0"/>
    <pivotField name="LOKASI" compact="0" outline="0" multipleItemSelectionAllowed="1" showAll="0"/>
    <pivotField name="No. Kontrak" compact="0" outline="0" multipleItemSelectionAllowed="1" showAll="0"/>
    <pivotField name="BLN" compact="0" outline="0" multipleItemSelectionAllowed="1" showAll="0"/>
    <pivotField name="THN" compact="0" outline="0" multipleItemSelectionAllowed="1" showAll="0"/>
    <pivotField name="NAMA" axis="axisRow" compact="0" outline="0" multipleItemSelectionAllowed="1" showAll="0" sortType="ascending" defaultSubtotal="0">
      <items count="139">
        <item x="128"/>
        <item x="137"/>
        <item x="99"/>
        <item x="45"/>
        <item x="12"/>
        <item x="106"/>
        <item x="8"/>
        <item x="96"/>
        <item x="97"/>
        <item x="24"/>
        <item x="113"/>
        <item x="101"/>
        <item x="39"/>
        <item x="53"/>
        <item x="107"/>
        <item x="85"/>
        <item x="66"/>
        <item x="63"/>
        <item x="14"/>
        <item x="125"/>
        <item x="56"/>
        <item x="67"/>
        <item x="32"/>
        <item x="98"/>
        <item x="17"/>
        <item x="3"/>
        <item x="4"/>
        <item x="46"/>
        <item x="5"/>
        <item x="118"/>
        <item x="23"/>
        <item x="18"/>
        <item x="72"/>
        <item x="16"/>
        <item x="62"/>
        <item x="22"/>
        <item x="116"/>
        <item x="112"/>
        <item x="122"/>
        <item x="133"/>
        <item x="74"/>
        <item x="34"/>
        <item x="111"/>
        <item x="11"/>
        <item x="81"/>
        <item x="134"/>
        <item x="33"/>
        <item x="30"/>
        <item x="65"/>
        <item x="38"/>
        <item x="132"/>
        <item x="80"/>
        <item x="1"/>
        <item x="10"/>
        <item x="114"/>
        <item x="26"/>
        <item x="69"/>
        <item x="131"/>
        <item x="71"/>
        <item x="105"/>
        <item x="57"/>
        <item x="129"/>
        <item x="82"/>
        <item x="48"/>
        <item x="55"/>
        <item x="51"/>
        <item x="25"/>
        <item x="6"/>
        <item x="21"/>
        <item x="37"/>
        <item x="29"/>
        <item x="50"/>
        <item x="75"/>
        <item x="68"/>
        <item x="115"/>
        <item x="123"/>
        <item x="7"/>
        <item x="136"/>
        <item x="87"/>
        <item x="108"/>
        <item x="90"/>
        <item x="109"/>
        <item x="58"/>
        <item x="100"/>
        <item x="15"/>
        <item x="73"/>
        <item x="13"/>
        <item x="79"/>
        <item x="31"/>
        <item x="119"/>
        <item x="44"/>
        <item x="36"/>
        <item x="104"/>
        <item x="64"/>
        <item x="2"/>
        <item x="93"/>
        <item x="19"/>
        <item x="94"/>
        <item x="0"/>
        <item x="41"/>
        <item x="120"/>
        <item x="86"/>
        <item x="28"/>
        <item x="47"/>
        <item x="78"/>
        <item x="20"/>
        <item x="40"/>
        <item x="89"/>
        <item x="102"/>
        <item x="61"/>
        <item x="54"/>
        <item x="43"/>
        <item x="77"/>
        <item x="130"/>
        <item x="49"/>
        <item x="84"/>
        <item x="135"/>
        <item x="110"/>
        <item x="83"/>
        <item x="88"/>
        <item x="9"/>
        <item x="35"/>
        <item x="60"/>
        <item x="92"/>
        <item x="76"/>
        <item x="42"/>
        <item x="91"/>
        <item x="27"/>
        <item x="126"/>
        <item x="121"/>
        <item x="59"/>
        <item x="103"/>
        <item x="52"/>
        <item x="124"/>
        <item x="117"/>
        <item x="70"/>
        <item x="95"/>
        <item x="127"/>
        <item x="138"/>
      </items>
    </pivotField>
    <pivotField name="T4" compact="0" outline="0" multipleItemSelectionAllowed="1" showAll="0"/>
    <pivotField name="TGL LAHIR" compact="0" outline="0" multipleItemSelectionAllowed="1" showAll="0"/>
    <pivotField name="ALAMAT1" compact="0" outline="0" multipleItemSelectionAllowed="1" showAll="0"/>
    <pivotField name="ALAMAT2" compact="0" outline="0" multipleItemSelectionAllowed="1" showAll="0"/>
    <pivotField name="TELP" compact="0" outline="0" multipleItemSelectionAllowed="1" showAll="0"/>
    <pivotField name="HARI" compact="0" outline="0" multipleItemSelectionAllowed="1" showAll="0"/>
    <pivotField name="TGL KONTRAK" compact="0" outline="0" multipleItemSelectionAllowed="1" showAll="0"/>
    <pivotField name="BULAN" compact="0" outline="0" multipleItemSelectionAllowed="1" showAll="0"/>
    <pivotField name="TAHUN" compact="0" outline="0" multipleItemSelectionAllowed="1" showAll="0"/>
    <pivotField name="SEKOLAH/YAYASAN" axis="axisRow" compact="0" outline="0" multipleItemSelectionAllowed="1" showAll="0" sortType="ascending" defaultSubtotal="0">
      <items count="89">
        <item x="44"/>
        <item x="9"/>
        <item x="15"/>
        <item x="38"/>
        <item x="27"/>
        <item x="25"/>
        <item x="2"/>
        <item x="58"/>
        <item x="30"/>
        <item x="46"/>
        <item x="72"/>
        <item x="39"/>
        <item x="60"/>
        <item x="71"/>
        <item x="85"/>
        <item x="82"/>
        <item x="73"/>
        <item x="49"/>
        <item x="22"/>
        <item x="17"/>
        <item x="3"/>
        <item x="36"/>
        <item x="24"/>
        <item x="56"/>
        <item x="84"/>
        <item x="79"/>
        <item x="12"/>
        <item x="77"/>
        <item x="51"/>
        <item x="52"/>
        <item x="50"/>
        <item x="53"/>
        <item x="55"/>
        <item x="28"/>
        <item x="42"/>
        <item x="81"/>
        <item x="19"/>
        <item x="76"/>
        <item x="37"/>
        <item x="21"/>
        <item x="16"/>
        <item x="65"/>
        <item x="57"/>
        <item x="67"/>
        <item x="48"/>
        <item x="40"/>
        <item x="59"/>
        <item x="83"/>
        <item x="75"/>
        <item x="86"/>
        <item x="69"/>
        <item x="87"/>
        <item x="61"/>
        <item x="62"/>
        <item x="20"/>
        <item x="18"/>
        <item x="70"/>
        <item x="14"/>
        <item x="54"/>
        <item x="8"/>
        <item x="32"/>
        <item x="63"/>
        <item x="1"/>
        <item x="41"/>
        <item x="26"/>
        <item x="66"/>
        <item x="45"/>
        <item x="74"/>
        <item x="68"/>
        <item x="80"/>
        <item x="13"/>
        <item x="64"/>
        <item x="23"/>
        <item x="35"/>
        <item x="34"/>
        <item x="29"/>
        <item x="0"/>
        <item x="43"/>
        <item x="6"/>
        <item x="7"/>
        <item x="31"/>
        <item x="33"/>
        <item x="47"/>
        <item x="10"/>
        <item x="11"/>
        <item x="78"/>
        <item x="5"/>
        <item x="4"/>
        <item x="88"/>
      </items>
    </pivotField>
    <pivotField name="ALAMAT SEKOLAH" compact="0" outline="0" multipleItemSelectionAllowed="1" showAll="0"/>
    <pivotField name="TGL SURAT" compact="0" outline="0" multipleItemSelectionAllowed="1" showAll="0"/>
    <pivotField name="AWAL" compact="0" outline="0" multipleItemSelectionAllowed="1" showAll="0"/>
    <pivotField name="AKHIR" compact="0" outline="0" multipleItemSelectionAllowed="1" showAll="0"/>
    <pivotField name="TGL PERJ" compact="0" outline="0" multipleItemSelectionAllowed="1" showAll="0"/>
    <pivotField name="NO. KTP" compact="0" outline="0" multipleItemSelectionAllowed="1" showAll="0"/>
    <pivotField name="Alamat KTP" compact="0" outline="0" multipleItemSelectionAllowed="1" showAll="0"/>
    <pivotField name="NPWP" compact="0" outline="0" multipleItemSelectionAllowed="1" showAll="0"/>
    <pivotField name="Alamat NPWP" compact="0" outline="0" multipleItemSelectionAllowed="1" showAll="0"/>
    <pivotField name="email" compact="0" outline="0" multipleItemSelectionAllowed="1" showAll="0"/>
    <pivotField name="PENDIDIKAN" compact="0" outline="0" multipleItemSelectionAllowed="1" showAll="0"/>
    <pivotField name="KETERANGAN" compact="0" outline="0" multipleItemSelectionAllowed="1" showAll="0"/>
    <pivotField name="Bpk/Ibu" compact="0" outline="0" multipleItemSelectionAllowed="1" showAll="0"/>
    <pivotField name="Start" compact="0" outline="0" multipleItemSelectionAllowed="1" showAll="0"/>
    <pivotField name="Status Kerja" axis="axisRow" compact="0" outline="0" multipleItemSelectionAllowed="1" showAll="0" sortType="ascending">
      <items count="3">
        <item x="1"/>
        <item x="0"/>
        <item t="default"/>
      </items>
    </pivotField>
    <pivotField name="Status Pernikahan" compact="0" outline="0" multipleItemSelectionAllowed="1" showAll="0"/>
    <pivotField name="Anak" compact="0" outline="0" multipleItemSelectionAllowed="1" showAll="0"/>
  </pivotFields>
  <rowFields count="3">
    <field x="6"/>
    <field x="16"/>
    <field x="31"/>
  </rowFields>
  <rowItems count="139">
    <i>
      <x/>
      <x/>
      <x v="1"/>
    </i>
    <i>
      <x v="1"/>
      <x/>
      <x v="1"/>
    </i>
    <i>
      <x v="2"/>
      <x v="68"/>
      <x v="1"/>
    </i>
    <i>
      <x v="3"/>
      <x v="60"/>
      <x v="1"/>
    </i>
    <i>
      <x v="4"/>
      <x v="59"/>
      <x v="1"/>
    </i>
    <i>
      <x v="5"/>
      <x v="10"/>
      <x v="1"/>
    </i>
    <i>
      <x v="6"/>
      <x v="86"/>
      <x v="1"/>
    </i>
    <i>
      <x v="7"/>
      <x v="5"/>
      <x v="1"/>
    </i>
    <i>
      <x v="8"/>
      <x/>
      <x/>
    </i>
    <i>
      <x v="9"/>
      <x v="55"/>
      <x v="1"/>
    </i>
    <i>
      <x v="10"/>
      <x v="37"/>
      <x v="1"/>
    </i>
    <i>
      <x v="11"/>
      <x v="50"/>
      <x v="1"/>
    </i>
    <i>
      <x v="12"/>
      <x v="75"/>
      <x v="1"/>
    </i>
    <i>
      <x v="13"/>
      <x v="21"/>
      <x v="1"/>
    </i>
    <i>
      <x v="14"/>
      <x v="10"/>
      <x v="1"/>
    </i>
    <i>
      <x v="15"/>
      <x v="52"/>
      <x v="1"/>
    </i>
    <i>
      <x v="16"/>
      <x v="9"/>
      <x v="1"/>
    </i>
    <i>
      <x v="17"/>
      <x/>
      <x v="1"/>
    </i>
    <i>
      <x v="18"/>
      <x v="83"/>
      <x v="1"/>
    </i>
    <i>
      <x v="19"/>
      <x/>
      <x v="1"/>
    </i>
    <i>
      <x v="20"/>
      <x v="3"/>
      <x v="1"/>
    </i>
    <i>
      <x v="21"/>
      <x v="82"/>
      <x v="1"/>
    </i>
    <i>
      <x v="22"/>
      <x v="6"/>
      <x v="1"/>
    </i>
    <i>
      <x v="23"/>
      <x v="68"/>
      <x v="1"/>
    </i>
    <i>
      <x v="24"/>
      <x v="26"/>
      <x/>
    </i>
    <i>
      <x v="25"/>
      <x v="20"/>
      <x v="1"/>
    </i>
    <i>
      <x v="26"/>
      <x v="20"/>
      <x v="1"/>
    </i>
    <i>
      <x v="27"/>
      <x v="60"/>
      <x v="1"/>
    </i>
    <i>
      <x v="28"/>
      <x v="87"/>
      <x v="1"/>
    </i>
    <i>
      <x v="29"/>
      <x v="35"/>
      <x v="1"/>
    </i>
    <i>
      <x v="30"/>
      <x v="19"/>
      <x v="1"/>
    </i>
    <i>
      <x v="31"/>
      <x v="70"/>
      <x v="1"/>
    </i>
    <i>
      <x v="32"/>
      <x v="17"/>
      <x v="1"/>
    </i>
    <i>
      <x v="33"/>
      <x v="84"/>
      <x v="1"/>
    </i>
    <i>
      <x v="34"/>
      <x v="77"/>
      <x v="1"/>
    </i>
    <i>
      <x v="35"/>
      <x v="26"/>
      <x/>
    </i>
    <i>
      <x v="36"/>
      <x v="25"/>
      <x v="1"/>
    </i>
    <i>
      <x v="37"/>
      <x/>
      <x v="1"/>
    </i>
    <i>
      <x v="38"/>
      <x v="14"/>
      <x v="1"/>
    </i>
    <i>
      <x v="39"/>
      <x/>
      <x v="1"/>
    </i>
    <i>
      <x v="40"/>
      <x v="30"/>
      <x v="1"/>
    </i>
    <i>
      <x v="41"/>
      <x v="64"/>
      <x v="1"/>
    </i>
    <i>
      <x v="42"/>
      <x v="48"/>
      <x/>
    </i>
    <i>
      <x v="43"/>
      <x v="79"/>
      <x v="1"/>
    </i>
    <i>
      <x v="44"/>
      <x v="42"/>
      <x/>
    </i>
    <i>
      <x v="45"/>
      <x/>
      <x v="1"/>
    </i>
    <i>
      <x v="46"/>
      <x v="6"/>
      <x v="1"/>
    </i>
    <i>
      <x v="47"/>
      <x v="22"/>
      <x v="1"/>
    </i>
    <i>
      <x v="48"/>
      <x v="9"/>
      <x v="1"/>
    </i>
    <i>
      <x v="49"/>
      <x v="33"/>
      <x v="1"/>
    </i>
    <i>
      <x v="50"/>
      <x/>
      <x v="1"/>
    </i>
    <i>
      <x v="51"/>
      <x v="23"/>
      <x v="1"/>
    </i>
    <i>
      <x v="52"/>
      <x v="62"/>
      <x v="1"/>
    </i>
    <i>
      <x v="53"/>
      <x v="78"/>
      <x v="1"/>
    </i>
    <i>
      <x v="54"/>
      <x v="27"/>
      <x v="1"/>
    </i>
    <i>
      <x v="55"/>
      <x v="54"/>
      <x/>
    </i>
    <i>
      <x v="56"/>
      <x v="17"/>
      <x v="1"/>
    </i>
    <i>
      <x v="57"/>
      <x/>
      <x v="1"/>
    </i>
    <i>
      <x v="58"/>
      <x v="17"/>
      <x v="1"/>
    </i>
    <i>
      <x v="59"/>
      <x v="13"/>
      <x v="1"/>
    </i>
    <i>
      <x v="60"/>
      <x v="11"/>
      <x v="1"/>
    </i>
    <i>
      <x v="61"/>
      <x/>
      <x v="1"/>
    </i>
    <i>
      <x v="62"/>
      <x v="7"/>
      <x v="1"/>
    </i>
    <i>
      <x v="63"/>
      <x v="60"/>
      <x v="1"/>
    </i>
    <i>
      <x v="64"/>
      <x v="3"/>
      <x v="1"/>
    </i>
    <i>
      <x v="65"/>
      <x v="74"/>
      <x v="1"/>
    </i>
    <i>
      <x v="66"/>
      <x v="36"/>
      <x/>
    </i>
    <i>
      <x v="67"/>
      <x v="86"/>
      <x v="1"/>
    </i>
    <i>
      <x v="68"/>
      <x v="40"/>
      <x v="1"/>
    </i>
    <i>
      <x v="69"/>
      <x v="20"/>
      <x v="1"/>
    </i>
    <i>
      <x v="70"/>
      <x v="72"/>
      <x v="1"/>
    </i>
    <i>
      <x v="71"/>
      <x v="81"/>
      <x v="1"/>
    </i>
    <i>
      <x v="72"/>
      <x v="28"/>
      <x v="1"/>
    </i>
    <i>
      <x v="73"/>
      <x v="44"/>
      <x v="1"/>
    </i>
    <i>
      <x v="74"/>
      <x v="85"/>
      <x v="1"/>
    </i>
    <i>
      <x v="75"/>
      <x v="49"/>
      <x v="1"/>
    </i>
    <i>
      <x v="76"/>
      <x v="86"/>
      <x v="1"/>
    </i>
    <i>
      <x v="77"/>
      <x/>
      <x v="1"/>
    </i>
    <i>
      <x v="78"/>
      <x/>
      <x v="1"/>
    </i>
    <i>
      <x v="79"/>
      <x v="16"/>
      <x/>
    </i>
    <i>
      <x v="80"/>
      <x v="61"/>
      <x v="1"/>
    </i>
    <i>
      <x v="81"/>
      <x v="30"/>
      <x v="1"/>
    </i>
    <i>
      <x v="82"/>
      <x v="11"/>
      <x/>
    </i>
    <i>
      <x v="83"/>
      <x v="68"/>
      <x/>
    </i>
    <i>
      <x v="84"/>
      <x v="83"/>
      <x v="1"/>
    </i>
    <i>
      <x v="85"/>
      <x v="30"/>
      <x v="1"/>
    </i>
    <i>
      <x v="86"/>
      <x v="1"/>
      <x v="1"/>
    </i>
    <i>
      <x v="87"/>
      <x v="32"/>
      <x v="1"/>
    </i>
    <i>
      <x v="88"/>
      <x v="5"/>
      <x v="1"/>
    </i>
    <i>
      <x v="89"/>
      <x v="15"/>
      <x v="1"/>
    </i>
    <i>
      <x v="90"/>
      <x v="80"/>
      <x v="1"/>
    </i>
    <i>
      <x v="91"/>
      <x v="20"/>
      <x v="1"/>
    </i>
    <i>
      <x v="92"/>
      <x v="13"/>
      <x v="1"/>
    </i>
    <i>
      <x v="93"/>
      <x v="66"/>
      <x v="1"/>
    </i>
    <i>
      <x v="94"/>
      <x v="6"/>
      <x v="1"/>
    </i>
    <i>
      <x v="95"/>
      <x v="41"/>
      <x v="1"/>
    </i>
    <i>
      <x v="96"/>
      <x v="57"/>
      <x v="1"/>
    </i>
    <i>
      <x v="97"/>
      <x v="65"/>
      <x v="1"/>
    </i>
    <i>
      <x v="98"/>
      <x v="76"/>
      <x v="1"/>
    </i>
    <i>
      <x v="99"/>
      <x v="80"/>
      <x v="1"/>
    </i>
    <i>
      <x v="100"/>
      <x v="47"/>
      <x v="1"/>
    </i>
    <i>
      <x v="101"/>
      <x/>
      <x v="1"/>
    </i>
    <i>
      <x v="102"/>
      <x v="18"/>
      <x v="1"/>
    </i>
    <i>
      <x v="103"/>
      <x v="60"/>
      <x v="1"/>
    </i>
    <i>
      <x v="104"/>
      <x v="58"/>
      <x v="1"/>
    </i>
    <i>
      <x v="105"/>
      <x v="2"/>
      <x/>
    </i>
    <i>
      <x v="106"/>
      <x v="8"/>
      <x v="1"/>
    </i>
    <i>
      <x v="107"/>
      <x v="53"/>
      <x v="1"/>
    </i>
    <i>
      <x v="108"/>
      <x v="56"/>
      <x v="1"/>
    </i>
    <i>
      <x v="109"/>
      <x v="34"/>
      <x v="1"/>
    </i>
    <i>
      <x v="110"/>
      <x v="38"/>
      <x/>
    </i>
    <i>
      <x v="111"/>
      <x v="80"/>
      <x v="1"/>
    </i>
    <i>
      <x v="112"/>
      <x v="31"/>
      <x v="1"/>
    </i>
    <i>
      <x v="113"/>
      <x/>
      <x v="1"/>
    </i>
    <i>
      <x v="114"/>
      <x v="81"/>
      <x v="1"/>
    </i>
    <i>
      <x v="115"/>
      <x v="12"/>
      <x/>
    </i>
    <i>
      <x v="116"/>
      <x/>
      <x v="1"/>
    </i>
    <i>
      <x v="117"/>
      <x v="67"/>
      <x v="1"/>
    </i>
    <i>
      <x v="118"/>
      <x v="46"/>
      <x/>
    </i>
    <i>
      <x v="119"/>
      <x v="53"/>
      <x v="1"/>
    </i>
    <i>
      <x v="120"/>
      <x v="86"/>
      <x v="1"/>
    </i>
    <i>
      <x v="121"/>
      <x v="4"/>
      <x v="1"/>
    </i>
    <i>
      <x v="122"/>
      <x v="63"/>
      <x v="1"/>
    </i>
    <i>
      <x v="123"/>
      <x v="71"/>
      <x v="1"/>
    </i>
    <i>
      <x v="124"/>
      <x v="29"/>
      <x v="1"/>
    </i>
    <i>
      <x v="125"/>
      <x v="80"/>
      <x v="1"/>
    </i>
    <i>
      <x v="126"/>
      <x v="32"/>
      <x v="1"/>
    </i>
    <i>
      <x v="127"/>
      <x v="39"/>
      <x v="1"/>
    </i>
    <i>
      <x v="128"/>
      <x/>
      <x v="1"/>
    </i>
    <i>
      <x v="129"/>
      <x v="24"/>
      <x v="1"/>
    </i>
    <i>
      <x v="130"/>
      <x v="45"/>
      <x v="1"/>
    </i>
    <i>
      <x v="131"/>
      <x v="74"/>
      <x v="1"/>
    </i>
    <i>
      <x v="132"/>
      <x v="73"/>
      <x v="1"/>
    </i>
    <i>
      <x v="133"/>
      <x v="51"/>
      <x v="1"/>
    </i>
    <i>
      <x v="134"/>
      <x v="69"/>
      <x v="1"/>
    </i>
    <i>
      <x v="135"/>
      <x v="17"/>
      <x v="1"/>
    </i>
    <i>
      <x v="136"/>
      <x v="43"/>
      <x v="1"/>
    </i>
    <i>
      <x v="137"/>
      <x/>
      <x v="1"/>
    </i>
    <i>
      <x v="138"/>
      <x v="88"/>
      <x v="1"/>
    </i>
  </rowItems>
  <colItems count="1">
    <i/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://s.si/" TargetMode="External"/><Relationship Id="rId2" Type="http://schemas.openxmlformats.org/officeDocument/2006/relationships/hyperlink" Target="http://sp.pk/" TargetMode="External"/><Relationship Id="rId1" Type="http://schemas.openxmlformats.org/officeDocument/2006/relationships/hyperlink" Target="http://sp.pk/" TargetMode="External"/><Relationship Id="rId6" Type="http://schemas.openxmlformats.org/officeDocument/2006/relationships/hyperlink" Target="http://m.sc/" TargetMode="External"/><Relationship Id="rId5" Type="http://schemas.openxmlformats.org/officeDocument/2006/relationships/hyperlink" Target="http://m.sc/" TargetMode="External"/><Relationship Id="rId4" Type="http://schemas.openxmlformats.org/officeDocument/2006/relationships/hyperlink" Target="http://m.sc/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://sp.pk/" TargetMode="External"/><Relationship Id="rId3" Type="http://schemas.openxmlformats.org/officeDocument/2006/relationships/hyperlink" Target="http://m.sc/" TargetMode="External"/><Relationship Id="rId7" Type="http://schemas.openxmlformats.org/officeDocument/2006/relationships/hyperlink" Target="http://sp.pk/" TargetMode="External"/><Relationship Id="rId2" Type="http://schemas.openxmlformats.org/officeDocument/2006/relationships/hyperlink" Target="http://m.sc/" TargetMode="External"/><Relationship Id="rId1" Type="http://schemas.openxmlformats.org/officeDocument/2006/relationships/hyperlink" Target="http://m.sc/" TargetMode="External"/><Relationship Id="rId6" Type="http://schemas.openxmlformats.org/officeDocument/2006/relationships/hyperlink" Target="http://m.sc/" TargetMode="External"/><Relationship Id="rId5" Type="http://schemas.openxmlformats.org/officeDocument/2006/relationships/hyperlink" Target="http://m.sc/" TargetMode="External"/><Relationship Id="rId10" Type="http://schemas.openxmlformats.org/officeDocument/2006/relationships/hyperlink" Target="http://sp.pk/" TargetMode="External"/><Relationship Id="rId4" Type="http://schemas.openxmlformats.org/officeDocument/2006/relationships/hyperlink" Target="http://m.sc/" TargetMode="External"/><Relationship Id="rId9" Type="http://schemas.openxmlformats.org/officeDocument/2006/relationships/hyperlink" Target="http://sp.pk/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://m.sc/" TargetMode="External"/><Relationship Id="rId13" Type="http://schemas.openxmlformats.org/officeDocument/2006/relationships/hyperlink" Target="http://s.si/" TargetMode="External"/><Relationship Id="rId3" Type="http://schemas.openxmlformats.org/officeDocument/2006/relationships/hyperlink" Target="http://m.sc/" TargetMode="External"/><Relationship Id="rId7" Type="http://schemas.openxmlformats.org/officeDocument/2006/relationships/hyperlink" Target="http://m.sc/" TargetMode="External"/><Relationship Id="rId12" Type="http://schemas.openxmlformats.org/officeDocument/2006/relationships/hyperlink" Target="http://s.si/" TargetMode="External"/><Relationship Id="rId2" Type="http://schemas.openxmlformats.org/officeDocument/2006/relationships/hyperlink" Target="http://m.sc/" TargetMode="External"/><Relationship Id="rId1" Type="http://schemas.openxmlformats.org/officeDocument/2006/relationships/hyperlink" Target="http://m.sc/" TargetMode="External"/><Relationship Id="rId6" Type="http://schemas.openxmlformats.org/officeDocument/2006/relationships/hyperlink" Target="http://m.sc/" TargetMode="External"/><Relationship Id="rId11" Type="http://schemas.openxmlformats.org/officeDocument/2006/relationships/hyperlink" Target="http://s.si/" TargetMode="External"/><Relationship Id="rId5" Type="http://schemas.openxmlformats.org/officeDocument/2006/relationships/hyperlink" Target="http://m.sc/" TargetMode="External"/><Relationship Id="rId10" Type="http://schemas.openxmlformats.org/officeDocument/2006/relationships/hyperlink" Target="http://s.si/" TargetMode="External"/><Relationship Id="rId4" Type="http://schemas.openxmlformats.org/officeDocument/2006/relationships/hyperlink" Target="http://m.sc/" TargetMode="External"/><Relationship Id="rId9" Type="http://schemas.openxmlformats.org/officeDocument/2006/relationships/hyperlink" Target="http://m.sc/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://s.ag/" TargetMode="External"/><Relationship Id="rId2" Type="http://schemas.openxmlformats.org/officeDocument/2006/relationships/hyperlink" Target="http://s.sn/" TargetMode="External"/><Relationship Id="rId1" Type="http://schemas.openxmlformats.org/officeDocument/2006/relationships/hyperlink" Target="http://s.sn/" TargetMode="External"/><Relationship Id="rId5" Type="http://schemas.openxmlformats.org/officeDocument/2006/relationships/hyperlink" Target="http://s.pd.sd/" TargetMode="External"/><Relationship Id="rId4" Type="http://schemas.openxmlformats.org/officeDocument/2006/relationships/hyperlink" Target="http://s.pd.sd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26" Type="http://schemas.openxmlformats.org/officeDocument/2006/relationships/hyperlink" Target="mailto:harisem31@gmail.com" TargetMode="External"/><Relationship Id="rId21" Type="http://schemas.openxmlformats.org/officeDocument/2006/relationships/hyperlink" Target="mailto:izzannaufal08@gmail.com" TargetMode="External"/><Relationship Id="rId42" Type="http://schemas.openxmlformats.org/officeDocument/2006/relationships/hyperlink" Target="mailto:jenitaompusunggu@gmail.com" TargetMode="External"/><Relationship Id="rId47" Type="http://schemas.openxmlformats.org/officeDocument/2006/relationships/hyperlink" Target="mailto:rudhyat45@gmail.com" TargetMode="External"/><Relationship Id="rId63" Type="http://schemas.openxmlformats.org/officeDocument/2006/relationships/hyperlink" Target="mailto:andiset1993@gmail.com" TargetMode="External"/><Relationship Id="rId68" Type="http://schemas.openxmlformats.org/officeDocument/2006/relationships/hyperlink" Target="mailto:yoga.ayp@gmail.com" TargetMode="External"/><Relationship Id="rId2" Type="http://schemas.openxmlformats.org/officeDocument/2006/relationships/hyperlink" Target="mailto:rettymanoppo@yahoo.com" TargetMode="External"/><Relationship Id="rId16" Type="http://schemas.openxmlformats.org/officeDocument/2006/relationships/hyperlink" Target="mailto:rudinovianto273@gmail.com" TargetMode="External"/><Relationship Id="rId29" Type="http://schemas.openxmlformats.org/officeDocument/2006/relationships/hyperlink" Target="mailto:maximayelus.huku@bogor.bpkpenabur.or.id" TargetMode="External"/><Relationship Id="rId11" Type="http://schemas.openxmlformats.org/officeDocument/2006/relationships/hyperlink" Target="mailto:olyverhbp76@gmail.com" TargetMode="External"/><Relationship Id="rId24" Type="http://schemas.openxmlformats.org/officeDocument/2006/relationships/hyperlink" Target="mailto:lioraqianzy@gmail.com" TargetMode="External"/><Relationship Id="rId32" Type="http://schemas.openxmlformats.org/officeDocument/2006/relationships/hyperlink" Target="mailto:amrizal29@gmail.com" TargetMode="External"/><Relationship Id="rId37" Type="http://schemas.openxmlformats.org/officeDocument/2006/relationships/hyperlink" Target="mailto:thereshiasilvia@gmail.com" TargetMode="External"/><Relationship Id="rId40" Type="http://schemas.openxmlformats.org/officeDocument/2006/relationships/hyperlink" Target="mailto:ratuanitha@yahoo.co.id" TargetMode="External"/><Relationship Id="rId45" Type="http://schemas.openxmlformats.org/officeDocument/2006/relationships/hyperlink" Target="mailto:tiosinurat7@gmail.com" TargetMode="External"/><Relationship Id="rId53" Type="http://schemas.openxmlformats.org/officeDocument/2006/relationships/hyperlink" Target="mailto:misstere04@gmail.com" TargetMode="External"/><Relationship Id="rId58" Type="http://schemas.openxmlformats.org/officeDocument/2006/relationships/hyperlink" Target="mailto:nissi_p19@yahoo.com" TargetMode="External"/><Relationship Id="rId66" Type="http://schemas.openxmlformats.org/officeDocument/2006/relationships/hyperlink" Target="mailto:cristinstevani861@gmail.com" TargetMode="External"/><Relationship Id="rId74" Type="http://schemas.openxmlformats.org/officeDocument/2006/relationships/hyperlink" Target="mailto:megaelsya1@gmail.com" TargetMode="External"/><Relationship Id="rId5" Type="http://schemas.openxmlformats.org/officeDocument/2006/relationships/hyperlink" Target="mailto:malahayati_82@yahoo.co.id" TargetMode="External"/><Relationship Id="rId61" Type="http://schemas.openxmlformats.org/officeDocument/2006/relationships/hyperlink" Target="mailto:juergensinaga9@gmail.com" TargetMode="External"/><Relationship Id="rId19" Type="http://schemas.openxmlformats.org/officeDocument/2006/relationships/hyperlink" Target="mailto:mimiow.saiiands@gmail.com" TargetMode="External"/><Relationship Id="rId14" Type="http://schemas.openxmlformats.org/officeDocument/2006/relationships/hyperlink" Target="mailto:edyny85@gmail.com" TargetMode="External"/><Relationship Id="rId22" Type="http://schemas.openxmlformats.org/officeDocument/2006/relationships/hyperlink" Target="mailto:yogaphotowork@gmail.com" TargetMode="External"/><Relationship Id="rId27" Type="http://schemas.openxmlformats.org/officeDocument/2006/relationships/hyperlink" Target="mailto:V_lubis@yahoo.com" TargetMode="External"/><Relationship Id="rId30" Type="http://schemas.openxmlformats.org/officeDocument/2006/relationships/hyperlink" Target="mailto:lyuniarim@gmail.com" TargetMode="External"/><Relationship Id="rId35" Type="http://schemas.openxmlformats.org/officeDocument/2006/relationships/hyperlink" Target="mailto:nadiastifani05@gmail.com" TargetMode="External"/><Relationship Id="rId43" Type="http://schemas.openxmlformats.org/officeDocument/2006/relationships/hyperlink" Target="mailto:dianpasca@gmail.com" TargetMode="External"/><Relationship Id="rId48" Type="http://schemas.openxmlformats.org/officeDocument/2006/relationships/hyperlink" Target="mailto:kurwan123@gmail.com" TargetMode="External"/><Relationship Id="rId56" Type="http://schemas.openxmlformats.org/officeDocument/2006/relationships/hyperlink" Target="mailto:agusmawati.68@gmail.com" TargetMode="External"/><Relationship Id="rId64" Type="http://schemas.openxmlformats.org/officeDocument/2006/relationships/hyperlink" Target="mailto:hilmanrhiza@gmail.com" TargetMode="External"/><Relationship Id="rId69" Type="http://schemas.openxmlformats.org/officeDocument/2006/relationships/hyperlink" Target="mailto:bundarasya.iap@gmail.com" TargetMode="External"/><Relationship Id="rId8" Type="http://schemas.openxmlformats.org/officeDocument/2006/relationships/hyperlink" Target="mailto:ag1ed70@gmail.com" TargetMode="External"/><Relationship Id="rId51" Type="http://schemas.openxmlformats.org/officeDocument/2006/relationships/hyperlink" Target="mailto:stevenjames98@gmail.com" TargetMode="External"/><Relationship Id="rId72" Type="http://schemas.openxmlformats.org/officeDocument/2006/relationships/hyperlink" Target="mailto:agnidevia8@gmail.com" TargetMode="External"/><Relationship Id="rId3" Type="http://schemas.openxmlformats.org/officeDocument/2006/relationships/hyperlink" Target="mailto:deasymulyani0@gmail.com" TargetMode="External"/><Relationship Id="rId12" Type="http://schemas.openxmlformats.org/officeDocument/2006/relationships/hyperlink" Target="mailto:velin0391@gmail.com" TargetMode="External"/><Relationship Id="rId17" Type="http://schemas.openxmlformats.org/officeDocument/2006/relationships/hyperlink" Target="mailto:virgiansyah_lutfimaulana@yahoo.com" TargetMode="External"/><Relationship Id="rId25" Type="http://schemas.openxmlformats.org/officeDocument/2006/relationships/hyperlink" Target="mailto:mardianahutasoit5@gmail.com" TargetMode="External"/><Relationship Id="rId33" Type="http://schemas.openxmlformats.org/officeDocument/2006/relationships/hyperlink" Target="mailto:ofcsarayolanda@gmail.com" TargetMode="External"/><Relationship Id="rId38" Type="http://schemas.openxmlformats.org/officeDocument/2006/relationships/hyperlink" Target="mailto:sandyfirmansyah@gmail.com" TargetMode="External"/><Relationship Id="rId46" Type="http://schemas.openxmlformats.org/officeDocument/2006/relationships/hyperlink" Target="mailto:sediamo.mnk28@gmail.com" TargetMode="External"/><Relationship Id="rId59" Type="http://schemas.openxmlformats.org/officeDocument/2006/relationships/hyperlink" Target="mailto:desanamoteras45@gmail.com" TargetMode="External"/><Relationship Id="rId67" Type="http://schemas.openxmlformats.org/officeDocument/2006/relationships/hyperlink" Target="mailto:ewa.putrasembiring@gmail.com" TargetMode="External"/><Relationship Id="rId20" Type="http://schemas.openxmlformats.org/officeDocument/2006/relationships/hyperlink" Target="mailto:mozeslukas@gmail.com" TargetMode="External"/><Relationship Id="rId41" Type="http://schemas.openxmlformats.org/officeDocument/2006/relationships/hyperlink" Target="mailto:mikasaandripuri17@gmail.com" TargetMode="External"/><Relationship Id="rId54" Type="http://schemas.openxmlformats.org/officeDocument/2006/relationships/hyperlink" Target="mailto:rezafm90@gmail.com" TargetMode="External"/><Relationship Id="rId62" Type="http://schemas.openxmlformats.org/officeDocument/2006/relationships/hyperlink" Target="mailto:kumalaningrum.alb@gmail.com" TargetMode="External"/><Relationship Id="rId70" Type="http://schemas.openxmlformats.org/officeDocument/2006/relationships/hyperlink" Target="mailto:mikenovita2@gmail.com" TargetMode="External"/><Relationship Id="rId75" Type="http://schemas.openxmlformats.org/officeDocument/2006/relationships/hyperlink" Target="mailto:iswanorsili@gmail.com" TargetMode="External"/><Relationship Id="rId1" Type="http://schemas.openxmlformats.org/officeDocument/2006/relationships/hyperlink" Target="mailto:indahokd@gmail.com" TargetMode="External"/><Relationship Id="rId6" Type="http://schemas.openxmlformats.org/officeDocument/2006/relationships/hyperlink" Target="mailto:habibie073@gmail.com" TargetMode="External"/><Relationship Id="rId15" Type="http://schemas.openxmlformats.org/officeDocument/2006/relationships/hyperlink" Target="mailto:riannadiputra@gmail.com" TargetMode="External"/><Relationship Id="rId23" Type="http://schemas.openxmlformats.org/officeDocument/2006/relationships/hyperlink" Target="about:blank" TargetMode="External"/><Relationship Id="rId28" Type="http://schemas.openxmlformats.org/officeDocument/2006/relationships/hyperlink" Target="mailto:sinaga.lasriama@gmail.com" TargetMode="External"/><Relationship Id="rId36" Type="http://schemas.openxmlformats.org/officeDocument/2006/relationships/hyperlink" Target="mailto:bijoulight9427@gmail.com" TargetMode="External"/><Relationship Id="rId49" Type="http://schemas.openxmlformats.org/officeDocument/2006/relationships/hyperlink" Target="mailto:triatmojohendri@gmail.com" TargetMode="External"/><Relationship Id="rId57" Type="http://schemas.openxmlformats.org/officeDocument/2006/relationships/hyperlink" Target="mailto:ciciflorencia23@gmail.com" TargetMode="External"/><Relationship Id="rId10" Type="http://schemas.openxmlformats.org/officeDocument/2006/relationships/hyperlink" Target="mailto:inna.swy.is@gmail.com" TargetMode="External"/><Relationship Id="rId31" Type="http://schemas.openxmlformats.org/officeDocument/2006/relationships/hyperlink" Target="mailto:yashintamsari@gmail.com" TargetMode="External"/><Relationship Id="rId44" Type="http://schemas.openxmlformats.org/officeDocument/2006/relationships/hyperlink" Target="mailto:esterm1310@gmail.com" TargetMode="External"/><Relationship Id="rId52" Type="http://schemas.openxmlformats.org/officeDocument/2006/relationships/hyperlink" Target="mailto:anto.evendi@gmail.com" TargetMode="External"/><Relationship Id="rId60" Type="http://schemas.openxmlformats.org/officeDocument/2006/relationships/hyperlink" Target="mailto:rastioharyono56@gmail.com" TargetMode="External"/><Relationship Id="rId65" Type="http://schemas.openxmlformats.org/officeDocument/2006/relationships/hyperlink" Target="mailto:m.sirait@ymail.com" TargetMode="External"/><Relationship Id="rId73" Type="http://schemas.openxmlformats.org/officeDocument/2006/relationships/hyperlink" Target="mailto:veronicahoran678@gmail.com" TargetMode="External"/><Relationship Id="rId4" Type="http://schemas.openxmlformats.org/officeDocument/2006/relationships/hyperlink" Target="mailto:wanthysimanjuntak@yahoo.com" TargetMode="External"/><Relationship Id="rId9" Type="http://schemas.openxmlformats.org/officeDocument/2006/relationships/hyperlink" Target="mailto:ndari.bsw@gmail.com" TargetMode="External"/><Relationship Id="rId13" Type="http://schemas.openxmlformats.org/officeDocument/2006/relationships/hyperlink" Target="mailto:nurhalina890@gmail.com" TargetMode="External"/><Relationship Id="rId18" Type="http://schemas.openxmlformats.org/officeDocument/2006/relationships/hyperlink" Target="mailto:phira_m364@hotmail.com" TargetMode="External"/><Relationship Id="rId39" Type="http://schemas.openxmlformats.org/officeDocument/2006/relationships/hyperlink" Target="mailto:Ditafajaryanti0509@gmail.com" TargetMode="External"/><Relationship Id="rId34" Type="http://schemas.openxmlformats.org/officeDocument/2006/relationships/hyperlink" Target="mailto:angeltevani28@gmail.com" TargetMode="External"/><Relationship Id="rId50" Type="http://schemas.openxmlformats.org/officeDocument/2006/relationships/hyperlink" Target="mailto:rahmanfadul@gmail.com" TargetMode="External"/><Relationship Id="rId55" Type="http://schemas.openxmlformats.org/officeDocument/2006/relationships/hyperlink" Target="mailto:rianahutapea@gmail.com" TargetMode="External"/><Relationship Id="rId76" Type="http://schemas.openxmlformats.org/officeDocument/2006/relationships/hyperlink" Target="mailto:yohanesoktavianto@gmail.com" TargetMode="External"/><Relationship Id="rId7" Type="http://schemas.openxmlformats.org/officeDocument/2006/relationships/hyperlink" Target="mailto:reza.pulo@gmail.com" TargetMode="External"/><Relationship Id="rId71" Type="http://schemas.openxmlformats.org/officeDocument/2006/relationships/hyperlink" Target="mailto:edwin123bernardo@gmail.com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1:B125"/>
  <sheetViews>
    <sheetView showGridLines="0" workbookViewId="0"/>
  </sheetViews>
  <sheetFormatPr baseColWidth="10" defaultColWidth="12.6640625" defaultRowHeight="15.75" customHeight="1"/>
  <cols>
    <col min="1" max="1" width="19.6640625" customWidth="1"/>
    <col min="2" max="2" width="30.5" customWidth="1"/>
    <col min="3" max="3" width="28.83203125" customWidth="1"/>
  </cols>
  <sheetData>
    <row r="11" spans="1:2" ht="15.75" customHeight="1">
      <c r="A11" s="423" t="s">
        <v>17</v>
      </c>
      <c r="B11" s="424" t="s">
        <v>18</v>
      </c>
    </row>
    <row r="12" spans="1:2" ht="15.75" customHeight="1">
      <c r="A12" s="425" t="s">
        <v>940</v>
      </c>
      <c r="B12" s="426" t="s">
        <v>800</v>
      </c>
    </row>
    <row r="13" spans="1:2" ht="15.75" customHeight="1">
      <c r="A13" s="430"/>
      <c r="B13" s="431" t="s">
        <v>571</v>
      </c>
    </row>
    <row r="14" spans="1:2" ht="15.75" customHeight="1">
      <c r="A14" s="430"/>
      <c r="B14" s="431" t="s">
        <v>7</v>
      </c>
    </row>
    <row r="15" spans="1:2" ht="15.75" customHeight="1">
      <c r="A15" s="430"/>
      <c r="B15" s="431" t="s">
        <v>856</v>
      </c>
    </row>
    <row r="16" spans="1:2" ht="15.75" customHeight="1">
      <c r="A16" s="430"/>
      <c r="B16" s="431" t="s">
        <v>489</v>
      </c>
    </row>
    <row r="17" spans="1:2" ht="15.75" customHeight="1">
      <c r="A17" s="430"/>
      <c r="B17" s="431" t="s">
        <v>494</v>
      </c>
    </row>
    <row r="18" spans="1:2" ht="15.75" customHeight="1">
      <c r="A18" s="430"/>
      <c r="B18" s="431" t="s">
        <v>507</v>
      </c>
    </row>
    <row r="19" spans="1:2" ht="15.75" customHeight="1">
      <c r="A19" s="430"/>
      <c r="B19" s="431" t="s">
        <v>817</v>
      </c>
    </row>
    <row r="20" spans="1:2" ht="15.75" customHeight="1">
      <c r="A20" s="430"/>
      <c r="B20" s="431" t="s">
        <v>637</v>
      </c>
    </row>
    <row r="21" spans="1:2" ht="15.75" customHeight="1">
      <c r="A21" s="430"/>
      <c r="B21" s="431" t="s">
        <v>737</v>
      </c>
    </row>
    <row r="22" spans="1:2" ht="15.75" customHeight="1">
      <c r="A22" s="430"/>
      <c r="B22" s="431" t="s">
        <v>803</v>
      </c>
    </row>
    <row r="23" spans="1:2" ht="15.75" customHeight="1">
      <c r="A23" s="430"/>
      <c r="B23" s="431" t="s">
        <v>563</v>
      </c>
    </row>
    <row r="24" spans="1:2" ht="15.75" customHeight="1">
      <c r="A24" s="430"/>
      <c r="B24" s="431" t="s">
        <v>871</v>
      </c>
    </row>
    <row r="25" spans="1:2" ht="15.75" customHeight="1">
      <c r="A25" s="430"/>
      <c r="B25" s="431" t="s">
        <v>779</v>
      </c>
    </row>
    <row r="26" spans="1:2" ht="15.75" customHeight="1">
      <c r="A26" s="430"/>
      <c r="B26" s="431" t="s">
        <v>9</v>
      </c>
    </row>
    <row r="27" spans="1:2" ht="15.75" customHeight="1">
      <c r="A27" s="430"/>
      <c r="B27" s="431" t="s">
        <v>854</v>
      </c>
    </row>
    <row r="28" spans="1:2" ht="15.75" customHeight="1">
      <c r="A28" s="430"/>
      <c r="B28" s="431" t="s">
        <v>59</v>
      </c>
    </row>
    <row r="29" spans="1:2" ht="15.75" customHeight="1">
      <c r="A29" s="430"/>
      <c r="B29" s="431" t="s">
        <v>60</v>
      </c>
    </row>
    <row r="30" spans="1:2" ht="15.75" customHeight="1">
      <c r="A30" s="430"/>
      <c r="B30" s="431" t="s">
        <v>694</v>
      </c>
    </row>
    <row r="31" spans="1:2" ht="15.75" customHeight="1">
      <c r="A31" s="430"/>
      <c r="B31" s="431" t="s">
        <v>688</v>
      </c>
    </row>
    <row r="32" spans="1:2" ht="15.75" customHeight="1">
      <c r="A32" s="430"/>
      <c r="B32" s="431" t="s">
        <v>624</v>
      </c>
    </row>
    <row r="33" spans="1:2" ht="15.75" customHeight="1">
      <c r="A33" s="430"/>
      <c r="B33" s="431" t="s">
        <v>447</v>
      </c>
    </row>
    <row r="34" spans="1:2" ht="15.75" customHeight="1">
      <c r="A34" s="430"/>
      <c r="B34" s="431" t="s">
        <v>459</v>
      </c>
    </row>
    <row r="35" spans="1:2" ht="15.75" customHeight="1">
      <c r="A35" s="430"/>
      <c r="B35" s="431" t="s">
        <v>453</v>
      </c>
    </row>
    <row r="36" spans="1:2" ht="15.75" customHeight="1">
      <c r="A36" s="430"/>
      <c r="B36" s="431" t="s">
        <v>438</v>
      </c>
    </row>
    <row r="37" spans="1:2" ht="15.75" customHeight="1">
      <c r="A37" s="430"/>
      <c r="B37" s="431" t="s">
        <v>864</v>
      </c>
    </row>
    <row r="38" spans="1:2" ht="15.75" customHeight="1">
      <c r="A38" s="430"/>
      <c r="B38" s="431" t="s">
        <v>872</v>
      </c>
    </row>
    <row r="39" spans="1:2" ht="15.75" customHeight="1">
      <c r="A39" s="430"/>
      <c r="B39" s="431" t="s">
        <v>622</v>
      </c>
    </row>
    <row r="40" spans="1:2" ht="15.75" customHeight="1">
      <c r="A40" s="430"/>
      <c r="B40" s="431" t="s">
        <v>2</v>
      </c>
    </row>
    <row r="41" spans="1:2" ht="15.75" customHeight="1">
      <c r="A41" s="430"/>
      <c r="B41" s="431" t="s">
        <v>868</v>
      </c>
    </row>
    <row r="42" spans="1:2" ht="15.75" customHeight="1">
      <c r="A42" s="430"/>
      <c r="B42" s="431" t="s">
        <v>71</v>
      </c>
    </row>
    <row r="43" spans="1:2" ht="15.75" customHeight="1">
      <c r="A43" s="430"/>
      <c r="B43" s="431" t="s">
        <v>794</v>
      </c>
    </row>
    <row r="44" spans="1:2" ht="15.75" customHeight="1">
      <c r="A44" s="430"/>
      <c r="B44" s="431" t="s">
        <v>631</v>
      </c>
    </row>
    <row r="45" spans="1:2" ht="15.75" customHeight="1">
      <c r="A45" s="430"/>
      <c r="B45" s="431" t="s">
        <v>813</v>
      </c>
    </row>
    <row r="46" spans="1:2" ht="13">
      <c r="A46" s="430"/>
      <c r="B46" s="431" t="s">
        <v>345</v>
      </c>
    </row>
    <row r="47" spans="1:2" ht="13">
      <c r="A47" s="430"/>
      <c r="B47" s="431" t="s">
        <v>782</v>
      </c>
    </row>
    <row r="48" spans="1:2" ht="13">
      <c r="A48" s="430"/>
      <c r="B48" s="431" t="s">
        <v>838</v>
      </c>
    </row>
    <row r="49" spans="1:2" ht="13">
      <c r="A49" s="430"/>
      <c r="B49" s="431" t="s">
        <v>83</v>
      </c>
    </row>
    <row r="50" spans="1:2" ht="13">
      <c r="A50" s="430"/>
      <c r="B50" s="431" t="s">
        <v>642</v>
      </c>
    </row>
    <row r="51" spans="1:2" ht="13">
      <c r="A51" s="430"/>
      <c r="B51" s="431" t="s">
        <v>518</v>
      </c>
    </row>
    <row r="52" spans="1:2" ht="13">
      <c r="A52" s="430"/>
      <c r="B52" s="431" t="s">
        <v>733</v>
      </c>
    </row>
    <row r="53" spans="1:2" ht="13">
      <c r="A53" s="430"/>
      <c r="B53" s="431" t="s">
        <v>702</v>
      </c>
    </row>
    <row r="54" spans="1:2" ht="13">
      <c r="A54" s="430"/>
      <c r="B54" s="431" t="s">
        <v>588</v>
      </c>
    </row>
    <row r="55" spans="1:2" ht="13">
      <c r="A55" s="430"/>
      <c r="B55" s="431" t="s">
        <v>860</v>
      </c>
    </row>
    <row r="56" spans="1:2" ht="13">
      <c r="A56" s="430"/>
      <c r="B56" s="431" t="s">
        <v>385</v>
      </c>
    </row>
    <row r="57" spans="1:2" ht="13">
      <c r="A57" s="430"/>
      <c r="B57" s="431" t="s">
        <v>397</v>
      </c>
    </row>
    <row r="58" spans="1:2" ht="13">
      <c r="A58" s="430"/>
      <c r="B58" s="431" t="s">
        <v>742</v>
      </c>
    </row>
    <row r="59" spans="1:2" ht="13">
      <c r="A59" s="430"/>
      <c r="B59" s="431" t="s">
        <v>808</v>
      </c>
    </row>
    <row r="60" spans="1:2" ht="13">
      <c r="A60" s="430"/>
      <c r="B60" s="431" t="s">
        <v>708</v>
      </c>
    </row>
    <row r="61" spans="1:2" ht="13">
      <c r="A61" s="430"/>
      <c r="B61" s="431" t="s">
        <v>797</v>
      </c>
    </row>
    <row r="62" spans="1:2" ht="13">
      <c r="A62" s="430"/>
      <c r="B62" s="431" t="s">
        <v>349</v>
      </c>
    </row>
    <row r="63" spans="1:2" ht="13">
      <c r="A63" s="430"/>
      <c r="B63" s="431" t="s">
        <v>575</v>
      </c>
    </row>
    <row r="64" spans="1:2" ht="13">
      <c r="A64" s="430"/>
      <c r="B64" s="431" t="s">
        <v>761</v>
      </c>
    </row>
    <row r="65" spans="1:2" ht="13">
      <c r="A65" s="430"/>
      <c r="B65" s="431" t="s">
        <v>511</v>
      </c>
    </row>
    <row r="66" spans="1:2" ht="13">
      <c r="A66" s="430"/>
      <c r="B66" s="431" t="s">
        <v>870</v>
      </c>
    </row>
    <row r="67" spans="1:2" ht="13">
      <c r="A67" s="430"/>
      <c r="B67" s="431" t="s">
        <v>769</v>
      </c>
    </row>
    <row r="68" spans="1:2" ht="13">
      <c r="A68" s="430"/>
      <c r="B68" s="431" t="s">
        <v>467</v>
      </c>
    </row>
    <row r="69" spans="1:2" ht="13">
      <c r="A69" s="430"/>
      <c r="B69" s="431" t="s">
        <v>338</v>
      </c>
    </row>
    <row r="70" spans="1:2" ht="13">
      <c r="A70" s="430"/>
      <c r="B70" s="431" t="s">
        <v>526</v>
      </c>
    </row>
    <row r="71" spans="1:2" ht="13">
      <c r="A71" s="430"/>
      <c r="B71" s="431" t="s">
        <v>522</v>
      </c>
    </row>
    <row r="72" spans="1:2" ht="13">
      <c r="A72" s="430"/>
      <c r="B72" s="431" t="s">
        <v>646</v>
      </c>
    </row>
    <row r="73" spans="1:2" ht="13">
      <c r="A73" s="430"/>
      <c r="B73" s="431" t="s">
        <v>862</v>
      </c>
    </row>
    <row r="74" spans="1:2" ht="13">
      <c r="A74" s="430"/>
      <c r="B74" s="431" t="s">
        <v>393</v>
      </c>
    </row>
    <row r="75" spans="1:2" ht="13">
      <c r="A75" s="430"/>
      <c r="B75" s="431" t="s">
        <v>786</v>
      </c>
    </row>
    <row r="76" spans="1:2" ht="13">
      <c r="A76" s="430"/>
      <c r="B76" s="431" t="s">
        <v>750</v>
      </c>
    </row>
    <row r="77" spans="1:2" ht="13">
      <c r="A77" s="430"/>
      <c r="B77" s="431" t="s">
        <v>528</v>
      </c>
    </row>
    <row r="78" spans="1:2" ht="13">
      <c r="A78" s="430"/>
      <c r="B78" s="431" t="s">
        <v>524</v>
      </c>
    </row>
    <row r="79" spans="1:2" ht="13">
      <c r="A79" s="430"/>
      <c r="B79" s="431" t="s">
        <v>395</v>
      </c>
    </row>
    <row r="80" spans="1:2" ht="13">
      <c r="A80" s="430"/>
      <c r="B80" s="431" t="s">
        <v>573</v>
      </c>
    </row>
    <row r="81" spans="1:2" ht="13">
      <c r="A81" s="430"/>
      <c r="B81" s="431" t="s">
        <v>14</v>
      </c>
    </row>
    <row r="82" spans="1:2" ht="13">
      <c r="A82" s="430"/>
      <c r="B82" s="431" t="s">
        <v>15</v>
      </c>
    </row>
    <row r="83" spans="1:2" ht="13">
      <c r="A83" s="430"/>
      <c r="B83" s="431" t="s">
        <v>509</v>
      </c>
    </row>
    <row r="84" spans="1:2" ht="13">
      <c r="A84" s="430"/>
      <c r="B84" s="431" t="s">
        <v>639</v>
      </c>
    </row>
    <row r="85" spans="1:2" ht="13">
      <c r="A85" s="430"/>
      <c r="B85" s="431" t="s">
        <v>805</v>
      </c>
    </row>
    <row r="86" spans="1:2" ht="13">
      <c r="A86" s="430"/>
      <c r="B86" s="431" t="s">
        <v>767</v>
      </c>
    </row>
    <row r="87" spans="1:2" ht="13">
      <c r="A87" s="430"/>
      <c r="B87" s="431" t="s">
        <v>696</v>
      </c>
    </row>
    <row r="88" spans="1:2" ht="13">
      <c r="A88" s="430"/>
      <c r="B88" s="431" t="s">
        <v>690</v>
      </c>
    </row>
    <row r="89" spans="1:2" ht="13">
      <c r="A89" s="430"/>
      <c r="B89" s="431" t="s">
        <v>440</v>
      </c>
    </row>
    <row r="90" spans="1:2" ht="13">
      <c r="A90" s="430"/>
      <c r="B90" s="431" t="s">
        <v>465</v>
      </c>
    </row>
    <row r="91" spans="1:2" ht="13">
      <c r="A91" s="430"/>
      <c r="B91" s="431" t="s">
        <v>308</v>
      </c>
    </row>
    <row r="92" spans="1:2" ht="13">
      <c r="A92" s="430"/>
      <c r="B92" s="431" t="s">
        <v>633</v>
      </c>
    </row>
    <row r="93" spans="1:2" ht="13">
      <c r="A93" s="430"/>
      <c r="B93" s="431" t="s">
        <v>176</v>
      </c>
    </row>
    <row r="94" spans="1:2" ht="13">
      <c r="A94" s="430"/>
      <c r="B94" s="431" t="s">
        <v>178</v>
      </c>
    </row>
    <row r="95" spans="1:2" ht="13">
      <c r="A95" s="430"/>
      <c r="B95" s="431" t="s">
        <v>644</v>
      </c>
    </row>
    <row r="96" spans="1:2" ht="13">
      <c r="A96" s="430"/>
      <c r="B96" s="431" t="s">
        <v>520</v>
      </c>
    </row>
    <row r="97" spans="1:2" ht="13">
      <c r="A97" s="430"/>
      <c r="B97" s="431" t="s">
        <v>704</v>
      </c>
    </row>
    <row r="98" spans="1:2" ht="13">
      <c r="A98" s="430"/>
      <c r="B98" s="431" t="s">
        <v>590</v>
      </c>
    </row>
    <row r="99" spans="1:2" ht="13">
      <c r="A99" s="430"/>
      <c r="B99" s="431" t="s">
        <v>861</v>
      </c>
    </row>
    <row r="100" spans="1:2" ht="13">
      <c r="A100" s="430"/>
      <c r="B100" s="431" t="s">
        <v>811</v>
      </c>
    </row>
    <row r="101" spans="1:2" ht="13">
      <c r="A101" s="430"/>
      <c r="B101" s="431" t="s">
        <v>391</v>
      </c>
    </row>
    <row r="102" spans="1:2" ht="13">
      <c r="A102" s="430"/>
      <c r="B102" s="431" t="s">
        <v>403</v>
      </c>
    </row>
    <row r="103" spans="1:2" ht="13">
      <c r="A103" s="430"/>
      <c r="B103" s="431" t="s">
        <v>399</v>
      </c>
    </row>
    <row r="104" spans="1:2" ht="13">
      <c r="A104" s="430"/>
      <c r="B104" s="431" t="s">
        <v>818</v>
      </c>
    </row>
    <row r="105" spans="1:2" ht="13">
      <c r="A105" s="430"/>
      <c r="B105" s="431" t="s">
        <v>711</v>
      </c>
    </row>
    <row r="106" spans="1:2" ht="13">
      <c r="A106" s="430"/>
      <c r="B106" s="431" t="s">
        <v>567</v>
      </c>
    </row>
    <row r="107" spans="1:2" ht="13">
      <c r="A107" s="430"/>
      <c r="B107" s="431" t="s">
        <v>487</v>
      </c>
    </row>
    <row r="108" spans="1:2" ht="13">
      <c r="A108" s="430"/>
      <c r="B108" s="431" t="s">
        <v>492</v>
      </c>
    </row>
    <row r="109" spans="1:2" ht="13">
      <c r="A109" s="430"/>
      <c r="B109" s="431" t="s">
        <v>504</v>
      </c>
    </row>
    <row r="110" spans="1:2" ht="13">
      <c r="A110" s="430"/>
      <c r="B110" s="431" t="s">
        <v>816</v>
      </c>
    </row>
    <row r="111" spans="1:2" ht="13">
      <c r="A111" s="430"/>
      <c r="B111" s="431" t="s">
        <v>325</v>
      </c>
    </row>
    <row r="112" spans="1:2" ht="13">
      <c r="A112" s="430"/>
      <c r="B112" s="431" t="s">
        <v>327</v>
      </c>
    </row>
    <row r="113" spans="1:2" ht="13">
      <c r="A113" s="430"/>
      <c r="B113" s="431" t="s">
        <v>836</v>
      </c>
    </row>
    <row r="114" spans="1:2" ht="13">
      <c r="A114" s="430"/>
      <c r="B114" s="431" t="s">
        <v>777</v>
      </c>
    </row>
    <row r="115" spans="1:2" ht="13">
      <c r="A115" s="430"/>
      <c r="B115" s="431" t="s">
        <v>764</v>
      </c>
    </row>
    <row r="116" spans="1:2" ht="13">
      <c r="A116" s="430"/>
      <c r="B116" s="431" t="s">
        <v>692</v>
      </c>
    </row>
    <row r="117" spans="1:2" ht="13">
      <c r="A117" s="430"/>
      <c r="B117" s="431" t="s">
        <v>686</v>
      </c>
    </row>
    <row r="118" spans="1:2" ht="13">
      <c r="A118" s="430"/>
      <c r="B118" s="431" t="s">
        <v>442</v>
      </c>
    </row>
    <row r="119" spans="1:2" ht="13">
      <c r="A119" s="430"/>
      <c r="B119" s="431" t="s">
        <v>618</v>
      </c>
    </row>
    <row r="120" spans="1:2" ht="13">
      <c r="A120" s="430"/>
      <c r="B120" s="431" t="s">
        <v>367</v>
      </c>
    </row>
    <row r="121" spans="1:2" ht="13">
      <c r="A121" s="430"/>
      <c r="B121" s="431" t="s">
        <v>855</v>
      </c>
    </row>
    <row r="122" spans="1:2" ht="13">
      <c r="A122" s="430"/>
      <c r="B122" s="431" t="s">
        <v>515</v>
      </c>
    </row>
    <row r="123" spans="1:2" ht="13">
      <c r="A123" s="430"/>
      <c r="B123" s="431" t="s">
        <v>700</v>
      </c>
    </row>
    <row r="124" spans="1:2" ht="13">
      <c r="A124" s="430"/>
      <c r="B124" s="431" t="s">
        <v>858</v>
      </c>
    </row>
    <row r="125" spans="1:2" ht="13">
      <c r="A125" s="433"/>
      <c r="B125" s="434" t="s">
        <v>401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B229"/>
  <sheetViews>
    <sheetView showGridLines="0" workbookViewId="0"/>
  </sheetViews>
  <sheetFormatPr baseColWidth="10" defaultColWidth="12.6640625" defaultRowHeight="15.75" customHeight="1"/>
  <cols>
    <col min="1" max="1" width="19.6640625" customWidth="1"/>
    <col min="2" max="2" width="30.5" customWidth="1"/>
    <col min="3" max="3" width="28.83203125" customWidth="1"/>
  </cols>
  <sheetData>
    <row r="2" spans="1:2" ht="15.75" customHeight="1">
      <c r="A2" s="423" t="s">
        <v>17</v>
      </c>
      <c r="B2" s="424" t="s">
        <v>18</v>
      </c>
    </row>
    <row r="3" spans="1:2" ht="15.75" customHeight="1">
      <c r="A3" s="425" t="s">
        <v>19</v>
      </c>
      <c r="B3" s="426" t="s">
        <v>20</v>
      </c>
    </row>
    <row r="4" spans="1:2" ht="15.75" customHeight="1">
      <c r="A4" s="430"/>
      <c r="B4" s="431" t="s">
        <v>21</v>
      </c>
    </row>
    <row r="5" spans="1:2" ht="15.75" customHeight="1">
      <c r="A5" s="430"/>
      <c r="B5" s="431" t="s">
        <v>22</v>
      </c>
    </row>
    <row r="6" spans="1:2" ht="15.75" customHeight="1">
      <c r="A6" s="430"/>
      <c r="B6" s="431" t="s">
        <v>23</v>
      </c>
    </row>
    <row r="7" spans="1:2" ht="15.75" customHeight="1">
      <c r="A7" s="430"/>
      <c r="B7" s="431" t="s">
        <v>24</v>
      </c>
    </row>
    <row r="8" spans="1:2" ht="15.75" customHeight="1">
      <c r="A8" s="430"/>
      <c r="B8" s="431" t="s">
        <v>25</v>
      </c>
    </row>
    <row r="9" spans="1:2" ht="15.75" customHeight="1">
      <c r="A9" s="430"/>
      <c r="B9" s="431" t="s">
        <v>26</v>
      </c>
    </row>
    <row r="10" spans="1:2" ht="15.75" customHeight="1">
      <c r="A10" s="430"/>
      <c r="B10" s="431" t="s">
        <v>27</v>
      </c>
    </row>
    <row r="11" spans="1:2" ht="15.75" customHeight="1">
      <c r="A11" s="430"/>
      <c r="B11" s="431" t="s">
        <v>28</v>
      </c>
    </row>
    <row r="12" spans="1:2" ht="15.75" customHeight="1">
      <c r="A12" s="430"/>
      <c r="B12" s="431" t="s">
        <v>29</v>
      </c>
    </row>
    <row r="13" spans="1:2" ht="15.75" customHeight="1">
      <c r="A13" s="430"/>
      <c r="B13" s="431" t="s">
        <v>30</v>
      </c>
    </row>
    <row r="14" spans="1:2" ht="15.75" customHeight="1">
      <c r="A14" s="430"/>
      <c r="B14" s="431" t="s">
        <v>31</v>
      </c>
    </row>
    <row r="15" spans="1:2" ht="15.75" customHeight="1">
      <c r="A15" s="430"/>
      <c r="B15" s="431" t="s">
        <v>32</v>
      </c>
    </row>
    <row r="16" spans="1:2" ht="15.75" customHeight="1">
      <c r="A16" s="430"/>
      <c r="B16" s="431" t="s">
        <v>33</v>
      </c>
    </row>
    <row r="17" spans="1:2" ht="15.75" customHeight="1">
      <c r="A17" s="430"/>
      <c r="B17" s="431" t="s">
        <v>34</v>
      </c>
    </row>
    <row r="18" spans="1:2" ht="15.75" customHeight="1">
      <c r="A18" s="430"/>
      <c r="B18" s="431" t="s">
        <v>35</v>
      </c>
    </row>
    <row r="19" spans="1:2" ht="15.75" customHeight="1">
      <c r="A19" s="430"/>
      <c r="B19" s="431" t="s">
        <v>36</v>
      </c>
    </row>
    <row r="20" spans="1:2" ht="15.75" customHeight="1">
      <c r="A20" s="430"/>
      <c r="B20" s="431" t="s">
        <v>37</v>
      </c>
    </row>
    <row r="21" spans="1:2" ht="15.75" customHeight="1">
      <c r="A21" s="430"/>
      <c r="B21" s="431" t="s">
        <v>38</v>
      </c>
    </row>
    <row r="22" spans="1:2" ht="15.75" customHeight="1">
      <c r="A22" s="430"/>
      <c r="B22" s="431" t="s">
        <v>39</v>
      </c>
    </row>
    <row r="23" spans="1:2" ht="15.75" customHeight="1">
      <c r="A23" s="430"/>
      <c r="B23" s="431" t="s">
        <v>40</v>
      </c>
    </row>
    <row r="24" spans="1:2" ht="15.75" customHeight="1">
      <c r="A24" s="430"/>
      <c r="B24" s="431" t="s">
        <v>41</v>
      </c>
    </row>
    <row r="25" spans="1:2" ht="15.75" customHeight="1">
      <c r="A25" s="430"/>
      <c r="B25" s="431" t="s">
        <v>42</v>
      </c>
    </row>
    <row r="26" spans="1:2" ht="15.75" customHeight="1">
      <c r="A26" s="430"/>
      <c r="B26" s="431" t="s">
        <v>43</v>
      </c>
    </row>
    <row r="27" spans="1:2" ht="15.75" customHeight="1">
      <c r="A27" s="430"/>
      <c r="B27" s="431" t="s">
        <v>44</v>
      </c>
    </row>
    <row r="28" spans="1:2" ht="15.75" customHeight="1">
      <c r="A28" s="430"/>
      <c r="B28" s="431" t="s">
        <v>45</v>
      </c>
    </row>
    <row r="29" spans="1:2" ht="15.75" customHeight="1">
      <c r="A29" s="430"/>
      <c r="B29" s="431" t="s">
        <v>46</v>
      </c>
    </row>
    <row r="30" spans="1:2" ht="15.75" customHeight="1">
      <c r="A30" s="430"/>
      <c r="B30" s="431" t="s">
        <v>47</v>
      </c>
    </row>
    <row r="31" spans="1:2" ht="15.75" customHeight="1">
      <c r="A31" s="430"/>
      <c r="B31" s="431" t="s">
        <v>48</v>
      </c>
    </row>
    <row r="32" spans="1:2" ht="15.75" customHeight="1">
      <c r="A32" s="430"/>
      <c r="B32" s="431" t="s">
        <v>49</v>
      </c>
    </row>
    <row r="33" spans="1:2" ht="15.75" customHeight="1">
      <c r="A33" s="430"/>
      <c r="B33" s="431" t="s">
        <v>50</v>
      </c>
    </row>
    <row r="34" spans="1:2" ht="15.75" customHeight="1">
      <c r="A34" s="430"/>
      <c r="B34" s="431" t="s">
        <v>51</v>
      </c>
    </row>
    <row r="35" spans="1:2" ht="15.75" customHeight="1">
      <c r="A35" s="430"/>
      <c r="B35" s="431" t="s">
        <v>52</v>
      </c>
    </row>
    <row r="36" spans="1:2" ht="15.75" customHeight="1">
      <c r="A36" s="430"/>
      <c r="B36" s="431" t="s">
        <v>53</v>
      </c>
    </row>
    <row r="37" spans="1:2" ht="15.75" customHeight="1">
      <c r="A37" s="430"/>
      <c r="B37" s="431" t="s">
        <v>54</v>
      </c>
    </row>
    <row r="38" spans="1:2" ht="15.75" customHeight="1">
      <c r="A38" s="430"/>
      <c r="B38" s="431" t="s">
        <v>55</v>
      </c>
    </row>
    <row r="39" spans="1:2" ht="15.75" customHeight="1">
      <c r="A39" s="430"/>
      <c r="B39" s="431" t="s">
        <v>56</v>
      </c>
    </row>
    <row r="40" spans="1:2" ht="15.75" customHeight="1">
      <c r="A40" s="430"/>
      <c r="B40" s="431" t="s">
        <v>57</v>
      </c>
    </row>
    <row r="41" spans="1:2" ht="15.75" customHeight="1">
      <c r="A41" s="430"/>
      <c r="B41" s="431" t="s">
        <v>58</v>
      </c>
    </row>
    <row r="42" spans="1:2" ht="15.75" customHeight="1">
      <c r="A42" s="430"/>
      <c r="B42" s="431" t="s">
        <v>59</v>
      </c>
    </row>
    <row r="43" spans="1:2" ht="15.75" customHeight="1">
      <c r="A43" s="430"/>
      <c r="B43" s="431" t="s">
        <v>60</v>
      </c>
    </row>
    <row r="44" spans="1:2" ht="15.75" customHeight="1">
      <c r="A44" s="430"/>
      <c r="B44" s="431" t="s">
        <v>61</v>
      </c>
    </row>
    <row r="45" spans="1:2" ht="15.75" customHeight="1">
      <c r="A45" s="430"/>
      <c r="B45" s="431" t="s">
        <v>62</v>
      </c>
    </row>
    <row r="46" spans="1:2" ht="13">
      <c r="A46" s="430"/>
      <c r="B46" s="431" t="s">
        <v>63</v>
      </c>
    </row>
    <row r="47" spans="1:2" ht="13">
      <c r="A47" s="430"/>
      <c r="B47" s="431" t="s">
        <v>64</v>
      </c>
    </row>
    <row r="48" spans="1:2" ht="13">
      <c r="A48" s="430"/>
      <c r="B48" s="431" t="s">
        <v>65</v>
      </c>
    </row>
    <row r="49" spans="1:2" ht="13">
      <c r="A49" s="430"/>
      <c r="B49" s="431" t="s">
        <v>66</v>
      </c>
    </row>
    <row r="50" spans="1:2" ht="13">
      <c r="A50" s="430"/>
      <c r="B50" s="431" t="s">
        <v>67</v>
      </c>
    </row>
    <row r="51" spans="1:2" ht="13">
      <c r="A51" s="430"/>
      <c r="B51" s="431" t="s">
        <v>68</v>
      </c>
    </row>
    <row r="52" spans="1:2" ht="13">
      <c r="A52" s="430"/>
      <c r="B52" s="431" t="s">
        <v>10</v>
      </c>
    </row>
    <row r="53" spans="1:2" ht="13">
      <c r="A53" s="430"/>
      <c r="B53" s="431" t="s">
        <v>69</v>
      </c>
    </row>
    <row r="54" spans="1:2" ht="13">
      <c r="A54" s="430"/>
      <c r="B54" s="431" t="s">
        <v>70</v>
      </c>
    </row>
    <row r="55" spans="1:2" ht="13">
      <c r="A55" s="430"/>
      <c r="B55" s="431" t="s">
        <v>71</v>
      </c>
    </row>
    <row r="56" spans="1:2" ht="13">
      <c r="A56" s="430"/>
      <c r="B56" s="431" t="s">
        <v>72</v>
      </c>
    </row>
    <row r="57" spans="1:2" ht="13">
      <c r="A57" s="430"/>
      <c r="B57" s="431" t="s">
        <v>73</v>
      </c>
    </row>
    <row r="58" spans="1:2" ht="13">
      <c r="A58" s="430"/>
      <c r="B58" s="431" t="s">
        <v>3</v>
      </c>
    </row>
    <row r="59" spans="1:2" ht="13">
      <c r="A59" s="430"/>
      <c r="B59" s="431" t="s">
        <v>74</v>
      </c>
    </row>
    <row r="60" spans="1:2" ht="13">
      <c r="A60" s="430"/>
      <c r="B60" s="431" t="s">
        <v>75</v>
      </c>
    </row>
    <row r="61" spans="1:2" ht="13">
      <c r="A61" s="430"/>
      <c r="B61" s="431" t="s">
        <v>76</v>
      </c>
    </row>
    <row r="62" spans="1:2" ht="13">
      <c r="A62" s="430"/>
      <c r="B62" s="431" t="s">
        <v>77</v>
      </c>
    </row>
    <row r="63" spans="1:2" ht="13">
      <c r="A63" s="430"/>
      <c r="B63" s="431" t="s">
        <v>78</v>
      </c>
    </row>
    <row r="64" spans="1:2" ht="13">
      <c r="A64" s="430"/>
      <c r="B64" s="431" t="s">
        <v>79</v>
      </c>
    </row>
    <row r="65" spans="1:2" ht="13">
      <c r="A65" s="430"/>
      <c r="B65" s="431" t="s">
        <v>80</v>
      </c>
    </row>
    <row r="66" spans="1:2" ht="13">
      <c r="A66" s="430"/>
      <c r="B66" s="431" t="s">
        <v>81</v>
      </c>
    </row>
    <row r="67" spans="1:2" ht="13">
      <c r="A67" s="430"/>
      <c r="B67" s="431" t="s">
        <v>4</v>
      </c>
    </row>
    <row r="68" spans="1:2" ht="13">
      <c r="A68" s="430"/>
      <c r="B68" s="431" t="s">
        <v>5</v>
      </c>
    </row>
    <row r="69" spans="1:2" ht="13">
      <c r="A69" s="430"/>
      <c r="B69" s="431" t="s">
        <v>82</v>
      </c>
    </row>
    <row r="70" spans="1:2" ht="13">
      <c r="A70" s="430"/>
      <c r="B70" s="431" t="s">
        <v>83</v>
      </c>
    </row>
    <row r="71" spans="1:2" ht="13">
      <c r="A71" s="430"/>
      <c r="B71" s="431" t="s">
        <v>84</v>
      </c>
    </row>
    <row r="72" spans="1:2" ht="13">
      <c r="A72" s="430"/>
      <c r="B72" s="431" t="s">
        <v>85</v>
      </c>
    </row>
    <row r="73" spans="1:2" ht="13">
      <c r="A73" s="430"/>
      <c r="B73" s="431" t="s">
        <v>86</v>
      </c>
    </row>
    <row r="74" spans="1:2" ht="13">
      <c r="A74" s="430"/>
      <c r="B74" s="431" t="s">
        <v>87</v>
      </c>
    </row>
    <row r="75" spans="1:2" ht="13">
      <c r="A75" s="430"/>
      <c r="B75" s="431" t="s">
        <v>88</v>
      </c>
    </row>
    <row r="76" spans="1:2" ht="13">
      <c r="A76" s="430"/>
      <c r="B76" s="431" t="s">
        <v>89</v>
      </c>
    </row>
    <row r="77" spans="1:2" ht="13">
      <c r="A77" s="430"/>
      <c r="B77" s="431" t="s">
        <v>11</v>
      </c>
    </row>
    <row r="78" spans="1:2" ht="13">
      <c r="A78" s="430"/>
      <c r="B78" s="431" t="s">
        <v>90</v>
      </c>
    </row>
    <row r="79" spans="1:2" ht="13">
      <c r="A79" s="430"/>
      <c r="B79" s="431" t="s">
        <v>12</v>
      </c>
    </row>
    <row r="80" spans="1:2" ht="13">
      <c r="A80" s="430"/>
      <c r="B80" s="431" t="s">
        <v>91</v>
      </c>
    </row>
    <row r="81" spans="1:2" ht="13">
      <c r="A81" s="430"/>
      <c r="B81" s="431" t="s">
        <v>92</v>
      </c>
    </row>
    <row r="82" spans="1:2" ht="13">
      <c r="A82" s="430"/>
      <c r="B82" s="431" t="s">
        <v>93</v>
      </c>
    </row>
    <row r="83" spans="1:2" ht="13">
      <c r="A83" s="430"/>
      <c r="B83" s="431" t="s">
        <v>94</v>
      </c>
    </row>
    <row r="84" spans="1:2" ht="13">
      <c r="A84" s="430"/>
      <c r="B84" s="431" t="s">
        <v>95</v>
      </c>
    </row>
    <row r="85" spans="1:2" ht="13">
      <c r="A85" s="430"/>
      <c r="B85" s="431" t="s">
        <v>96</v>
      </c>
    </row>
    <row r="86" spans="1:2" ht="13">
      <c r="A86" s="430"/>
      <c r="B86" s="431" t="s">
        <v>97</v>
      </c>
    </row>
    <row r="87" spans="1:2" ht="13">
      <c r="A87" s="430"/>
      <c r="B87" s="431" t="s">
        <v>98</v>
      </c>
    </row>
    <row r="88" spans="1:2" ht="13">
      <c r="A88" s="430"/>
      <c r="B88" s="431" t="s">
        <v>99</v>
      </c>
    </row>
    <row r="89" spans="1:2" ht="13">
      <c r="A89" s="430"/>
      <c r="B89" s="431" t="s">
        <v>100</v>
      </c>
    </row>
    <row r="90" spans="1:2" ht="13">
      <c r="A90" s="430"/>
      <c r="B90" s="431" t="s">
        <v>101</v>
      </c>
    </row>
    <row r="91" spans="1:2" ht="13">
      <c r="A91" s="430"/>
      <c r="B91" s="431" t="s">
        <v>102</v>
      </c>
    </row>
    <row r="92" spans="1:2" ht="13">
      <c r="A92" s="430"/>
      <c r="B92" s="431" t="s">
        <v>103</v>
      </c>
    </row>
    <row r="93" spans="1:2" ht="13">
      <c r="A93" s="430"/>
      <c r="B93" s="431" t="s">
        <v>104</v>
      </c>
    </row>
    <row r="94" spans="1:2" ht="13">
      <c r="A94" s="430"/>
      <c r="B94" s="431" t="s">
        <v>105</v>
      </c>
    </row>
    <row r="95" spans="1:2" ht="13">
      <c r="A95" s="430"/>
      <c r="B95" s="431" t="s">
        <v>106</v>
      </c>
    </row>
    <row r="96" spans="1:2" ht="13">
      <c r="A96" s="430"/>
      <c r="B96" s="431" t="s">
        <v>6</v>
      </c>
    </row>
    <row r="97" spans="1:2" ht="13">
      <c r="A97" s="430"/>
      <c r="B97" s="431" t="s">
        <v>107</v>
      </c>
    </row>
    <row r="98" spans="1:2" ht="13">
      <c r="A98" s="430"/>
      <c r="B98" s="431" t="s">
        <v>108</v>
      </c>
    </row>
    <row r="99" spans="1:2" ht="13">
      <c r="A99" s="430"/>
      <c r="B99" s="431" t="s">
        <v>109</v>
      </c>
    </row>
    <row r="100" spans="1:2" ht="13">
      <c r="A100" s="430"/>
      <c r="B100" s="431" t="s">
        <v>110</v>
      </c>
    </row>
    <row r="101" spans="1:2" ht="13">
      <c r="A101" s="430"/>
      <c r="B101" s="431" t="s">
        <v>111</v>
      </c>
    </row>
    <row r="102" spans="1:2" ht="13">
      <c r="A102" s="430"/>
      <c r="B102" s="431" t="s">
        <v>13</v>
      </c>
    </row>
    <row r="103" spans="1:2" ht="13">
      <c r="A103" s="430"/>
      <c r="B103" s="431" t="s">
        <v>112</v>
      </c>
    </row>
    <row r="104" spans="1:2" ht="13">
      <c r="A104" s="430"/>
      <c r="B104" s="431" t="s">
        <v>113</v>
      </c>
    </row>
    <row r="105" spans="1:2" ht="13">
      <c r="A105" s="430"/>
      <c r="B105" s="431" t="s">
        <v>114</v>
      </c>
    </row>
    <row r="106" spans="1:2" ht="13">
      <c r="A106" s="430"/>
      <c r="B106" s="431" t="s">
        <v>115</v>
      </c>
    </row>
    <row r="107" spans="1:2" ht="13">
      <c r="A107" s="430"/>
      <c r="B107" s="431" t="s">
        <v>116</v>
      </c>
    </row>
    <row r="108" spans="1:2" ht="13">
      <c r="A108" s="430"/>
      <c r="B108" s="431" t="s">
        <v>117</v>
      </c>
    </row>
    <row r="109" spans="1:2" ht="13">
      <c r="A109" s="430"/>
      <c r="B109" s="431" t="s">
        <v>118</v>
      </c>
    </row>
    <row r="110" spans="1:2" ht="13">
      <c r="A110" s="430"/>
      <c r="B110" s="431" t="s">
        <v>119</v>
      </c>
    </row>
    <row r="111" spans="1:2" ht="13">
      <c r="A111" s="430"/>
      <c r="B111" s="431" t="s">
        <v>120</v>
      </c>
    </row>
    <row r="112" spans="1:2" ht="13">
      <c r="A112" s="430"/>
      <c r="B112" s="431" t="s">
        <v>121</v>
      </c>
    </row>
    <row r="113" spans="1:2" ht="13">
      <c r="A113" s="430"/>
      <c r="B113" s="431" t="s">
        <v>122</v>
      </c>
    </row>
    <row r="114" spans="1:2" ht="13">
      <c r="A114" s="430"/>
      <c r="B114" s="431" t="s">
        <v>123</v>
      </c>
    </row>
    <row r="115" spans="1:2" ht="13">
      <c r="A115" s="430"/>
      <c r="B115" s="431" t="s">
        <v>124</v>
      </c>
    </row>
    <row r="116" spans="1:2" ht="13">
      <c r="A116" s="430"/>
      <c r="B116" s="431" t="s">
        <v>125</v>
      </c>
    </row>
    <row r="117" spans="1:2" ht="13">
      <c r="A117" s="430"/>
      <c r="B117" s="431" t="s">
        <v>126</v>
      </c>
    </row>
    <row r="118" spans="1:2" ht="13">
      <c r="A118" s="430"/>
      <c r="B118" s="431" t="s">
        <v>127</v>
      </c>
    </row>
    <row r="119" spans="1:2" ht="13">
      <c r="A119" s="430"/>
      <c r="B119" s="431" t="s">
        <v>128</v>
      </c>
    </row>
    <row r="120" spans="1:2" ht="13">
      <c r="A120" s="430"/>
      <c r="B120" s="431" t="s">
        <v>129</v>
      </c>
    </row>
    <row r="121" spans="1:2" ht="13">
      <c r="A121" s="430"/>
      <c r="B121" s="431" t="s">
        <v>130</v>
      </c>
    </row>
    <row r="122" spans="1:2" ht="13">
      <c r="A122" s="430"/>
      <c r="B122" s="431" t="s">
        <v>131</v>
      </c>
    </row>
    <row r="123" spans="1:2" ht="13">
      <c r="A123" s="430"/>
      <c r="B123" s="431" t="s">
        <v>132</v>
      </c>
    </row>
    <row r="124" spans="1:2" ht="13">
      <c r="A124" s="430"/>
      <c r="B124" s="431" t="s">
        <v>133</v>
      </c>
    </row>
    <row r="125" spans="1:2" ht="13">
      <c r="A125" s="430"/>
      <c r="B125" s="431" t="s">
        <v>134</v>
      </c>
    </row>
    <row r="126" spans="1:2" ht="13">
      <c r="A126" s="430"/>
      <c r="B126" s="431" t="s">
        <v>135</v>
      </c>
    </row>
    <row r="127" spans="1:2" ht="13">
      <c r="A127" s="430"/>
      <c r="B127" s="431" t="s">
        <v>136</v>
      </c>
    </row>
    <row r="128" spans="1:2" ht="13">
      <c r="A128" s="430"/>
      <c r="B128" s="431" t="s">
        <v>137</v>
      </c>
    </row>
    <row r="129" spans="1:2" ht="13">
      <c r="A129" s="430"/>
      <c r="B129" s="431" t="s">
        <v>138</v>
      </c>
    </row>
    <row r="130" spans="1:2" ht="13">
      <c r="A130" s="430"/>
      <c r="B130" s="431" t="s">
        <v>139</v>
      </c>
    </row>
    <row r="131" spans="1:2" ht="13">
      <c r="A131" s="430"/>
      <c r="B131" s="431" t="s">
        <v>140</v>
      </c>
    </row>
    <row r="132" spans="1:2" ht="13">
      <c r="A132" s="430"/>
      <c r="B132" s="431" t="s">
        <v>141</v>
      </c>
    </row>
    <row r="133" spans="1:2" ht="13">
      <c r="A133" s="430"/>
      <c r="B133" s="431" t="s">
        <v>142</v>
      </c>
    </row>
    <row r="134" spans="1:2" ht="13">
      <c r="A134" s="430"/>
      <c r="B134" s="431" t="s">
        <v>143</v>
      </c>
    </row>
    <row r="135" spans="1:2" ht="13">
      <c r="A135" s="430"/>
      <c r="B135" s="431" t="s">
        <v>144</v>
      </c>
    </row>
    <row r="136" spans="1:2" ht="13">
      <c r="A136" s="430"/>
      <c r="B136" s="431" t="s">
        <v>145</v>
      </c>
    </row>
    <row r="137" spans="1:2" ht="13">
      <c r="A137" s="430"/>
      <c r="B137" s="431" t="s">
        <v>146</v>
      </c>
    </row>
    <row r="138" spans="1:2" ht="13">
      <c r="A138" s="430"/>
      <c r="B138" s="431" t="s">
        <v>147</v>
      </c>
    </row>
    <row r="139" spans="1:2" ht="13">
      <c r="A139" s="430"/>
      <c r="B139" s="431" t="s">
        <v>148</v>
      </c>
    </row>
    <row r="140" spans="1:2" ht="13">
      <c r="A140" s="430"/>
      <c r="B140" s="431" t="s">
        <v>149</v>
      </c>
    </row>
    <row r="141" spans="1:2" ht="13">
      <c r="A141" s="430"/>
      <c r="B141" s="431" t="s">
        <v>150</v>
      </c>
    </row>
    <row r="142" spans="1:2" ht="13">
      <c r="A142" s="430"/>
      <c r="B142" s="431" t="s">
        <v>151</v>
      </c>
    </row>
    <row r="143" spans="1:2" ht="13">
      <c r="A143" s="430"/>
      <c r="B143" s="431" t="s">
        <v>152</v>
      </c>
    </row>
    <row r="144" spans="1:2" ht="13">
      <c r="A144" s="430"/>
      <c r="B144" s="431" t="s">
        <v>153</v>
      </c>
    </row>
    <row r="145" spans="1:2" ht="13">
      <c r="A145" s="430"/>
      <c r="B145" s="431" t="s">
        <v>154</v>
      </c>
    </row>
    <row r="146" spans="1:2" ht="13">
      <c r="A146" s="430"/>
      <c r="B146" s="431" t="s">
        <v>155</v>
      </c>
    </row>
    <row r="147" spans="1:2" ht="13">
      <c r="A147" s="430"/>
      <c r="B147" s="431" t="s">
        <v>156</v>
      </c>
    </row>
    <row r="148" spans="1:2" ht="13">
      <c r="A148" s="430"/>
      <c r="B148" s="431" t="s">
        <v>157</v>
      </c>
    </row>
    <row r="149" spans="1:2" ht="13">
      <c r="A149" s="430"/>
      <c r="B149" s="431" t="s">
        <v>158</v>
      </c>
    </row>
    <row r="150" spans="1:2" ht="13">
      <c r="A150" s="430"/>
      <c r="B150" s="431" t="s">
        <v>159</v>
      </c>
    </row>
    <row r="151" spans="1:2" ht="13">
      <c r="A151" s="430"/>
      <c r="B151" s="431" t="s">
        <v>160</v>
      </c>
    </row>
    <row r="152" spans="1:2" ht="13">
      <c r="A152" s="430"/>
      <c r="B152" s="431" t="s">
        <v>16</v>
      </c>
    </row>
    <row r="153" spans="1:2" ht="13">
      <c r="A153" s="430"/>
      <c r="B153" s="431" t="s">
        <v>161</v>
      </c>
    </row>
    <row r="154" spans="1:2" ht="13">
      <c r="A154" s="430"/>
      <c r="B154" s="431" t="s">
        <v>162</v>
      </c>
    </row>
    <row r="155" spans="1:2" ht="13">
      <c r="A155" s="430"/>
      <c r="B155" s="431" t="s">
        <v>163</v>
      </c>
    </row>
    <row r="156" spans="1:2" ht="13">
      <c r="A156" s="430"/>
      <c r="B156" s="431" t="s">
        <v>164</v>
      </c>
    </row>
    <row r="157" spans="1:2" ht="13">
      <c r="A157" s="430"/>
      <c r="B157" s="431" t="s">
        <v>165</v>
      </c>
    </row>
    <row r="158" spans="1:2" ht="13">
      <c r="A158" s="430"/>
      <c r="B158" s="431" t="s">
        <v>166</v>
      </c>
    </row>
    <row r="159" spans="1:2" ht="13">
      <c r="A159" s="430"/>
      <c r="B159" s="431" t="s">
        <v>167</v>
      </c>
    </row>
    <row r="160" spans="1:2" ht="13">
      <c r="A160" s="430"/>
      <c r="B160" s="431" t="s">
        <v>168</v>
      </c>
    </row>
    <row r="161" spans="1:2" ht="13">
      <c r="A161" s="430"/>
      <c r="B161" s="431" t="s">
        <v>169</v>
      </c>
    </row>
    <row r="162" spans="1:2" ht="13">
      <c r="A162" s="430"/>
      <c r="B162" s="431" t="s">
        <v>170</v>
      </c>
    </row>
    <row r="163" spans="1:2" ht="13">
      <c r="A163" s="430"/>
      <c r="B163" s="431" t="s">
        <v>171</v>
      </c>
    </row>
    <row r="164" spans="1:2" ht="13">
      <c r="A164" s="430"/>
      <c r="B164" s="431" t="s">
        <v>172</v>
      </c>
    </row>
    <row r="165" spans="1:2" ht="13">
      <c r="A165" s="430"/>
      <c r="B165" s="431" t="s">
        <v>173</v>
      </c>
    </row>
    <row r="166" spans="1:2" ht="13">
      <c r="A166" s="430"/>
      <c r="B166" s="431" t="s">
        <v>174</v>
      </c>
    </row>
    <row r="167" spans="1:2" ht="13">
      <c r="A167" s="430"/>
      <c r="B167" s="431" t="s">
        <v>175</v>
      </c>
    </row>
    <row r="168" spans="1:2" ht="13">
      <c r="A168" s="430"/>
      <c r="B168" s="431" t="s">
        <v>176</v>
      </c>
    </row>
    <row r="169" spans="1:2" ht="13">
      <c r="A169" s="430"/>
      <c r="B169" s="431" t="s">
        <v>177</v>
      </c>
    </row>
    <row r="170" spans="1:2" ht="13">
      <c r="A170" s="430"/>
      <c r="B170" s="431" t="s">
        <v>178</v>
      </c>
    </row>
    <row r="171" spans="1:2" ht="13">
      <c r="A171" s="430"/>
      <c r="B171" s="431" t="s">
        <v>179</v>
      </c>
    </row>
    <row r="172" spans="1:2" ht="13">
      <c r="A172" s="430"/>
      <c r="B172" s="431" t="s">
        <v>180</v>
      </c>
    </row>
    <row r="173" spans="1:2" ht="13">
      <c r="A173" s="430"/>
      <c r="B173" s="431" t="s">
        <v>181</v>
      </c>
    </row>
    <row r="174" spans="1:2" ht="13">
      <c r="A174" s="430"/>
      <c r="B174" s="431" t="s">
        <v>182</v>
      </c>
    </row>
    <row r="175" spans="1:2" ht="13">
      <c r="A175" s="430"/>
      <c r="B175" s="431" t="s">
        <v>183</v>
      </c>
    </row>
    <row r="176" spans="1:2" ht="13">
      <c r="A176" s="430"/>
      <c r="B176" s="431" t="s">
        <v>184</v>
      </c>
    </row>
    <row r="177" spans="1:2" ht="13">
      <c r="A177" s="430"/>
      <c r="B177" s="431" t="s">
        <v>185</v>
      </c>
    </row>
    <row r="178" spans="1:2" ht="13">
      <c r="A178" s="430"/>
      <c r="B178" s="431" t="s">
        <v>186</v>
      </c>
    </row>
    <row r="179" spans="1:2" ht="13">
      <c r="A179" s="430"/>
      <c r="B179" s="431" t="s">
        <v>187</v>
      </c>
    </row>
    <row r="180" spans="1:2" ht="13">
      <c r="A180" s="430"/>
      <c r="B180" s="431" t="s">
        <v>188</v>
      </c>
    </row>
    <row r="181" spans="1:2" ht="13">
      <c r="A181" s="430"/>
      <c r="B181" s="431" t="s">
        <v>189</v>
      </c>
    </row>
    <row r="182" spans="1:2" ht="13">
      <c r="A182" s="430"/>
      <c r="B182" s="431" t="s">
        <v>190</v>
      </c>
    </row>
    <row r="183" spans="1:2" ht="13">
      <c r="A183" s="430"/>
      <c r="B183" s="431" t="s">
        <v>191</v>
      </c>
    </row>
    <row r="184" spans="1:2" ht="13">
      <c r="A184" s="430"/>
      <c r="B184" s="431" t="s">
        <v>192</v>
      </c>
    </row>
    <row r="185" spans="1:2" ht="13">
      <c r="A185" s="430"/>
      <c r="B185" s="431" t="s">
        <v>193</v>
      </c>
    </row>
    <row r="186" spans="1:2" ht="13">
      <c r="A186" s="430"/>
      <c r="B186" s="431" t="s">
        <v>194</v>
      </c>
    </row>
    <row r="187" spans="1:2" ht="13">
      <c r="A187" s="430"/>
      <c r="B187" s="431" t="s">
        <v>195</v>
      </c>
    </row>
    <row r="188" spans="1:2" ht="13">
      <c r="A188" s="430"/>
      <c r="B188" s="431" t="s">
        <v>196</v>
      </c>
    </row>
    <row r="189" spans="1:2" ht="13">
      <c r="A189" s="430"/>
      <c r="B189" s="431" t="s">
        <v>197</v>
      </c>
    </row>
    <row r="190" spans="1:2" ht="13">
      <c r="A190" s="430"/>
      <c r="B190" s="431" t="s">
        <v>198</v>
      </c>
    </row>
    <row r="191" spans="1:2" ht="13">
      <c r="A191" s="430"/>
      <c r="B191" s="431" t="s">
        <v>199</v>
      </c>
    </row>
    <row r="192" spans="1:2" ht="13">
      <c r="A192" s="430"/>
      <c r="B192" s="431" t="s">
        <v>200</v>
      </c>
    </row>
    <row r="193" spans="1:2" ht="13">
      <c r="A193" s="430"/>
      <c r="B193" s="431" t="s">
        <v>201</v>
      </c>
    </row>
    <row r="194" spans="1:2" ht="13">
      <c r="A194" s="430"/>
      <c r="B194" s="431" t="s">
        <v>202</v>
      </c>
    </row>
    <row r="195" spans="1:2" ht="13">
      <c r="A195" s="430"/>
      <c r="B195" s="431" t="s">
        <v>203</v>
      </c>
    </row>
    <row r="196" spans="1:2" ht="13">
      <c r="A196" s="430"/>
      <c r="B196" s="431" t="s">
        <v>204</v>
      </c>
    </row>
    <row r="197" spans="1:2" ht="13">
      <c r="A197" s="430"/>
      <c r="B197" s="431" t="s">
        <v>205</v>
      </c>
    </row>
    <row r="198" spans="1:2" ht="13">
      <c r="A198" s="430"/>
      <c r="B198" s="431" t="s">
        <v>206</v>
      </c>
    </row>
    <row r="199" spans="1:2" ht="13">
      <c r="A199" s="430"/>
      <c r="B199" s="431" t="s">
        <v>207</v>
      </c>
    </row>
    <row r="200" spans="1:2" ht="13">
      <c r="A200" s="430"/>
      <c r="B200" s="431" t="s">
        <v>208</v>
      </c>
    </row>
    <row r="201" spans="1:2" ht="13">
      <c r="A201" s="430"/>
      <c r="B201" s="431" t="s">
        <v>209</v>
      </c>
    </row>
    <row r="202" spans="1:2" ht="13">
      <c r="A202" s="430"/>
      <c r="B202" s="431" t="s">
        <v>210</v>
      </c>
    </row>
    <row r="203" spans="1:2" ht="13">
      <c r="A203" s="430"/>
      <c r="B203" s="431" t="s">
        <v>211</v>
      </c>
    </row>
    <row r="204" spans="1:2" ht="13">
      <c r="A204" s="430"/>
      <c r="B204" s="431" t="s">
        <v>212</v>
      </c>
    </row>
    <row r="205" spans="1:2" ht="13">
      <c r="A205" s="430"/>
      <c r="B205" s="431" t="s">
        <v>213</v>
      </c>
    </row>
    <row r="206" spans="1:2" ht="13">
      <c r="A206" s="430"/>
      <c r="B206" s="431" t="s">
        <v>214</v>
      </c>
    </row>
    <row r="207" spans="1:2" ht="13">
      <c r="A207" s="430"/>
      <c r="B207" s="431" t="s">
        <v>215</v>
      </c>
    </row>
    <row r="208" spans="1:2" ht="13">
      <c r="A208" s="430"/>
      <c r="B208" s="431" t="s">
        <v>216</v>
      </c>
    </row>
    <row r="209" spans="1:2" ht="13">
      <c r="A209" s="430"/>
      <c r="B209" s="431" t="s">
        <v>217</v>
      </c>
    </row>
    <row r="210" spans="1:2" ht="13">
      <c r="A210" s="430"/>
      <c r="B210" s="431" t="s">
        <v>218</v>
      </c>
    </row>
    <row r="211" spans="1:2" ht="13">
      <c r="A211" s="430"/>
      <c r="B211" s="431" t="s">
        <v>219</v>
      </c>
    </row>
    <row r="212" spans="1:2" ht="13">
      <c r="A212" s="430"/>
      <c r="B212" s="431" t="s">
        <v>220</v>
      </c>
    </row>
    <row r="213" spans="1:2" ht="13">
      <c r="A213" s="430"/>
      <c r="B213" s="431" t="s">
        <v>221</v>
      </c>
    </row>
    <row r="214" spans="1:2" ht="13">
      <c r="A214" s="430"/>
      <c r="B214" s="431" t="s">
        <v>222</v>
      </c>
    </row>
    <row r="215" spans="1:2" ht="13">
      <c r="A215" s="430"/>
      <c r="B215" s="431" t="s">
        <v>223</v>
      </c>
    </row>
    <row r="216" spans="1:2" ht="13">
      <c r="A216" s="430"/>
      <c r="B216" s="431" t="s">
        <v>224</v>
      </c>
    </row>
    <row r="217" spans="1:2" ht="13">
      <c r="A217" s="430"/>
      <c r="B217" s="431" t="s">
        <v>225</v>
      </c>
    </row>
    <row r="218" spans="1:2" ht="13">
      <c r="A218" s="430"/>
      <c r="B218" s="431" t="s">
        <v>226</v>
      </c>
    </row>
    <row r="219" spans="1:2" ht="13">
      <c r="A219" s="430"/>
      <c r="B219" s="431" t="s">
        <v>227</v>
      </c>
    </row>
    <row r="220" spans="1:2" ht="13">
      <c r="A220" s="430"/>
      <c r="B220" s="431" t="s">
        <v>228</v>
      </c>
    </row>
    <row r="221" spans="1:2" ht="13">
      <c r="A221" s="430"/>
      <c r="B221" s="431" t="s">
        <v>229</v>
      </c>
    </row>
    <row r="222" spans="1:2" ht="13">
      <c r="A222" s="430"/>
      <c r="B222" s="431" t="s">
        <v>230</v>
      </c>
    </row>
    <row r="223" spans="1:2" ht="13">
      <c r="A223" s="430"/>
      <c r="B223" s="431" t="s">
        <v>231</v>
      </c>
    </row>
    <row r="224" spans="1:2" ht="13">
      <c r="A224" s="430"/>
      <c r="B224" s="431" t="s">
        <v>232</v>
      </c>
    </row>
    <row r="225" spans="1:2" ht="13">
      <c r="A225" s="430"/>
      <c r="B225" s="431" t="s">
        <v>233</v>
      </c>
    </row>
    <row r="226" spans="1:2" ht="13">
      <c r="A226" s="430"/>
      <c r="B226" s="431" t="s">
        <v>234</v>
      </c>
    </row>
    <row r="227" spans="1:2" ht="13">
      <c r="A227" s="430"/>
      <c r="B227" s="431" t="s">
        <v>235</v>
      </c>
    </row>
    <row r="228" spans="1:2" ht="13">
      <c r="A228" s="430"/>
      <c r="B228" s="431" t="s">
        <v>236</v>
      </c>
    </row>
    <row r="229" spans="1:2" ht="13">
      <c r="A229" s="433"/>
      <c r="B229" s="434" t="s">
        <v>237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1000"/>
  <sheetViews>
    <sheetView showGridLines="0" workbookViewId="0"/>
  </sheetViews>
  <sheetFormatPr baseColWidth="10" defaultColWidth="12.6640625" defaultRowHeight="15.75" customHeight="1"/>
  <cols>
    <col min="1" max="1" width="45.1640625" customWidth="1"/>
    <col min="2" max="2" width="16.83203125" customWidth="1"/>
    <col min="3" max="3" width="17.5" customWidth="1"/>
  </cols>
  <sheetData>
    <row r="1" spans="1:4" ht="15.75" customHeight="1">
      <c r="A1" s="423" t="s">
        <v>18</v>
      </c>
      <c r="B1" s="423" t="s">
        <v>277</v>
      </c>
      <c r="C1" s="423" t="s">
        <v>276</v>
      </c>
      <c r="D1" s="424" t="s">
        <v>275</v>
      </c>
    </row>
    <row r="2" spans="1:4" ht="15.75" customHeight="1">
      <c r="A2" s="425" t="s">
        <v>800</v>
      </c>
      <c r="B2" s="425" t="s">
        <v>796</v>
      </c>
      <c r="C2" s="425" t="s">
        <v>569</v>
      </c>
      <c r="D2" s="426" t="s">
        <v>3851</v>
      </c>
    </row>
    <row r="3" spans="1:4" ht="15.75" customHeight="1">
      <c r="A3" s="425" t="s">
        <v>823</v>
      </c>
      <c r="B3" s="425" t="s">
        <v>3851</v>
      </c>
      <c r="C3" s="425" t="s">
        <v>824</v>
      </c>
      <c r="D3" s="426" t="s">
        <v>3851</v>
      </c>
    </row>
    <row r="4" spans="1:4" ht="15.75" customHeight="1">
      <c r="A4" s="425" t="s">
        <v>843</v>
      </c>
      <c r="B4" s="425" t="s">
        <v>3851</v>
      </c>
      <c r="C4" s="425" t="s">
        <v>569</v>
      </c>
      <c r="D4" s="426" t="s">
        <v>3851</v>
      </c>
    </row>
    <row r="5" spans="1:4" ht="15.75" customHeight="1">
      <c r="A5" s="425" t="s">
        <v>826</v>
      </c>
      <c r="B5" s="425" t="s">
        <v>3851</v>
      </c>
      <c r="C5" s="425" t="s">
        <v>294</v>
      </c>
      <c r="D5" s="426" t="s">
        <v>3851</v>
      </c>
    </row>
    <row r="6" spans="1:4" ht="15.75" customHeight="1">
      <c r="A6" s="425" t="s">
        <v>20</v>
      </c>
      <c r="B6" s="425" t="s">
        <v>307</v>
      </c>
      <c r="C6" s="425" t="s">
        <v>322</v>
      </c>
      <c r="D6" s="426" t="s">
        <v>3851</v>
      </c>
    </row>
    <row r="7" spans="1:4" ht="15.75" customHeight="1">
      <c r="A7" s="425" t="s">
        <v>21</v>
      </c>
      <c r="B7" s="425" t="s">
        <v>307</v>
      </c>
      <c r="C7" s="425" t="s">
        <v>322</v>
      </c>
      <c r="D7" s="426" t="s">
        <v>3851</v>
      </c>
    </row>
    <row r="8" spans="1:4" ht="15.75" customHeight="1">
      <c r="A8" s="425" t="s">
        <v>22</v>
      </c>
      <c r="B8" s="425" t="s">
        <v>375</v>
      </c>
      <c r="C8" s="425" t="s">
        <v>322</v>
      </c>
      <c r="D8" s="426" t="s">
        <v>361</v>
      </c>
    </row>
    <row r="9" spans="1:4" ht="15.75" customHeight="1">
      <c r="A9" s="425" t="s">
        <v>23</v>
      </c>
      <c r="B9" s="425" t="s">
        <v>611</v>
      </c>
      <c r="C9" s="425" t="s">
        <v>362</v>
      </c>
      <c r="D9" s="426" t="s">
        <v>480</v>
      </c>
    </row>
    <row r="10" spans="1:4" ht="15.75" customHeight="1">
      <c r="A10" s="425" t="s">
        <v>24</v>
      </c>
      <c r="B10" s="425" t="s">
        <v>295</v>
      </c>
      <c r="C10" s="425" t="s">
        <v>294</v>
      </c>
      <c r="D10" s="426" t="s">
        <v>293</v>
      </c>
    </row>
    <row r="11" spans="1:4" ht="15.75" customHeight="1">
      <c r="A11" s="425" t="s">
        <v>25</v>
      </c>
      <c r="B11" s="425" t="s">
        <v>474</v>
      </c>
      <c r="C11" s="425" t="s">
        <v>569</v>
      </c>
      <c r="D11" s="426" t="s">
        <v>299</v>
      </c>
    </row>
    <row r="12" spans="1:4" ht="15.75" customHeight="1">
      <c r="A12" s="425" t="s">
        <v>933</v>
      </c>
      <c r="B12" s="425" t="s">
        <v>3851</v>
      </c>
      <c r="C12" s="425" t="s">
        <v>3851</v>
      </c>
      <c r="D12" s="426" t="s">
        <v>3851</v>
      </c>
    </row>
    <row r="13" spans="1:4" ht="15.75" customHeight="1">
      <c r="A13" s="425" t="s">
        <v>26</v>
      </c>
      <c r="B13" s="425" t="s">
        <v>611</v>
      </c>
      <c r="C13" s="425" t="s">
        <v>306</v>
      </c>
      <c r="D13" s="426" t="s">
        <v>366</v>
      </c>
    </row>
    <row r="14" spans="1:4" ht="15.75" customHeight="1">
      <c r="A14" s="425" t="s">
        <v>571</v>
      </c>
      <c r="B14" s="425" t="s">
        <v>570</v>
      </c>
      <c r="C14" s="425" t="s">
        <v>569</v>
      </c>
      <c r="D14" s="426" t="s">
        <v>353</v>
      </c>
    </row>
    <row r="15" spans="1:4" ht="15.75" customHeight="1">
      <c r="A15" s="425" t="s">
        <v>7</v>
      </c>
      <c r="B15" s="425" t="s">
        <v>343</v>
      </c>
      <c r="C15" s="425" t="s">
        <v>752</v>
      </c>
      <c r="D15" s="426" t="s">
        <v>341</v>
      </c>
    </row>
    <row r="16" spans="1:4" ht="15.75" customHeight="1">
      <c r="A16" s="425" t="s">
        <v>27</v>
      </c>
      <c r="B16" s="425" t="s">
        <v>307</v>
      </c>
      <c r="C16" s="425" t="s">
        <v>389</v>
      </c>
      <c r="D16" s="426" t="s">
        <v>312</v>
      </c>
    </row>
    <row r="17" spans="1:4" ht="15.75" customHeight="1">
      <c r="A17" s="425" t="s">
        <v>28</v>
      </c>
      <c r="B17" s="425" t="s">
        <v>474</v>
      </c>
      <c r="C17" s="425" t="s">
        <v>306</v>
      </c>
      <c r="D17" s="426" t="s">
        <v>312</v>
      </c>
    </row>
    <row r="18" spans="1:4" ht="15.75" customHeight="1">
      <c r="A18" s="425" t="s">
        <v>851</v>
      </c>
      <c r="B18" s="425" t="s">
        <v>3851</v>
      </c>
      <c r="C18" s="425" t="s">
        <v>294</v>
      </c>
      <c r="D18" s="426" t="s">
        <v>3851</v>
      </c>
    </row>
    <row r="19" spans="1:4" ht="15.75" customHeight="1">
      <c r="A19" s="425" t="s">
        <v>29</v>
      </c>
      <c r="B19" s="425" t="s">
        <v>888</v>
      </c>
      <c r="C19" s="425" t="s">
        <v>596</v>
      </c>
      <c r="D19" s="426" t="s">
        <v>3851</v>
      </c>
    </row>
    <row r="20" spans="1:4" ht="15.75" customHeight="1">
      <c r="A20" s="425" t="s">
        <v>30</v>
      </c>
      <c r="B20" s="425" t="s">
        <v>498</v>
      </c>
      <c r="C20" s="425" t="s">
        <v>596</v>
      </c>
      <c r="D20" s="426" t="s">
        <v>361</v>
      </c>
    </row>
    <row r="21" spans="1:4" ht="15.75" customHeight="1">
      <c r="A21" s="425" t="s">
        <v>31</v>
      </c>
      <c r="B21" s="425" t="s">
        <v>474</v>
      </c>
      <c r="C21" s="425" t="s">
        <v>306</v>
      </c>
      <c r="D21" s="426" t="s">
        <v>305</v>
      </c>
    </row>
    <row r="22" spans="1:4" ht="15.75" customHeight="1">
      <c r="A22" s="425" t="s">
        <v>32</v>
      </c>
      <c r="B22" s="425" t="s">
        <v>307</v>
      </c>
      <c r="C22" s="425" t="s">
        <v>596</v>
      </c>
      <c r="D22" s="426" t="s">
        <v>305</v>
      </c>
    </row>
    <row r="23" spans="1:4" ht="15.75" customHeight="1">
      <c r="A23" s="425" t="s">
        <v>856</v>
      </c>
      <c r="B23" s="425" t="s">
        <v>3851</v>
      </c>
      <c r="C23" s="425" t="s">
        <v>739</v>
      </c>
      <c r="D23" s="426" t="s">
        <v>3851</v>
      </c>
    </row>
    <row r="24" spans="1:4" ht="15.75" customHeight="1">
      <c r="A24" s="425" t="s">
        <v>825</v>
      </c>
      <c r="B24" s="425" t="s">
        <v>3851</v>
      </c>
      <c r="C24" s="425" t="s">
        <v>362</v>
      </c>
      <c r="D24" s="426" t="s">
        <v>3851</v>
      </c>
    </row>
    <row r="25" spans="1:4" ht="15.75" customHeight="1">
      <c r="A25" s="425" t="s">
        <v>489</v>
      </c>
      <c r="B25" s="425" t="s">
        <v>375</v>
      </c>
      <c r="C25" s="425" t="s">
        <v>362</v>
      </c>
      <c r="D25" s="426" t="s">
        <v>284</v>
      </c>
    </row>
    <row r="26" spans="1:4" ht="15.75" customHeight="1">
      <c r="A26" s="425" t="s">
        <v>494</v>
      </c>
      <c r="B26" s="425" t="s">
        <v>375</v>
      </c>
      <c r="C26" s="425" t="s">
        <v>362</v>
      </c>
      <c r="D26" s="426" t="s">
        <v>361</v>
      </c>
    </row>
    <row r="27" spans="1:4" ht="15.75" customHeight="1">
      <c r="A27" s="425" t="s">
        <v>905</v>
      </c>
      <c r="B27" s="425" t="s">
        <v>3851</v>
      </c>
      <c r="C27" s="425" t="s">
        <v>3851</v>
      </c>
      <c r="D27" s="426" t="s">
        <v>3851</v>
      </c>
    </row>
    <row r="28" spans="1:4" ht="15.75" customHeight="1">
      <c r="A28" s="425" t="s">
        <v>33</v>
      </c>
      <c r="B28" s="425" t="s">
        <v>498</v>
      </c>
      <c r="C28" s="425" t="s">
        <v>285</v>
      </c>
      <c r="D28" s="426" t="s">
        <v>284</v>
      </c>
    </row>
    <row r="29" spans="1:4" ht="15.75" customHeight="1">
      <c r="A29" s="425" t="s">
        <v>507</v>
      </c>
      <c r="B29" s="425" t="s">
        <v>498</v>
      </c>
      <c r="C29" s="425" t="s">
        <v>285</v>
      </c>
      <c r="D29" s="426" t="s">
        <v>452</v>
      </c>
    </row>
    <row r="30" spans="1:4" ht="15.75" customHeight="1">
      <c r="A30" s="425" t="s">
        <v>34</v>
      </c>
      <c r="B30" s="425" t="s">
        <v>570</v>
      </c>
      <c r="C30" s="425" t="s">
        <v>306</v>
      </c>
      <c r="D30" s="426" t="s">
        <v>653</v>
      </c>
    </row>
    <row r="31" spans="1:4" ht="15.75" customHeight="1">
      <c r="A31" s="425" t="s">
        <v>35</v>
      </c>
      <c r="B31" s="425" t="s">
        <v>343</v>
      </c>
      <c r="C31" s="425" t="s">
        <v>342</v>
      </c>
      <c r="D31" s="426" t="s">
        <v>3851</v>
      </c>
    </row>
    <row r="32" spans="1:4" ht="15.75" customHeight="1">
      <c r="A32" s="425" t="s">
        <v>36</v>
      </c>
      <c r="B32" s="425" t="s">
        <v>409</v>
      </c>
      <c r="C32" s="425" t="s">
        <v>389</v>
      </c>
      <c r="D32" s="426" t="s">
        <v>388</v>
      </c>
    </row>
    <row r="33" spans="1:4" ht="15.75" customHeight="1">
      <c r="A33" s="425" t="s">
        <v>817</v>
      </c>
      <c r="B33" s="425" t="s">
        <v>307</v>
      </c>
      <c r="C33" s="425" t="s">
        <v>477</v>
      </c>
      <c r="D33" s="426" t="s">
        <v>361</v>
      </c>
    </row>
    <row r="34" spans="1:4" ht="15.75" customHeight="1">
      <c r="A34" s="425" t="s">
        <v>890</v>
      </c>
      <c r="B34" s="425" t="s">
        <v>286</v>
      </c>
      <c r="C34" s="425" t="s">
        <v>569</v>
      </c>
      <c r="D34" s="426" t="s">
        <v>893</v>
      </c>
    </row>
    <row r="35" spans="1:4" ht="15.75" customHeight="1">
      <c r="A35" s="425" t="s">
        <v>37</v>
      </c>
      <c r="B35" s="425" t="s">
        <v>307</v>
      </c>
      <c r="C35" s="425" t="s">
        <v>322</v>
      </c>
      <c r="D35" s="426" t="s">
        <v>305</v>
      </c>
    </row>
    <row r="36" spans="1:4" ht="15.75" customHeight="1">
      <c r="A36" s="425" t="s">
        <v>38</v>
      </c>
      <c r="B36" s="425" t="s">
        <v>343</v>
      </c>
      <c r="C36" s="425" t="s">
        <v>342</v>
      </c>
      <c r="D36" s="426" t="s">
        <v>3851</v>
      </c>
    </row>
    <row r="37" spans="1:4" ht="15.75" customHeight="1">
      <c r="A37" s="425" t="s">
        <v>39</v>
      </c>
      <c r="B37" s="425" t="s">
        <v>611</v>
      </c>
      <c r="C37" s="425" t="s">
        <v>306</v>
      </c>
      <c r="D37" s="426" t="s">
        <v>353</v>
      </c>
    </row>
    <row r="38" spans="1:4" ht="15.75" customHeight="1">
      <c r="A38" s="430"/>
      <c r="B38" s="430"/>
      <c r="C38" s="430"/>
      <c r="D38" s="431" t="s">
        <v>3851</v>
      </c>
    </row>
    <row r="39" spans="1:4" ht="15.75" customHeight="1">
      <c r="A39" s="425" t="s">
        <v>637</v>
      </c>
      <c r="B39" s="425" t="s">
        <v>286</v>
      </c>
      <c r="C39" s="425" t="s">
        <v>306</v>
      </c>
      <c r="D39" s="426" t="s">
        <v>353</v>
      </c>
    </row>
    <row r="40" spans="1:4" ht="15.75" customHeight="1">
      <c r="A40" s="430"/>
      <c r="B40" s="430"/>
      <c r="C40" s="430"/>
      <c r="D40" s="431" t="s">
        <v>3851</v>
      </c>
    </row>
    <row r="41" spans="1:4" ht="15.75" customHeight="1">
      <c r="A41" s="425" t="s">
        <v>40</v>
      </c>
      <c r="B41" s="425" t="s">
        <v>354</v>
      </c>
      <c r="C41" s="425" t="s">
        <v>477</v>
      </c>
      <c r="D41" s="426" t="s">
        <v>462</v>
      </c>
    </row>
    <row r="42" spans="1:4" ht="15.75" customHeight="1">
      <c r="A42" s="425" t="s">
        <v>41</v>
      </c>
      <c r="B42" s="425" t="s">
        <v>540</v>
      </c>
      <c r="C42" s="425" t="s">
        <v>306</v>
      </c>
      <c r="D42" s="426" t="s">
        <v>366</v>
      </c>
    </row>
    <row r="43" spans="1:4" ht="15.75" customHeight="1">
      <c r="A43" s="425" t="s">
        <v>42</v>
      </c>
      <c r="B43" s="425" t="s">
        <v>540</v>
      </c>
      <c r="C43" s="425" t="s">
        <v>306</v>
      </c>
      <c r="D43" s="426" t="s">
        <v>366</v>
      </c>
    </row>
    <row r="44" spans="1:4" ht="15.75" customHeight="1">
      <c r="A44" s="425" t="s">
        <v>43</v>
      </c>
      <c r="B44" s="425" t="s">
        <v>540</v>
      </c>
      <c r="C44" s="425" t="s">
        <v>306</v>
      </c>
      <c r="D44" s="426" t="s">
        <v>366</v>
      </c>
    </row>
    <row r="45" spans="1:4" ht="15.75" customHeight="1">
      <c r="A45" s="425" t="s">
        <v>44</v>
      </c>
      <c r="B45" s="425" t="s">
        <v>343</v>
      </c>
      <c r="C45" s="425" t="s">
        <v>752</v>
      </c>
      <c r="D45" s="426" t="s">
        <v>341</v>
      </c>
    </row>
    <row r="46" spans="1:4" ht="13">
      <c r="A46" s="425" t="s">
        <v>737</v>
      </c>
      <c r="B46" s="425" t="s">
        <v>540</v>
      </c>
      <c r="C46" s="425" t="s">
        <v>739</v>
      </c>
      <c r="D46" s="426" t="s">
        <v>353</v>
      </c>
    </row>
    <row r="47" spans="1:4" ht="13">
      <c r="A47" s="425" t="s">
        <v>878</v>
      </c>
      <c r="B47" s="425" t="s">
        <v>3851</v>
      </c>
      <c r="C47" s="425" t="s">
        <v>322</v>
      </c>
      <c r="D47" s="426" t="s">
        <v>3851</v>
      </c>
    </row>
    <row r="48" spans="1:4" ht="13">
      <c r="A48" s="425" t="s">
        <v>803</v>
      </c>
      <c r="B48" s="425" t="s">
        <v>796</v>
      </c>
      <c r="C48" s="425" t="s">
        <v>739</v>
      </c>
      <c r="D48" s="426" t="s">
        <v>353</v>
      </c>
    </row>
    <row r="49" spans="1:4" ht="13">
      <c r="A49" s="425" t="s">
        <v>45</v>
      </c>
      <c r="B49" s="425" t="s">
        <v>375</v>
      </c>
      <c r="C49" s="425" t="s">
        <v>322</v>
      </c>
      <c r="D49" s="426" t="s">
        <v>305</v>
      </c>
    </row>
    <row r="50" spans="1:4" ht="13">
      <c r="A50" s="425" t="s">
        <v>46</v>
      </c>
      <c r="B50" s="425" t="s">
        <v>343</v>
      </c>
      <c r="C50" s="425" t="s">
        <v>752</v>
      </c>
      <c r="D50" s="426" t="s">
        <v>819</v>
      </c>
    </row>
    <row r="51" spans="1:4" ht="13">
      <c r="A51" s="425" t="s">
        <v>47</v>
      </c>
      <c r="B51" s="425" t="s">
        <v>390</v>
      </c>
      <c r="C51" s="425" t="s">
        <v>362</v>
      </c>
      <c r="D51" s="426" t="s">
        <v>462</v>
      </c>
    </row>
    <row r="52" spans="1:4" ht="13">
      <c r="A52" s="425" t="s">
        <v>48</v>
      </c>
      <c r="B52" s="425" t="s">
        <v>390</v>
      </c>
      <c r="C52" s="425" t="s">
        <v>294</v>
      </c>
      <c r="D52" s="426" t="s">
        <v>388</v>
      </c>
    </row>
    <row r="53" spans="1:4" ht="13">
      <c r="A53" s="425" t="s">
        <v>49</v>
      </c>
      <c r="B53" s="425" t="s">
        <v>343</v>
      </c>
      <c r="C53" s="425" t="s">
        <v>342</v>
      </c>
      <c r="D53" s="426" t="s">
        <v>341</v>
      </c>
    </row>
    <row r="54" spans="1:4" ht="13">
      <c r="A54" s="425" t="s">
        <v>563</v>
      </c>
      <c r="B54" s="425" t="s">
        <v>307</v>
      </c>
      <c r="C54" s="425" t="s">
        <v>322</v>
      </c>
      <c r="D54" s="426" t="s">
        <v>305</v>
      </c>
    </row>
    <row r="55" spans="1:4" ht="13">
      <c r="A55" s="425" t="s">
        <v>903</v>
      </c>
      <c r="B55" s="425" t="s">
        <v>3851</v>
      </c>
      <c r="C55" s="425" t="s">
        <v>3851</v>
      </c>
      <c r="D55" s="426" t="s">
        <v>3851</v>
      </c>
    </row>
    <row r="56" spans="1:4" ht="13">
      <c r="A56" s="425" t="s">
        <v>50</v>
      </c>
      <c r="B56" s="425" t="s">
        <v>409</v>
      </c>
      <c r="C56" s="425" t="s">
        <v>389</v>
      </c>
      <c r="D56" s="426" t="s">
        <v>388</v>
      </c>
    </row>
    <row r="57" spans="1:4" ht="13">
      <c r="A57" s="425" t="s">
        <v>51</v>
      </c>
      <c r="B57" s="425" t="s">
        <v>409</v>
      </c>
      <c r="C57" s="425" t="s">
        <v>389</v>
      </c>
      <c r="D57" s="426" t="s">
        <v>388</v>
      </c>
    </row>
    <row r="58" spans="1:4" ht="13">
      <c r="A58" s="425" t="s">
        <v>871</v>
      </c>
      <c r="B58" s="425" t="s">
        <v>3851</v>
      </c>
      <c r="C58" s="425" t="s">
        <v>389</v>
      </c>
      <c r="D58" s="426" t="s">
        <v>3851</v>
      </c>
    </row>
    <row r="59" spans="1:4" ht="13">
      <c r="A59" s="425" t="s">
        <v>52</v>
      </c>
      <c r="B59" s="425" t="s">
        <v>307</v>
      </c>
      <c r="C59" s="425" t="s">
        <v>285</v>
      </c>
      <c r="D59" s="426" t="s">
        <v>284</v>
      </c>
    </row>
    <row r="60" spans="1:4" ht="13">
      <c r="A60" s="425" t="s">
        <v>779</v>
      </c>
      <c r="B60" s="425" t="s">
        <v>343</v>
      </c>
      <c r="C60" s="425" t="s">
        <v>752</v>
      </c>
      <c r="D60" s="426" t="s">
        <v>341</v>
      </c>
    </row>
    <row r="61" spans="1:4" ht="13">
      <c r="A61" s="430"/>
      <c r="B61" s="430"/>
      <c r="C61" s="430"/>
      <c r="D61" s="431" t="s">
        <v>3851</v>
      </c>
    </row>
    <row r="62" spans="1:4" ht="13">
      <c r="A62" s="425" t="s">
        <v>53</v>
      </c>
      <c r="B62" s="425" t="s">
        <v>375</v>
      </c>
      <c r="C62" s="425" t="s">
        <v>362</v>
      </c>
      <c r="D62" s="426" t="s">
        <v>480</v>
      </c>
    </row>
    <row r="63" spans="1:4" ht="13">
      <c r="A63" s="425" t="s">
        <v>54</v>
      </c>
      <c r="B63" s="425" t="s">
        <v>375</v>
      </c>
      <c r="C63" s="425" t="s">
        <v>362</v>
      </c>
      <c r="D63" s="426" t="s">
        <v>480</v>
      </c>
    </row>
    <row r="64" spans="1:4" ht="13">
      <c r="A64" s="425" t="s">
        <v>9</v>
      </c>
      <c r="B64" s="425" t="s">
        <v>343</v>
      </c>
      <c r="C64" s="425" t="s">
        <v>752</v>
      </c>
      <c r="D64" s="426" t="s">
        <v>341</v>
      </c>
    </row>
    <row r="65" spans="1:4" ht="13">
      <c r="A65" s="425" t="s">
        <v>923</v>
      </c>
      <c r="B65" s="425" t="s">
        <v>3851</v>
      </c>
      <c r="C65" s="425" t="s">
        <v>3851</v>
      </c>
      <c r="D65" s="426" t="s">
        <v>3851</v>
      </c>
    </row>
    <row r="66" spans="1:4" ht="13">
      <c r="A66" s="425" t="s">
        <v>55</v>
      </c>
      <c r="B66" s="425" t="s">
        <v>409</v>
      </c>
      <c r="C66" s="425" t="s">
        <v>389</v>
      </c>
      <c r="D66" s="426" t="s">
        <v>388</v>
      </c>
    </row>
    <row r="67" spans="1:4" ht="13">
      <c r="A67" s="425" t="s">
        <v>56</v>
      </c>
      <c r="B67" s="425" t="s">
        <v>409</v>
      </c>
      <c r="C67" s="425" t="s">
        <v>389</v>
      </c>
      <c r="D67" s="426" t="s">
        <v>388</v>
      </c>
    </row>
    <row r="68" spans="1:4" ht="13">
      <c r="A68" s="425" t="s">
        <v>57</v>
      </c>
      <c r="B68" s="425" t="s">
        <v>390</v>
      </c>
      <c r="C68" s="425" t="s">
        <v>306</v>
      </c>
      <c r="D68" s="426" t="s">
        <v>361</v>
      </c>
    </row>
    <row r="69" spans="1:4" ht="13">
      <c r="A69" s="425" t="s">
        <v>58</v>
      </c>
      <c r="B69" s="425" t="s">
        <v>540</v>
      </c>
      <c r="C69" s="425" t="s">
        <v>389</v>
      </c>
      <c r="D69" s="426" t="s">
        <v>388</v>
      </c>
    </row>
    <row r="70" spans="1:4" ht="13">
      <c r="A70" s="425" t="s">
        <v>854</v>
      </c>
      <c r="B70" s="425" t="s">
        <v>796</v>
      </c>
      <c r="C70" s="425" t="s">
        <v>389</v>
      </c>
      <c r="D70" s="426" t="s">
        <v>3851</v>
      </c>
    </row>
    <row r="71" spans="1:4" ht="13">
      <c r="A71" s="425" t="s">
        <v>59</v>
      </c>
      <c r="B71" s="425" t="s">
        <v>540</v>
      </c>
      <c r="C71" s="425" t="s">
        <v>389</v>
      </c>
      <c r="D71" s="426" t="s">
        <v>361</v>
      </c>
    </row>
    <row r="72" spans="1:4" ht="13">
      <c r="A72" s="430"/>
      <c r="B72" s="430"/>
      <c r="C72" s="430"/>
      <c r="D72" s="431" t="s">
        <v>902</v>
      </c>
    </row>
    <row r="73" spans="1:4" ht="13">
      <c r="A73" s="425" t="s">
        <v>60</v>
      </c>
      <c r="B73" s="425" t="s">
        <v>540</v>
      </c>
      <c r="C73" s="425" t="s">
        <v>389</v>
      </c>
      <c r="D73" s="426" t="s">
        <v>361</v>
      </c>
    </row>
    <row r="74" spans="1:4" ht="13">
      <c r="A74" s="430"/>
      <c r="B74" s="425" t="s">
        <v>796</v>
      </c>
      <c r="C74" s="425" t="s">
        <v>389</v>
      </c>
      <c r="D74" s="426" t="s">
        <v>388</v>
      </c>
    </row>
    <row r="75" spans="1:4" ht="13">
      <c r="A75" s="425" t="s">
        <v>61</v>
      </c>
      <c r="B75" s="425" t="s">
        <v>390</v>
      </c>
      <c r="C75" s="425" t="s">
        <v>306</v>
      </c>
      <c r="D75" s="426" t="s">
        <v>388</v>
      </c>
    </row>
    <row r="76" spans="1:4" ht="13">
      <c r="A76" s="425" t="s">
        <v>694</v>
      </c>
      <c r="B76" s="425" t="s">
        <v>474</v>
      </c>
      <c r="C76" s="425" t="s">
        <v>362</v>
      </c>
      <c r="D76" s="426" t="s">
        <v>480</v>
      </c>
    </row>
    <row r="77" spans="1:4" ht="13">
      <c r="A77" s="425" t="s">
        <v>688</v>
      </c>
      <c r="B77" s="425" t="s">
        <v>474</v>
      </c>
      <c r="C77" s="425" t="s">
        <v>362</v>
      </c>
      <c r="D77" s="426" t="s">
        <v>480</v>
      </c>
    </row>
    <row r="78" spans="1:4" ht="13">
      <c r="A78" s="425" t="s">
        <v>62</v>
      </c>
      <c r="B78" s="425" t="s">
        <v>409</v>
      </c>
      <c r="C78" s="425" t="s">
        <v>322</v>
      </c>
      <c r="D78" s="426" t="s">
        <v>552</v>
      </c>
    </row>
    <row r="79" spans="1:4" ht="13">
      <c r="A79" s="425" t="s">
        <v>927</v>
      </c>
      <c r="B79" s="425" t="s">
        <v>3851</v>
      </c>
      <c r="C79" s="425" t="s">
        <v>3851</v>
      </c>
      <c r="D79" s="426" t="s">
        <v>3851</v>
      </c>
    </row>
    <row r="80" spans="1:4" ht="13">
      <c r="A80" s="425" t="s">
        <v>624</v>
      </c>
      <c r="B80" s="425" t="s">
        <v>611</v>
      </c>
      <c r="C80" s="425" t="s">
        <v>306</v>
      </c>
      <c r="D80" s="426" t="s">
        <v>366</v>
      </c>
    </row>
    <row r="81" spans="1:4" ht="13">
      <c r="A81" s="425" t="s">
        <v>447</v>
      </c>
      <c r="B81" s="425" t="s">
        <v>295</v>
      </c>
      <c r="C81" s="425" t="s">
        <v>285</v>
      </c>
      <c r="D81" s="426" t="s">
        <v>284</v>
      </c>
    </row>
    <row r="82" spans="1:4" ht="13">
      <c r="A82" s="425" t="s">
        <v>63</v>
      </c>
      <c r="B82" s="425" t="s">
        <v>295</v>
      </c>
      <c r="C82" s="425" t="s">
        <v>285</v>
      </c>
      <c r="D82" s="426" t="s">
        <v>452</v>
      </c>
    </row>
    <row r="83" spans="1:4" ht="13">
      <c r="A83" s="425" t="s">
        <v>459</v>
      </c>
      <c r="B83" s="425" t="s">
        <v>295</v>
      </c>
      <c r="C83" s="425" t="s">
        <v>285</v>
      </c>
      <c r="D83" s="426" t="s">
        <v>452</v>
      </c>
    </row>
    <row r="84" spans="1:4" ht="13">
      <c r="A84" s="425" t="s">
        <v>453</v>
      </c>
      <c r="B84" s="425" t="s">
        <v>295</v>
      </c>
      <c r="C84" s="425" t="s">
        <v>285</v>
      </c>
      <c r="D84" s="426" t="s">
        <v>452</v>
      </c>
    </row>
    <row r="85" spans="1:4" ht="13">
      <c r="A85" s="425" t="s">
        <v>438</v>
      </c>
      <c r="B85" s="425" t="s">
        <v>295</v>
      </c>
      <c r="C85" s="425" t="s">
        <v>285</v>
      </c>
      <c r="D85" s="426" t="s">
        <v>3851</v>
      </c>
    </row>
    <row r="86" spans="1:4" ht="13">
      <c r="A86" s="425" t="s">
        <v>64</v>
      </c>
      <c r="B86" s="425" t="s">
        <v>295</v>
      </c>
      <c r="C86" s="425" t="s">
        <v>285</v>
      </c>
      <c r="D86" s="426" t="s">
        <v>353</v>
      </c>
    </row>
    <row r="87" spans="1:4" ht="13">
      <c r="A87" s="425" t="s">
        <v>65</v>
      </c>
      <c r="B87" s="425" t="s">
        <v>295</v>
      </c>
      <c r="C87" s="425" t="s">
        <v>285</v>
      </c>
      <c r="D87" s="426" t="s">
        <v>353</v>
      </c>
    </row>
    <row r="88" spans="1:4" ht="13">
      <c r="A88" s="425" t="s">
        <v>66</v>
      </c>
      <c r="B88" s="425" t="s">
        <v>295</v>
      </c>
      <c r="C88" s="425" t="s">
        <v>285</v>
      </c>
      <c r="D88" s="426" t="s">
        <v>462</v>
      </c>
    </row>
    <row r="89" spans="1:4" ht="13">
      <c r="A89" s="425" t="s">
        <v>912</v>
      </c>
      <c r="B89" s="425" t="s">
        <v>3851</v>
      </c>
      <c r="C89" s="425" t="s">
        <v>3851</v>
      </c>
      <c r="D89" s="426" t="s">
        <v>3851</v>
      </c>
    </row>
    <row r="90" spans="1:4" ht="13">
      <c r="A90" s="425" t="s">
        <v>864</v>
      </c>
      <c r="B90" s="425" t="s">
        <v>540</v>
      </c>
      <c r="C90" s="425" t="s">
        <v>306</v>
      </c>
      <c r="D90" s="426" t="s">
        <v>3851</v>
      </c>
    </row>
    <row r="91" spans="1:4" ht="13">
      <c r="A91" s="425" t="s">
        <v>67</v>
      </c>
      <c r="B91" s="425" t="s">
        <v>409</v>
      </c>
      <c r="C91" s="425" t="s">
        <v>389</v>
      </c>
      <c r="D91" s="426" t="s">
        <v>388</v>
      </c>
    </row>
    <row r="92" spans="1:4" ht="13">
      <c r="A92" s="425" t="s">
        <v>872</v>
      </c>
      <c r="B92" s="425" t="s">
        <v>3851</v>
      </c>
      <c r="C92" s="425" t="s">
        <v>389</v>
      </c>
      <c r="D92" s="426" t="s">
        <v>3851</v>
      </c>
    </row>
    <row r="93" spans="1:4" ht="13">
      <c r="A93" s="425" t="s">
        <v>622</v>
      </c>
      <c r="B93" s="425" t="s">
        <v>611</v>
      </c>
      <c r="C93" s="425" t="s">
        <v>306</v>
      </c>
      <c r="D93" s="426" t="s">
        <v>366</v>
      </c>
    </row>
    <row r="94" spans="1:4" ht="13">
      <c r="A94" s="425" t="s">
        <v>926</v>
      </c>
      <c r="B94" s="425" t="s">
        <v>3851</v>
      </c>
      <c r="C94" s="425" t="s">
        <v>3851</v>
      </c>
      <c r="D94" s="426" t="s">
        <v>3851</v>
      </c>
    </row>
    <row r="95" spans="1:4" ht="13">
      <c r="A95" s="425" t="s">
        <v>68</v>
      </c>
      <c r="B95" s="425" t="s">
        <v>540</v>
      </c>
      <c r="C95" s="425" t="s">
        <v>306</v>
      </c>
      <c r="D95" s="426" t="s">
        <v>366</v>
      </c>
    </row>
    <row r="96" spans="1:4" ht="13">
      <c r="A96" s="425" t="s">
        <v>10</v>
      </c>
      <c r="B96" s="425" t="s">
        <v>307</v>
      </c>
      <c r="C96" s="425" t="s">
        <v>306</v>
      </c>
      <c r="D96" s="426" t="s">
        <v>312</v>
      </c>
    </row>
    <row r="97" spans="1:4" ht="13">
      <c r="A97" s="425" t="s">
        <v>2</v>
      </c>
      <c r="B97" s="425" t="s">
        <v>307</v>
      </c>
      <c r="C97" s="425" t="s">
        <v>306</v>
      </c>
      <c r="D97" s="426" t="s">
        <v>305</v>
      </c>
    </row>
    <row r="98" spans="1:4" ht="13">
      <c r="A98" s="425" t="s">
        <v>928</v>
      </c>
      <c r="B98" s="425" t="s">
        <v>3851</v>
      </c>
      <c r="C98" s="425" t="s">
        <v>3851</v>
      </c>
      <c r="D98" s="426" t="s">
        <v>3851</v>
      </c>
    </row>
    <row r="99" spans="1:4" ht="13">
      <c r="A99" s="425" t="s">
        <v>69</v>
      </c>
      <c r="B99" s="425" t="s">
        <v>611</v>
      </c>
      <c r="C99" s="425" t="s">
        <v>306</v>
      </c>
      <c r="D99" s="426" t="s">
        <v>366</v>
      </c>
    </row>
    <row r="100" spans="1:4" ht="13">
      <c r="A100" s="425" t="s">
        <v>70</v>
      </c>
      <c r="B100" s="425" t="s">
        <v>409</v>
      </c>
      <c r="C100" s="425" t="s">
        <v>306</v>
      </c>
      <c r="D100" s="426" t="s">
        <v>3851</v>
      </c>
    </row>
    <row r="101" spans="1:4" ht="13">
      <c r="A101" s="425" t="s">
        <v>868</v>
      </c>
      <c r="B101" s="425" t="s">
        <v>307</v>
      </c>
      <c r="C101" s="425" t="s">
        <v>828</v>
      </c>
      <c r="D101" s="426" t="s">
        <v>3851</v>
      </c>
    </row>
    <row r="102" spans="1:4" ht="13">
      <c r="A102" s="425" t="s">
        <v>71</v>
      </c>
      <c r="B102" s="425" t="s">
        <v>474</v>
      </c>
      <c r="C102" s="425" t="s">
        <v>477</v>
      </c>
      <c r="D102" s="426" t="s">
        <v>353</v>
      </c>
    </row>
    <row r="103" spans="1:4" ht="13">
      <c r="A103" s="430"/>
      <c r="B103" s="425" t="s">
        <v>796</v>
      </c>
      <c r="C103" s="425" t="s">
        <v>477</v>
      </c>
      <c r="D103" s="426" t="s">
        <v>3851</v>
      </c>
    </row>
    <row r="104" spans="1:4" ht="13">
      <c r="A104" s="425" t="s">
        <v>72</v>
      </c>
      <c r="B104" s="425" t="s">
        <v>474</v>
      </c>
      <c r="C104" s="425" t="s">
        <v>477</v>
      </c>
      <c r="D104" s="426" t="s">
        <v>305</v>
      </c>
    </row>
    <row r="105" spans="1:4" ht="13">
      <c r="A105" s="425" t="s">
        <v>73</v>
      </c>
      <c r="B105" s="425" t="s">
        <v>286</v>
      </c>
      <c r="C105" s="425" t="s">
        <v>285</v>
      </c>
      <c r="D105" s="426" t="s">
        <v>3851</v>
      </c>
    </row>
    <row r="106" spans="1:4" ht="13">
      <c r="A106" s="425" t="s">
        <v>3</v>
      </c>
      <c r="B106" s="425" t="s">
        <v>286</v>
      </c>
      <c r="C106" s="425" t="s">
        <v>285</v>
      </c>
      <c r="D106" s="426" t="s">
        <v>284</v>
      </c>
    </row>
    <row r="107" spans="1:4" ht="13">
      <c r="A107" s="425" t="s">
        <v>74</v>
      </c>
      <c r="B107" s="425" t="s">
        <v>295</v>
      </c>
      <c r="C107" s="425" t="s">
        <v>362</v>
      </c>
      <c r="D107" s="426" t="s">
        <v>369</v>
      </c>
    </row>
    <row r="108" spans="1:4" ht="13">
      <c r="A108" s="430"/>
      <c r="B108" s="425" t="s">
        <v>3851</v>
      </c>
      <c r="C108" s="425" t="s">
        <v>362</v>
      </c>
      <c r="D108" s="426" t="s">
        <v>3851</v>
      </c>
    </row>
    <row r="109" spans="1:4" ht="13">
      <c r="A109" s="425" t="s">
        <v>75</v>
      </c>
      <c r="B109" s="425" t="s">
        <v>295</v>
      </c>
      <c r="C109" s="425" t="s">
        <v>362</v>
      </c>
      <c r="D109" s="426" t="s">
        <v>361</v>
      </c>
    </row>
    <row r="110" spans="1:4" ht="13">
      <c r="A110" s="425" t="s">
        <v>794</v>
      </c>
      <c r="B110" s="425" t="s">
        <v>796</v>
      </c>
      <c r="C110" s="425" t="s">
        <v>477</v>
      </c>
      <c r="D110" s="426" t="s">
        <v>3851</v>
      </c>
    </row>
    <row r="111" spans="1:4" ht="13">
      <c r="A111" s="425" t="s">
        <v>852</v>
      </c>
      <c r="B111" s="425" t="s">
        <v>3851</v>
      </c>
      <c r="C111" s="425" t="s">
        <v>322</v>
      </c>
      <c r="D111" s="426" t="s">
        <v>3851</v>
      </c>
    </row>
    <row r="112" spans="1:4" ht="13">
      <c r="A112" s="425" t="s">
        <v>76</v>
      </c>
      <c r="B112" s="425" t="s">
        <v>540</v>
      </c>
      <c r="C112" s="425" t="s">
        <v>294</v>
      </c>
      <c r="D112" s="426" t="s">
        <v>299</v>
      </c>
    </row>
    <row r="113" spans="1:4" ht="13">
      <c r="A113" s="425" t="s">
        <v>77</v>
      </c>
      <c r="B113" s="425" t="s">
        <v>409</v>
      </c>
      <c r="C113" s="425" t="s">
        <v>389</v>
      </c>
      <c r="D113" s="426" t="s">
        <v>3851</v>
      </c>
    </row>
    <row r="114" spans="1:4" ht="13">
      <c r="A114" s="425" t="s">
        <v>78</v>
      </c>
      <c r="B114" s="425" t="s">
        <v>874</v>
      </c>
      <c r="C114" s="425" t="s">
        <v>3851</v>
      </c>
      <c r="D114" s="426" t="s">
        <v>3851</v>
      </c>
    </row>
    <row r="115" spans="1:4" ht="13">
      <c r="A115" s="425" t="s">
        <v>79</v>
      </c>
      <c r="B115" s="425" t="s">
        <v>611</v>
      </c>
      <c r="C115" s="425" t="s">
        <v>389</v>
      </c>
      <c r="D115" s="426" t="s">
        <v>312</v>
      </c>
    </row>
    <row r="116" spans="1:4" ht="13">
      <c r="A116" s="425" t="s">
        <v>80</v>
      </c>
      <c r="B116" s="425" t="s">
        <v>307</v>
      </c>
      <c r="C116" s="425" t="s">
        <v>306</v>
      </c>
      <c r="D116" s="426" t="s">
        <v>480</v>
      </c>
    </row>
    <row r="117" spans="1:4" ht="13">
      <c r="A117" s="425" t="s">
        <v>631</v>
      </c>
      <c r="B117" s="425" t="s">
        <v>540</v>
      </c>
      <c r="C117" s="425" t="s">
        <v>306</v>
      </c>
      <c r="D117" s="426" t="s">
        <v>305</v>
      </c>
    </row>
    <row r="118" spans="1:4" ht="13">
      <c r="A118" s="425" t="s">
        <v>81</v>
      </c>
      <c r="B118" s="425" t="s">
        <v>286</v>
      </c>
      <c r="C118" s="425" t="s">
        <v>322</v>
      </c>
      <c r="D118" s="426" t="s">
        <v>321</v>
      </c>
    </row>
    <row r="119" spans="1:4" ht="13">
      <c r="A119" s="425" t="s">
        <v>4</v>
      </c>
      <c r="B119" s="425" t="s">
        <v>286</v>
      </c>
      <c r="C119" s="425" t="s">
        <v>322</v>
      </c>
      <c r="D119" s="426" t="s">
        <v>321</v>
      </c>
    </row>
    <row r="120" spans="1:4" ht="13">
      <c r="A120" s="425" t="s">
        <v>813</v>
      </c>
      <c r="B120" s="425" t="s">
        <v>796</v>
      </c>
      <c r="C120" s="425" t="s">
        <v>389</v>
      </c>
      <c r="D120" s="426" t="s">
        <v>3851</v>
      </c>
    </row>
    <row r="121" spans="1:4" ht="13">
      <c r="A121" s="425" t="s">
        <v>5</v>
      </c>
      <c r="B121" s="425" t="s">
        <v>286</v>
      </c>
      <c r="C121" s="425" t="s">
        <v>322</v>
      </c>
      <c r="D121" s="426" t="s">
        <v>321</v>
      </c>
    </row>
    <row r="122" spans="1:4" ht="13">
      <c r="A122" s="425" t="s">
        <v>937</v>
      </c>
      <c r="B122" s="425" t="s">
        <v>3851</v>
      </c>
      <c r="C122" s="425" t="s">
        <v>3851</v>
      </c>
      <c r="D122" s="426" t="s">
        <v>3851</v>
      </c>
    </row>
    <row r="123" spans="1:4" ht="13">
      <c r="A123" s="425" t="s">
        <v>921</v>
      </c>
      <c r="B123" s="425" t="s">
        <v>3851</v>
      </c>
      <c r="C123" s="425" t="s">
        <v>3851</v>
      </c>
      <c r="D123" s="426" t="s">
        <v>3851</v>
      </c>
    </row>
    <row r="124" spans="1:4" ht="13">
      <c r="A124" s="425" t="s">
        <v>345</v>
      </c>
      <c r="B124" s="425" t="s">
        <v>343</v>
      </c>
      <c r="C124" s="425" t="s">
        <v>342</v>
      </c>
      <c r="D124" s="426" t="s">
        <v>3851</v>
      </c>
    </row>
    <row r="125" spans="1:4" ht="13">
      <c r="A125" s="425" t="s">
        <v>82</v>
      </c>
      <c r="B125" s="425" t="s">
        <v>343</v>
      </c>
      <c r="C125" s="425" t="s">
        <v>342</v>
      </c>
      <c r="D125" s="426" t="s">
        <v>341</v>
      </c>
    </row>
    <row r="126" spans="1:4" ht="13">
      <c r="A126" s="425" t="s">
        <v>782</v>
      </c>
      <c r="B126" s="425" t="s">
        <v>343</v>
      </c>
      <c r="C126" s="425" t="s">
        <v>752</v>
      </c>
      <c r="D126" s="426" t="s">
        <v>341</v>
      </c>
    </row>
    <row r="127" spans="1:4" ht="13">
      <c r="A127" s="425" t="s">
        <v>838</v>
      </c>
      <c r="B127" s="425" t="s">
        <v>3851</v>
      </c>
      <c r="C127" s="425" t="s">
        <v>569</v>
      </c>
      <c r="D127" s="426" t="s">
        <v>3851</v>
      </c>
    </row>
    <row r="128" spans="1:4" ht="13">
      <c r="A128" s="425" t="s">
        <v>83</v>
      </c>
      <c r="B128" s="425" t="s">
        <v>343</v>
      </c>
      <c r="C128" s="425" t="s">
        <v>342</v>
      </c>
      <c r="D128" s="426" t="s">
        <v>341</v>
      </c>
    </row>
    <row r="129" spans="1:4" ht="13">
      <c r="A129" s="430"/>
      <c r="B129" s="430"/>
      <c r="C129" s="430"/>
      <c r="D129" s="431" t="s">
        <v>3851</v>
      </c>
    </row>
    <row r="130" spans="1:4" ht="13">
      <c r="A130" s="425" t="s">
        <v>642</v>
      </c>
      <c r="B130" s="425" t="s">
        <v>390</v>
      </c>
      <c r="C130" s="425" t="s">
        <v>306</v>
      </c>
      <c r="D130" s="426" t="s">
        <v>366</v>
      </c>
    </row>
    <row r="131" spans="1:4" ht="13">
      <c r="A131" s="425" t="s">
        <v>518</v>
      </c>
      <c r="B131" s="425" t="s">
        <v>354</v>
      </c>
      <c r="C131" s="425" t="s">
        <v>477</v>
      </c>
      <c r="D131" s="426" t="s">
        <v>462</v>
      </c>
    </row>
    <row r="132" spans="1:4" ht="13">
      <c r="A132" s="425" t="s">
        <v>733</v>
      </c>
      <c r="B132" s="425" t="s">
        <v>3851</v>
      </c>
      <c r="C132" s="425" t="s">
        <v>389</v>
      </c>
      <c r="D132" s="426" t="s">
        <v>480</v>
      </c>
    </row>
    <row r="133" spans="1:4" ht="13">
      <c r="A133" s="425" t="s">
        <v>702</v>
      </c>
      <c r="B133" s="425" t="s">
        <v>611</v>
      </c>
      <c r="C133" s="425" t="s">
        <v>362</v>
      </c>
      <c r="D133" s="426" t="s">
        <v>653</v>
      </c>
    </row>
    <row r="134" spans="1:4" ht="13">
      <c r="A134" s="425" t="s">
        <v>588</v>
      </c>
      <c r="B134" s="425" t="s">
        <v>540</v>
      </c>
      <c r="C134" s="425" t="s">
        <v>294</v>
      </c>
      <c r="D134" s="426" t="s">
        <v>462</v>
      </c>
    </row>
    <row r="135" spans="1:4" ht="13">
      <c r="A135" s="425" t="s">
        <v>860</v>
      </c>
      <c r="B135" s="425" t="s">
        <v>390</v>
      </c>
      <c r="C135" s="425" t="s">
        <v>285</v>
      </c>
      <c r="D135" s="426" t="s">
        <v>3851</v>
      </c>
    </row>
    <row r="136" spans="1:4" ht="13">
      <c r="A136" s="430"/>
      <c r="B136" s="425" t="s">
        <v>3851</v>
      </c>
      <c r="C136" s="425" t="s">
        <v>3851</v>
      </c>
      <c r="D136" s="426" t="s">
        <v>3851</v>
      </c>
    </row>
    <row r="137" spans="1:4" ht="13">
      <c r="A137" s="425" t="s">
        <v>84</v>
      </c>
      <c r="B137" s="425" t="s">
        <v>3851</v>
      </c>
      <c r="C137" s="425" t="s">
        <v>285</v>
      </c>
      <c r="D137" s="426" t="s">
        <v>3851</v>
      </c>
    </row>
    <row r="138" spans="1:4" ht="13">
      <c r="A138" s="425" t="s">
        <v>85</v>
      </c>
      <c r="B138" s="425" t="s">
        <v>354</v>
      </c>
      <c r="C138" s="425" t="s">
        <v>285</v>
      </c>
      <c r="D138" s="426" t="s">
        <v>462</v>
      </c>
    </row>
    <row r="139" spans="1:4" ht="13">
      <c r="A139" s="425" t="s">
        <v>879</v>
      </c>
      <c r="B139" s="425" t="s">
        <v>3851</v>
      </c>
      <c r="C139" s="425" t="s">
        <v>596</v>
      </c>
      <c r="D139" s="426" t="s">
        <v>3851</v>
      </c>
    </row>
    <row r="140" spans="1:4" ht="13">
      <c r="A140" s="425" t="s">
        <v>385</v>
      </c>
      <c r="B140" s="425" t="s">
        <v>390</v>
      </c>
      <c r="C140" s="425" t="s">
        <v>389</v>
      </c>
      <c r="D140" s="426" t="s">
        <v>388</v>
      </c>
    </row>
    <row r="141" spans="1:4" ht="13">
      <c r="A141" s="430"/>
      <c r="B141" s="430"/>
      <c r="C141" s="430"/>
      <c r="D141" s="431" t="s">
        <v>3851</v>
      </c>
    </row>
    <row r="142" spans="1:4" ht="13">
      <c r="A142" s="425" t="s">
        <v>397</v>
      </c>
      <c r="B142" s="425" t="s">
        <v>390</v>
      </c>
      <c r="C142" s="425" t="s">
        <v>389</v>
      </c>
      <c r="D142" s="426" t="s">
        <v>388</v>
      </c>
    </row>
    <row r="143" spans="1:4" ht="13">
      <c r="A143" s="430"/>
      <c r="B143" s="430"/>
      <c r="C143" s="430"/>
      <c r="D143" s="431" t="s">
        <v>3851</v>
      </c>
    </row>
    <row r="144" spans="1:4" ht="13">
      <c r="A144" s="425" t="s">
        <v>742</v>
      </c>
      <c r="B144" s="425" t="s">
        <v>498</v>
      </c>
      <c r="C144" s="425" t="s">
        <v>389</v>
      </c>
      <c r="D144" s="426" t="s">
        <v>744</v>
      </c>
    </row>
    <row r="145" spans="1:4" ht="13">
      <c r="A145" s="425" t="s">
        <v>86</v>
      </c>
      <c r="B145" s="425" t="s">
        <v>540</v>
      </c>
      <c r="C145" s="425" t="s">
        <v>362</v>
      </c>
      <c r="D145" s="426" t="s">
        <v>284</v>
      </c>
    </row>
    <row r="146" spans="1:4" ht="13">
      <c r="A146" s="425" t="s">
        <v>908</v>
      </c>
      <c r="B146" s="425" t="s">
        <v>540</v>
      </c>
      <c r="C146" s="425" t="s">
        <v>477</v>
      </c>
      <c r="D146" s="426" t="s">
        <v>910</v>
      </c>
    </row>
    <row r="147" spans="1:4" ht="13">
      <c r="A147" s="425" t="s">
        <v>87</v>
      </c>
      <c r="B147" s="425" t="s">
        <v>409</v>
      </c>
      <c r="C147" s="425" t="s">
        <v>389</v>
      </c>
      <c r="D147" s="426" t="s">
        <v>3851</v>
      </c>
    </row>
    <row r="148" spans="1:4" ht="13">
      <c r="A148" s="425" t="s">
        <v>808</v>
      </c>
      <c r="B148" s="425" t="s">
        <v>796</v>
      </c>
      <c r="C148" s="425" t="s">
        <v>389</v>
      </c>
      <c r="D148" s="426" t="s">
        <v>3851</v>
      </c>
    </row>
    <row r="149" spans="1:4" ht="13">
      <c r="A149" s="425" t="s">
        <v>88</v>
      </c>
      <c r="B149" s="425" t="s">
        <v>540</v>
      </c>
      <c r="C149" s="425" t="s">
        <v>362</v>
      </c>
      <c r="D149" s="426" t="s">
        <v>913</v>
      </c>
    </row>
    <row r="150" spans="1:4" ht="13">
      <c r="A150" s="425" t="s">
        <v>89</v>
      </c>
      <c r="B150" s="425" t="s">
        <v>390</v>
      </c>
      <c r="C150" s="425" t="s">
        <v>389</v>
      </c>
      <c r="D150" s="426" t="s">
        <v>366</v>
      </c>
    </row>
    <row r="151" spans="1:4" ht="13">
      <c r="A151" s="425" t="s">
        <v>708</v>
      </c>
      <c r="B151" s="425" t="s">
        <v>611</v>
      </c>
      <c r="C151" s="425" t="s">
        <v>362</v>
      </c>
      <c r="D151" s="426" t="s">
        <v>710</v>
      </c>
    </row>
    <row r="152" spans="1:4" ht="13">
      <c r="A152" s="425" t="s">
        <v>849</v>
      </c>
      <c r="B152" s="425" t="s">
        <v>3851</v>
      </c>
      <c r="C152" s="425" t="s">
        <v>306</v>
      </c>
      <c r="D152" s="426" t="s">
        <v>3851</v>
      </c>
    </row>
    <row r="153" spans="1:4" ht="13">
      <c r="A153" s="425" t="s">
        <v>931</v>
      </c>
      <c r="B153" s="425" t="s">
        <v>3851</v>
      </c>
      <c r="C153" s="425" t="s">
        <v>3851</v>
      </c>
      <c r="D153" s="426" t="s">
        <v>3851</v>
      </c>
    </row>
    <row r="154" spans="1:4" ht="13">
      <c r="A154" s="425" t="s">
        <v>11</v>
      </c>
      <c r="B154" s="425" t="s">
        <v>390</v>
      </c>
      <c r="C154" s="425" t="s">
        <v>724</v>
      </c>
      <c r="D154" s="426" t="s">
        <v>366</v>
      </c>
    </row>
    <row r="155" spans="1:4" ht="13">
      <c r="A155" s="425" t="s">
        <v>90</v>
      </c>
      <c r="B155" s="425" t="s">
        <v>390</v>
      </c>
      <c r="C155" s="425" t="s">
        <v>724</v>
      </c>
      <c r="D155" s="426" t="s">
        <v>653</v>
      </c>
    </row>
    <row r="156" spans="1:4" ht="13">
      <c r="A156" s="425" t="s">
        <v>848</v>
      </c>
      <c r="B156" s="425" t="s">
        <v>3851</v>
      </c>
      <c r="C156" s="425" t="s">
        <v>306</v>
      </c>
      <c r="D156" s="426" t="s">
        <v>3851</v>
      </c>
    </row>
    <row r="157" spans="1:4" ht="13">
      <c r="A157" s="425" t="s">
        <v>853</v>
      </c>
      <c r="B157" s="425" t="s">
        <v>3851</v>
      </c>
      <c r="C157" s="425" t="s">
        <v>306</v>
      </c>
      <c r="D157" s="426" t="s">
        <v>3851</v>
      </c>
    </row>
    <row r="158" spans="1:4" ht="13">
      <c r="A158" s="425" t="s">
        <v>896</v>
      </c>
      <c r="B158" s="425" t="s">
        <v>570</v>
      </c>
      <c r="C158" s="425" t="s">
        <v>596</v>
      </c>
      <c r="D158" s="426" t="s">
        <v>3851</v>
      </c>
    </row>
    <row r="159" spans="1:4" ht="13">
      <c r="A159" s="425" t="s">
        <v>797</v>
      </c>
      <c r="B159" s="425" t="s">
        <v>343</v>
      </c>
      <c r="C159" s="425" t="s">
        <v>791</v>
      </c>
      <c r="D159" s="426" t="s">
        <v>341</v>
      </c>
    </row>
    <row r="160" spans="1:4" ht="13">
      <c r="A160" s="430"/>
      <c r="B160" s="425" t="s">
        <v>3851</v>
      </c>
      <c r="C160" s="425" t="s">
        <v>3851</v>
      </c>
      <c r="D160" s="426" t="s">
        <v>3851</v>
      </c>
    </row>
    <row r="161" spans="1:4" ht="13">
      <c r="A161" s="425" t="s">
        <v>349</v>
      </c>
      <c r="B161" s="425" t="s">
        <v>343</v>
      </c>
      <c r="C161" s="425" t="s">
        <v>342</v>
      </c>
      <c r="D161" s="426" t="s">
        <v>3851</v>
      </c>
    </row>
    <row r="162" spans="1:4" ht="13">
      <c r="A162" s="425" t="s">
        <v>869</v>
      </c>
      <c r="B162" s="425" t="s">
        <v>3851</v>
      </c>
      <c r="C162" s="425" t="s">
        <v>362</v>
      </c>
      <c r="D162" s="426" t="s">
        <v>3851</v>
      </c>
    </row>
    <row r="163" spans="1:4" ht="13">
      <c r="A163" s="425" t="s">
        <v>12</v>
      </c>
      <c r="B163" s="425" t="s">
        <v>343</v>
      </c>
      <c r="C163" s="425" t="s">
        <v>342</v>
      </c>
      <c r="D163" s="426" t="s">
        <v>341</v>
      </c>
    </row>
    <row r="164" spans="1:4" ht="13">
      <c r="A164" s="425" t="s">
        <v>91</v>
      </c>
      <c r="B164" s="425" t="s">
        <v>295</v>
      </c>
      <c r="C164" s="425" t="s">
        <v>362</v>
      </c>
      <c r="D164" s="426" t="s">
        <v>366</v>
      </c>
    </row>
    <row r="165" spans="1:4" ht="13">
      <c r="A165" s="425" t="s">
        <v>92</v>
      </c>
      <c r="B165" s="425" t="s">
        <v>343</v>
      </c>
      <c r="C165" s="425" t="s">
        <v>342</v>
      </c>
      <c r="D165" s="426" t="s">
        <v>341</v>
      </c>
    </row>
    <row r="166" spans="1:4" ht="13">
      <c r="A166" s="425" t="s">
        <v>93</v>
      </c>
      <c r="B166" s="425" t="s">
        <v>343</v>
      </c>
      <c r="C166" s="425" t="s">
        <v>342</v>
      </c>
      <c r="D166" s="426" t="s">
        <v>341</v>
      </c>
    </row>
    <row r="167" spans="1:4" ht="13">
      <c r="A167" s="425" t="s">
        <v>94</v>
      </c>
      <c r="B167" s="425" t="s">
        <v>3851</v>
      </c>
      <c r="C167" s="425" t="s">
        <v>752</v>
      </c>
      <c r="D167" s="426" t="s">
        <v>819</v>
      </c>
    </row>
    <row r="168" spans="1:4" ht="13">
      <c r="A168" s="425" t="s">
        <v>846</v>
      </c>
      <c r="B168" s="425" t="s">
        <v>3851</v>
      </c>
      <c r="C168" s="425" t="s">
        <v>306</v>
      </c>
      <c r="D168" s="426" t="s">
        <v>3851</v>
      </c>
    </row>
    <row r="169" spans="1:4" ht="13">
      <c r="A169" s="425" t="s">
        <v>881</v>
      </c>
      <c r="B169" s="425" t="s">
        <v>796</v>
      </c>
      <c r="C169" s="425" t="s">
        <v>569</v>
      </c>
      <c r="D169" s="426" t="s">
        <v>3851</v>
      </c>
    </row>
    <row r="170" spans="1:4" ht="13">
      <c r="A170" s="425" t="s">
        <v>95</v>
      </c>
      <c r="B170" s="425" t="s">
        <v>888</v>
      </c>
      <c r="C170" s="425" t="s">
        <v>596</v>
      </c>
      <c r="D170" s="426" t="s">
        <v>3851</v>
      </c>
    </row>
    <row r="171" spans="1:4" ht="13">
      <c r="A171" s="425" t="s">
        <v>96</v>
      </c>
      <c r="B171" s="425" t="s">
        <v>375</v>
      </c>
      <c r="C171" s="425" t="s">
        <v>294</v>
      </c>
      <c r="D171" s="426" t="s">
        <v>361</v>
      </c>
    </row>
    <row r="172" spans="1:4" ht="13">
      <c r="A172" s="425" t="s">
        <v>97</v>
      </c>
      <c r="B172" s="425" t="s">
        <v>375</v>
      </c>
      <c r="C172" s="425" t="s">
        <v>322</v>
      </c>
      <c r="D172" s="426" t="s">
        <v>353</v>
      </c>
    </row>
    <row r="173" spans="1:4" ht="13">
      <c r="A173" s="425" t="s">
        <v>98</v>
      </c>
      <c r="B173" s="425" t="s">
        <v>375</v>
      </c>
      <c r="C173" s="425" t="s">
        <v>322</v>
      </c>
      <c r="D173" s="426" t="s">
        <v>353</v>
      </c>
    </row>
    <row r="174" spans="1:4" ht="13">
      <c r="A174" s="425" t="s">
        <v>99</v>
      </c>
      <c r="B174" s="425" t="s">
        <v>295</v>
      </c>
      <c r="C174" s="425" t="s">
        <v>294</v>
      </c>
      <c r="D174" s="426" t="s">
        <v>299</v>
      </c>
    </row>
    <row r="175" spans="1:4" ht="13">
      <c r="A175" s="425" t="s">
        <v>100</v>
      </c>
      <c r="B175" s="425" t="s">
        <v>474</v>
      </c>
      <c r="C175" s="425" t="s">
        <v>569</v>
      </c>
      <c r="D175" s="426" t="s">
        <v>299</v>
      </c>
    </row>
    <row r="176" spans="1:4" ht="13">
      <c r="A176" s="425" t="s">
        <v>935</v>
      </c>
      <c r="B176" s="425" t="s">
        <v>3851</v>
      </c>
      <c r="C176" s="425" t="s">
        <v>3851</v>
      </c>
      <c r="D176" s="426" t="s">
        <v>3851</v>
      </c>
    </row>
    <row r="177" spans="1:4" ht="13">
      <c r="A177" s="425" t="s">
        <v>575</v>
      </c>
      <c r="B177" s="425" t="s">
        <v>570</v>
      </c>
      <c r="C177" s="425" t="s">
        <v>569</v>
      </c>
      <c r="D177" s="426" t="s">
        <v>353</v>
      </c>
    </row>
    <row r="178" spans="1:4" ht="13">
      <c r="A178" s="425" t="s">
        <v>761</v>
      </c>
      <c r="B178" s="425" t="s">
        <v>343</v>
      </c>
      <c r="C178" s="425" t="s">
        <v>752</v>
      </c>
      <c r="D178" s="426" t="s">
        <v>341</v>
      </c>
    </row>
    <row r="179" spans="1:4" ht="13">
      <c r="A179" s="425" t="s">
        <v>101</v>
      </c>
      <c r="B179" s="425" t="s">
        <v>498</v>
      </c>
      <c r="C179" s="425" t="s">
        <v>596</v>
      </c>
      <c r="D179" s="426" t="s">
        <v>361</v>
      </c>
    </row>
    <row r="180" spans="1:4" ht="13">
      <c r="A180" s="425" t="s">
        <v>907</v>
      </c>
      <c r="B180" s="425" t="s">
        <v>3851</v>
      </c>
      <c r="C180" s="425" t="s">
        <v>3851</v>
      </c>
      <c r="D180" s="426" t="s">
        <v>3851</v>
      </c>
    </row>
    <row r="181" spans="1:4" ht="13">
      <c r="A181" s="425" t="s">
        <v>511</v>
      </c>
      <c r="B181" s="425" t="s">
        <v>498</v>
      </c>
      <c r="C181" s="425" t="s">
        <v>285</v>
      </c>
      <c r="D181" s="426" t="s">
        <v>452</v>
      </c>
    </row>
    <row r="182" spans="1:4" ht="13">
      <c r="A182" s="425" t="s">
        <v>102</v>
      </c>
      <c r="B182" s="425" t="s">
        <v>409</v>
      </c>
      <c r="C182" s="425" t="s">
        <v>294</v>
      </c>
      <c r="D182" s="426" t="s">
        <v>361</v>
      </c>
    </row>
    <row r="183" spans="1:4" ht="13">
      <c r="A183" s="425" t="s">
        <v>103</v>
      </c>
      <c r="B183" s="425" t="s">
        <v>286</v>
      </c>
      <c r="C183" s="425" t="s">
        <v>322</v>
      </c>
      <c r="D183" s="426" t="s">
        <v>321</v>
      </c>
    </row>
    <row r="184" spans="1:4" ht="13">
      <c r="A184" s="425" t="s">
        <v>894</v>
      </c>
      <c r="B184" s="425" t="s">
        <v>286</v>
      </c>
      <c r="C184" s="425" t="s">
        <v>569</v>
      </c>
      <c r="D184" s="426" t="s">
        <v>893</v>
      </c>
    </row>
    <row r="185" spans="1:4" ht="13">
      <c r="A185" s="425" t="s">
        <v>104</v>
      </c>
      <c r="B185" s="425" t="s">
        <v>307</v>
      </c>
      <c r="C185" s="425" t="s">
        <v>322</v>
      </c>
      <c r="D185" s="426" t="s">
        <v>305</v>
      </c>
    </row>
    <row r="186" spans="1:4" ht="13">
      <c r="A186" s="425" t="s">
        <v>105</v>
      </c>
      <c r="B186" s="425" t="s">
        <v>540</v>
      </c>
      <c r="C186" s="425" t="s">
        <v>306</v>
      </c>
      <c r="D186" s="426" t="s">
        <v>366</v>
      </c>
    </row>
    <row r="187" spans="1:4" ht="13">
      <c r="A187" s="425" t="s">
        <v>106</v>
      </c>
      <c r="B187" s="425" t="s">
        <v>540</v>
      </c>
      <c r="C187" s="425" t="s">
        <v>306</v>
      </c>
      <c r="D187" s="426" t="s">
        <v>366</v>
      </c>
    </row>
    <row r="188" spans="1:4" ht="13">
      <c r="A188" s="425" t="s">
        <v>876</v>
      </c>
      <c r="B188" s="425" t="s">
        <v>3851</v>
      </c>
      <c r="C188" s="425" t="s">
        <v>322</v>
      </c>
      <c r="D188" s="426" t="s">
        <v>3851</v>
      </c>
    </row>
    <row r="189" spans="1:4" ht="13">
      <c r="A189" s="425" t="s">
        <v>6</v>
      </c>
      <c r="B189" s="425" t="s">
        <v>286</v>
      </c>
      <c r="C189" s="425" t="s">
        <v>322</v>
      </c>
      <c r="D189" s="426" t="s">
        <v>321</v>
      </c>
    </row>
    <row r="190" spans="1:4" ht="13">
      <c r="A190" s="425" t="s">
        <v>107</v>
      </c>
      <c r="B190" s="425" t="s">
        <v>375</v>
      </c>
      <c r="C190" s="425" t="s">
        <v>322</v>
      </c>
      <c r="D190" s="426" t="s">
        <v>305</v>
      </c>
    </row>
    <row r="191" spans="1:4" ht="13">
      <c r="A191" s="425" t="s">
        <v>108</v>
      </c>
      <c r="B191" s="425" t="s">
        <v>343</v>
      </c>
      <c r="C191" s="425" t="s">
        <v>342</v>
      </c>
      <c r="D191" s="426" t="s">
        <v>341</v>
      </c>
    </row>
    <row r="192" spans="1:4" ht="13">
      <c r="A192" s="425" t="s">
        <v>109</v>
      </c>
      <c r="B192" s="425" t="s">
        <v>409</v>
      </c>
      <c r="C192" s="425" t="s">
        <v>389</v>
      </c>
      <c r="D192" s="426" t="s">
        <v>388</v>
      </c>
    </row>
    <row r="193" spans="1:4" ht="13">
      <c r="A193" s="425" t="s">
        <v>870</v>
      </c>
      <c r="B193" s="425" t="s">
        <v>3851</v>
      </c>
      <c r="C193" s="425" t="s">
        <v>389</v>
      </c>
      <c r="D193" s="426" t="s">
        <v>3851</v>
      </c>
    </row>
    <row r="194" spans="1:4" ht="13">
      <c r="A194" s="425" t="s">
        <v>110</v>
      </c>
      <c r="B194" s="425" t="s">
        <v>307</v>
      </c>
      <c r="C194" s="425" t="s">
        <v>285</v>
      </c>
      <c r="D194" s="426" t="s">
        <v>284</v>
      </c>
    </row>
    <row r="195" spans="1:4" ht="13">
      <c r="A195" s="425" t="s">
        <v>111</v>
      </c>
      <c r="B195" s="425" t="s">
        <v>375</v>
      </c>
      <c r="C195" s="425" t="s">
        <v>362</v>
      </c>
      <c r="D195" s="426" t="s">
        <v>480</v>
      </c>
    </row>
    <row r="196" spans="1:4" ht="13">
      <c r="A196" s="425" t="s">
        <v>769</v>
      </c>
      <c r="B196" s="425" t="s">
        <v>343</v>
      </c>
      <c r="C196" s="425" t="s">
        <v>752</v>
      </c>
      <c r="D196" s="426" t="s">
        <v>341</v>
      </c>
    </row>
    <row r="197" spans="1:4" ht="13">
      <c r="A197" s="425" t="s">
        <v>925</v>
      </c>
      <c r="B197" s="425" t="s">
        <v>3851</v>
      </c>
      <c r="C197" s="425" t="s">
        <v>3851</v>
      </c>
      <c r="D197" s="426" t="s">
        <v>3851</v>
      </c>
    </row>
    <row r="198" spans="1:4" ht="13">
      <c r="A198" s="425" t="s">
        <v>13</v>
      </c>
      <c r="B198" s="425" t="s">
        <v>409</v>
      </c>
      <c r="C198" s="425" t="s">
        <v>322</v>
      </c>
      <c r="D198" s="426" t="s">
        <v>552</v>
      </c>
    </row>
    <row r="199" spans="1:4" ht="13">
      <c r="A199" s="425" t="s">
        <v>112</v>
      </c>
      <c r="B199" s="425" t="s">
        <v>295</v>
      </c>
      <c r="C199" s="425" t="s">
        <v>285</v>
      </c>
      <c r="D199" s="426" t="s">
        <v>284</v>
      </c>
    </row>
    <row r="200" spans="1:4" ht="13">
      <c r="A200" s="425" t="s">
        <v>113</v>
      </c>
      <c r="B200" s="425" t="s">
        <v>295</v>
      </c>
      <c r="C200" s="425" t="s">
        <v>285</v>
      </c>
      <c r="D200" s="426" t="s">
        <v>353</v>
      </c>
    </row>
    <row r="201" spans="1:4" ht="13">
      <c r="A201" s="425" t="s">
        <v>467</v>
      </c>
      <c r="B201" s="425" t="s">
        <v>295</v>
      </c>
      <c r="C201" s="425" t="s">
        <v>285</v>
      </c>
      <c r="D201" s="426" t="s">
        <v>462</v>
      </c>
    </row>
    <row r="202" spans="1:4" ht="13">
      <c r="A202" s="425" t="s">
        <v>114</v>
      </c>
      <c r="B202" s="425" t="s">
        <v>307</v>
      </c>
      <c r="C202" s="425" t="s">
        <v>306</v>
      </c>
      <c r="D202" s="426" t="s">
        <v>312</v>
      </c>
    </row>
    <row r="203" spans="1:4" ht="13">
      <c r="A203" s="425" t="s">
        <v>930</v>
      </c>
      <c r="B203" s="425" t="s">
        <v>3851</v>
      </c>
      <c r="C203" s="425" t="s">
        <v>3851</v>
      </c>
      <c r="D203" s="426" t="s">
        <v>3851</v>
      </c>
    </row>
    <row r="204" spans="1:4" ht="13">
      <c r="A204" s="425" t="s">
        <v>115</v>
      </c>
      <c r="B204" s="425" t="s">
        <v>474</v>
      </c>
      <c r="C204" s="425" t="s">
        <v>477</v>
      </c>
      <c r="D204" s="426" t="s">
        <v>822</v>
      </c>
    </row>
    <row r="205" spans="1:4" ht="13">
      <c r="A205" s="425" t="s">
        <v>116</v>
      </c>
      <c r="B205" s="425" t="s">
        <v>474</v>
      </c>
      <c r="C205" s="425" t="s">
        <v>477</v>
      </c>
      <c r="D205" s="426" t="s">
        <v>305</v>
      </c>
    </row>
    <row r="206" spans="1:4" ht="13">
      <c r="A206" s="425" t="s">
        <v>117</v>
      </c>
      <c r="B206" s="425" t="s">
        <v>286</v>
      </c>
      <c r="C206" s="425" t="s">
        <v>285</v>
      </c>
      <c r="D206" s="426" t="s">
        <v>3851</v>
      </c>
    </row>
    <row r="207" spans="1:4" ht="13">
      <c r="A207" s="425" t="s">
        <v>118</v>
      </c>
      <c r="B207" s="425" t="s">
        <v>286</v>
      </c>
      <c r="C207" s="425" t="s">
        <v>285</v>
      </c>
      <c r="D207" s="426" t="s">
        <v>284</v>
      </c>
    </row>
    <row r="208" spans="1:4" ht="13">
      <c r="A208" s="425" t="s">
        <v>119</v>
      </c>
      <c r="B208" s="425" t="s">
        <v>343</v>
      </c>
      <c r="C208" s="425" t="s">
        <v>342</v>
      </c>
      <c r="D208" s="426" t="s">
        <v>341</v>
      </c>
    </row>
    <row r="209" spans="1:4" ht="13">
      <c r="A209" s="425" t="s">
        <v>120</v>
      </c>
      <c r="B209" s="425" t="s">
        <v>354</v>
      </c>
      <c r="C209" s="425" t="s">
        <v>306</v>
      </c>
      <c r="D209" s="426" t="s">
        <v>388</v>
      </c>
    </row>
    <row r="210" spans="1:4" ht="13">
      <c r="A210" s="430"/>
      <c r="B210" s="430"/>
      <c r="C210" s="430"/>
      <c r="D210" s="431" t="s">
        <v>3851</v>
      </c>
    </row>
    <row r="211" spans="1:4" ht="13">
      <c r="A211" s="425" t="s">
        <v>121</v>
      </c>
      <c r="B211" s="425" t="s">
        <v>286</v>
      </c>
      <c r="C211" s="425" t="s">
        <v>322</v>
      </c>
      <c r="D211" s="426" t="s">
        <v>321</v>
      </c>
    </row>
    <row r="212" spans="1:4" ht="13">
      <c r="A212" s="425" t="s">
        <v>939</v>
      </c>
      <c r="B212" s="425" t="s">
        <v>3851</v>
      </c>
      <c r="C212" s="425" t="s">
        <v>3851</v>
      </c>
      <c r="D212" s="426" t="s">
        <v>3851</v>
      </c>
    </row>
    <row r="213" spans="1:4" ht="13">
      <c r="A213" s="425" t="s">
        <v>338</v>
      </c>
      <c r="B213" s="425" t="s">
        <v>343</v>
      </c>
      <c r="C213" s="425" t="s">
        <v>342</v>
      </c>
      <c r="D213" s="426" t="s">
        <v>341</v>
      </c>
    </row>
    <row r="214" spans="1:4" ht="13">
      <c r="A214" s="425" t="s">
        <v>526</v>
      </c>
      <c r="B214" s="425" t="s">
        <v>354</v>
      </c>
      <c r="C214" s="425" t="s">
        <v>477</v>
      </c>
      <c r="D214" s="426" t="s">
        <v>462</v>
      </c>
    </row>
    <row r="215" spans="1:4" ht="13">
      <c r="A215" s="425" t="s">
        <v>522</v>
      </c>
      <c r="B215" s="425" t="s">
        <v>354</v>
      </c>
      <c r="C215" s="425" t="s">
        <v>477</v>
      </c>
      <c r="D215" s="426" t="s">
        <v>462</v>
      </c>
    </row>
    <row r="216" spans="1:4" ht="13">
      <c r="A216" s="425" t="s">
        <v>122</v>
      </c>
      <c r="B216" s="425" t="s">
        <v>354</v>
      </c>
      <c r="C216" s="425" t="s">
        <v>322</v>
      </c>
      <c r="D216" s="426" t="s">
        <v>353</v>
      </c>
    </row>
    <row r="217" spans="1:4" ht="13">
      <c r="A217" s="425" t="s">
        <v>877</v>
      </c>
      <c r="B217" s="425" t="s">
        <v>3851</v>
      </c>
      <c r="C217" s="425" t="s">
        <v>322</v>
      </c>
      <c r="D217" s="426" t="s">
        <v>3851</v>
      </c>
    </row>
    <row r="218" spans="1:4" ht="13">
      <c r="A218" s="425" t="s">
        <v>123</v>
      </c>
      <c r="B218" s="425" t="s">
        <v>354</v>
      </c>
      <c r="C218" s="425" t="s">
        <v>322</v>
      </c>
      <c r="D218" s="426" t="s">
        <v>353</v>
      </c>
    </row>
    <row r="219" spans="1:4" ht="13">
      <c r="A219" s="425" t="s">
        <v>124</v>
      </c>
      <c r="B219" s="425" t="s">
        <v>343</v>
      </c>
      <c r="C219" s="425" t="s">
        <v>342</v>
      </c>
      <c r="D219" s="426" t="s">
        <v>341</v>
      </c>
    </row>
    <row r="220" spans="1:4" ht="13">
      <c r="A220" s="425" t="s">
        <v>646</v>
      </c>
      <c r="B220" s="425" t="s">
        <v>390</v>
      </c>
      <c r="C220" s="425" t="s">
        <v>306</v>
      </c>
      <c r="D220" s="426" t="s">
        <v>366</v>
      </c>
    </row>
    <row r="221" spans="1:4" ht="13">
      <c r="A221" s="425" t="s">
        <v>862</v>
      </c>
      <c r="B221" s="425" t="s">
        <v>390</v>
      </c>
      <c r="C221" s="425" t="s">
        <v>285</v>
      </c>
      <c r="D221" s="426" t="s">
        <v>3851</v>
      </c>
    </row>
    <row r="222" spans="1:4" ht="13">
      <c r="A222" s="430"/>
      <c r="B222" s="425" t="s">
        <v>3851</v>
      </c>
      <c r="C222" s="425" t="s">
        <v>3851</v>
      </c>
      <c r="D222" s="426" t="s">
        <v>3851</v>
      </c>
    </row>
    <row r="223" spans="1:4" ht="13">
      <c r="A223" s="425" t="s">
        <v>125</v>
      </c>
      <c r="B223" s="425" t="s">
        <v>354</v>
      </c>
      <c r="C223" s="425" t="s">
        <v>285</v>
      </c>
      <c r="D223" s="426" t="s">
        <v>462</v>
      </c>
    </row>
    <row r="224" spans="1:4" ht="13">
      <c r="A224" s="425" t="s">
        <v>845</v>
      </c>
      <c r="B224" s="425" t="s">
        <v>3851</v>
      </c>
      <c r="C224" s="425" t="s">
        <v>596</v>
      </c>
      <c r="D224" s="426" t="s">
        <v>3851</v>
      </c>
    </row>
    <row r="225" spans="1:4" ht="13">
      <c r="A225" s="425" t="s">
        <v>393</v>
      </c>
      <c r="B225" s="425" t="s">
        <v>390</v>
      </c>
      <c r="C225" s="425" t="s">
        <v>389</v>
      </c>
      <c r="D225" s="426" t="s">
        <v>388</v>
      </c>
    </row>
    <row r="226" spans="1:4" ht="13">
      <c r="A226" s="430"/>
      <c r="B226" s="430"/>
      <c r="C226" s="430"/>
      <c r="D226" s="431" t="s">
        <v>3851</v>
      </c>
    </row>
    <row r="227" spans="1:4" ht="13">
      <c r="A227" s="425" t="s">
        <v>126</v>
      </c>
      <c r="B227" s="425" t="s">
        <v>425</v>
      </c>
      <c r="C227" s="425" t="s">
        <v>389</v>
      </c>
      <c r="D227" s="426" t="s">
        <v>388</v>
      </c>
    </row>
    <row r="228" spans="1:4" ht="13">
      <c r="A228" s="425" t="s">
        <v>786</v>
      </c>
      <c r="B228" s="425" t="s">
        <v>354</v>
      </c>
      <c r="C228" s="425" t="s">
        <v>294</v>
      </c>
      <c r="D228" s="426" t="s">
        <v>361</v>
      </c>
    </row>
    <row r="229" spans="1:4" ht="13">
      <c r="A229" s="425" t="s">
        <v>839</v>
      </c>
      <c r="B229" s="425" t="s">
        <v>3851</v>
      </c>
      <c r="C229" s="425" t="s">
        <v>828</v>
      </c>
      <c r="D229" s="426" t="s">
        <v>3851</v>
      </c>
    </row>
    <row r="230" spans="1:4" ht="13">
      <c r="A230" s="425" t="s">
        <v>841</v>
      </c>
      <c r="B230" s="425" t="s">
        <v>3851</v>
      </c>
      <c r="C230" s="425" t="s">
        <v>828</v>
      </c>
      <c r="D230" s="426" t="s">
        <v>3851</v>
      </c>
    </row>
    <row r="231" spans="1:4" ht="13">
      <c r="A231" s="425" t="s">
        <v>127</v>
      </c>
      <c r="B231" s="425" t="s">
        <v>354</v>
      </c>
      <c r="C231" s="425" t="s">
        <v>900</v>
      </c>
      <c r="D231" s="426" t="s">
        <v>3851</v>
      </c>
    </row>
    <row r="232" spans="1:4" ht="13">
      <c r="A232" s="425" t="s">
        <v>831</v>
      </c>
      <c r="B232" s="425" t="s">
        <v>409</v>
      </c>
      <c r="C232" s="425" t="s">
        <v>477</v>
      </c>
      <c r="D232" s="426" t="s">
        <v>3851</v>
      </c>
    </row>
    <row r="233" spans="1:4" ht="13">
      <c r="A233" s="425" t="s">
        <v>750</v>
      </c>
      <c r="B233" s="425" t="s">
        <v>343</v>
      </c>
      <c r="C233" s="425" t="s">
        <v>752</v>
      </c>
      <c r="D233" s="426" t="s">
        <v>341</v>
      </c>
    </row>
    <row r="234" spans="1:4" ht="13">
      <c r="A234" s="425" t="s">
        <v>830</v>
      </c>
      <c r="B234" s="425" t="s">
        <v>3851</v>
      </c>
      <c r="C234" s="425" t="s">
        <v>569</v>
      </c>
      <c r="D234" s="426" t="s">
        <v>3851</v>
      </c>
    </row>
    <row r="235" spans="1:4" ht="13">
      <c r="A235" s="425" t="s">
        <v>128</v>
      </c>
      <c r="B235" s="425" t="s">
        <v>888</v>
      </c>
      <c r="C235" s="425" t="s">
        <v>596</v>
      </c>
      <c r="D235" s="426" t="s">
        <v>3851</v>
      </c>
    </row>
    <row r="236" spans="1:4" ht="13">
      <c r="A236" s="425" t="s">
        <v>129</v>
      </c>
      <c r="B236" s="425" t="s">
        <v>498</v>
      </c>
      <c r="C236" s="425" t="s">
        <v>596</v>
      </c>
      <c r="D236" s="426" t="s">
        <v>361</v>
      </c>
    </row>
    <row r="237" spans="1:4" ht="13">
      <c r="A237" s="425" t="s">
        <v>130</v>
      </c>
      <c r="B237" s="425" t="s">
        <v>390</v>
      </c>
      <c r="C237" s="425" t="s">
        <v>306</v>
      </c>
      <c r="D237" s="426" t="s">
        <v>3851</v>
      </c>
    </row>
    <row r="238" spans="1:4" ht="13">
      <c r="A238" s="430"/>
      <c r="B238" s="425" t="s">
        <v>3851</v>
      </c>
      <c r="C238" s="425" t="s">
        <v>3851</v>
      </c>
      <c r="D238" s="426" t="s">
        <v>3851</v>
      </c>
    </row>
    <row r="239" spans="1:4" ht="13">
      <c r="A239" s="425" t="s">
        <v>528</v>
      </c>
      <c r="B239" s="425" t="s">
        <v>354</v>
      </c>
      <c r="C239" s="425" t="s">
        <v>477</v>
      </c>
      <c r="D239" s="426" t="s">
        <v>462</v>
      </c>
    </row>
    <row r="240" spans="1:4" ht="13">
      <c r="A240" s="425" t="s">
        <v>524</v>
      </c>
      <c r="B240" s="425" t="s">
        <v>354</v>
      </c>
      <c r="C240" s="425" t="s">
        <v>477</v>
      </c>
      <c r="D240" s="426" t="s">
        <v>462</v>
      </c>
    </row>
    <row r="241" spans="1:4" ht="13">
      <c r="A241" s="425" t="s">
        <v>920</v>
      </c>
      <c r="B241" s="425" t="s">
        <v>3851</v>
      </c>
      <c r="C241" s="425" t="s">
        <v>3851</v>
      </c>
      <c r="D241" s="426" t="s">
        <v>3851</v>
      </c>
    </row>
    <row r="242" spans="1:4" ht="13">
      <c r="A242" s="425" t="s">
        <v>131</v>
      </c>
      <c r="B242" s="425" t="s">
        <v>286</v>
      </c>
      <c r="C242" s="425" t="s">
        <v>724</v>
      </c>
      <c r="D242" s="426" t="s">
        <v>480</v>
      </c>
    </row>
    <row r="243" spans="1:4" ht="13">
      <c r="A243" s="425" t="s">
        <v>395</v>
      </c>
      <c r="B243" s="425" t="s">
        <v>390</v>
      </c>
      <c r="C243" s="425" t="s">
        <v>389</v>
      </c>
      <c r="D243" s="426" t="s">
        <v>388</v>
      </c>
    </row>
    <row r="244" spans="1:4" ht="13">
      <c r="A244" s="430"/>
      <c r="B244" s="430"/>
      <c r="C244" s="430"/>
      <c r="D244" s="431" t="s">
        <v>3851</v>
      </c>
    </row>
    <row r="245" spans="1:4" ht="13">
      <c r="A245" s="425" t="s">
        <v>842</v>
      </c>
      <c r="B245" s="425" t="s">
        <v>3851</v>
      </c>
      <c r="C245" s="425" t="s">
        <v>828</v>
      </c>
      <c r="D245" s="426" t="s">
        <v>3851</v>
      </c>
    </row>
    <row r="246" spans="1:4" ht="13">
      <c r="A246" s="425" t="s">
        <v>840</v>
      </c>
      <c r="B246" s="425" t="s">
        <v>3851</v>
      </c>
      <c r="C246" s="425" t="s">
        <v>828</v>
      </c>
      <c r="D246" s="426" t="s">
        <v>3851</v>
      </c>
    </row>
    <row r="247" spans="1:4" ht="13">
      <c r="A247" s="425" t="s">
        <v>827</v>
      </c>
      <c r="B247" s="425" t="s">
        <v>3851</v>
      </c>
      <c r="C247" s="425" t="s">
        <v>828</v>
      </c>
      <c r="D247" s="426" t="s">
        <v>3851</v>
      </c>
    </row>
    <row r="248" spans="1:4" ht="13">
      <c r="A248" s="425" t="s">
        <v>829</v>
      </c>
      <c r="B248" s="425" t="s">
        <v>3851</v>
      </c>
      <c r="C248" s="425" t="s">
        <v>569</v>
      </c>
      <c r="D248" s="426" t="s">
        <v>3851</v>
      </c>
    </row>
    <row r="249" spans="1:4" ht="13">
      <c r="A249" s="425" t="s">
        <v>875</v>
      </c>
      <c r="B249" s="425" t="s">
        <v>3851</v>
      </c>
      <c r="C249" s="425" t="s">
        <v>828</v>
      </c>
      <c r="D249" s="426" t="s">
        <v>3851</v>
      </c>
    </row>
    <row r="250" spans="1:4" ht="13">
      <c r="A250" s="425" t="s">
        <v>132</v>
      </c>
      <c r="B250" s="425" t="s">
        <v>307</v>
      </c>
      <c r="C250" s="425" t="s">
        <v>322</v>
      </c>
      <c r="D250" s="426" t="s">
        <v>3851</v>
      </c>
    </row>
    <row r="251" spans="1:4" ht="13">
      <c r="A251" s="425" t="s">
        <v>133</v>
      </c>
      <c r="B251" s="425" t="s">
        <v>307</v>
      </c>
      <c r="C251" s="425" t="s">
        <v>322</v>
      </c>
      <c r="D251" s="426" t="s">
        <v>3851</v>
      </c>
    </row>
    <row r="252" spans="1:4" ht="13">
      <c r="A252" s="425" t="s">
        <v>134</v>
      </c>
      <c r="B252" s="425" t="s">
        <v>375</v>
      </c>
      <c r="C252" s="425" t="s">
        <v>322</v>
      </c>
      <c r="D252" s="426" t="s">
        <v>353</v>
      </c>
    </row>
    <row r="253" spans="1:4" ht="13">
      <c r="A253" s="425" t="s">
        <v>135</v>
      </c>
      <c r="B253" s="425" t="s">
        <v>375</v>
      </c>
      <c r="C253" s="425" t="s">
        <v>322</v>
      </c>
      <c r="D253" s="426" t="s">
        <v>353</v>
      </c>
    </row>
    <row r="254" spans="1:4" ht="13">
      <c r="A254" s="425" t="s">
        <v>136</v>
      </c>
      <c r="B254" s="425" t="s">
        <v>375</v>
      </c>
      <c r="C254" s="425" t="s">
        <v>322</v>
      </c>
      <c r="D254" s="426" t="s">
        <v>361</v>
      </c>
    </row>
    <row r="255" spans="1:4" ht="13">
      <c r="A255" s="425" t="s">
        <v>137</v>
      </c>
      <c r="B255" s="425" t="s">
        <v>295</v>
      </c>
      <c r="C255" s="425" t="s">
        <v>294</v>
      </c>
      <c r="D255" s="426" t="s">
        <v>299</v>
      </c>
    </row>
    <row r="256" spans="1:4" ht="13">
      <c r="A256" s="425" t="s">
        <v>138</v>
      </c>
      <c r="B256" s="425" t="s">
        <v>474</v>
      </c>
      <c r="C256" s="425" t="s">
        <v>569</v>
      </c>
      <c r="D256" s="426" t="s">
        <v>299</v>
      </c>
    </row>
    <row r="257" spans="1:4" ht="13">
      <c r="A257" s="425" t="s">
        <v>934</v>
      </c>
      <c r="B257" s="425" t="s">
        <v>3851</v>
      </c>
      <c r="C257" s="425" t="s">
        <v>3851</v>
      </c>
      <c r="D257" s="426" t="s">
        <v>3851</v>
      </c>
    </row>
    <row r="258" spans="1:4" ht="13">
      <c r="A258" s="425" t="s">
        <v>139</v>
      </c>
      <c r="B258" s="425" t="s">
        <v>611</v>
      </c>
      <c r="C258" s="425" t="s">
        <v>306</v>
      </c>
      <c r="D258" s="426" t="s">
        <v>366</v>
      </c>
    </row>
    <row r="259" spans="1:4" ht="13">
      <c r="A259" s="425" t="s">
        <v>573</v>
      </c>
      <c r="B259" s="425" t="s">
        <v>570</v>
      </c>
      <c r="C259" s="425" t="s">
        <v>569</v>
      </c>
      <c r="D259" s="426" t="s">
        <v>353</v>
      </c>
    </row>
    <row r="260" spans="1:4" ht="13">
      <c r="A260" s="425" t="s">
        <v>14</v>
      </c>
      <c r="B260" s="425" t="s">
        <v>343</v>
      </c>
      <c r="C260" s="425" t="s">
        <v>752</v>
      </c>
      <c r="D260" s="426" t="s">
        <v>341</v>
      </c>
    </row>
    <row r="261" spans="1:4" ht="13">
      <c r="A261" s="425" t="s">
        <v>140</v>
      </c>
      <c r="B261" s="425" t="s">
        <v>307</v>
      </c>
      <c r="C261" s="425" t="s">
        <v>389</v>
      </c>
      <c r="D261" s="426" t="s">
        <v>312</v>
      </c>
    </row>
    <row r="262" spans="1:4" ht="13">
      <c r="A262" s="425" t="s">
        <v>141</v>
      </c>
      <c r="B262" s="425" t="s">
        <v>474</v>
      </c>
      <c r="C262" s="425" t="s">
        <v>306</v>
      </c>
      <c r="D262" s="426" t="s">
        <v>312</v>
      </c>
    </row>
    <row r="263" spans="1:4" ht="13">
      <c r="A263" s="425" t="s">
        <v>142</v>
      </c>
      <c r="B263" s="425" t="s">
        <v>498</v>
      </c>
      <c r="C263" s="425" t="s">
        <v>596</v>
      </c>
      <c r="D263" s="426" t="s">
        <v>361</v>
      </c>
    </row>
    <row r="264" spans="1:4" ht="13">
      <c r="A264" s="425" t="s">
        <v>15</v>
      </c>
      <c r="B264" s="425" t="s">
        <v>375</v>
      </c>
      <c r="C264" s="425" t="s">
        <v>362</v>
      </c>
      <c r="D264" s="426" t="s">
        <v>361</v>
      </c>
    </row>
    <row r="265" spans="1:4" ht="13">
      <c r="A265" s="425" t="s">
        <v>906</v>
      </c>
      <c r="B265" s="425" t="s">
        <v>3851</v>
      </c>
      <c r="C265" s="425" t="s">
        <v>3851</v>
      </c>
      <c r="D265" s="426" t="s">
        <v>3851</v>
      </c>
    </row>
    <row r="266" spans="1:4" ht="13">
      <c r="A266" s="425" t="s">
        <v>143</v>
      </c>
      <c r="B266" s="425" t="s">
        <v>498</v>
      </c>
      <c r="C266" s="425" t="s">
        <v>285</v>
      </c>
      <c r="D266" s="426" t="s">
        <v>284</v>
      </c>
    </row>
    <row r="267" spans="1:4" ht="13">
      <c r="A267" s="425" t="s">
        <v>144</v>
      </c>
      <c r="B267" s="425" t="s">
        <v>498</v>
      </c>
      <c r="C267" s="425" t="s">
        <v>285</v>
      </c>
      <c r="D267" s="426" t="s">
        <v>284</v>
      </c>
    </row>
    <row r="268" spans="1:4" ht="13">
      <c r="A268" s="425" t="s">
        <v>509</v>
      </c>
      <c r="B268" s="425" t="s">
        <v>498</v>
      </c>
      <c r="C268" s="425" t="s">
        <v>285</v>
      </c>
      <c r="D268" s="426" t="s">
        <v>452</v>
      </c>
    </row>
    <row r="269" spans="1:4" ht="13">
      <c r="A269" s="425" t="s">
        <v>145</v>
      </c>
      <c r="B269" s="425" t="s">
        <v>570</v>
      </c>
      <c r="C269" s="425" t="s">
        <v>306</v>
      </c>
      <c r="D269" s="426" t="s">
        <v>653</v>
      </c>
    </row>
    <row r="270" spans="1:4" ht="13">
      <c r="A270" s="425" t="s">
        <v>146</v>
      </c>
      <c r="B270" s="425" t="s">
        <v>409</v>
      </c>
      <c r="C270" s="425" t="s">
        <v>294</v>
      </c>
      <c r="D270" s="426" t="s">
        <v>361</v>
      </c>
    </row>
    <row r="271" spans="1:4" ht="13">
      <c r="A271" s="425" t="s">
        <v>147</v>
      </c>
      <c r="B271" s="425" t="s">
        <v>286</v>
      </c>
      <c r="C271" s="425" t="s">
        <v>322</v>
      </c>
      <c r="D271" s="426" t="s">
        <v>321</v>
      </c>
    </row>
    <row r="272" spans="1:4" ht="13">
      <c r="A272" s="425" t="s">
        <v>148</v>
      </c>
      <c r="B272" s="425" t="s">
        <v>307</v>
      </c>
      <c r="C272" s="425" t="s">
        <v>322</v>
      </c>
      <c r="D272" s="426" t="s">
        <v>305</v>
      </c>
    </row>
    <row r="273" spans="1:4" ht="13">
      <c r="A273" s="425" t="s">
        <v>149</v>
      </c>
      <c r="B273" s="425" t="s">
        <v>611</v>
      </c>
      <c r="C273" s="425" t="s">
        <v>306</v>
      </c>
      <c r="D273" s="426" t="s">
        <v>353</v>
      </c>
    </row>
    <row r="274" spans="1:4" ht="13">
      <c r="A274" s="430"/>
      <c r="B274" s="430"/>
      <c r="C274" s="430"/>
      <c r="D274" s="431" t="s">
        <v>3851</v>
      </c>
    </row>
    <row r="275" spans="1:4" ht="13">
      <c r="A275" s="425" t="s">
        <v>639</v>
      </c>
      <c r="B275" s="425" t="s">
        <v>286</v>
      </c>
      <c r="C275" s="425" t="s">
        <v>306</v>
      </c>
      <c r="D275" s="426" t="s">
        <v>353</v>
      </c>
    </row>
    <row r="276" spans="1:4" ht="13">
      <c r="A276" s="430"/>
      <c r="B276" s="430"/>
      <c r="C276" s="430"/>
      <c r="D276" s="431" t="s">
        <v>3851</v>
      </c>
    </row>
    <row r="277" spans="1:4" ht="13">
      <c r="A277" s="425" t="s">
        <v>150</v>
      </c>
      <c r="B277" s="425" t="s">
        <v>540</v>
      </c>
      <c r="C277" s="425" t="s">
        <v>306</v>
      </c>
      <c r="D277" s="426" t="s">
        <v>3851</v>
      </c>
    </row>
    <row r="278" spans="1:4" ht="13">
      <c r="A278" s="425" t="s">
        <v>151</v>
      </c>
      <c r="B278" s="425" t="s">
        <v>540</v>
      </c>
      <c r="C278" s="425" t="s">
        <v>306</v>
      </c>
      <c r="D278" s="426" t="s">
        <v>366</v>
      </c>
    </row>
    <row r="279" spans="1:4" ht="13">
      <c r="A279" s="425" t="s">
        <v>152</v>
      </c>
      <c r="B279" s="425" t="s">
        <v>540</v>
      </c>
      <c r="C279" s="425" t="s">
        <v>306</v>
      </c>
      <c r="D279" s="426" t="s">
        <v>366</v>
      </c>
    </row>
    <row r="280" spans="1:4" ht="13">
      <c r="A280" s="425" t="s">
        <v>153</v>
      </c>
      <c r="B280" s="425" t="s">
        <v>343</v>
      </c>
      <c r="C280" s="425" t="s">
        <v>752</v>
      </c>
      <c r="D280" s="426" t="s">
        <v>341</v>
      </c>
    </row>
    <row r="281" spans="1:4" ht="13">
      <c r="A281" s="425" t="s">
        <v>154</v>
      </c>
      <c r="B281" s="425" t="s">
        <v>286</v>
      </c>
      <c r="C281" s="425" t="s">
        <v>322</v>
      </c>
      <c r="D281" s="426" t="s">
        <v>321</v>
      </c>
    </row>
    <row r="282" spans="1:4" ht="13">
      <c r="A282" s="425" t="s">
        <v>805</v>
      </c>
      <c r="B282" s="425" t="s">
        <v>3851</v>
      </c>
      <c r="C282" s="425" t="s">
        <v>739</v>
      </c>
      <c r="D282" s="426" t="s">
        <v>353</v>
      </c>
    </row>
    <row r="283" spans="1:4" ht="13">
      <c r="A283" s="425" t="s">
        <v>155</v>
      </c>
      <c r="B283" s="425" t="s">
        <v>375</v>
      </c>
      <c r="C283" s="425" t="s">
        <v>322</v>
      </c>
      <c r="D283" s="426" t="s">
        <v>305</v>
      </c>
    </row>
    <row r="284" spans="1:4" ht="13">
      <c r="A284" s="425" t="s">
        <v>156</v>
      </c>
      <c r="B284" s="425" t="s">
        <v>343</v>
      </c>
      <c r="C284" s="425" t="s">
        <v>342</v>
      </c>
      <c r="D284" s="426" t="s">
        <v>341</v>
      </c>
    </row>
    <row r="285" spans="1:4" ht="13">
      <c r="A285" s="425" t="s">
        <v>157</v>
      </c>
      <c r="B285" s="425" t="s">
        <v>409</v>
      </c>
      <c r="C285" s="425" t="s">
        <v>389</v>
      </c>
      <c r="D285" s="426" t="s">
        <v>388</v>
      </c>
    </row>
    <row r="286" spans="1:4" ht="13">
      <c r="A286" s="425" t="s">
        <v>158</v>
      </c>
      <c r="B286" s="425" t="s">
        <v>307</v>
      </c>
      <c r="C286" s="425" t="s">
        <v>285</v>
      </c>
      <c r="D286" s="426" t="s">
        <v>284</v>
      </c>
    </row>
    <row r="287" spans="1:4" ht="13">
      <c r="A287" s="425" t="s">
        <v>159</v>
      </c>
      <c r="B287" s="425" t="s">
        <v>375</v>
      </c>
      <c r="C287" s="425" t="s">
        <v>362</v>
      </c>
      <c r="D287" s="426" t="s">
        <v>480</v>
      </c>
    </row>
    <row r="288" spans="1:4" ht="13">
      <c r="A288" s="425" t="s">
        <v>767</v>
      </c>
      <c r="B288" s="425" t="s">
        <v>343</v>
      </c>
      <c r="C288" s="425" t="s">
        <v>752</v>
      </c>
      <c r="D288" s="426" t="s">
        <v>341</v>
      </c>
    </row>
    <row r="289" spans="1:4" ht="13">
      <c r="A289" s="425" t="s">
        <v>924</v>
      </c>
      <c r="B289" s="425" t="s">
        <v>3851</v>
      </c>
      <c r="C289" s="425" t="s">
        <v>3851</v>
      </c>
      <c r="D289" s="426" t="s">
        <v>3851</v>
      </c>
    </row>
    <row r="290" spans="1:4" ht="13">
      <c r="A290" s="425" t="s">
        <v>160</v>
      </c>
      <c r="B290" s="425" t="s">
        <v>409</v>
      </c>
      <c r="C290" s="425" t="s">
        <v>389</v>
      </c>
      <c r="D290" s="426" t="s">
        <v>388</v>
      </c>
    </row>
    <row r="291" spans="1:4" ht="13">
      <c r="A291" s="425" t="s">
        <v>696</v>
      </c>
      <c r="B291" s="425" t="s">
        <v>474</v>
      </c>
      <c r="C291" s="425" t="s">
        <v>362</v>
      </c>
      <c r="D291" s="426" t="s">
        <v>480</v>
      </c>
    </row>
    <row r="292" spans="1:4" ht="13">
      <c r="A292" s="425" t="s">
        <v>690</v>
      </c>
      <c r="B292" s="425" t="s">
        <v>474</v>
      </c>
      <c r="C292" s="425" t="s">
        <v>362</v>
      </c>
      <c r="D292" s="426" t="s">
        <v>480</v>
      </c>
    </row>
    <row r="293" spans="1:4" ht="13">
      <c r="A293" s="425" t="s">
        <v>16</v>
      </c>
      <c r="B293" s="425" t="s">
        <v>409</v>
      </c>
      <c r="C293" s="425" t="s">
        <v>322</v>
      </c>
      <c r="D293" s="426" t="s">
        <v>552</v>
      </c>
    </row>
    <row r="294" spans="1:4" ht="13">
      <c r="A294" s="425" t="s">
        <v>161</v>
      </c>
      <c r="B294" s="425" t="s">
        <v>295</v>
      </c>
      <c r="C294" s="425" t="s">
        <v>285</v>
      </c>
      <c r="D294" s="426" t="s">
        <v>284</v>
      </c>
    </row>
    <row r="295" spans="1:4" ht="13">
      <c r="A295" s="425" t="s">
        <v>440</v>
      </c>
      <c r="B295" s="425" t="s">
        <v>295</v>
      </c>
      <c r="C295" s="425" t="s">
        <v>285</v>
      </c>
      <c r="D295" s="426" t="s">
        <v>3851</v>
      </c>
    </row>
    <row r="296" spans="1:4" ht="13">
      <c r="A296" s="425" t="s">
        <v>162</v>
      </c>
      <c r="B296" s="425" t="s">
        <v>295</v>
      </c>
      <c r="C296" s="425" t="s">
        <v>285</v>
      </c>
      <c r="D296" s="426" t="s">
        <v>452</v>
      </c>
    </row>
    <row r="297" spans="1:4" ht="13">
      <c r="A297" s="425" t="s">
        <v>163</v>
      </c>
      <c r="B297" s="425" t="s">
        <v>295</v>
      </c>
      <c r="C297" s="425" t="s">
        <v>285</v>
      </c>
      <c r="D297" s="426" t="s">
        <v>353</v>
      </c>
    </row>
    <row r="298" spans="1:4" ht="13">
      <c r="A298" s="425" t="s">
        <v>164</v>
      </c>
      <c r="B298" s="425" t="s">
        <v>295</v>
      </c>
      <c r="C298" s="425" t="s">
        <v>285</v>
      </c>
      <c r="D298" s="426" t="s">
        <v>353</v>
      </c>
    </row>
    <row r="299" spans="1:4" ht="13">
      <c r="A299" s="425" t="s">
        <v>465</v>
      </c>
      <c r="B299" s="425" t="s">
        <v>295</v>
      </c>
      <c r="C299" s="425" t="s">
        <v>285</v>
      </c>
      <c r="D299" s="426" t="s">
        <v>462</v>
      </c>
    </row>
    <row r="300" spans="1:4" ht="13">
      <c r="A300" s="425" t="s">
        <v>165</v>
      </c>
      <c r="B300" s="425" t="s">
        <v>307</v>
      </c>
      <c r="C300" s="425" t="s">
        <v>306</v>
      </c>
      <c r="D300" s="426" t="s">
        <v>312</v>
      </c>
    </row>
    <row r="301" spans="1:4" ht="13">
      <c r="A301" s="425" t="s">
        <v>308</v>
      </c>
      <c r="B301" s="425" t="s">
        <v>307</v>
      </c>
      <c r="C301" s="425" t="s">
        <v>306</v>
      </c>
      <c r="D301" s="426" t="s">
        <v>305</v>
      </c>
    </row>
    <row r="302" spans="1:4" ht="13">
      <c r="A302" s="425" t="s">
        <v>929</v>
      </c>
      <c r="B302" s="425" t="s">
        <v>3851</v>
      </c>
      <c r="C302" s="425" t="s">
        <v>3851</v>
      </c>
      <c r="D302" s="426" t="s">
        <v>3851</v>
      </c>
    </row>
    <row r="303" spans="1:4" ht="13">
      <c r="A303" s="425" t="s">
        <v>166</v>
      </c>
      <c r="B303" s="425" t="s">
        <v>409</v>
      </c>
      <c r="C303" s="425" t="s">
        <v>306</v>
      </c>
      <c r="D303" s="426" t="s">
        <v>3851</v>
      </c>
    </row>
    <row r="304" spans="1:4" ht="13">
      <c r="A304" s="425" t="s">
        <v>167</v>
      </c>
      <c r="B304" s="425" t="s">
        <v>474</v>
      </c>
      <c r="C304" s="425" t="s">
        <v>477</v>
      </c>
      <c r="D304" s="426" t="s">
        <v>822</v>
      </c>
    </row>
    <row r="305" spans="1:4" ht="13">
      <c r="A305" s="425" t="s">
        <v>168</v>
      </c>
      <c r="B305" s="425" t="s">
        <v>474</v>
      </c>
      <c r="C305" s="425" t="s">
        <v>477</v>
      </c>
      <c r="D305" s="426" t="s">
        <v>305</v>
      </c>
    </row>
    <row r="306" spans="1:4" ht="13">
      <c r="A306" s="425" t="s">
        <v>169</v>
      </c>
      <c r="B306" s="425" t="s">
        <v>286</v>
      </c>
      <c r="C306" s="425" t="s">
        <v>285</v>
      </c>
      <c r="D306" s="426" t="s">
        <v>3851</v>
      </c>
    </row>
    <row r="307" spans="1:4" ht="13">
      <c r="A307" s="425" t="s">
        <v>170</v>
      </c>
      <c r="B307" s="425" t="s">
        <v>286</v>
      </c>
      <c r="C307" s="425" t="s">
        <v>285</v>
      </c>
      <c r="D307" s="426" t="s">
        <v>284</v>
      </c>
    </row>
    <row r="308" spans="1:4" ht="13">
      <c r="A308" s="425" t="s">
        <v>171</v>
      </c>
      <c r="B308" s="425" t="s">
        <v>295</v>
      </c>
      <c r="C308" s="425" t="s">
        <v>362</v>
      </c>
      <c r="D308" s="426" t="s">
        <v>361</v>
      </c>
    </row>
    <row r="309" spans="1:4" ht="13">
      <c r="A309" s="425" t="s">
        <v>850</v>
      </c>
      <c r="B309" s="425" t="s">
        <v>3851</v>
      </c>
      <c r="C309" s="425" t="s">
        <v>322</v>
      </c>
      <c r="D309" s="426" t="s">
        <v>3851</v>
      </c>
    </row>
    <row r="310" spans="1:4" ht="13">
      <c r="A310" s="425" t="s">
        <v>172</v>
      </c>
      <c r="B310" s="425" t="s">
        <v>540</v>
      </c>
      <c r="C310" s="425" t="s">
        <v>294</v>
      </c>
      <c r="D310" s="426" t="s">
        <v>299</v>
      </c>
    </row>
    <row r="311" spans="1:4" ht="13">
      <c r="A311" s="425" t="s">
        <v>173</v>
      </c>
      <c r="B311" s="425" t="s">
        <v>3851</v>
      </c>
      <c r="C311" s="425" t="s">
        <v>389</v>
      </c>
      <c r="D311" s="426" t="s">
        <v>3851</v>
      </c>
    </row>
    <row r="312" spans="1:4" ht="13">
      <c r="A312" s="425" t="s">
        <v>174</v>
      </c>
      <c r="B312" s="425" t="s">
        <v>611</v>
      </c>
      <c r="C312" s="425" t="s">
        <v>389</v>
      </c>
      <c r="D312" s="426" t="s">
        <v>312</v>
      </c>
    </row>
    <row r="313" spans="1:4" ht="13">
      <c r="A313" s="425" t="s">
        <v>633</v>
      </c>
      <c r="B313" s="425" t="s">
        <v>540</v>
      </c>
      <c r="C313" s="425" t="s">
        <v>306</v>
      </c>
      <c r="D313" s="426" t="s">
        <v>305</v>
      </c>
    </row>
    <row r="314" spans="1:4" ht="13">
      <c r="A314" s="425" t="s">
        <v>175</v>
      </c>
      <c r="B314" s="425" t="s">
        <v>286</v>
      </c>
      <c r="C314" s="425" t="s">
        <v>322</v>
      </c>
      <c r="D314" s="426" t="s">
        <v>321</v>
      </c>
    </row>
    <row r="315" spans="1:4" ht="13">
      <c r="A315" s="425" t="s">
        <v>176</v>
      </c>
      <c r="B315" s="425" t="s">
        <v>343</v>
      </c>
      <c r="C315" s="425" t="s">
        <v>342</v>
      </c>
      <c r="D315" s="426" t="s">
        <v>341</v>
      </c>
    </row>
    <row r="316" spans="1:4" ht="13">
      <c r="A316" s="430"/>
      <c r="B316" s="430"/>
      <c r="C316" s="430"/>
      <c r="D316" s="431" t="s">
        <v>3851</v>
      </c>
    </row>
    <row r="317" spans="1:4" ht="13">
      <c r="A317" s="425" t="s">
        <v>177</v>
      </c>
      <c r="B317" s="425" t="s">
        <v>354</v>
      </c>
      <c r="C317" s="425" t="s">
        <v>322</v>
      </c>
      <c r="D317" s="426" t="s">
        <v>353</v>
      </c>
    </row>
    <row r="318" spans="1:4" ht="13">
      <c r="A318" s="425" t="s">
        <v>178</v>
      </c>
      <c r="B318" s="425" t="s">
        <v>343</v>
      </c>
      <c r="C318" s="425" t="s">
        <v>342</v>
      </c>
      <c r="D318" s="426" t="s">
        <v>341</v>
      </c>
    </row>
    <row r="319" spans="1:4" ht="13">
      <c r="A319" s="430"/>
      <c r="B319" s="430"/>
      <c r="C319" s="430"/>
      <c r="D319" s="431" t="s">
        <v>3851</v>
      </c>
    </row>
    <row r="320" spans="1:4" ht="13">
      <c r="A320" s="425" t="s">
        <v>179</v>
      </c>
      <c r="B320" s="425" t="s">
        <v>354</v>
      </c>
      <c r="C320" s="425" t="s">
        <v>322</v>
      </c>
      <c r="D320" s="426" t="s">
        <v>353</v>
      </c>
    </row>
    <row r="321" spans="1:4" ht="13">
      <c r="A321" s="425" t="s">
        <v>917</v>
      </c>
      <c r="B321" s="425" t="s">
        <v>540</v>
      </c>
      <c r="C321" s="425" t="s">
        <v>389</v>
      </c>
      <c r="D321" s="426" t="s">
        <v>918</v>
      </c>
    </row>
    <row r="322" spans="1:4" ht="13">
      <c r="A322" s="425" t="s">
        <v>644</v>
      </c>
      <c r="B322" s="425" t="s">
        <v>390</v>
      </c>
      <c r="C322" s="425" t="s">
        <v>306</v>
      </c>
      <c r="D322" s="426" t="s">
        <v>366</v>
      </c>
    </row>
    <row r="323" spans="1:4" ht="13">
      <c r="A323" s="425" t="s">
        <v>520</v>
      </c>
      <c r="B323" s="425" t="s">
        <v>354</v>
      </c>
      <c r="C323" s="425" t="s">
        <v>477</v>
      </c>
      <c r="D323" s="426" t="s">
        <v>462</v>
      </c>
    </row>
    <row r="324" spans="1:4" ht="13">
      <c r="A324" s="425" t="s">
        <v>704</v>
      </c>
      <c r="B324" s="425" t="s">
        <v>611</v>
      </c>
      <c r="C324" s="425" t="s">
        <v>362</v>
      </c>
      <c r="D324" s="426" t="s">
        <v>653</v>
      </c>
    </row>
    <row r="325" spans="1:4" ht="13">
      <c r="A325" s="425" t="s">
        <v>590</v>
      </c>
      <c r="B325" s="425" t="s">
        <v>540</v>
      </c>
      <c r="C325" s="425" t="s">
        <v>294</v>
      </c>
      <c r="D325" s="426" t="s">
        <v>462</v>
      </c>
    </row>
    <row r="326" spans="1:4" ht="13">
      <c r="A326" s="425" t="s">
        <v>861</v>
      </c>
      <c r="B326" s="425" t="s">
        <v>390</v>
      </c>
      <c r="C326" s="425" t="s">
        <v>285</v>
      </c>
      <c r="D326" s="426" t="s">
        <v>3851</v>
      </c>
    </row>
    <row r="327" spans="1:4" ht="13">
      <c r="A327" s="430"/>
      <c r="B327" s="425" t="s">
        <v>3851</v>
      </c>
      <c r="C327" s="425" t="s">
        <v>3851</v>
      </c>
      <c r="D327" s="426" t="s">
        <v>3851</v>
      </c>
    </row>
    <row r="328" spans="1:4" ht="13">
      <c r="A328" s="425" t="s">
        <v>180</v>
      </c>
      <c r="B328" s="425" t="s">
        <v>354</v>
      </c>
      <c r="C328" s="425" t="s">
        <v>285</v>
      </c>
      <c r="D328" s="426" t="s">
        <v>462</v>
      </c>
    </row>
    <row r="329" spans="1:4" ht="13">
      <c r="A329" s="425" t="s">
        <v>880</v>
      </c>
      <c r="B329" s="425" t="s">
        <v>796</v>
      </c>
      <c r="C329" s="425" t="s">
        <v>389</v>
      </c>
      <c r="D329" s="426" t="s">
        <v>3851</v>
      </c>
    </row>
    <row r="330" spans="1:4" ht="13">
      <c r="A330" s="430"/>
      <c r="B330" s="425" t="s">
        <v>3851</v>
      </c>
      <c r="C330" s="425" t="s">
        <v>3851</v>
      </c>
      <c r="D330" s="426" t="s">
        <v>3851</v>
      </c>
    </row>
    <row r="331" spans="1:4" ht="13">
      <c r="A331" s="425" t="s">
        <v>811</v>
      </c>
      <c r="B331" s="425" t="s">
        <v>286</v>
      </c>
      <c r="C331" s="425" t="s">
        <v>596</v>
      </c>
      <c r="D331" s="426" t="s">
        <v>3851</v>
      </c>
    </row>
    <row r="332" spans="1:4" ht="13">
      <c r="A332" s="430"/>
      <c r="B332" s="425" t="s">
        <v>3851</v>
      </c>
      <c r="C332" s="425" t="s">
        <v>596</v>
      </c>
      <c r="D332" s="426" t="s">
        <v>3851</v>
      </c>
    </row>
    <row r="333" spans="1:4" ht="13">
      <c r="A333" s="425" t="s">
        <v>391</v>
      </c>
      <c r="B333" s="425" t="s">
        <v>390</v>
      </c>
      <c r="C333" s="425" t="s">
        <v>389</v>
      </c>
      <c r="D333" s="426" t="s">
        <v>388</v>
      </c>
    </row>
    <row r="334" spans="1:4" ht="13">
      <c r="A334" s="430"/>
      <c r="B334" s="430"/>
      <c r="C334" s="430"/>
      <c r="D334" s="431" t="s">
        <v>3851</v>
      </c>
    </row>
    <row r="335" spans="1:4" ht="13">
      <c r="A335" s="425" t="s">
        <v>403</v>
      </c>
      <c r="B335" s="425" t="s">
        <v>390</v>
      </c>
      <c r="C335" s="425" t="s">
        <v>389</v>
      </c>
      <c r="D335" s="426" t="s">
        <v>388</v>
      </c>
    </row>
    <row r="336" spans="1:4" ht="13">
      <c r="A336" s="430"/>
      <c r="B336" s="430"/>
      <c r="C336" s="430"/>
      <c r="D336" s="431" t="s">
        <v>3851</v>
      </c>
    </row>
    <row r="337" spans="1:4" ht="13">
      <c r="A337" s="425" t="s">
        <v>399</v>
      </c>
      <c r="B337" s="425" t="s">
        <v>390</v>
      </c>
      <c r="C337" s="425" t="s">
        <v>389</v>
      </c>
      <c r="D337" s="426" t="s">
        <v>388</v>
      </c>
    </row>
    <row r="338" spans="1:4" ht="13">
      <c r="A338" s="430"/>
      <c r="B338" s="430"/>
      <c r="C338" s="430"/>
      <c r="D338" s="431" t="s">
        <v>3851</v>
      </c>
    </row>
    <row r="339" spans="1:4" ht="13">
      <c r="A339" s="425" t="s">
        <v>181</v>
      </c>
      <c r="B339" s="425" t="s">
        <v>409</v>
      </c>
      <c r="C339" s="425" t="s">
        <v>389</v>
      </c>
      <c r="D339" s="426" t="s">
        <v>388</v>
      </c>
    </row>
    <row r="340" spans="1:4" ht="13">
      <c r="A340" s="425" t="s">
        <v>818</v>
      </c>
      <c r="B340" s="425" t="s">
        <v>498</v>
      </c>
      <c r="C340" s="425" t="s">
        <v>306</v>
      </c>
      <c r="D340" s="426" t="s">
        <v>3851</v>
      </c>
    </row>
    <row r="341" spans="1:4" ht="13">
      <c r="A341" s="425" t="s">
        <v>915</v>
      </c>
      <c r="B341" s="425" t="s">
        <v>3851</v>
      </c>
      <c r="C341" s="425" t="s">
        <v>3851</v>
      </c>
      <c r="D341" s="426" t="s">
        <v>3851</v>
      </c>
    </row>
    <row r="342" spans="1:4" ht="13">
      <c r="A342" s="425" t="s">
        <v>711</v>
      </c>
      <c r="B342" s="425" t="s">
        <v>375</v>
      </c>
      <c r="C342" s="425" t="s">
        <v>362</v>
      </c>
      <c r="D342" s="426" t="s">
        <v>653</v>
      </c>
    </row>
    <row r="343" spans="1:4" ht="13">
      <c r="A343" s="425" t="s">
        <v>651</v>
      </c>
      <c r="B343" s="425" t="s">
        <v>375</v>
      </c>
      <c r="C343" s="425" t="s">
        <v>3851</v>
      </c>
      <c r="D343" s="426" t="s">
        <v>653</v>
      </c>
    </row>
    <row r="344" spans="1:4" ht="13">
      <c r="A344" s="425" t="s">
        <v>182</v>
      </c>
      <c r="B344" s="425" t="s">
        <v>354</v>
      </c>
      <c r="C344" s="425" t="s">
        <v>306</v>
      </c>
      <c r="D344" s="426" t="s">
        <v>388</v>
      </c>
    </row>
    <row r="345" spans="1:4" ht="13">
      <c r="A345" s="430"/>
      <c r="B345" s="430"/>
      <c r="C345" s="430"/>
      <c r="D345" s="431" t="s">
        <v>3851</v>
      </c>
    </row>
    <row r="346" spans="1:4" ht="13">
      <c r="A346" s="425" t="s">
        <v>938</v>
      </c>
      <c r="B346" s="425" t="s">
        <v>3851</v>
      </c>
      <c r="C346" s="425" t="s">
        <v>3851</v>
      </c>
      <c r="D346" s="426" t="s">
        <v>3851</v>
      </c>
    </row>
    <row r="347" spans="1:4" ht="13">
      <c r="A347" s="425" t="s">
        <v>183</v>
      </c>
      <c r="B347" s="425" t="s">
        <v>343</v>
      </c>
      <c r="C347" s="425" t="s">
        <v>791</v>
      </c>
      <c r="D347" s="426" t="s">
        <v>341</v>
      </c>
    </row>
    <row r="348" spans="1:4" ht="13">
      <c r="A348" s="425" t="s">
        <v>184</v>
      </c>
      <c r="B348" s="425" t="s">
        <v>888</v>
      </c>
      <c r="C348" s="425" t="s">
        <v>596</v>
      </c>
      <c r="D348" s="426" t="s">
        <v>3851</v>
      </c>
    </row>
    <row r="349" spans="1:4" ht="13">
      <c r="A349" s="425" t="s">
        <v>185</v>
      </c>
      <c r="B349" s="425" t="s">
        <v>375</v>
      </c>
      <c r="C349" s="425" t="s">
        <v>322</v>
      </c>
      <c r="D349" s="426" t="s">
        <v>361</v>
      </c>
    </row>
    <row r="350" spans="1:4" ht="13">
      <c r="A350" s="425" t="s">
        <v>186</v>
      </c>
      <c r="B350" s="425" t="s">
        <v>295</v>
      </c>
      <c r="C350" s="425" t="s">
        <v>294</v>
      </c>
      <c r="D350" s="426" t="s">
        <v>293</v>
      </c>
    </row>
    <row r="351" spans="1:4" ht="13">
      <c r="A351" s="425" t="s">
        <v>187</v>
      </c>
      <c r="B351" s="425" t="s">
        <v>474</v>
      </c>
      <c r="C351" s="425" t="s">
        <v>569</v>
      </c>
      <c r="D351" s="426" t="s">
        <v>299</v>
      </c>
    </row>
    <row r="352" spans="1:4" ht="13">
      <c r="A352" s="425" t="s">
        <v>932</v>
      </c>
      <c r="B352" s="425" t="s">
        <v>3851</v>
      </c>
      <c r="C352" s="425" t="s">
        <v>3851</v>
      </c>
      <c r="D352" s="426" t="s">
        <v>3851</v>
      </c>
    </row>
    <row r="353" spans="1:4" ht="13">
      <c r="A353" s="425" t="s">
        <v>567</v>
      </c>
      <c r="B353" s="425" t="s">
        <v>570</v>
      </c>
      <c r="C353" s="425" t="s">
        <v>569</v>
      </c>
      <c r="D353" s="426" t="s">
        <v>353</v>
      </c>
    </row>
    <row r="354" spans="1:4" ht="13">
      <c r="A354" s="425" t="s">
        <v>188</v>
      </c>
      <c r="B354" s="425" t="s">
        <v>474</v>
      </c>
      <c r="C354" s="425" t="s">
        <v>389</v>
      </c>
      <c r="D354" s="426" t="s">
        <v>312</v>
      </c>
    </row>
    <row r="355" spans="1:4" ht="13">
      <c r="A355" s="425" t="s">
        <v>189</v>
      </c>
      <c r="B355" s="425" t="s">
        <v>474</v>
      </c>
      <c r="C355" s="425" t="s">
        <v>306</v>
      </c>
      <c r="D355" s="426" t="s">
        <v>312</v>
      </c>
    </row>
    <row r="356" spans="1:4" ht="13">
      <c r="A356" s="425" t="s">
        <v>190</v>
      </c>
      <c r="B356" s="425" t="s">
        <v>888</v>
      </c>
      <c r="C356" s="425" t="s">
        <v>596</v>
      </c>
      <c r="D356" s="426" t="s">
        <v>3851</v>
      </c>
    </row>
    <row r="357" spans="1:4" ht="13">
      <c r="A357" s="425" t="s">
        <v>191</v>
      </c>
      <c r="B357" s="425" t="s">
        <v>498</v>
      </c>
      <c r="C357" s="425" t="s">
        <v>596</v>
      </c>
      <c r="D357" s="426" t="s">
        <v>361</v>
      </c>
    </row>
    <row r="358" spans="1:4" ht="13">
      <c r="A358" s="425" t="s">
        <v>835</v>
      </c>
      <c r="B358" s="425" t="s">
        <v>3851</v>
      </c>
      <c r="C358" s="425" t="s">
        <v>362</v>
      </c>
      <c r="D358" s="426" t="s">
        <v>3851</v>
      </c>
    </row>
    <row r="359" spans="1:4" ht="13">
      <c r="A359" s="425" t="s">
        <v>487</v>
      </c>
      <c r="B359" s="425" t="s">
        <v>375</v>
      </c>
      <c r="C359" s="425" t="s">
        <v>362</v>
      </c>
      <c r="D359" s="426" t="s">
        <v>284</v>
      </c>
    </row>
    <row r="360" spans="1:4" ht="13">
      <c r="A360" s="425" t="s">
        <v>492</v>
      </c>
      <c r="B360" s="425" t="s">
        <v>375</v>
      </c>
      <c r="C360" s="425" t="s">
        <v>362</v>
      </c>
      <c r="D360" s="426" t="s">
        <v>361</v>
      </c>
    </row>
    <row r="361" spans="1:4" ht="13">
      <c r="A361" s="425" t="s">
        <v>919</v>
      </c>
      <c r="B361" s="425" t="s">
        <v>3851</v>
      </c>
      <c r="C361" s="425" t="s">
        <v>3851</v>
      </c>
      <c r="D361" s="426" t="s">
        <v>3851</v>
      </c>
    </row>
    <row r="362" spans="1:4" ht="13">
      <c r="A362" s="425" t="s">
        <v>904</v>
      </c>
      <c r="B362" s="425" t="s">
        <v>3851</v>
      </c>
      <c r="C362" s="425" t="s">
        <v>3851</v>
      </c>
      <c r="D362" s="426" t="s">
        <v>3851</v>
      </c>
    </row>
    <row r="363" spans="1:4" ht="13">
      <c r="A363" s="425" t="s">
        <v>192</v>
      </c>
      <c r="B363" s="425" t="s">
        <v>498</v>
      </c>
      <c r="C363" s="425" t="s">
        <v>285</v>
      </c>
      <c r="D363" s="426" t="s">
        <v>284</v>
      </c>
    </row>
    <row r="364" spans="1:4" ht="13">
      <c r="A364" s="425" t="s">
        <v>193</v>
      </c>
      <c r="B364" s="425" t="s">
        <v>498</v>
      </c>
      <c r="C364" s="425" t="s">
        <v>285</v>
      </c>
      <c r="D364" s="426" t="s">
        <v>284</v>
      </c>
    </row>
    <row r="365" spans="1:4" ht="13">
      <c r="A365" s="425" t="s">
        <v>504</v>
      </c>
      <c r="B365" s="425" t="s">
        <v>498</v>
      </c>
      <c r="C365" s="425" t="s">
        <v>285</v>
      </c>
      <c r="D365" s="426" t="s">
        <v>452</v>
      </c>
    </row>
    <row r="366" spans="1:4" ht="13">
      <c r="A366" s="425" t="s">
        <v>194</v>
      </c>
      <c r="B366" s="425" t="s">
        <v>409</v>
      </c>
      <c r="C366" s="425" t="s">
        <v>389</v>
      </c>
      <c r="D366" s="426" t="s">
        <v>388</v>
      </c>
    </row>
    <row r="367" spans="1:4" ht="13">
      <c r="A367" s="425" t="s">
        <v>816</v>
      </c>
      <c r="B367" s="425" t="s">
        <v>307</v>
      </c>
      <c r="C367" s="425" t="s">
        <v>477</v>
      </c>
      <c r="D367" s="426" t="s">
        <v>361</v>
      </c>
    </row>
    <row r="368" spans="1:4" ht="13">
      <c r="A368" s="425" t="s">
        <v>195</v>
      </c>
      <c r="B368" s="425" t="s">
        <v>3851</v>
      </c>
      <c r="C368" s="425" t="s">
        <v>322</v>
      </c>
      <c r="D368" s="426" t="s">
        <v>3851</v>
      </c>
    </row>
    <row r="369" spans="1:4" ht="13">
      <c r="A369" s="425" t="s">
        <v>196</v>
      </c>
      <c r="B369" s="425" t="s">
        <v>409</v>
      </c>
      <c r="C369" s="425" t="s">
        <v>389</v>
      </c>
      <c r="D369" s="426" t="s">
        <v>388</v>
      </c>
    </row>
    <row r="370" spans="1:4" ht="13">
      <c r="A370" s="425" t="s">
        <v>325</v>
      </c>
      <c r="B370" s="425" t="s">
        <v>286</v>
      </c>
      <c r="C370" s="425" t="s">
        <v>322</v>
      </c>
      <c r="D370" s="426" t="s">
        <v>321</v>
      </c>
    </row>
    <row r="371" spans="1:4" ht="13">
      <c r="A371" s="425" t="s">
        <v>197</v>
      </c>
      <c r="B371" s="425" t="s">
        <v>540</v>
      </c>
      <c r="C371" s="425" t="s">
        <v>306</v>
      </c>
      <c r="D371" s="426" t="s">
        <v>366</v>
      </c>
    </row>
    <row r="372" spans="1:4" ht="13">
      <c r="A372" s="425" t="s">
        <v>198</v>
      </c>
      <c r="B372" s="425" t="s">
        <v>540</v>
      </c>
      <c r="C372" s="425" t="s">
        <v>306</v>
      </c>
      <c r="D372" s="426" t="s">
        <v>366</v>
      </c>
    </row>
    <row r="373" spans="1:4" ht="13">
      <c r="A373" s="425" t="s">
        <v>327</v>
      </c>
      <c r="B373" s="425" t="s">
        <v>286</v>
      </c>
      <c r="C373" s="425" t="s">
        <v>322</v>
      </c>
      <c r="D373" s="426" t="s">
        <v>321</v>
      </c>
    </row>
    <row r="374" spans="1:4" ht="13">
      <c r="A374" s="425" t="s">
        <v>836</v>
      </c>
      <c r="B374" s="425" t="s">
        <v>540</v>
      </c>
      <c r="C374" s="425" t="s">
        <v>739</v>
      </c>
      <c r="D374" s="426" t="s">
        <v>837</v>
      </c>
    </row>
    <row r="375" spans="1:4" ht="13">
      <c r="A375" s="425" t="s">
        <v>199</v>
      </c>
      <c r="B375" s="425" t="s">
        <v>375</v>
      </c>
      <c r="C375" s="425" t="s">
        <v>322</v>
      </c>
      <c r="D375" s="426" t="s">
        <v>305</v>
      </c>
    </row>
    <row r="376" spans="1:4" ht="13">
      <c r="A376" s="425" t="s">
        <v>200</v>
      </c>
      <c r="B376" s="425" t="s">
        <v>343</v>
      </c>
      <c r="C376" s="425" t="s">
        <v>342</v>
      </c>
      <c r="D376" s="426" t="s">
        <v>341</v>
      </c>
    </row>
    <row r="377" spans="1:4" ht="13">
      <c r="A377" s="425" t="s">
        <v>201</v>
      </c>
      <c r="B377" s="425" t="s">
        <v>390</v>
      </c>
      <c r="C377" s="425" t="s">
        <v>362</v>
      </c>
      <c r="D377" s="426" t="s">
        <v>900</v>
      </c>
    </row>
    <row r="378" spans="1:4" ht="13">
      <c r="A378" s="425" t="s">
        <v>202</v>
      </c>
      <c r="B378" s="425" t="s">
        <v>409</v>
      </c>
      <c r="C378" s="425" t="s">
        <v>389</v>
      </c>
      <c r="D378" s="426" t="s">
        <v>388</v>
      </c>
    </row>
    <row r="379" spans="1:4" ht="13">
      <c r="A379" s="425" t="s">
        <v>203</v>
      </c>
      <c r="B379" s="425" t="s">
        <v>307</v>
      </c>
      <c r="C379" s="425" t="s">
        <v>285</v>
      </c>
      <c r="D379" s="426" t="s">
        <v>284</v>
      </c>
    </row>
    <row r="380" spans="1:4" ht="13">
      <c r="A380" s="425" t="s">
        <v>777</v>
      </c>
      <c r="B380" s="425" t="s">
        <v>343</v>
      </c>
      <c r="C380" s="425" t="s">
        <v>752</v>
      </c>
      <c r="D380" s="426" t="s">
        <v>341</v>
      </c>
    </row>
    <row r="381" spans="1:4" ht="13">
      <c r="A381" s="430"/>
      <c r="B381" s="430"/>
      <c r="C381" s="430"/>
      <c r="D381" s="431" t="s">
        <v>3851</v>
      </c>
    </row>
    <row r="382" spans="1:4" ht="13">
      <c r="A382" s="425" t="s">
        <v>204</v>
      </c>
      <c r="B382" s="425" t="s">
        <v>375</v>
      </c>
      <c r="C382" s="425" t="s">
        <v>362</v>
      </c>
      <c r="D382" s="426" t="s">
        <v>480</v>
      </c>
    </row>
    <row r="383" spans="1:4" ht="13">
      <c r="A383" s="425" t="s">
        <v>205</v>
      </c>
      <c r="B383" s="425" t="s">
        <v>375</v>
      </c>
      <c r="C383" s="425" t="s">
        <v>362</v>
      </c>
      <c r="D383" s="426" t="s">
        <v>480</v>
      </c>
    </row>
    <row r="384" spans="1:4" ht="13">
      <c r="A384" s="425" t="s">
        <v>764</v>
      </c>
      <c r="B384" s="425" t="s">
        <v>343</v>
      </c>
      <c r="C384" s="425" t="s">
        <v>752</v>
      </c>
      <c r="D384" s="426" t="s">
        <v>341</v>
      </c>
    </row>
    <row r="385" spans="1:4" ht="13">
      <c r="A385" s="425" t="s">
        <v>922</v>
      </c>
      <c r="B385" s="425" t="s">
        <v>3851</v>
      </c>
      <c r="C385" s="425" t="s">
        <v>3851</v>
      </c>
      <c r="D385" s="426" t="s">
        <v>3851</v>
      </c>
    </row>
    <row r="386" spans="1:4" ht="13">
      <c r="A386" s="425" t="s">
        <v>206</v>
      </c>
      <c r="B386" s="425" t="s">
        <v>409</v>
      </c>
      <c r="C386" s="425" t="s">
        <v>389</v>
      </c>
      <c r="D386" s="426" t="s">
        <v>388</v>
      </c>
    </row>
    <row r="387" spans="1:4" ht="13">
      <c r="A387" s="425" t="s">
        <v>207</v>
      </c>
      <c r="B387" s="425" t="s">
        <v>409</v>
      </c>
      <c r="C387" s="425" t="s">
        <v>389</v>
      </c>
      <c r="D387" s="426" t="s">
        <v>3851</v>
      </c>
    </row>
    <row r="388" spans="1:4" ht="13">
      <c r="A388" s="425" t="s">
        <v>208</v>
      </c>
      <c r="B388" s="425" t="s">
        <v>540</v>
      </c>
      <c r="C388" s="425" t="s">
        <v>389</v>
      </c>
      <c r="D388" s="426" t="s">
        <v>902</v>
      </c>
    </row>
    <row r="389" spans="1:4" ht="13">
      <c r="A389" s="425" t="s">
        <v>883</v>
      </c>
      <c r="B389" s="425" t="s">
        <v>390</v>
      </c>
      <c r="C389" s="425" t="s">
        <v>306</v>
      </c>
      <c r="D389" s="426" t="s">
        <v>361</v>
      </c>
    </row>
    <row r="390" spans="1:4" ht="13">
      <c r="A390" s="425" t="s">
        <v>692</v>
      </c>
      <c r="B390" s="425" t="s">
        <v>474</v>
      </c>
      <c r="C390" s="425" t="s">
        <v>362</v>
      </c>
      <c r="D390" s="426" t="s">
        <v>480</v>
      </c>
    </row>
    <row r="391" spans="1:4" ht="13">
      <c r="A391" s="425" t="s">
        <v>686</v>
      </c>
      <c r="B391" s="425" t="s">
        <v>474</v>
      </c>
      <c r="C391" s="425" t="s">
        <v>362</v>
      </c>
      <c r="D391" s="426" t="s">
        <v>480</v>
      </c>
    </row>
    <row r="392" spans="1:4" ht="13">
      <c r="A392" s="425" t="s">
        <v>209</v>
      </c>
      <c r="B392" s="425" t="s">
        <v>409</v>
      </c>
      <c r="C392" s="425" t="s">
        <v>322</v>
      </c>
      <c r="D392" s="426" t="s">
        <v>552</v>
      </c>
    </row>
    <row r="393" spans="1:4" ht="13">
      <c r="A393" s="425" t="s">
        <v>210</v>
      </c>
      <c r="B393" s="425" t="s">
        <v>409</v>
      </c>
      <c r="C393" s="425" t="s">
        <v>389</v>
      </c>
      <c r="D393" s="426" t="s">
        <v>3851</v>
      </c>
    </row>
    <row r="394" spans="1:4" ht="13">
      <c r="A394" s="425" t="s">
        <v>936</v>
      </c>
      <c r="B394" s="425" t="s">
        <v>3851</v>
      </c>
      <c r="C394" s="425" t="s">
        <v>3851</v>
      </c>
      <c r="D394" s="426" t="s">
        <v>3851</v>
      </c>
    </row>
    <row r="395" spans="1:4" ht="13">
      <c r="A395" s="425" t="s">
        <v>211</v>
      </c>
      <c r="B395" s="425" t="s">
        <v>295</v>
      </c>
      <c r="C395" s="425" t="s">
        <v>285</v>
      </c>
      <c r="D395" s="426" t="s">
        <v>452</v>
      </c>
    </row>
    <row r="396" spans="1:4" ht="13">
      <c r="A396" s="425" t="s">
        <v>212</v>
      </c>
      <c r="B396" s="425" t="s">
        <v>295</v>
      </c>
      <c r="C396" s="425" t="s">
        <v>285</v>
      </c>
      <c r="D396" s="426" t="s">
        <v>452</v>
      </c>
    </row>
    <row r="397" spans="1:4" ht="13">
      <c r="A397" s="425" t="s">
        <v>213</v>
      </c>
      <c r="B397" s="425" t="s">
        <v>295</v>
      </c>
      <c r="C397" s="425" t="s">
        <v>285</v>
      </c>
      <c r="D397" s="426" t="s">
        <v>452</v>
      </c>
    </row>
    <row r="398" spans="1:4" ht="13">
      <c r="A398" s="425" t="s">
        <v>214</v>
      </c>
      <c r="B398" s="425" t="s">
        <v>295</v>
      </c>
      <c r="C398" s="425" t="s">
        <v>285</v>
      </c>
      <c r="D398" s="426" t="s">
        <v>3851</v>
      </c>
    </row>
    <row r="399" spans="1:4" ht="13">
      <c r="A399" s="425" t="s">
        <v>442</v>
      </c>
      <c r="B399" s="425" t="s">
        <v>295</v>
      </c>
      <c r="C399" s="425" t="s">
        <v>285</v>
      </c>
      <c r="D399" s="426" t="s">
        <v>353</v>
      </c>
    </row>
    <row r="400" spans="1:4" ht="13">
      <c r="A400" s="425" t="s">
        <v>215</v>
      </c>
      <c r="B400" s="425" t="s">
        <v>295</v>
      </c>
      <c r="C400" s="425" t="s">
        <v>285</v>
      </c>
      <c r="D400" s="426" t="s">
        <v>3851</v>
      </c>
    </row>
    <row r="401" spans="1:4" ht="13">
      <c r="A401" s="425" t="s">
        <v>216</v>
      </c>
      <c r="B401" s="425" t="s">
        <v>295</v>
      </c>
      <c r="C401" s="425" t="s">
        <v>285</v>
      </c>
      <c r="D401" s="426" t="s">
        <v>462</v>
      </c>
    </row>
    <row r="402" spans="1:4" ht="13">
      <c r="A402" s="425" t="s">
        <v>911</v>
      </c>
      <c r="B402" s="425" t="s">
        <v>3851</v>
      </c>
      <c r="C402" s="425" t="s">
        <v>3851</v>
      </c>
      <c r="D402" s="426" t="s">
        <v>3851</v>
      </c>
    </row>
    <row r="403" spans="1:4" ht="13">
      <c r="A403" s="425" t="s">
        <v>618</v>
      </c>
      <c r="B403" s="425" t="s">
        <v>540</v>
      </c>
      <c r="C403" s="425" t="s">
        <v>306</v>
      </c>
      <c r="D403" s="426" t="s">
        <v>366</v>
      </c>
    </row>
    <row r="404" spans="1:4" ht="13">
      <c r="A404" s="425" t="s">
        <v>217</v>
      </c>
      <c r="B404" s="425" t="s">
        <v>540</v>
      </c>
      <c r="C404" s="425" t="s">
        <v>306</v>
      </c>
      <c r="D404" s="426" t="s">
        <v>366</v>
      </c>
    </row>
    <row r="405" spans="1:4" ht="13">
      <c r="A405" s="425" t="s">
        <v>218</v>
      </c>
      <c r="B405" s="425" t="s">
        <v>540</v>
      </c>
      <c r="C405" s="425" t="s">
        <v>294</v>
      </c>
      <c r="D405" s="426" t="s">
        <v>462</v>
      </c>
    </row>
    <row r="406" spans="1:4" ht="13">
      <c r="A406" s="425" t="s">
        <v>219</v>
      </c>
      <c r="B406" s="425" t="s">
        <v>307</v>
      </c>
      <c r="C406" s="425" t="s">
        <v>306</v>
      </c>
      <c r="D406" s="426" t="s">
        <v>312</v>
      </c>
    </row>
    <row r="407" spans="1:4" ht="13">
      <c r="A407" s="425" t="s">
        <v>220</v>
      </c>
      <c r="B407" s="425" t="s">
        <v>611</v>
      </c>
      <c r="C407" s="425" t="s">
        <v>306</v>
      </c>
      <c r="D407" s="426" t="s">
        <v>366</v>
      </c>
    </row>
    <row r="408" spans="1:4" ht="13">
      <c r="A408" s="425" t="s">
        <v>221</v>
      </c>
      <c r="B408" s="425" t="s">
        <v>474</v>
      </c>
      <c r="C408" s="425" t="s">
        <v>477</v>
      </c>
      <c r="D408" s="426" t="s">
        <v>353</v>
      </c>
    </row>
    <row r="409" spans="1:4" ht="13">
      <c r="A409" s="425" t="s">
        <v>222</v>
      </c>
      <c r="B409" s="425" t="s">
        <v>474</v>
      </c>
      <c r="C409" s="425" t="s">
        <v>477</v>
      </c>
      <c r="D409" s="426" t="s">
        <v>305</v>
      </c>
    </row>
    <row r="410" spans="1:4" ht="13">
      <c r="A410" s="425" t="s">
        <v>223</v>
      </c>
      <c r="B410" s="425" t="s">
        <v>286</v>
      </c>
      <c r="C410" s="425" t="s">
        <v>285</v>
      </c>
      <c r="D410" s="426" t="s">
        <v>3851</v>
      </c>
    </row>
    <row r="411" spans="1:4" ht="13">
      <c r="A411" s="425" t="s">
        <v>224</v>
      </c>
      <c r="B411" s="425" t="s">
        <v>286</v>
      </c>
      <c r="C411" s="425" t="s">
        <v>285</v>
      </c>
      <c r="D411" s="426" t="s">
        <v>284</v>
      </c>
    </row>
    <row r="412" spans="1:4" ht="13">
      <c r="A412" s="425" t="s">
        <v>225</v>
      </c>
      <c r="B412" s="425" t="s">
        <v>540</v>
      </c>
      <c r="C412" s="425" t="s">
        <v>294</v>
      </c>
      <c r="D412" s="426" t="s">
        <v>361</v>
      </c>
    </row>
    <row r="413" spans="1:4" ht="13">
      <c r="A413" s="425" t="s">
        <v>899</v>
      </c>
      <c r="B413" s="425" t="s">
        <v>3851</v>
      </c>
      <c r="C413" s="425" t="s">
        <v>3851</v>
      </c>
      <c r="D413" s="426" t="s">
        <v>3851</v>
      </c>
    </row>
    <row r="414" spans="1:4" ht="13">
      <c r="A414" s="425" t="s">
        <v>367</v>
      </c>
      <c r="B414" s="425" t="s">
        <v>295</v>
      </c>
      <c r="C414" s="425" t="s">
        <v>362</v>
      </c>
      <c r="D414" s="426" t="s">
        <v>369</v>
      </c>
    </row>
    <row r="415" spans="1:4" ht="13">
      <c r="A415" s="425" t="s">
        <v>226</v>
      </c>
      <c r="B415" s="425" t="s">
        <v>295</v>
      </c>
      <c r="C415" s="425" t="s">
        <v>362</v>
      </c>
      <c r="D415" s="426" t="s">
        <v>361</v>
      </c>
    </row>
    <row r="416" spans="1:4" ht="13">
      <c r="A416" s="425" t="s">
        <v>227</v>
      </c>
      <c r="B416" s="425" t="s">
        <v>354</v>
      </c>
      <c r="C416" s="425" t="s">
        <v>477</v>
      </c>
      <c r="D416" s="426" t="s">
        <v>3851</v>
      </c>
    </row>
    <row r="417" spans="1:4" ht="13">
      <c r="A417" s="425" t="s">
        <v>863</v>
      </c>
      <c r="B417" s="425" t="s">
        <v>3851</v>
      </c>
      <c r="C417" s="425" t="s">
        <v>306</v>
      </c>
      <c r="D417" s="426" t="s">
        <v>3851</v>
      </c>
    </row>
    <row r="418" spans="1:4" ht="13">
      <c r="A418" s="425" t="s">
        <v>228</v>
      </c>
      <c r="B418" s="425" t="s">
        <v>409</v>
      </c>
      <c r="C418" s="425" t="s">
        <v>389</v>
      </c>
      <c r="D418" s="426" t="s">
        <v>388</v>
      </c>
    </row>
    <row r="419" spans="1:4" ht="13">
      <c r="A419" s="425" t="s">
        <v>229</v>
      </c>
      <c r="B419" s="425" t="s">
        <v>874</v>
      </c>
      <c r="C419" s="425" t="s">
        <v>3851</v>
      </c>
      <c r="D419" s="426" t="s">
        <v>3851</v>
      </c>
    </row>
    <row r="420" spans="1:4" ht="13">
      <c r="A420" s="425" t="s">
        <v>230</v>
      </c>
      <c r="B420" s="425" t="s">
        <v>409</v>
      </c>
      <c r="C420" s="425" t="s">
        <v>389</v>
      </c>
      <c r="D420" s="426" t="s">
        <v>388</v>
      </c>
    </row>
    <row r="421" spans="1:4" ht="13">
      <c r="A421" s="425" t="s">
        <v>231</v>
      </c>
      <c r="B421" s="425" t="s">
        <v>307</v>
      </c>
      <c r="C421" s="425" t="s">
        <v>3851</v>
      </c>
      <c r="D421" s="426" t="s">
        <v>3851</v>
      </c>
    </row>
    <row r="422" spans="1:4" ht="13">
      <c r="A422" s="425" t="s">
        <v>232</v>
      </c>
      <c r="B422" s="425" t="s">
        <v>611</v>
      </c>
      <c r="C422" s="425" t="s">
        <v>362</v>
      </c>
      <c r="D422" s="426" t="s">
        <v>865</v>
      </c>
    </row>
    <row r="423" spans="1:4" ht="13">
      <c r="A423" s="425" t="s">
        <v>855</v>
      </c>
      <c r="B423" s="425" t="s">
        <v>390</v>
      </c>
      <c r="C423" s="425" t="s">
        <v>322</v>
      </c>
      <c r="D423" s="426" t="s">
        <v>3851</v>
      </c>
    </row>
    <row r="424" spans="1:4" ht="13">
      <c r="A424" s="425" t="s">
        <v>515</v>
      </c>
      <c r="B424" s="425" t="s">
        <v>354</v>
      </c>
      <c r="C424" s="425" t="s">
        <v>477</v>
      </c>
      <c r="D424" s="426" t="s">
        <v>462</v>
      </c>
    </row>
    <row r="425" spans="1:4" ht="13">
      <c r="A425" s="425" t="s">
        <v>700</v>
      </c>
      <c r="B425" s="425" t="s">
        <v>611</v>
      </c>
      <c r="C425" s="425" t="s">
        <v>362</v>
      </c>
      <c r="D425" s="426" t="s">
        <v>653</v>
      </c>
    </row>
    <row r="426" spans="1:4" ht="13">
      <c r="A426" s="425" t="s">
        <v>858</v>
      </c>
      <c r="B426" s="425" t="s">
        <v>390</v>
      </c>
      <c r="C426" s="425" t="s">
        <v>285</v>
      </c>
      <c r="D426" s="426" t="s">
        <v>3851</v>
      </c>
    </row>
    <row r="427" spans="1:4" ht="13">
      <c r="A427" s="430"/>
      <c r="B427" s="425" t="s">
        <v>3851</v>
      </c>
      <c r="C427" s="425" t="s">
        <v>3851</v>
      </c>
      <c r="D427" s="426" t="s">
        <v>3851</v>
      </c>
    </row>
    <row r="428" spans="1:4" ht="13">
      <c r="A428" s="425" t="s">
        <v>867</v>
      </c>
      <c r="B428" s="425" t="s">
        <v>354</v>
      </c>
      <c r="C428" s="425" t="s">
        <v>285</v>
      </c>
      <c r="D428" s="426" t="s">
        <v>3851</v>
      </c>
    </row>
    <row r="429" spans="1:4" ht="13">
      <c r="A429" s="425" t="s">
        <v>401</v>
      </c>
      <c r="B429" s="425" t="s">
        <v>390</v>
      </c>
      <c r="C429" s="425" t="s">
        <v>389</v>
      </c>
      <c r="D429" s="426" t="s">
        <v>388</v>
      </c>
    </row>
    <row r="430" spans="1:4" ht="13">
      <c r="A430" s="430"/>
      <c r="B430" s="430"/>
      <c r="C430" s="430"/>
      <c r="D430" s="431" t="s">
        <v>3851</v>
      </c>
    </row>
    <row r="431" spans="1:4" ht="13">
      <c r="A431" s="425" t="s">
        <v>885</v>
      </c>
      <c r="B431" s="425" t="s">
        <v>3851</v>
      </c>
      <c r="C431" s="425" t="s">
        <v>389</v>
      </c>
      <c r="D431" s="426" t="s">
        <v>3851</v>
      </c>
    </row>
    <row r="432" spans="1:4" ht="13">
      <c r="A432" s="425" t="s">
        <v>233</v>
      </c>
      <c r="B432" s="425" t="s">
        <v>540</v>
      </c>
      <c r="C432" s="425" t="s">
        <v>362</v>
      </c>
      <c r="D432" s="426" t="s">
        <v>284</v>
      </c>
    </row>
    <row r="433" spans="1:4" ht="13">
      <c r="A433" s="425" t="s">
        <v>234</v>
      </c>
      <c r="B433" s="425" t="s">
        <v>409</v>
      </c>
      <c r="C433" s="425" t="s">
        <v>389</v>
      </c>
      <c r="D433" s="426" t="s">
        <v>3851</v>
      </c>
    </row>
    <row r="434" spans="1:4" ht="13">
      <c r="A434" s="425" t="s">
        <v>235</v>
      </c>
      <c r="B434" s="425" t="s">
        <v>375</v>
      </c>
      <c r="C434" s="425" t="s">
        <v>596</v>
      </c>
      <c r="D434" s="426" t="s">
        <v>366</v>
      </c>
    </row>
    <row r="435" spans="1:4" ht="13">
      <c r="A435" s="425" t="s">
        <v>847</v>
      </c>
      <c r="B435" s="425" t="s">
        <v>3851</v>
      </c>
      <c r="C435" s="425" t="s">
        <v>306</v>
      </c>
      <c r="D435" s="426" t="s">
        <v>3851</v>
      </c>
    </row>
    <row r="436" spans="1:4" ht="13">
      <c r="A436" s="425" t="s">
        <v>649</v>
      </c>
      <c r="B436" s="425" t="s">
        <v>3851</v>
      </c>
      <c r="C436" s="425" t="s">
        <v>306</v>
      </c>
      <c r="D436" s="426" t="s">
        <v>3851</v>
      </c>
    </row>
    <row r="437" spans="1:4" ht="13">
      <c r="A437" s="425" t="s">
        <v>866</v>
      </c>
      <c r="B437" s="425" t="s">
        <v>3851</v>
      </c>
      <c r="C437" s="425" t="s">
        <v>362</v>
      </c>
      <c r="D437" s="426" t="s">
        <v>3851</v>
      </c>
    </row>
    <row r="438" spans="1:4" ht="13">
      <c r="A438" s="425" t="s">
        <v>873</v>
      </c>
      <c r="B438" s="425" t="s">
        <v>3851</v>
      </c>
      <c r="C438" s="425" t="s">
        <v>306</v>
      </c>
      <c r="D438" s="426" t="s">
        <v>3851</v>
      </c>
    </row>
    <row r="439" spans="1:4" ht="13">
      <c r="A439" s="425" t="s">
        <v>236</v>
      </c>
      <c r="B439" s="425" t="s">
        <v>354</v>
      </c>
      <c r="C439" s="425" t="s">
        <v>306</v>
      </c>
      <c r="D439" s="426" t="s">
        <v>388</v>
      </c>
    </row>
    <row r="440" spans="1:4" ht="13">
      <c r="A440" s="430"/>
      <c r="B440" s="430"/>
      <c r="C440" s="430"/>
      <c r="D440" s="431" t="s">
        <v>3851</v>
      </c>
    </row>
    <row r="441" spans="1:4" ht="13">
      <c r="A441" s="425" t="s">
        <v>237</v>
      </c>
      <c r="B441" s="425" t="s">
        <v>354</v>
      </c>
      <c r="C441" s="425" t="s">
        <v>306</v>
      </c>
      <c r="D441" s="426" t="s">
        <v>388</v>
      </c>
    </row>
    <row r="442" spans="1:4" ht="13">
      <c r="A442" s="430"/>
      <c r="B442" s="430"/>
      <c r="C442" s="430"/>
      <c r="D442" s="431" t="s">
        <v>3851</v>
      </c>
    </row>
    <row r="443" spans="1:4" ht="13">
      <c r="A443" s="427" t="s">
        <v>3851</v>
      </c>
      <c r="B443" s="427" t="s">
        <v>3851</v>
      </c>
      <c r="C443" s="427" t="s">
        <v>3851</v>
      </c>
      <c r="D443" s="428" t="s">
        <v>3851</v>
      </c>
    </row>
    <row r="444" spans="1:4" ht="13">
      <c r="B444" s="5"/>
      <c r="C444" s="5"/>
      <c r="D444" s="5"/>
    </row>
    <row r="445" spans="1:4" ht="13">
      <c r="B445" s="5"/>
      <c r="C445" s="5"/>
      <c r="D445" s="5"/>
    </row>
    <row r="446" spans="1:4" ht="13">
      <c r="B446" s="5"/>
      <c r="C446" s="5"/>
      <c r="D446" s="5"/>
    </row>
    <row r="447" spans="1:4" ht="13">
      <c r="B447" s="5"/>
      <c r="C447" s="5"/>
      <c r="D447" s="5"/>
    </row>
    <row r="448" spans="1:4" ht="13">
      <c r="B448" s="5"/>
      <c r="C448" s="5"/>
      <c r="D448" s="5"/>
    </row>
    <row r="449" spans="2:4" ht="13">
      <c r="B449" s="5"/>
      <c r="C449" s="5"/>
      <c r="D449" s="5"/>
    </row>
    <row r="450" spans="2:4" ht="13">
      <c r="B450" s="5"/>
      <c r="C450" s="5"/>
      <c r="D450" s="5"/>
    </row>
    <row r="451" spans="2:4" ht="13">
      <c r="B451" s="5"/>
      <c r="C451" s="5"/>
      <c r="D451" s="5"/>
    </row>
    <row r="452" spans="2:4" ht="13">
      <c r="B452" s="5"/>
      <c r="C452" s="5"/>
      <c r="D452" s="5"/>
    </row>
    <row r="453" spans="2:4" ht="13">
      <c r="B453" s="5"/>
      <c r="C453" s="5"/>
      <c r="D453" s="5"/>
    </row>
    <row r="454" spans="2:4" ht="13">
      <c r="B454" s="5"/>
      <c r="C454" s="5"/>
      <c r="D454" s="5"/>
    </row>
    <row r="455" spans="2:4" ht="13">
      <c r="B455" s="5"/>
      <c r="C455" s="5"/>
      <c r="D455" s="5"/>
    </row>
    <row r="456" spans="2:4" ht="13">
      <c r="B456" s="5"/>
      <c r="C456" s="5"/>
      <c r="D456" s="5"/>
    </row>
    <row r="457" spans="2:4" ht="13">
      <c r="B457" s="5"/>
      <c r="C457" s="5"/>
      <c r="D457" s="5"/>
    </row>
    <row r="458" spans="2:4" ht="13">
      <c r="B458" s="5"/>
      <c r="C458" s="5"/>
      <c r="D458" s="5"/>
    </row>
    <row r="459" spans="2:4" ht="13">
      <c r="B459" s="5"/>
      <c r="C459" s="5"/>
      <c r="D459" s="5"/>
    </row>
    <row r="460" spans="2:4" ht="13">
      <c r="B460" s="5"/>
      <c r="C460" s="5"/>
      <c r="D460" s="5"/>
    </row>
    <row r="461" spans="2:4" ht="13">
      <c r="B461" s="5"/>
      <c r="C461" s="5"/>
      <c r="D461" s="5"/>
    </row>
    <row r="462" spans="2:4" ht="13">
      <c r="B462" s="5"/>
      <c r="C462" s="5"/>
      <c r="D462" s="5"/>
    </row>
    <row r="463" spans="2:4" ht="13">
      <c r="B463" s="5"/>
      <c r="C463" s="5"/>
      <c r="D463" s="5"/>
    </row>
    <row r="464" spans="2:4" ht="13">
      <c r="B464" s="5"/>
      <c r="C464" s="5"/>
      <c r="D464" s="5"/>
    </row>
    <row r="465" spans="2:4" ht="13">
      <c r="B465" s="5"/>
      <c r="C465" s="5"/>
      <c r="D465" s="5"/>
    </row>
    <row r="466" spans="2:4" ht="13">
      <c r="B466" s="5"/>
      <c r="C466" s="5"/>
      <c r="D466" s="5"/>
    </row>
    <row r="467" spans="2:4" ht="13">
      <c r="B467" s="5"/>
      <c r="C467" s="5"/>
      <c r="D467" s="5"/>
    </row>
    <row r="468" spans="2:4" ht="13">
      <c r="B468" s="5"/>
      <c r="C468" s="5"/>
      <c r="D468" s="5"/>
    </row>
    <row r="469" spans="2:4" ht="13">
      <c r="B469" s="5"/>
      <c r="C469" s="5"/>
      <c r="D469" s="5"/>
    </row>
    <row r="470" spans="2:4" ht="13">
      <c r="B470" s="5"/>
      <c r="C470" s="5"/>
      <c r="D470" s="5"/>
    </row>
    <row r="471" spans="2:4" ht="13">
      <c r="B471" s="5"/>
      <c r="C471" s="5"/>
      <c r="D471" s="5"/>
    </row>
    <row r="472" spans="2:4" ht="13">
      <c r="B472" s="5"/>
      <c r="C472" s="5"/>
      <c r="D472" s="5"/>
    </row>
    <row r="473" spans="2:4" ht="13">
      <c r="B473" s="5"/>
      <c r="C473" s="5"/>
      <c r="D473" s="5"/>
    </row>
    <row r="474" spans="2:4" ht="13">
      <c r="B474" s="5"/>
      <c r="C474" s="5"/>
      <c r="D474" s="5"/>
    </row>
    <row r="475" spans="2:4" ht="13">
      <c r="B475" s="5"/>
      <c r="C475" s="5"/>
      <c r="D475" s="5"/>
    </row>
    <row r="476" spans="2:4" ht="13">
      <c r="B476" s="5"/>
      <c r="C476" s="5"/>
      <c r="D476" s="5"/>
    </row>
    <row r="477" spans="2:4" ht="13">
      <c r="B477" s="5"/>
      <c r="C477" s="5"/>
      <c r="D477" s="5"/>
    </row>
    <row r="478" spans="2:4" ht="13">
      <c r="B478" s="5"/>
      <c r="C478" s="5"/>
      <c r="D478" s="5"/>
    </row>
    <row r="479" spans="2:4" ht="13">
      <c r="B479" s="5"/>
      <c r="C479" s="5"/>
      <c r="D479" s="5"/>
    </row>
    <row r="480" spans="2:4" ht="13">
      <c r="B480" s="5"/>
      <c r="C480" s="5"/>
      <c r="D480" s="5"/>
    </row>
    <row r="481" spans="2:4" ht="13">
      <c r="B481" s="5"/>
      <c r="C481" s="5"/>
      <c r="D481" s="5"/>
    </row>
    <row r="482" spans="2:4" ht="13">
      <c r="B482" s="5"/>
      <c r="C482" s="5"/>
      <c r="D482" s="5"/>
    </row>
    <row r="483" spans="2:4" ht="13">
      <c r="B483" s="5"/>
      <c r="C483" s="5"/>
      <c r="D483" s="5"/>
    </row>
    <row r="484" spans="2:4" ht="13">
      <c r="B484" s="5"/>
      <c r="C484" s="5"/>
      <c r="D484" s="5"/>
    </row>
    <row r="485" spans="2:4" ht="13">
      <c r="B485" s="5"/>
      <c r="C485" s="5"/>
      <c r="D485" s="5"/>
    </row>
    <row r="486" spans="2:4" ht="13">
      <c r="B486" s="5"/>
      <c r="C486" s="5"/>
      <c r="D486" s="5"/>
    </row>
    <row r="487" spans="2:4" ht="13">
      <c r="B487" s="5"/>
      <c r="C487" s="5"/>
      <c r="D487" s="5"/>
    </row>
    <row r="488" spans="2:4" ht="13">
      <c r="B488" s="5"/>
      <c r="C488" s="5"/>
      <c r="D488" s="5"/>
    </row>
    <row r="489" spans="2:4" ht="13">
      <c r="B489" s="5"/>
      <c r="C489" s="5"/>
      <c r="D489" s="5"/>
    </row>
    <row r="490" spans="2:4" ht="13">
      <c r="B490" s="5"/>
      <c r="C490" s="5"/>
      <c r="D490" s="5"/>
    </row>
    <row r="491" spans="2:4" ht="13">
      <c r="B491" s="5"/>
      <c r="C491" s="5"/>
      <c r="D491" s="5"/>
    </row>
    <row r="492" spans="2:4" ht="13">
      <c r="B492" s="5"/>
      <c r="C492" s="5"/>
      <c r="D492" s="5"/>
    </row>
    <row r="493" spans="2:4" ht="13">
      <c r="B493" s="5"/>
      <c r="C493" s="5"/>
      <c r="D493" s="5"/>
    </row>
    <row r="494" spans="2:4" ht="13">
      <c r="B494" s="5"/>
      <c r="C494" s="5"/>
      <c r="D494" s="5"/>
    </row>
    <row r="495" spans="2:4" ht="13">
      <c r="B495" s="5"/>
      <c r="C495" s="5"/>
      <c r="D495" s="5"/>
    </row>
    <row r="496" spans="2:4" ht="13">
      <c r="B496" s="5"/>
      <c r="C496" s="5"/>
      <c r="D496" s="5"/>
    </row>
    <row r="497" spans="2:4" ht="13">
      <c r="B497" s="5"/>
      <c r="C497" s="5"/>
      <c r="D497" s="5"/>
    </row>
    <row r="498" spans="2:4" ht="13">
      <c r="B498" s="5"/>
      <c r="C498" s="5"/>
      <c r="D498" s="5"/>
    </row>
    <row r="499" spans="2:4" ht="13">
      <c r="B499" s="5"/>
      <c r="C499" s="5"/>
      <c r="D499" s="5"/>
    </row>
    <row r="500" spans="2:4" ht="13">
      <c r="B500" s="5"/>
      <c r="C500" s="5"/>
      <c r="D500" s="5"/>
    </row>
    <row r="501" spans="2:4" ht="13">
      <c r="B501" s="5"/>
      <c r="C501" s="5"/>
      <c r="D501" s="5"/>
    </row>
    <row r="502" spans="2:4" ht="13">
      <c r="B502" s="5"/>
      <c r="C502" s="5"/>
      <c r="D502" s="5"/>
    </row>
    <row r="503" spans="2:4" ht="13">
      <c r="B503" s="5"/>
      <c r="C503" s="5"/>
      <c r="D503" s="5"/>
    </row>
    <row r="504" spans="2:4" ht="13">
      <c r="B504" s="5"/>
      <c r="C504" s="5"/>
      <c r="D504" s="5"/>
    </row>
    <row r="505" spans="2:4" ht="13">
      <c r="B505" s="5"/>
      <c r="C505" s="5"/>
      <c r="D505" s="5"/>
    </row>
    <row r="506" spans="2:4" ht="13">
      <c r="B506" s="5"/>
      <c r="C506" s="5"/>
      <c r="D506" s="5"/>
    </row>
    <row r="507" spans="2:4" ht="13">
      <c r="B507" s="5"/>
      <c r="C507" s="5"/>
      <c r="D507" s="5"/>
    </row>
    <row r="508" spans="2:4" ht="13">
      <c r="B508" s="5"/>
      <c r="C508" s="5"/>
      <c r="D508" s="5"/>
    </row>
    <row r="509" spans="2:4" ht="13">
      <c r="B509" s="5"/>
      <c r="C509" s="5"/>
      <c r="D509" s="5"/>
    </row>
    <row r="510" spans="2:4" ht="13">
      <c r="B510" s="5"/>
      <c r="C510" s="5"/>
      <c r="D510" s="5"/>
    </row>
    <row r="511" spans="2:4" ht="13">
      <c r="B511" s="5"/>
      <c r="C511" s="5"/>
      <c r="D511" s="5"/>
    </row>
    <row r="512" spans="2:4" ht="13">
      <c r="B512" s="5"/>
      <c r="C512" s="5"/>
      <c r="D512" s="5"/>
    </row>
    <row r="513" spans="2:4" ht="13">
      <c r="B513" s="5"/>
      <c r="C513" s="5"/>
      <c r="D513" s="5"/>
    </row>
    <row r="514" spans="2:4" ht="13">
      <c r="B514" s="5"/>
      <c r="C514" s="5"/>
      <c r="D514" s="5"/>
    </row>
    <row r="515" spans="2:4" ht="13">
      <c r="B515" s="5"/>
      <c r="C515" s="5"/>
      <c r="D515" s="5"/>
    </row>
    <row r="516" spans="2:4" ht="13">
      <c r="B516" s="5"/>
      <c r="C516" s="5"/>
      <c r="D516" s="5"/>
    </row>
    <row r="517" spans="2:4" ht="13">
      <c r="B517" s="5"/>
      <c r="C517" s="5"/>
      <c r="D517" s="5"/>
    </row>
    <row r="518" spans="2:4" ht="13">
      <c r="B518" s="5"/>
      <c r="C518" s="5"/>
      <c r="D518" s="5"/>
    </row>
    <row r="519" spans="2:4" ht="13">
      <c r="B519" s="5"/>
      <c r="C519" s="5"/>
      <c r="D519" s="5"/>
    </row>
    <row r="520" spans="2:4" ht="13">
      <c r="B520" s="5"/>
      <c r="C520" s="5"/>
      <c r="D520" s="5"/>
    </row>
    <row r="521" spans="2:4" ht="13">
      <c r="B521" s="5"/>
      <c r="C521" s="5"/>
      <c r="D521" s="5"/>
    </row>
    <row r="522" spans="2:4" ht="13">
      <c r="B522" s="5"/>
      <c r="C522" s="5"/>
      <c r="D522" s="5"/>
    </row>
    <row r="523" spans="2:4" ht="13">
      <c r="B523" s="5"/>
      <c r="C523" s="5"/>
      <c r="D523" s="5"/>
    </row>
    <row r="524" spans="2:4" ht="13">
      <c r="B524" s="5"/>
      <c r="C524" s="5"/>
      <c r="D524" s="5"/>
    </row>
    <row r="525" spans="2:4" ht="13">
      <c r="B525" s="5"/>
      <c r="C525" s="5"/>
      <c r="D525" s="5"/>
    </row>
    <row r="526" spans="2:4" ht="13">
      <c r="B526" s="5"/>
      <c r="C526" s="5"/>
      <c r="D526" s="5"/>
    </row>
    <row r="527" spans="2:4" ht="13">
      <c r="B527" s="5"/>
      <c r="C527" s="5"/>
      <c r="D527" s="5"/>
    </row>
    <row r="528" spans="2:4" ht="13">
      <c r="B528" s="5"/>
      <c r="C528" s="5"/>
      <c r="D528" s="5"/>
    </row>
    <row r="529" spans="2:4" ht="13">
      <c r="B529" s="5"/>
      <c r="C529" s="5"/>
      <c r="D529" s="5"/>
    </row>
    <row r="530" spans="2:4" ht="13">
      <c r="B530" s="5"/>
      <c r="C530" s="5"/>
      <c r="D530" s="5"/>
    </row>
    <row r="531" spans="2:4" ht="13">
      <c r="B531" s="5"/>
      <c r="C531" s="5"/>
      <c r="D531" s="5"/>
    </row>
    <row r="532" spans="2:4" ht="13">
      <c r="B532" s="5"/>
      <c r="C532" s="5"/>
      <c r="D532" s="5"/>
    </row>
    <row r="533" spans="2:4" ht="13">
      <c r="B533" s="5"/>
      <c r="C533" s="5"/>
      <c r="D533" s="5"/>
    </row>
    <row r="534" spans="2:4" ht="13">
      <c r="B534" s="5"/>
      <c r="C534" s="5"/>
      <c r="D534" s="5"/>
    </row>
    <row r="535" spans="2:4" ht="13">
      <c r="B535" s="5"/>
      <c r="C535" s="5"/>
      <c r="D535" s="5"/>
    </row>
    <row r="536" spans="2:4" ht="13">
      <c r="B536" s="5"/>
      <c r="C536" s="5"/>
      <c r="D536" s="5"/>
    </row>
    <row r="537" spans="2:4" ht="13">
      <c r="B537" s="5"/>
      <c r="C537" s="5"/>
      <c r="D537" s="5"/>
    </row>
    <row r="538" spans="2:4" ht="13">
      <c r="B538" s="5"/>
      <c r="C538" s="5"/>
      <c r="D538" s="5"/>
    </row>
    <row r="539" spans="2:4" ht="13">
      <c r="B539" s="5"/>
      <c r="C539" s="5"/>
      <c r="D539" s="5"/>
    </row>
    <row r="540" spans="2:4" ht="13">
      <c r="B540" s="5"/>
      <c r="C540" s="5"/>
      <c r="D540" s="5"/>
    </row>
    <row r="541" spans="2:4" ht="13">
      <c r="B541" s="5"/>
      <c r="C541" s="5"/>
      <c r="D541" s="5"/>
    </row>
    <row r="542" spans="2:4" ht="13">
      <c r="B542" s="5"/>
      <c r="C542" s="5"/>
      <c r="D542" s="5"/>
    </row>
    <row r="543" spans="2:4" ht="13">
      <c r="B543" s="5"/>
      <c r="C543" s="5"/>
      <c r="D543" s="5"/>
    </row>
    <row r="544" spans="2:4" ht="13">
      <c r="B544" s="5"/>
      <c r="C544" s="5"/>
      <c r="D544" s="5"/>
    </row>
    <row r="545" spans="2:4" ht="13">
      <c r="B545" s="5"/>
      <c r="C545" s="5"/>
      <c r="D545" s="5"/>
    </row>
    <row r="546" spans="2:4" ht="13">
      <c r="B546" s="5"/>
      <c r="C546" s="5"/>
      <c r="D546" s="5"/>
    </row>
    <row r="547" spans="2:4" ht="13">
      <c r="B547" s="5"/>
      <c r="C547" s="5"/>
      <c r="D547" s="5"/>
    </row>
    <row r="548" spans="2:4" ht="13">
      <c r="B548" s="5"/>
      <c r="C548" s="5"/>
      <c r="D548" s="5"/>
    </row>
    <row r="549" spans="2:4" ht="13">
      <c r="B549" s="5"/>
      <c r="C549" s="5"/>
      <c r="D549" s="5"/>
    </row>
    <row r="550" spans="2:4" ht="13">
      <c r="B550" s="5"/>
      <c r="C550" s="5"/>
      <c r="D550" s="5"/>
    </row>
    <row r="551" spans="2:4" ht="13">
      <c r="B551" s="5"/>
      <c r="C551" s="5"/>
      <c r="D551" s="5"/>
    </row>
    <row r="552" spans="2:4" ht="13">
      <c r="B552" s="5"/>
      <c r="C552" s="5"/>
      <c r="D552" s="5"/>
    </row>
    <row r="553" spans="2:4" ht="13">
      <c r="B553" s="5"/>
      <c r="C553" s="5"/>
      <c r="D553" s="5"/>
    </row>
    <row r="554" spans="2:4" ht="13">
      <c r="B554" s="5"/>
      <c r="C554" s="5"/>
      <c r="D554" s="5"/>
    </row>
    <row r="555" spans="2:4" ht="13">
      <c r="B555" s="5"/>
      <c r="C555" s="5"/>
      <c r="D555" s="5"/>
    </row>
    <row r="556" spans="2:4" ht="13">
      <c r="B556" s="5"/>
      <c r="C556" s="5"/>
      <c r="D556" s="5"/>
    </row>
    <row r="557" spans="2:4" ht="13">
      <c r="B557" s="5"/>
      <c r="C557" s="5"/>
      <c r="D557" s="5"/>
    </row>
    <row r="558" spans="2:4" ht="13">
      <c r="B558" s="5"/>
      <c r="C558" s="5"/>
      <c r="D558" s="5"/>
    </row>
    <row r="559" spans="2:4" ht="13">
      <c r="B559" s="5"/>
      <c r="C559" s="5"/>
      <c r="D559" s="5"/>
    </row>
    <row r="560" spans="2:4" ht="13">
      <c r="B560" s="5"/>
      <c r="C560" s="5"/>
      <c r="D560" s="5"/>
    </row>
    <row r="561" spans="2:4" ht="13">
      <c r="B561" s="5"/>
      <c r="C561" s="5"/>
      <c r="D561" s="5"/>
    </row>
    <row r="562" spans="2:4" ht="13">
      <c r="B562" s="5"/>
      <c r="C562" s="5"/>
      <c r="D562" s="5"/>
    </row>
    <row r="563" spans="2:4" ht="13">
      <c r="B563" s="5"/>
      <c r="C563" s="5"/>
      <c r="D563" s="5"/>
    </row>
    <row r="564" spans="2:4" ht="13">
      <c r="B564" s="5"/>
      <c r="C564" s="5"/>
      <c r="D564" s="5"/>
    </row>
    <row r="565" spans="2:4" ht="13">
      <c r="B565" s="5"/>
      <c r="C565" s="5"/>
      <c r="D565" s="5"/>
    </row>
    <row r="566" spans="2:4" ht="13">
      <c r="B566" s="5"/>
      <c r="C566" s="5"/>
      <c r="D566" s="5"/>
    </row>
    <row r="567" spans="2:4" ht="13">
      <c r="B567" s="5"/>
      <c r="C567" s="5"/>
      <c r="D567" s="5"/>
    </row>
    <row r="568" spans="2:4" ht="13">
      <c r="B568" s="5"/>
      <c r="C568" s="5"/>
      <c r="D568" s="5"/>
    </row>
    <row r="569" spans="2:4" ht="13">
      <c r="B569" s="5"/>
      <c r="C569" s="5"/>
      <c r="D569" s="5"/>
    </row>
    <row r="570" spans="2:4" ht="13">
      <c r="B570" s="5"/>
      <c r="C570" s="5"/>
      <c r="D570" s="5"/>
    </row>
    <row r="571" spans="2:4" ht="13">
      <c r="B571" s="5"/>
      <c r="C571" s="5"/>
      <c r="D571" s="5"/>
    </row>
    <row r="572" spans="2:4" ht="13">
      <c r="B572" s="5"/>
      <c r="C572" s="5"/>
      <c r="D572" s="5"/>
    </row>
    <row r="573" spans="2:4" ht="13">
      <c r="B573" s="5"/>
      <c r="C573" s="5"/>
      <c r="D573" s="5"/>
    </row>
    <row r="574" spans="2:4" ht="13">
      <c r="B574" s="5"/>
      <c r="C574" s="5"/>
      <c r="D574" s="5"/>
    </row>
    <row r="575" spans="2:4" ht="13">
      <c r="B575" s="5"/>
      <c r="C575" s="5"/>
      <c r="D575" s="5"/>
    </row>
    <row r="576" spans="2:4" ht="13">
      <c r="B576" s="5"/>
      <c r="C576" s="5"/>
      <c r="D576" s="5"/>
    </row>
    <row r="577" spans="2:4" ht="13">
      <c r="B577" s="5"/>
      <c r="C577" s="5"/>
      <c r="D577" s="5"/>
    </row>
    <row r="578" spans="2:4" ht="13">
      <c r="B578" s="5"/>
      <c r="C578" s="5"/>
      <c r="D578" s="5"/>
    </row>
    <row r="579" spans="2:4" ht="13">
      <c r="B579" s="5"/>
      <c r="C579" s="5"/>
      <c r="D579" s="5"/>
    </row>
    <row r="580" spans="2:4" ht="13">
      <c r="B580" s="5"/>
      <c r="C580" s="5"/>
      <c r="D580" s="5"/>
    </row>
    <row r="581" spans="2:4" ht="13">
      <c r="B581" s="5"/>
      <c r="C581" s="5"/>
      <c r="D581" s="5"/>
    </row>
    <row r="582" spans="2:4" ht="13">
      <c r="B582" s="5"/>
      <c r="C582" s="5"/>
      <c r="D582" s="5"/>
    </row>
    <row r="583" spans="2:4" ht="13">
      <c r="B583" s="5"/>
      <c r="C583" s="5"/>
      <c r="D583" s="5"/>
    </row>
    <row r="584" spans="2:4" ht="13">
      <c r="B584" s="5"/>
      <c r="C584" s="5"/>
      <c r="D584" s="5"/>
    </row>
    <row r="585" spans="2:4" ht="13">
      <c r="B585" s="5"/>
      <c r="C585" s="5"/>
      <c r="D585" s="5"/>
    </row>
    <row r="586" spans="2:4" ht="13">
      <c r="B586" s="5"/>
      <c r="C586" s="5"/>
      <c r="D586" s="5"/>
    </row>
    <row r="587" spans="2:4" ht="13">
      <c r="B587" s="5"/>
      <c r="C587" s="5"/>
      <c r="D587" s="5"/>
    </row>
    <row r="588" spans="2:4" ht="13">
      <c r="B588" s="5"/>
      <c r="C588" s="5"/>
      <c r="D588" s="5"/>
    </row>
    <row r="589" spans="2:4" ht="13">
      <c r="B589" s="5"/>
      <c r="C589" s="5"/>
      <c r="D589" s="5"/>
    </row>
    <row r="590" spans="2:4" ht="13">
      <c r="B590" s="5"/>
      <c r="C590" s="5"/>
      <c r="D590" s="5"/>
    </row>
    <row r="591" spans="2:4" ht="13">
      <c r="B591" s="5"/>
      <c r="C591" s="5"/>
      <c r="D591" s="5"/>
    </row>
    <row r="592" spans="2:4" ht="13">
      <c r="B592" s="5"/>
      <c r="C592" s="5"/>
      <c r="D592" s="5"/>
    </row>
    <row r="593" spans="2:4" ht="13">
      <c r="B593" s="5"/>
      <c r="C593" s="5"/>
      <c r="D593" s="5"/>
    </row>
    <row r="594" spans="2:4" ht="13">
      <c r="B594" s="5"/>
      <c r="C594" s="5"/>
      <c r="D594" s="5"/>
    </row>
    <row r="595" spans="2:4" ht="13">
      <c r="B595" s="5"/>
      <c r="C595" s="5"/>
      <c r="D595" s="5"/>
    </row>
    <row r="596" spans="2:4" ht="13">
      <c r="B596" s="5"/>
      <c r="C596" s="5"/>
      <c r="D596" s="5"/>
    </row>
    <row r="597" spans="2:4" ht="13">
      <c r="B597" s="5"/>
      <c r="C597" s="5"/>
      <c r="D597" s="5"/>
    </row>
    <row r="598" spans="2:4" ht="13">
      <c r="B598" s="5"/>
      <c r="C598" s="5"/>
      <c r="D598" s="5"/>
    </row>
    <row r="599" spans="2:4" ht="13">
      <c r="B599" s="5"/>
      <c r="C599" s="5"/>
      <c r="D599" s="5"/>
    </row>
    <row r="600" spans="2:4" ht="13">
      <c r="B600" s="5"/>
      <c r="C600" s="5"/>
      <c r="D600" s="5"/>
    </row>
    <row r="601" spans="2:4" ht="13">
      <c r="B601" s="5"/>
      <c r="C601" s="5"/>
      <c r="D601" s="5"/>
    </row>
    <row r="602" spans="2:4" ht="13">
      <c r="B602" s="5"/>
      <c r="C602" s="5"/>
      <c r="D602" s="5"/>
    </row>
    <row r="603" spans="2:4" ht="13">
      <c r="B603" s="5"/>
      <c r="C603" s="5"/>
      <c r="D603" s="5"/>
    </row>
    <row r="604" spans="2:4" ht="13">
      <c r="B604" s="5"/>
      <c r="C604" s="5"/>
      <c r="D604" s="5"/>
    </row>
    <row r="605" spans="2:4" ht="13">
      <c r="B605" s="5"/>
      <c r="C605" s="5"/>
      <c r="D605" s="5"/>
    </row>
    <row r="606" spans="2:4" ht="13">
      <c r="B606" s="5"/>
      <c r="C606" s="5"/>
      <c r="D606" s="5"/>
    </row>
    <row r="607" spans="2:4" ht="13">
      <c r="B607" s="5"/>
      <c r="C607" s="5"/>
      <c r="D607" s="5"/>
    </row>
    <row r="608" spans="2:4" ht="13">
      <c r="B608" s="5"/>
      <c r="C608" s="5"/>
      <c r="D608" s="5"/>
    </row>
    <row r="609" spans="2:4" ht="13">
      <c r="B609" s="5"/>
      <c r="C609" s="5"/>
      <c r="D609" s="5"/>
    </row>
    <row r="610" spans="2:4" ht="13">
      <c r="B610" s="5"/>
      <c r="C610" s="5"/>
      <c r="D610" s="5"/>
    </row>
    <row r="611" spans="2:4" ht="13">
      <c r="B611" s="5"/>
      <c r="C611" s="5"/>
      <c r="D611" s="5"/>
    </row>
    <row r="612" spans="2:4" ht="13">
      <c r="B612" s="5"/>
      <c r="C612" s="5"/>
      <c r="D612" s="5"/>
    </row>
    <row r="613" spans="2:4" ht="13">
      <c r="B613" s="5"/>
      <c r="C613" s="5"/>
      <c r="D613" s="5"/>
    </row>
    <row r="614" spans="2:4" ht="13">
      <c r="B614" s="5"/>
      <c r="C614" s="5"/>
      <c r="D614" s="5"/>
    </row>
    <row r="615" spans="2:4" ht="13">
      <c r="B615" s="5"/>
      <c r="C615" s="5"/>
      <c r="D615" s="5"/>
    </row>
    <row r="616" spans="2:4" ht="13">
      <c r="B616" s="5"/>
      <c r="C616" s="5"/>
      <c r="D616" s="5"/>
    </row>
    <row r="617" spans="2:4" ht="13">
      <c r="B617" s="5"/>
      <c r="C617" s="5"/>
      <c r="D617" s="5"/>
    </row>
    <row r="618" spans="2:4" ht="13">
      <c r="B618" s="5"/>
      <c r="C618" s="5"/>
      <c r="D618" s="5"/>
    </row>
    <row r="619" spans="2:4" ht="13">
      <c r="B619" s="5"/>
      <c r="C619" s="5"/>
      <c r="D619" s="5"/>
    </row>
    <row r="620" spans="2:4" ht="13">
      <c r="B620" s="5"/>
      <c r="C620" s="5"/>
      <c r="D620" s="5"/>
    </row>
    <row r="621" spans="2:4" ht="13">
      <c r="B621" s="5"/>
      <c r="C621" s="5"/>
      <c r="D621" s="5"/>
    </row>
    <row r="622" spans="2:4" ht="13">
      <c r="B622" s="5"/>
      <c r="C622" s="5"/>
      <c r="D622" s="5"/>
    </row>
    <row r="623" spans="2:4" ht="13">
      <c r="B623" s="5"/>
      <c r="C623" s="5"/>
      <c r="D623" s="5"/>
    </row>
    <row r="624" spans="2:4" ht="13">
      <c r="B624" s="5"/>
      <c r="C624" s="5"/>
      <c r="D624" s="5"/>
    </row>
    <row r="625" spans="2:4" ht="13">
      <c r="B625" s="5"/>
      <c r="C625" s="5"/>
      <c r="D625" s="5"/>
    </row>
    <row r="626" spans="2:4" ht="13">
      <c r="B626" s="5"/>
      <c r="C626" s="5"/>
      <c r="D626" s="5"/>
    </row>
    <row r="627" spans="2:4" ht="13">
      <c r="B627" s="5"/>
      <c r="C627" s="5"/>
      <c r="D627" s="5"/>
    </row>
    <row r="628" spans="2:4" ht="13">
      <c r="B628" s="5"/>
      <c r="C628" s="5"/>
      <c r="D628" s="5"/>
    </row>
    <row r="629" spans="2:4" ht="13">
      <c r="B629" s="5"/>
      <c r="C629" s="5"/>
      <c r="D629" s="5"/>
    </row>
    <row r="630" spans="2:4" ht="13">
      <c r="B630" s="5"/>
      <c r="C630" s="5"/>
      <c r="D630" s="5"/>
    </row>
    <row r="631" spans="2:4" ht="13">
      <c r="B631" s="5"/>
      <c r="C631" s="5"/>
      <c r="D631" s="5"/>
    </row>
    <row r="632" spans="2:4" ht="13">
      <c r="B632" s="5"/>
      <c r="C632" s="5"/>
      <c r="D632" s="5"/>
    </row>
    <row r="633" spans="2:4" ht="13">
      <c r="B633" s="5"/>
      <c r="C633" s="5"/>
      <c r="D633" s="5"/>
    </row>
    <row r="634" spans="2:4" ht="13">
      <c r="B634" s="5"/>
      <c r="C634" s="5"/>
      <c r="D634" s="5"/>
    </row>
    <row r="635" spans="2:4" ht="13">
      <c r="B635" s="5"/>
      <c r="C635" s="5"/>
      <c r="D635" s="5"/>
    </row>
    <row r="636" spans="2:4" ht="13">
      <c r="B636" s="5"/>
      <c r="C636" s="5"/>
      <c r="D636" s="5"/>
    </row>
    <row r="637" spans="2:4" ht="13">
      <c r="B637" s="5"/>
      <c r="C637" s="5"/>
      <c r="D637" s="5"/>
    </row>
    <row r="638" spans="2:4" ht="13">
      <c r="B638" s="5"/>
      <c r="C638" s="5"/>
      <c r="D638" s="5"/>
    </row>
    <row r="639" spans="2:4" ht="13">
      <c r="B639" s="5"/>
      <c r="C639" s="5"/>
      <c r="D639" s="5"/>
    </row>
    <row r="640" spans="2:4" ht="13">
      <c r="B640" s="5"/>
      <c r="C640" s="5"/>
      <c r="D640" s="5"/>
    </row>
    <row r="641" spans="2:4" ht="13">
      <c r="B641" s="5"/>
      <c r="C641" s="5"/>
      <c r="D641" s="5"/>
    </row>
    <row r="642" spans="2:4" ht="13">
      <c r="B642" s="5"/>
      <c r="C642" s="5"/>
      <c r="D642" s="5"/>
    </row>
    <row r="643" spans="2:4" ht="13">
      <c r="B643" s="5"/>
      <c r="C643" s="5"/>
      <c r="D643" s="5"/>
    </row>
    <row r="644" spans="2:4" ht="13">
      <c r="B644" s="5"/>
      <c r="C644" s="5"/>
      <c r="D644" s="5"/>
    </row>
    <row r="645" spans="2:4" ht="13">
      <c r="B645" s="5"/>
      <c r="C645" s="5"/>
      <c r="D645" s="5"/>
    </row>
    <row r="646" spans="2:4" ht="13">
      <c r="B646" s="5"/>
      <c r="C646" s="5"/>
      <c r="D646" s="5"/>
    </row>
    <row r="647" spans="2:4" ht="13">
      <c r="B647" s="5"/>
      <c r="C647" s="5"/>
      <c r="D647" s="5"/>
    </row>
    <row r="648" spans="2:4" ht="13">
      <c r="B648" s="5"/>
      <c r="C648" s="5"/>
      <c r="D648" s="5"/>
    </row>
    <row r="649" spans="2:4" ht="13">
      <c r="B649" s="5"/>
      <c r="C649" s="5"/>
      <c r="D649" s="5"/>
    </row>
    <row r="650" spans="2:4" ht="13">
      <c r="B650" s="5"/>
      <c r="C650" s="5"/>
      <c r="D650" s="5"/>
    </row>
    <row r="651" spans="2:4" ht="13">
      <c r="B651" s="5"/>
      <c r="C651" s="5"/>
      <c r="D651" s="5"/>
    </row>
    <row r="652" spans="2:4" ht="13">
      <c r="B652" s="5"/>
      <c r="C652" s="5"/>
      <c r="D652" s="5"/>
    </row>
    <row r="653" spans="2:4" ht="13">
      <c r="B653" s="5"/>
      <c r="C653" s="5"/>
      <c r="D653" s="5"/>
    </row>
    <row r="654" spans="2:4" ht="13">
      <c r="B654" s="5"/>
      <c r="C654" s="5"/>
      <c r="D654" s="5"/>
    </row>
    <row r="655" spans="2:4" ht="13">
      <c r="B655" s="5"/>
      <c r="C655" s="5"/>
      <c r="D655" s="5"/>
    </row>
    <row r="656" spans="2:4" ht="13">
      <c r="B656" s="5"/>
      <c r="C656" s="5"/>
      <c r="D656" s="5"/>
    </row>
    <row r="657" spans="2:4" ht="13">
      <c r="B657" s="5"/>
      <c r="C657" s="5"/>
      <c r="D657" s="5"/>
    </row>
    <row r="658" spans="2:4" ht="13">
      <c r="B658" s="5"/>
      <c r="C658" s="5"/>
      <c r="D658" s="5"/>
    </row>
    <row r="659" spans="2:4" ht="13">
      <c r="B659" s="5"/>
      <c r="C659" s="5"/>
      <c r="D659" s="5"/>
    </row>
    <row r="660" spans="2:4" ht="13">
      <c r="B660" s="5"/>
      <c r="C660" s="5"/>
      <c r="D660" s="5"/>
    </row>
    <row r="661" spans="2:4" ht="13">
      <c r="B661" s="5"/>
      <c r="C661" s="5"/>
      <c r="D661" s="5"/>
    </row>
    <row r="662" spans="2:4" ht="13">
      <c r="B662" s="5"/>
      <c r="C662" s="5"/>
      <c r="D662" s="5"/>
    </row>
    <row r="663" spans="2:4" ht="13">
      <c r="B663" s="5"/>
      <c r="C663" s="5"/>
      <c r="D663" s="5"/>
    </row>
    <row r="664" spans="2:4" ht="13">
      <c r="B664" s="5"/>
      <c r="C664" s="5"/>
      <c r="D664" s="5"/>
    </row>
    <row r="665" spans="2:4" ht="13">
      <c r="B665" s="5"/>
      <c r="C665" s="5"/>
      <c r="D665" s="5"/>
    </row>
    <row r="666" spans="2:4" ht="13">
      <c r="B666" s="5"/>
      <c r="C666" s="5"/>
      <c r="D666" s="5"/>
    </row>
    <row r="667" spans="2:4" ht="13">
      <c r="B667" s="5"/>
      <c r="C667" s="5"/>
      <c r="D667" s="5"/>
    </row>
    <row r="668" spans="2:4" ht="13">
      <c r="B668" s="5"/>
      <c r="C668" s="5"/>
      <c r="D668" s="5"/>
    </row>
    <row r="669" spans="2:4" ht="13">
      <c r="B669" s="5"/>
      <c r="C669" s="5"/>
      <c r="D669" s="5"/>
    </row>
    <row r="670" spans="2:4" ht="13">
      <c r="B670" s="5"/>
      <c r="C670" s="5"/>
      <c r="D670" s="5"/>
    </row>
    <row r="671" spans="2:4" ht="13">
      <c r="B671" s="5"/>
      <c r="C671" s="5"/>
      <c r="D671" s="5"/>
    </row>
    <row r="672" spans="2:4" ht="13">
      <c r="B672" s="5"/>
      <c r="C672" s="5"/>
      <c r="D672" s="5"/>
    </row>
    <row r="673" spans="2:4" ht="13">
      <c r="B673" s="5"/>
      <c r="C673" s="5"/>
      <c r="D673" s="5"/>
    </row>
    <row r="674" spans="2:4" ht="13">
      <c r="B674" s="5"/>
      <c r="C674" s="5"/>
      <c r="D674" s="5"/>
    </row>
    <row r="675" spans="2:4" ht="13">
      <c r="B675" s="5"/>
      <c r="C675" s="5"/>
      <c r="D675" s="5"/>
    </row>
    <row r="676" spans="2:4" ht="13">
      <c r="B676" s="5"/>
      <c r="C676" s="5"/>
      <c r="D676" s="5"/>
    </row>
    <row r="677" spans="2:4" ht="13">
      <c r="B677" s="5"/>
      <c r="C677" s="5"/>
      <c r="D677" s="5"/>
    </row>
    <row r="678" spans="2:4" ht="13">
      <c r="B678" s="5"/>
      <c r="C678" s="5"/>
      <c r="D678" s="5"/>
    </row>
    <row r="679" spans="2:4" ht="13">
      <c r="B679" s="5"/>
      <c r="C679" s="5"/>
      <c r="D679" s="5"/>
    </row>
    <row r="680" spans="2:4" ht="13">
      <c r="B680" s="5"/>
      <c r="C680" s="5"/>
      <c r="D680" s="5"/>
    </row>
    <row r="681" spans="2:4" ht="13">
      <c r="B681" s="5"/>
      <c r="C681" s="5"/>
      <c r="D681" s="5"/>
    </row>
    <row r="682" spans="2:4" ht="13">
      <c r="B682" s="5"/>
      <c r="C682" s="5"/>
      <c r="D682" s="5"/>
    </row>
    <row r="683" spans="2:4" ht="13">
      <c r="B683" s="5"/>
      <c r="C683" s="5"/>
      <c r="D683" s="5"/>
    </row>
    <row r="684" spans="2:4" ht="13">
      <c r="B684" s="5"/>
      <c r="C684" s="5"/>
      <c r="D684" s="5"/>
    </row>
    <row r="685" spans="2:4" ht="13">
      <c r="B685" s="5"/>
      <c r="C685" s="5"/>
      <c r="D685" s="5"/>
    </row>
    <row r="686" spans="2:4" ht="13">
      <c r="B686" s="5"/>
      <c r="C686" s="5"/>
      <c r="D686" s="5"/>
    </row>
    <row r="687" spans="2:4" ht="13">
      <c r="B687" s="5"/>
      <c r="C687" s="5"/>
      <c r="D687" s="5"/>
    </row>
    <row r="688" spans="2:4" ht="13">
      <c r="B688" s="5"/>
      <c r="C688" s="5"/>
      <c r="D688" s="5"/>
    </row>
    <row r="689" spans="2:4" ht="13">
      <c r="B689" s="5"/>
      <c r="C689" s="5"/>
      <c r="D689" s="5"/>
    </row>
    <row r="690" spans="2:4" ht="13">
      <c r="B690" s="5"/>
      <c r="C690" s="5"/>
      <c r="D690" s="5"/>
    </row>
    <row r="691" spans="2:4" ht="13">
      <c r="B691" s="5"/>
      <c r="C691" s="5"/>
      <c r="D691" s="5"/>
    </row>
    <row r="692" spans="2:4" ht="13">
      <c r="B692" s="5"/>
      <c r="C692" s="5"/>
      <c r="D692" s="5"/>
    </row>
    <row r="693" spans="2:4" ht="13">
      <c r="B693" s="5"/>
      <c r="C693" s="5"/>
      <c r="D693" s="5"/>
    </row>
    <row r="694" spans="2:4" ht="13">
      <c r="B694" s="5"/>
      <c r="C694" s="5"/>
      <c r="D694" s="5"/>
    </row>
    <row r="695" spans="2:4" ht="13">
      <c r="B695" s="5"/>
      <c r="C695" s="5"/>
      <c r="D695" s="5"/>
    </row>
    <row r="696" spans="2:4" ht="13">
      <c r="B696" s="5"/>
      <c r="C696" s="5"/>
      <c r="D696" s="5"/>
    </row>
    <row r="697" spans="2:4" ht="13">
      <c r="B697" s="5"/>
      <c r="C697" s="5"/>
      <c r="D697" s="5"/>
    </row>
    <row r="698" spans="2:4" ht="13">
      <c r="B698" s="5"/>
      <c r="C698" s="5"/>
      <c r="D698" s="5"/>
    </row>
    <row r="699" spans="2:4" ht="13">
      <c r="B699" s="5"/>
      <c r="C699" s="5"/>
      <c r="D699" s="5"/>
    </row>
    <row r="700" spans="2:4" ht="13">
      <c r="B700" s="5"/>
      <c r="C700" s="5"/>
      <c r="D700" s="5"/>
    </row>
    <row r="701" spans="2:4" ht="13">
      <c r="B701" s="5"/>
      <c r="C701" s="5"/>
      <c r="D701" s="5"/>
    </row>
    <row r="702" spans="2:4" ht="13">
      <c r="B702" s="5"/>
      <c r="C702" s="5"/>
      <c r="D702" s="5"/>
    </row>
    <row r="703" spans="2:4" ht="13">
      <c r="B703" s="5"/>
      <c r="C703" s="5"/>
      <c r="D703" s="5"/>
    </row>
    <row r="704" spans="2:4" ht="13">
      <c r="B704" s="5"/>
      <c r="C704" s="5"/>
      <c r="D704" s="5"/>
    </row>
    <row r="705" spans="2:4" ht="13">
      <c r="B705" s="5"/>
      <c r="C705" s="5"/>
      <c r="D705" s="5"/>
    </row>
    <row r="706" spans="2:4" ht="13">
      <c r="B706" s="5"/>
      <c r="C706" s="5"/>
      <c r="D706" s="5"/>
    </row>
    <row r="707" spans="2:4" ht="13">
      <c r="B707" s="5"/>
      <c r="C707" s="5"/>
      <c r="D707" s="5"/>
    </row>
    <row r="708" spans="2:4" ht="13">
      <c r="B708" s="5"/>
      <c r="C708" s="5"/>
      <c r="D708" s="5"/>
    </row>
    <row r="709" spans="2:4" ht="13">
      <c r="B709" s="5"/>
      <c r="C709" s="5"/>
      <c r="D709" s="5"/>
    </row>
    <row r="710" spans="2:4" ht="13">
      <c r="B710" s="5"/>
      <c r="C710" s="5"/>
      <c r="D710" s="5"/>
    </row>
    <row r="711" spans="2:4" ht="13">
      <c r="B711" s="5"/>
      <c r="C711" s="5"/>
      <c r="D711" s="5"/>
    </row>
    <row r="712" spans="2:4" ht="13">
      <c r="B712" s="5"/>
      <c r="C712" s="5"/>
      <c r="D712" s="5"/>
    </row>
    <row r="713" spans="2:4" ht="13">
      <c r="B713" s="5"/>
      <c r="C713" s="5"/>
      <c r="D713" s="5"/>
    </row>
    <row r="714" spans="2:4" ht="13">
      <c r="B714" s="5"/>
      <c r="C714" s="5"/>
      <c r="D714" s="5"/>
    </row>
    <row r="715" spans="2:4" ht="13">
      <c r="B715" s="5"/>
      <c r="C715" s="5"/>
      <c r="D715" s="5"/>
    </row>
    <row r="716" spans="2:4" ht="13">
      <c r="B716" s="5"/>
      <c r="C716" s="5"/>
      <c r="D716" s="5"/>
    </row>
    <row r="717" spans="2:4" ht="13">
      <c r="B717" s="5"/>
      <c r="C717" s="5"/>
      <c r="D717" s="5"/>
    </row>
    <row r="718" spans="2:4" ht="13">
      <c r="B718" s="5"/>
      <c r="C718" s="5"/>
      <c r="D718" s="5"/>
    </row>
    <row r="719" spans="2:4" ht="13">
      <c r="B719" s="5"/>
      <c r="C719" s="5"/>
      <c r="D719" s="5"/>
    </row>
    <row r="720" spans="2:4" ht="13">
      <c r="B720" s="5"/>
      <c r="C720" s="5"/>
      <c r="D720" s="5"/>
    </row>
    <row r="721" spans="2:4" ht="13">
      <c r="B721" s="5"/>
      <c r="C721" s="5"/>
      <c r="D721" s="5"/>
    </row>
    <row r="722" spans="2:4" ht="13">
      <c r="B722" s="5"/>
      <c r="C722" s="5"/>
      <c r="D722" s="5"/>
    </row>
    <row r="723" spans="2:4" ht="13">
      <c r="B723" s="5"/>
      <c r="C723" s="5"/>
      <c r="D723" s="5"/>
    </row>
    <row r="724" spans="2:4" ht="13">
      <c r="B724" s="5"/>
      <c r="C724" s="5"/>
      <c r="D724" s="5"/>
    </row>
    <row r="725" spans="2:4" ht="13">
      <c r="B725" s="5"/>
      <c r="C725" s="5"/>
      <c r="D725" s="5"/>
    </row>
    <row r="726" spans="2:4" ht="13">
      <c r="B726" s="5"/>
      <c r="C726" s="5"/>
      <c r="D726" s="5"/>
    </row>
    <row r="727" spans="2:4" ht="13">
      <c r="B727" s="5"/>
      <c r="C727" s="5"/>
      <c r="D727" s="5"/>
    </row>
    <row r="728" spans="2:4" ht="13">
      <c r="B728" s="5"/>
      <c r="C728" s="5"/>
      <c r="D728" s="5"/>
    </row>
    <row r="729" spans="2:4" ht="13">
      <c r="B729" s="5"/>
      <c r="C729" s="5"/>
      <c r="D729" s="5"/>
    </row>
    <row r="730" spans="2:4" ht="13">
      <c r="B730" s="5"/>
      <c r="C730" s="5"/>
      <c r="D730" s="5"/>
    </row>
    <row r="731" spans="2:4" ht="13">
      <c r="B731" s="5"/>
      <c r="C731" s="5"/>
      <c r="D731" s="5"/>
    </row>
    <row r="732" spans="2:4" ht="13">
      <c r="B732" s="5"/>
      <c r="C732" s="5"/>
      <c r="D732" s="5"/>
    </row>
    <row r="733" spans="2:4" ht="13">
      <c r="B733" s="5"/>
      <c r="C733" s="5"/>
      <c r="D733" s="5"/>
    </row>
    <row r="734" spans="2:4" ht="13">
      <c r="B734" s="5"/>
      <c r="C734" s="5"/>
      <c r="D734" s="5"/>
    </row>
    <row r="735" spans="2:4" ht="13">
      <c r="B735" s="5"/>
      <c r="C735" s="5"/>
      <c r="D735" s="5"/>
    </row>
    <row r="736" spans="2:4" ht="13">
      <c r="B736" s="5"/>
      <c r="C736" s="5"/>
      <c r="D736" s="5"/>
    </row>
    <row r="737" spans="2:4" ht="13">
      <c r="B737" s="5"/>
      <c r="C737" s="5"/>
      <c r="D737" s="5"/>
    </row>
    <row r="738" spans="2:4" ht="13">
      <c r="B738" s="5"/>
      <c r="C738" s="5"/>
      <c r="D738" s="5"/>
    </row>
    <row r="739" spans="2:4" ht="13">
      <c r="B739" s="5"/>
      <c r="C739" s="5"/>
      <c r="D739" s="5"/>
    </row>
    <row r="740" spans="2:4" ht="13">
      <c r="B740" s="5"/>
      <c r="C740" s="5"/>
      <c r="D740" s="5"/>
    </row>
    <row r="741" spans="2:4" ht="13">
      <c r="B741" s="5"/>
      <c r="C741" s="5"/>
      <c r="D741" s="5"/>
    </row>
    <row r="742" spans="2:4" ht="13">
      <c r="B742" s="5"/>
      <c r="C742" s="5"/>
      <c r="D742" s="5"/>
    </row>
    <row r="743" spans="2:4" ht="13">
      <c r="B743" s="5"/>
      <c r="C743" s="5"/>
      <c r="D743" s="5"/>
    </row>
    <row r="744" spans="2:4" ht="13">
      <c r="B744" s="5"/>
      <c r="C744" s="5"/>
      <c r="D744" s="5"/>
    </row>
    <row r="745" spans="2:4" ht="13">
      <c r="B745" s="5"/>
      <c r="C745" s="5"/>
      <c r="D745" s="5"/>
    </row>
    <row r="746" spans="2:4" ht="13">
      <c r="B746" s="5"/>
      <c r="C746" s="5"/>
      <c r="D746" s="5"/>
    </row>
    <row r="747" spans="2:4" ht="13">
      <c r="B747" s="5"/>
      <c r="C747" s="5"/>
      <c r="D747" s="5"/>
    </row>
    <row r="748" spans="2:4" ht="13">
      <c r="B748" s="5"/>
      <c r="C748" s="5"/>
      <c r="D748" s="5"/>
    </row>
    <row r="749" spans="2:4" ht="13">
      <c r="B749" s="5"/>
      <c r="C749" s="5"/>
      <c r="D749" s="5"/>
    </row>
    <row r="750" spans="2:4" ht="13">
      <c r="B750" s="5"/>
      <c r="C750" s="5"/>
      <c r="D750" s="5"/>
    </row>
    <row r="751" spans="2:4" ht="13">
      <c r="B751" s="5"/>
      <c r="C751" s="5"/>
      <c r="D751" s="5"/>
    </row>
    <row r="752" spans="2:4" ht="13">
      <c r="B752" s="5"/>
      <c r="C752" s="5"/>
      <c r="D752" s="5"/>
    </row>
    <row r="753" spans="2:4" ht="13">
      <c r="B753" s="5"/>
      <c r="C753" s="5"/>
      <c r="D753" s="5"/>
    </row>
    <row r="754" spans="2:4" ht="13">
      <c r="B754" s="5"/>
      <c r="C754" s="5"/>
      <c r="D754" s="5"/>
    </row>
    <row r="755" spans="2:4" ht="13">
      <c r="B755" s="5"/>
      <c r="C755" s="5"/>
      <c r="D755" s="5"/>
    </row>
    <row r="756" spans="2:4" ht="13">
      <c r="B756" s="5"/>
      <c r="C756" s="5"/>
      <c r="D756" s="5"/>
    </row>
    <row r="757" spans="2:4" ht="13">
      <c r="B757" s="5"/>
      <c r="C757" s="5"/>
      <c r="D757" s="5"/>
    </row>
    <row r="758" spans="2:4" ht="13">
      <c r="B758" s="5"/>
      <c r="C758" s="5"/>
      <c r="D758" s="5"/>
    </row>
    <row r="759" spans="2:4" ht="13">
      <c r="B759" s="5"/>
      <c r="C759" s="5"/>
      <c r="D759" s="5"/>
    </row>
    <row r="760" spans="2:4" ht="13">
      <c r="B760" s="5"/>
      <c r="C760" s="5"/>
      <c r="D760" s="5"/>
    </row>
    <row r="761" spans="2:4" ht="13">
      <c r="B761" s="5"/>
      <c r="C761" s="5"/>
      <c r="D761" s="5"/>
    </row>
    <row r="762" spans="2:4" ht="13">
      <c r="B762" s="5"/>
      <c r="C762" s="5"/>
      <c r="D762" s="5"/>
    </row>
    <row r="763" spans="2:4" ht="13">
      <c r="B763" s="5"/>
      <c r="C763" s="5"/>
      <c r="D763" s="5"/>
    </row>
    <row r="764" spans="2:4" ht="13">
      <c r="B764" s="5"/>
      <c r="C764" s="5"/>
      <c r="D764" s="5"/>
    </row>
    <row r="765" spans="2:4" ht="13">
      <c r="B765" s="5"/>
      <c r="C765" s="5"/>
      <c r="D765" s="5"/>
    </row>
    <row r="766" spans="2:4" ht="13">
      <c r="B766" s="5"/>
      <c r="C766" s="5"/>
      <c r="D766" s="5"/>
    </row>
    <row r="767" spans="2:4" ht="13">
      <c r="B767" s="5"/>
      <c r="C767" s="5"/>
      <c r="D767" s="5"/>
    </row>
    <row r="768" spans="2:4" ht="13">
      <c r="B768" s="5"/>
      <c r="C768" s="5"/>
      <c r="D768" s="5"/>
    </row>
    <row r="769" spans="2:4" ht="13">
      <c r="B769" s="5"/>
      <c r="C769" s="5"/>
      <c r="D769" s="5"/>
    </row>
    <row r="770" spans="2:4" ht="13">
      <c r="B770" s="5"/>
      <c r="C770" s="5"/>
      <c r="D770" s="5"/>
    </row>
    <row r="771" spans="2:4" ht="13">
      <c r="B771" s="5"/>
      <c r="C771" s="5"/>
      <c r="D771" s="5"/>
    </row>
    <row r="772" spans="2:4" ht="13">
      <c r="B772" s="5"/>
      <c r="C772" s="5"/>
      <c r="D772" s="5"/>
    </row>
    <row r="773" spans="2:4" ht="13">
      <c r="B773" s="5"/>
      <c r="C773" s="5"/>
      <c r="D773" s="5"/>
    </row>
    <row r="774" spans="2:4" ht="13">
      <c r="B774" s="5"/>
      <c r="C774" s="5"/>
      <c r="D774" s="5"/>
    </row>
    <row r="775" spans="2:4" ht="13">
      <c r="B775" s="5"/>
      <c r="C775" s="5"/>
      <c r="D775" s="5"/>
    </row>
    <row r="776" spans="2:4" ht="13">
      <c r="B776" s="5"/>
      <c r="C776" s="5"/>
      <c r="D776" s="5"/>
    </row>
    <row r="777" spans="2:4" ht="13">
      <c r="B777" s="5"/>
      <c r="C777" s="5"/>
      <c r="D777" s="5"/>
    </row>
    <row r="778" spans="2:4" ht="13">
      <c r="B778" s="5"/>
      <c r="C778" s="5"/>
      <c r="D778" s="5"/>
    </row>
    <row r="779" spans="2:4" ht="13">
      <c r="B779" s="5"/>
      <c r="C779" s="5"/>
      <c r="D779" s="5"/>
    </row>
    <row r="780" spans="2:4" ht="13">
      <c r="B780" s="5"/>
      <c r="C780" s="5"/>
      <c r="D780" s="5"/>
    </row>
    <row r="781" spans="2:4" ht="13">
      <c r="B781" s="5"/>
      <c r="C781" s="5"/>
      <c r="D781" s="5"/>
    </row>
    <row r="782" spans="2:4" ht="13">
      <c r="B782" s="5"/>
      <c r="C782" s="5"/>
      <c r="D782" s="5"/>
    </row>
    <row r="783" spans="2:4" ht="13">
      <c r="B783" s="5"/>
      <c r="C783" s="5"/>
      <c r="D783" s="5"/>
    </row>
    <row r="784" spans="2:4" ht="13">
      <c r="B784" s="5"/>
      <c r="C784" s="5"/>
      <c r="D784" s="5"/>
    </row>
    <row r="785" spans="2:4" ht="13">
      <c r="B785" s="5"/>
      <c r="C785" s="5"/>
      <c r="D785" s="5"/>
    </row>
    <row r="786" spans="2:4" ht="13">
      <c r="B786" s="5"/>
      <c r="C786" s="5"/>
      <c r="D786" s="5"/>
    </row>
    <row r="787" spans="2:4" ht="13">
      <c r="B787" s="5"/>
      <c r="C787" s="5"/>
      <c r="D787" s="5"/>
    </row>
    <row r="788" spans="2:4" ht="13">
      <c r="B788" s="5"/>
      <c r="C788" s="5"/>
      <c r="D788" s="5"/>
    </row>
    <row r="789" spans="2:4" ht="13">
      <c r="B789" s="5"/>
      <c r="C789" s="5"/>
      <c r="D789" s="5"/>
    </row>
    <row r="790" spans="2:4" ht="13">
      <c r="B790" s="5"/>
      <c r="C790" s="5"/>
      <c r="D790" s="5"/>
    </row>
    <row r="791" spans="2:4" ht="13">
      <c r="B791" s="5"/>
      <c r="C791" s="5"/>
      <c r="D791" s="5"/>
    </row>
    <row r="792" spans="2:4" ht="13">
      <c r="B792" s="5"/>
      <c r="C792" s="5"/>
      <c r="D792" s="5"/>
    </row>
    <row r="793" spans="2:4" ht="13">
      <c r="B793" s="5"/>
      <c r="C793" s="5"/>
      <c r="D793" s="5"/>
    </row>
    <row r="794" spans="2:4" ht="13">
      <c r="B794" s="5"/>
      <c r="C794" s="5"/>
      <c r="D794" s="5"/>
    </row>
    <row r="795" spans="2:4" ht="13">
      <c r="B795" s="5"/>
      <c r="C795" s="5"/>
      <c r="D795" s="5"/>
    </row>
    <row r="796" spans="2:4" ht="13">
      <c r="B796" s="5"/>
      <c r="C796" s="5"/>
      <c r="D796" s="5"/>
    </row>
    <row r="797" spans="2:4" ht="13">
      <c r="B797" s="5"/>
      <c r="C797" s="5"/>
      <c r="D797" s="5"/>
    </row>
    <row r="798" spans="2:4" ht="13">
      <c r="B798" s="5"/>
      <c r="C798" s="5"/>
      <c r="D798" s="5"/>
    </row>
    <row r="799" spans="2:4" ht="13">
      <c r="B799" s="5"/>
      <c r="C799" s="5"/>
      <c r="D799" s="5"/>
    </row>
    <row r="800" spans="2:4" ht="13">
      <c r="B800" s="5"/>
      <c r="C800" s="5"/>
      <c r="D800" s="5"/>
    </row>
    <row r="801" spans="2:4" ht="13">
      <c r="B801" s="5"/>
      <c r="C801" s="5"/>
      <c r="D801" s="5"/>
    </row>
    <row r="802" spans="2:4" ht="13">
      <c r="B802" s="5"/>
      <c r="C802" s="5"/>
      <c r="D802" s="5"/>
    </row>
    <row r="803" spans="2:4" ht="13">
      <c r="B803" s="5"/>
      <c r="C803" s="5"/>
      <c r="D803" s="5"/>
    </row>
    <row r="804" spans="2:4" ht="13">
      <c r="B804" s="5"/>
      <c r="C804" s="5"/>
      <c r="D804" s="5"/>
    </row>
    <row r="805" spans="2:4" ht="13">
      <c r="B805" s="5"/>
      <c r="C805" s="5"/>
      <c r="D805" s="5"/>
    </row>
    <row r="806" spans="2:4" ht="13">
      <c r="B806" s="5"/>
      <c r="C806" s="5"/>
      <c r="D806" s="5"/>
    </row>
    <row r="807" spans="2:4" ht="13">
      <c r="B807" s="5"/>
      <c r="C807" s="5"/>
      <c r="D807" s="5"/>
    </row>
    <row r="808" spans="2:4" ht="13">
      <c r="B808" s="5"/>
      <c r="C808" s="5"/>
      <c r="D808" s="5"/>
    </row>
    <row r="809" spans="2:4" ht="13">
      <c r="B809" s="5"/>
      <c r="C809" s="5"/>
      <c r="D809" s="5"/>
    </row>
    <row r="810" spans="2:4" ht="13">
      <c r="B810" s="5"/>
      <c r="C810" s="5"/>
      <c r="D810" s="5"/>
    </row>
    <row r="811" spans="2:4" ht="13">
      <c r="B811" s="5"/>
      <c r="C811" s="5"/>
      <c r="D811" s="5"/>
    </row>
    <row r="812" spans="2:4" ht="13">
      <c r="B812" s="5"/>
      <c r="C812" s="5"/>
      <c r="D812" s="5"/>
    </row>
    <row r="813" spans="2:4" ht="13">
      <c r="B813" s="5"/>
      <c r="C813" s="5"/>
      <c r="D813" s="5"/>
    </row>
    <row r="814" spans="2:4" ht="13">
      <c r="B814" s="5"/>
      <c r="C814" s="5"/>
      <c r="D814" s="5"/>
    </row>
    <row r="815" spans="2:4" ht="13">
      <c r="B815" s="5"/>
      <c r="C815" s="5"/>
      <c r="D815" s="5"/>
    </row>
    <row r="816" spans="2:4" ht="13">
      <c r="B816" s="5"/>
      <c r="C816" s="5"/>
      <c r="D816" s="5"/>
    </row>
    <row r="817" spans="2:4" ht="13">
      <c r="B817" s="5"/>
      <c r="C817" s="5"/>
      <c r="D817" s="5"/>
    </row>
    <row r="818" spans="2:4" ht="13">
      <c r="B818" s="5"/>
      <c r="C818" s="5"/>
      <c r="D818" s="5"/>
    </row>
    <row r="819" spans="2:4" ht="13">
      <c r="B819" s="5"/>
      <c r="C819" s="5"/>
      <c r="D819" s="5"/>
    </row>
    <row r="820" spans="2:4" ht="13">
      <c r="B820" s="5"/>
      <c r="C820" s="5"/>
      <c r="D820" s="5"/>
    </row>
    <row r="821" spans="2:4" ht="13">
      <c r="B821" s="5"/>
      <c r="C821" s="5"/>
      <c r="D821" s="5"/>
    </row>
    <row r="822" spans="2:4" ht="13">
      <c r="B822" s="5"/>
      <c r="C822" s="5"/>
      <c r="D822" s="5"/>
    </row>
    <row r="823" spans="2:4" ht="13">
      <c r="B823" s="5"/>
      <c r="C823" s="5"/>
      <c r="D823" s="5"/>
    </row>
    <row r="824" spans="2:4" ht="13">
      <c r="B824" s="5"/>
      <c r="C824" s="5"/>
      <c r="D824" s="5"/>
    </row>
    <row r="825" spans="2:4" ht="13">
      <c r="B825" s="5"/>
      <c r="C825" s="5"/>
      <c r="D825" s="5"/>
    </row>
    <row r="826" spans="2:4" ht="13">
      <c r="B826" s="5"/>
      <c r="C826" s="5"/>
      <c r="D826" s="5"/>
    </row>
    <row r="827" spans="2:4" ht="13">
      <c r="B827" s="5"/>
      <c r="C827" s="5"/>
      <c r="D827" s="5"/>
    </row>
    <row r="828" spans="2:4" ht="13">
      <c r="B828" s="5"/>
      <c r="C828" s="5"/>
      <c r="D828" s="5"/>
    </row>
    <row r="829" spans="2:4" ht="13">
      <c r="B829" s="5"/>
      <c r="C829" s="5"/>
      <c r="D829" s="5"/>
    </row>
    <row r="830" spans="2:4" ht="13">
      <c r="B830" s="5"/>
      <c r="C830" s="5"/>
      <c r="D830" s="5"/>
    </row>
    <row r="831" spans="2:4" ht="13">
      <c r="B831" s="5"/>
      <c r="C831" s="5"/>
      <c r="D831" s="5"/>
    </row>
    <row r="832" spans="2:4" ht="13">
      <c r="B832" s="5"/>
      <c r="C832" s="5"/>
      <c r="D832" s="5"/>
    </row>
    <row r="833" spans="2:4" ht="13">
      <c r="B833" s="5"/>
      <c r="C833" s="5"/>
      <c r="D833" s="5"/>
    </row>
    <row r="834" spans="2:4" ht="13">
      <c r="B834" s="5"/>
      <c r="C834" s="5"/>
      <c r="D834" s="5"/>
    </row>
    <row r="835" spans="2:4" ht="13">
      <c r="B835" s="5"/>
      <c r="C835" s="5"/>
      <c r="D835" s="5"/>
    </row>
    <row r="836" spans="2:4" ht="13">
      <c r="B836" s="5"/>
      <c r="C836" s="5"/>
      <c r="D836" s="5"/>
    </row>
    <row r="837" spans="2:4" ht="13">
      <c r="B837" s="5"/>
      <c r="C837" s="5"/>
      <c r="D837" s="5"/>
    </row>
    <row r="838" spans="2:4" ht="13">
      <c r="B838" s="5"/>
      <c r="C838" s="5"/>
      <c r="D838" s="5"/>
    </row>
    <row r="839" spans="2:4" ht="13">
      <c r="B839" s="5"/>
      <c r="C839" s="5"/>
      <c r="D839" s="5"/>
    </row>
    <row r="840" spans="2:4" ht="13">
      <c r="B840" s="5"/>
      <c r="C840" s="5"/>
      <c r="D840" s="5"/>
    </row>
    <row r="841" spans="2:4" ht="13">
      <c r="B841" s="5"/>
      <c r="C841" s="5"/>
      <c r="D841" s="5"/>
    </row>
    <row r="842" spans="2:4" ht="13">
      <c r="B842" s="5"/>
      <c r="C842" s="5"/>
      <c r="D842" s="5"/>
    </row>
    <row r="843" spans="2:4" ht="13">
      <c r="B843" s="5"/>
      <c r="C843" s="5"/>
      <c r="D843" s="5"/>
    </row>
    <row r="844" spans="2:4" ht="13">
      <c r="B844" s="5"/>
      <c r="C844" s="5"/>
      <c r="D844" s="5"/>
    </row>
    <row r="845" spans="2:4" ht="13">
      <c r="B845" s="5"/>
      <c r="C845" s="5"/>
      <c r="D845" s="5"/>
    </row>
    <row r="846" spans="2:4" ht="13">
      <c r="B846" s="5"/>
      <c r="C846" s="5"/>
      <c r="D846" s="5"/>
    </row>
    <row r="847" spans="2:4" ht="13">
      <c r="B847" s="5"/>
      <c r="C847" s="5"/>
      <c r="D847" s="5"/>
    </row>
    <row r="848" spans="2:4" ht="13">
      <c r="B848" s="5"/>
      <c r="C848" s="5"/>
      <c r="D848" s="5"/>
    </row>
    <row r="849" spans="2:4" ht="13">
      <c r="B849" s="5"/>
      <c r="C849" s="5"/>
      <c r="D849" s="5"/>
    </row>
    <row r="850" spans="2:4" ht="13">
      <c r="B850" s="5"/>
      <c r="C850" s="5"/>
      <c r="D850" s="5"/>
    </row>
    <row r="851" spans="2:4" ht="13">
      <c r="B851" s="5"/>
      <c r="C851" s="5"/>
      <c r="D851" s="5"/>
    </row>
    <row r="852" spans="2:4" ht="13">
      <c r="B852" s="5"/>
      <c r="C852" s="5"/>
      <c r="D852" s="5"/>
    </row>
    <row r="853" spans="2:4" ht="13">
      <c r="B853" s="5"/>
      <c r="C853" s="5"/>
      <c r="D853" s="5"/>
    </row>
    <row r="854" spans="2:4" ht="13">
      <c r="B854" s="5"/>
      <c r="C854" s="5"/>
      <c r="D854" s="5"/>
    </row>
    <row r="855" spans="2:4" ht="13">
      <c r="B855" s="5"/>
      <c r="C855" s="5"/>
      <c r="D855" s="5"/>
    </row>
    <row r="856" spans="2:4" ht="13">
      <c r="B856" s="5"/>
      <c r="C856" s="5"/>
      <c r="D856" s="5"/>
    </row>
    <row r="857" spans="2:4" ht="13">
      <c r="B857" s="5"/>
      <c r="C857" s="5"/>
      <c r="D857" s="5"/>
    </row>
    <row r="858" spans="2:4" ht="13">
      <c r="B858" s="5"/>
      <c r="C858" s="5"/>
      <c r="D858" s="5"/>
    </row>
    <row r="859" spans="2:4" ht="13">
      <c r="B859" s="5"/>
      <c r="C859" s="5"/>
      <c r="D859" s="5"/>
    </row>
    <row r="860" spans="2:4" ht="13">
      <c r="B860" s="5"/>
      <c r="C860" s="5"/>
      <c r="D860" s="5"/>
    </row>
    <row r="861" spans="2:4" ht="13">
      <c r="B861" s="5"/>
      <c r="C861" s="5"/>
      <c r="D861" s="5"/>
    </row>
    <row r="862" spans="2:4" ht="13">
      <c r="B862" s="5"/>
      <c r="C862" s="5"/>
      <c r="D862" s="5"/>
    </row>
    <row r="863" spans="2:4" ht="13">
      <c r="B863" s="5"/>
      <c r="C863" s="5"/>
      <c r="D863" s="5"/>
    </row>
    <row r="864" spans="2:4" ht="13">
      <c r="B864" s="5"/>
      <c r="C864" s="5"/>
      <c r="D864" s="5"/>
    </row>
    <row r="865" spans="2:4" ht="13">
      <c r="B865" s="5"/>
      <c r="C865" s="5"/>
      <c r="D865" s="5"/>
    </row>
    <row r="866" spans="2:4" ht="13">
      <c r="B866" s="5"/>
      <c r="C866" s="5"/>
      <c r="D866" s="5"/>
    </row>
    <row r="867" spans="2:4" ht="13">
      <c r="B867" s="5"/>
      <c r="C867" s="5"/>
      <c r="D867" s="5"/>
    </row>
    <row r="868" spans="2:4" ht="13">
      <c r="B868" s="5"/>
      <c r="C868" s="5"/>
      <c r="D868" s="5"/>
    </row>
    <row r="869" spans="2:4" ht="13">
      <c r="B869" s="5"/>
      <c r="C869" s="5"/>
      <c r="D869" s="5"/>
    </row>
    <row r="870" spans="2:4" ht="13">
      <c r="B870" s="5"/>
      <c r="C870" s="5"/>
      <c r="D870" s="5"/>
    </row>
    <row r="871" spans="2:4" ht="13">
      <c r="B871" s="5"/>
      <c r="C871" s="5"/>
      <c r="D871" s="5"/>
    </row>
    <row r="872" spans="2:4" ht="13">
      <c r="B872" s="5"/>
      <c r="C872" s="5"/>
      <c r="D872" s="5"/>
    </row>
    <row r="873" spans="2:4" ht="13">
      <c r="B873" s="5"/>
      <c r="C873" s="5"/>
      <c r="D873" s="5"/>
    </row>
    <row r="874" spans="2:4" ht="13">
      <c r="B874" s="5"/>
      <c r="C874" s="5"/>
      <c r="D874" s="5"/>
    </row>
    <row r="875" spans="2:4" ht="13">
      <c r="B875" s="5"/>
      <c r="C875" s="5"/>
      <c r="D875" s="5"/>
    </row>
    <row r="876" spans="2:4" ht="13">
      <c r="B876" s="5"/>
      <c r="C876" s="5"/>
      <c r="D876" s="5"/>
    </row>
    <row r="877" spans="2:4" ht="13">
      <c r="B877" s="5"/>
      <c r="C877" s="5"/>
      <c r="D877" s="5"/>
    </row>
    <row r="878" spans="2:4" ht="13">
      <c r="B878" s="5"/>
      <c r="C878" s="5"/>
      <c r="D878" s="5"/>
    </row>
    <row r="879" spans="2:4" ht="13">
      <c r="B879" s="5"/>
      <c r="C879" s="5"/>
      <c r="D879" s="5"/>
    </row>
    <row r="880" spans="2:4" ht="13">
      <c r="B880" s="5"/>
      <c r="C880" s="5"/>
      <c r="D880" s="5"/>
    </row>
    <row r="881" spans="2:4" ht="13">
      <c r="B881" s="5"/>
      <c r="C881" s="5"/>
      <c r="D881" s="5"/>
    </row>
    <row r="882" spans="2:4" ht="13">
      <c r="B882" s="5"/>
      <c r="C882" s="5"/>
      <c r="D882" s="5"/>
    </row>
    <row r="883" spans="2:4" ht="13">
      <c r="B883" s="5"/>
      <c r="C883" s="5"/>
      <c r="D883" s="5"/>
    </row>
    <row r="884" spans="2:4" ht="13">
      <c r="B884" s="5"/>
      <c r="C884" s="5"/>
      <c r="D884" s="5"/>
    </row>
    <row r="885" spans="2:4" ht="13">
      <c r="B885" s="5"/>
      <c r="C885" s="5"/>
      <c r="D885" s="5"/>
    </row>
    <row r="886" spans="2:4" ht="13">
      <c r="B886" s="5"/>
      <c r="C886" s="5"/>
      <c r="D886" s="5"/>
    </row>
    <row r="887" spans="2:4" ht="13">
      <c r="B887" s="5"/>
      <c r="C887" s="5"/>
      <c r="D887" s="5"/>
    </row>
    <row r="888" spans="2:4" ht="13">
      <c r="B888" s="5"/>
      <c r="C888" s="5"/>
      <c r="D888" s="5"/>
    </row>
    <row r="889" spans="2:4" ht="13">
      <c r="B889" s="5"/>
      <c r="C889" s="5"/>
      <c r="D889" s="5"/>
    </row>
    <row r="890" spans="2:4" ht="13">
      <c r="B890" s="5"/>
      <c r="C890" s="5"/>
      <c r="D890" s="5"/>
    </row>
    <row r="891" spans="2:4" ht="13">
      <c r="B891" s="5"/>
      <c r="C891" s="5"/>
      <c r="D891" s="5"/>
    </row>
    <row r="892" spans="2:4" ht="13">
      <c r="B892" s="5"/>
      <c r="C892" s="5"/>
      <c r="D892" s="5"/>
    </row>
    <row r="893" spans="2:4" ht="13">
      <c r="B893" s="5"/>
      <c r="C893" s="5"/>
      <c r="D893" s="5"/>
    </row>
    <row r="894" spans="2:4" ht="13">
      <c r="B894" s="5"/>
      <c r="C894" s="5"/>
      <c r="D894" s="5"/>
    </row>
    <row r="895" spans="2:4" ht="13">
      <c r="B895" s="5"/>
      <c r="C895" s="5"/>
      <c r="D895" s="5"/>
    </row>
    <row r="896" spans="2:4" ht="13">
      <c r="B896" s="5"/>
      <c r="C896" s="5"/>
      <c r="D896" s="5"/>
    </row>
    <row r="897" spans="2:4" ht="13">
      <c r="B897" s="5"/>
      <c r="C897" s="5"/>
      <c r="D897" s="5"/>
    </row>
    <row r="898" spans="2:4" ht="13">
      <c r="B898" s="5"/>
      <c r="C898" s="5"/>
      <c r="D898" s="5"/>
    </row>
    <row r="899" spans="2:4" ht="13">
      <c r="B899" s="5"/>
      <c r="C899" s="5"/>
      <c r="D899" s="5"/>
    </row>
    <row r="900" spans="2:4" ht="13">
      <c r="B900" s="5"/>
      <c r="C900" s="5"/>
      <c r="D900" s="5"/>
    </row>
    <row r="901" spans="2:4" ht="13">
      <c r="B901" s="5"/>
      <c r="C901" s="5"/>
      <c r="D901" s="5"/>
    </row>
    <row r="902" spans="2:4" ht="13">
      <c r="B902" s="5"/>
      <c r="C902" s="5"/>
      <c r="D902" s="5"/>
    </row>
    <row r="903" spans="2:4" ht="13">
      <c r="B903" s="5"/>
      <c r="C903" s="5"/>
      <c r="D903" s="5"/>
    </row>
    <row r="904" spans="2:4" ht="13">
      <c r="B904" s="5"/>
      <c r="C904" s="5"/>
      <c r="D904" s="5"/>
    </row>
    <row r="905" spans="2:4" ht="13">
      <c r="B905" s="5"/>
      <c r="C905" s="5"/>
      <c r="D905" s="5"/>
    </row>
    <row r="906" spans="2:4" ht="13">
      <c r="B906" s="5"/>
      <c r="C906" s="5"/>
      <c r="D906" s="5"/>
    </row>
    <row r="907" spans="2:4" ht="13">
      <c r="B907" s="5"/>
      <c r="C907" s="5"/>
      <c r="D907" s="5"/>
    </row>
    <row r="908" spans="2:4" ht="13">
      <c r="B908" s="5"/>
      <c r="C908" s="5"/>
      <c r="D908" s="5"/>
    </row>
    <row r="909" spans="2:4" ht="13">
      <c r="B909" s="5"/>
      <c r="C909" s="5"/>
      <c r="D909" s="5"/>
    </row>
    <row r="910" spans="2:4" ht="13">
      <c r="B910" s="5"/>
      <c r="C910" s="5"/>
      <c r="D910" s="5"/>
    </row>
    <row r="911" spans="2:4" ht="13">
      <c r="B911" s="5"/>
      <c r="C911" s="5"/>
      <c r="D911" s="5"/>
    </row>
    <row r="912" spans="2:4" ht="13">
      <c r="B912" s="5"/>
      <c r="C912" s="5"/>
      <c r="D912" s="5"/>
    </row>
    <row r="913" spans="2:4" ht="13">
      <c r="B913" s="5"/>
      <c r="C913" s="5"/>
      <c r="D913" s="5"/>
    </row>
    <row r="914" spans="2:4" ht="13">
      <c r="B914" s="5"/>
      <c r="C914" s="5"/>
      <c r="D914" s="5"/>
    </row>
    <row r="915" spans="2:4" ht="13">
      <c r="B915" s="5"/>
      <c r="C915" s="5"/>
      <c r="D915" s="5"/>
    </row>
    <row r="916" spans="2:4" ht="13">
      <c r="B916" s="5"/>
      <c r="C916" s="5"/>
      <c r="D916" s="5"/>
    </row>
    <row r="917" spans="2:4" ht="13">
      <c r="B917" s="5"/>
      <c r="C917" s="5"/>
      <c r="D917" s="5"/>
    </row>
    <row r="918" spans="2:4" ht="13">
      <c r="B918" s="5"/>
      <c r="C918" s="5"/>
      <c r="D918" s="5"/>
    </row>
    <row r="919" spans="2:4" ht="13">
      <c r="B919" s="5"/>
      <c r="C919" s="5"/>
      <c r="D919" s="5"/>
    </row>
    <row r="920" spans="2:4" ht="13">
      <c r="B920" s="5"/>
      <c r="C920" s="5"/>
      <c r="D920" s="5"/>
    </row>
    <row r="921" spans="2:4" ht="13">
      <c r="B921" s="5"/>
      <c r="C921" s="5"/>
      <c r="D921" s="5"/>
    </row>
    <row r="922" spans="2:4" ht="13">
      <c r="B922" s="5"/>
      <c r="C922" s="5"/>
      <c r="D922" s="5"/>
    </row>
    <row r="923" spans="2:4" ht="13">
      <c r="B923" s="5"/>
      <c r="C923" s="5"/>
      <c r="D923" s="5"/>
    </row>
    <row r="924" spans="2:4" ht="13">
      <c r="B924" s="5"/>
      <c r="C924" s="5"/>
      <c r="D924" s="5"/>
    </row>
    <row r="925" spans="2:4" ht="13">
      <c r="B925" s="5"/>
      <c r="C925" s="5"/>
      <c r="D925" s="5"/>
    </row>
    <row r="926" spans="2:4" ht="13">
      <c r="B926" s="5"/>
      <c r="C926" s="5"/>
      <c r="D926" s="5"/>
    </row>
    <row r="927" spans="2:4" ht="13">
      <c r="B927" s="5"/>
      <c r="C927" s="5"/>
      <c r="D927" s="5"/>
    </row>
    <row r="928" spans="2:4" ht="13">
      <c r="B928" s="5"/>
      <c r="C928" s="5"/>
      <c r="D928" s="5"/>
    </row>
    <row r="929" spans="2:4" ht="13">
      <c r="B929" s="5"/>
      <c r="C929" s="5"/>
      <c r="D929" s="5"/>
    </row>
    <row r="930" spans="2:4" ht="13">
      <c r="B930" s="5"/>
      <c r="C930" s="5"/>
      <c r="D930" s="5"/>
    </row>
    <row r="931" spans="2:4" ht="13">
      <c r="B931" s="5"/>
      <c r="C931" s="5"/>
      <c r="D931" s="5"/>
    </row>
    <row r="932" spans="2:4" ht="13">
      <c r="B932" s="5"/>
      <c r="C932" s="5"/>
      <c r="D932" s="5"/>
    </row>
    <row r="933" spans="2:4" ht="13">
      <c r="B933" s="5"/>
      <c r="C933" s="5"/>
      <c r="D933" s="5"/>
    </row>
    <row r="934" spans="2:4" ht="13">
      <c r="B934" s="5"/>
      <c r="C934" s="5"/>
      <c r="D934" s="5"/>
    </row>
    <row r="935" spans="2:4" ht="13">
      <c r="B935" s="5"/>
      <c r="C935" s="5"/>
      <c r="D935" s="5"/>
    </row>
    <row r="936" spans="2:4" ht="13">
      <c r="B936" s="5"/>
      <c r="C936" s="5"/>
      <c r="D936" s="5"/>
    </row>
    <row r="937" spans="2:4" ht="13">
      <c r="B937" s="5"/>
      <c r="C937" s="5"/>
      <c r="D937" s="5"/>
    </row>
    <row r="938" spans="2:4" ht="13">
      <c r="B938" s="5"/>
      <c r="C938" s="5"/>
      <c r="D938" s="5"/>
    </row>
    <row r="939" spans="2:4" ht="13">
      <c r="B939" s="5"/>
      <c r="C939" s="5"/>
      <c r="D939" s="5"/>
    </row>
    <row r="940" spans="2:4" ht="13">
      <c r="B940" s="5"/>
      <c r="C940" s="5"/>
      <c r="D940" s="5"/>
    </row>
    <row r="941" spans="2:4" ht="13">
      <c r="B941" s="5"/>
      <c r="C941" s="5"/>
      <c r="D941" s="5"/>
    </row>
    <row r="942" spans="2:4" ht="13">
      <c r="B942" s="5"/>
      <c r="C942" s="5"/>
      <c r="D942" s="5"/>
    </row>
    <row r="943" spans="2:4" ht="13">
      <c r="B943" s="5"/>
      <c r="C943" s="5"/>
      <c r="D943" s="5"/>
    </row>
    <row r="944" spans="2:4" ht="13">
      <c r="B944" s="5"/>
      <c r="C944" s="5"/>
      <c r="D944" s="5"/>
    </row>
    <row r="945" spans="2:4" ht="13">
      <c r="B945" s="5"/>
      <c r="C945" s="5"/>
      <c r="D945" s="5"/>
    </row>
    <row r="946" spans="2:4" ht="13">
      <c r="B946" s="5"/>
      <c r="C946" s="5"/>
      <c r="D946" s="5"/>
    </row>
    <row r="947" spans="2:4" ht="13">
      <c r="B947" s="5"/>
      <c r="C947" s="5"/>
      <c r="D947" s="5"/>
    </row>
    <row r="948" spans="2:4" ht="13">
      <c r="B948" s="5"/>
      <c r="C948" s="5"/>
      <c r="D948" s="5"/>
    </row>
    <row r="949" spans="2:4" ht="13">
      <c r="B949" s="5"/>
      <c r="C949" s="5"/>
      <c r="D949" s="5"/>
    </row>
    <row r="950" spans="2:4" ht="13">
      <c r="B950" s="5"/>
      <c r="C950" s="5"/>
      <c r="D950" s="5"/>
    </row>
    <row r="951" spans="2:4" ht="13">
      <c r="B951" s="5"/>
      <c r="C951" s="5"/>
      <c r="D951" s="5"/>
    </row>
    <row r="952" spans="2:4" ht="13">
      <c r="B952" s="5"/>
      <c r="C952" s="5"/>
      <c r="D952" s="5"/>
    </row>
    <row r="953" spans="2:4" ht="13">
      <c r="B953" s="5"/>
      <c r="C953" s="5"/>
      <c r="D953" s="5"/>
    </row>
    <row r="954" spans="2:4" ht="13">
      <c r="B954" s="5"/>
      <c r="C954" s="5"/>
      <c r="D954" s="5"/>
    </row>
    <row r="955" spans="2:4" ht="13">
      <c r="B955" s="5"/>
      <c r="C955" s="5"/>
      <c r="D955" s="5"/>
    </row>
    <row r="956" spans="2:4" ht="13">
      <c r="B956" s="5"/>
      <c r="C956" s="5"/>
      <c r="D956" s="5"/>
    </row>
    <row r="957" spans="2:4" ht="13">
      <c r="B957" s="5"/>
      <c r="C957" s="5"/>
      <c r="D957" s="5"/>
    </row>
    <row r="958" spans="2:4" ht="13">
      <c r="B958" s="5"/>
      <c r="C958" s="5"/>
      <c r="D958" s="5"/>
    </row>
    <row r="959" spans="2:4" ht="13">
      <c r="B959" s="5"/>
      <c r="C959" s="5"/>
      <c r="D959" s="5"/>
    </row>
    <row r="960" spans="2:4" ht="13">
      <c r="B960" s="5"/>
      <c r="C960" s="5"/>
      <c r="D960" s="5"/>
    </row>
    <row r="961" spans="2:4" ht="13">
      <c r="B961" s="5"/>
      <c r="C961" s="5"/>
      <c r="D961" s="5"/>
    </row>
    <row r="962" spans="2:4" ht="13">
      <c r="B962" s="5"/>
      <c r="C962" s="5"/>
      <c r="D962" s="5"/>
    </row>
    <row r="963" spans="2:4" ht="13">
      <c r="B963" s="5"/>
      <c r="C963" s="5"/>
      <c r="D963" s="5"/>
    </row>
    <row r="964" spans="2:4" ht="13">
      <c r="B964" s="5"/>
      <c r="C964" s="5"/>
      <c r="D964" s="5"/>
    </row>
    <row r="965" spans="2:4" ht="13">
      <c r="B965" s="5"/>
      <c r="C965" s="5"/>
      <c r="D965" s="5"/>
    </row>
    <row r="966" spans="2:4" ht="13">
      <c r="B966" s="5"/>
      <c r="C966" s="5"/>
      <c r="D966" s="5"/>
    </row>
    <row r="967" spans="2:4" ht="13">
      <c r="B967" s="5"/>
      <c r="C967" s="5"/>
      <c r="D967" s="5"/>
    </row>
    <row r="968" spans="2:4" ht="13">
      <c r="B968" s="5"/>
      <c r="C968" s="5"/>
      <c r="D968" s="5"/>
    </row>
    <row r="969" spans="2:4" ht="13">
      <c r="B969" s="5"/>
      <c r="C969" s="5"/>
      <c r="D969" s="5"/>
    </row>
    <row r="970" spans="2:4" ht="13">
      <c r="B970" s="5"/>
      <c r="C970" s="5"/>
      <c r="D970" s="5"/>
    </row>
    <row r="971" spans="2:4" ht="13">
      <c r="B971" s="5"/>
      <c r="C971" s="5"/>
      <c r="D971" s="5"/>
    </row>
    <row r="972" spans="2:4" ht="13">
      <c r="B972" s="5"/>
      <c r="C972" s="5"/>
      <c r="D972" s="5"/>
    </row>
    <row r="973" spans="2:4" ht="13">
      <c r="B973" s="5"/>
      <c r="C973" s="5"/>
      <c r="D973" s="5"/>
    </row>
    <row r="974" spans="2:4" ht="13">
      <c r="B974" s="5"/>
      <c r="C974" s="5"/>
      <c r="D974" s="5"/>
    </row>
    <row r="975" spans="2:4" ht="13">
      <c r="B975" s="5"/>
      <c r="C975" s="5"/>
      <c r="D975" s="5"/>
    </row>
    <row r="976" spans="2:4" ht="13">
      <c r="B976" s="5"/>
      <c r="C976" s="5"/>
      <c r="D976" s="5"/>
    </row>
    <row r="977" spans="2:4" ht="13">
      <c r="B977" s="5"/>
      <c r="C977" s="5"/>
      <c r="D977" s="5"/>
    </row>
    <row r="978" spans="2:4" ht="13">
      <c r="B978" s="5"/>
      <c r="C978" s="5"/>
      <c r="D978" s="5"/>
    </row>
    <row r="979" spans="2:4" ht="13">
      <c r="B979" s="5"/>
      <c r="C979" s="5"/>
      <c r="D979" s="5"/>
    </row>
    <row r="980" spans="2:4" ht="13">
      <c r="B980" s="5"/>
      <c r="C980" s="5"/>
      <c r="D980" s="5"/>
    </row>
    <row r="981" spans="2:4" ht="13">
      <c r="B981" s="5"/>
      <c r="C981" s="5"/>
      <c r="D981" s="5"/>
    </row>
    <row r="982" spans="2:4" ht="13">
      <c r="B982" s="5"/>
      <c r="C982" s="5"/>
      <c r="D982" s="5"/>
    </row>
    <row r="983" spans="2:4" ht="13">
      <c r="B983" s="5"/>
      <c r="C983" s="5"/>
      <c r="D983" s="5"/>
    </row>
    <row r="984" spans="2:4" ht="13">
      <c r="B984" s="5"/>
      <c r="C984" s="5"/>
      <c r="D984" s="5"/>
    </row>
    <row r="985" spans="2:4" ht="13">
      <c r="B985" s="5"/>
      <c r="C985" s="5"/>
      <c r="D985" s="5"/>
    </row>
    <row r="986" spans="2:4" ht="13">
      <c r="B986" s="5"/>
      <c r="C986" s="5"/>
      <c r="D986" s="5"/>
    </row>
    <row r="987" spans="2:4" ht="13">
      <c r="B987" s="5"/>
      <c r="C987" s="5"/>
      <c r="D987" s="5"/>
    </row>
    <row r="988" spans="2:4" ht="13">
      <c r="B988" s="5"/>
      <c r="C988" s="5"/>
      <c r="D988" s="5"/>
    </row>
    <row r="989" spans="2:4" ht="13">
      <c r="B989" s="5"/>
      <c r="C989" s="5"/>
      <c r="D989" s="5"/>
    </row>
    <row r="990" spans="2:4" ht="13">
      <c r="B990" s="5"/>
      <c r="C990" s="5"/>
      <c r="D990" s="5"/>
    </row>
    <row r="991" spans="2:4" ht="13">
      <c r="B991" s="5"/>
      <c r="C991" s="5"/>
      <c r="D991" s="5"/>
    </row>
    <row r="992" spans="2:4" ht="13">
      <c r="B992" s="5"/>
      <c r="C992" s="5"/>
      <c r="D992" s="5"/>
    </row>
    <row r="993" spans="2:4" ht="13">
      <c r="B993" s="5"/>
      <c r="C993" s="5"/>
      <c r="D993" s="5"/>
    </row>
    <row r="994" spans="2:4" ht="13">
      <c r="B994" s="5"/>
      <c r="C994" s="5"/>
      <c r="D994" s="5"/>
    </row>
    <row r="995" spans="2:4" ht="13">
      <c r="B995" s="5"/>
      <c r="C995" s="5"/>
      <c r="D995" s="5"/>
    </row>
    <row r="996" spans="2:4" ht="13">
      <c r="B996" s="5"/>
      <c r="C996" s="5"/>
      <c r="D996" s="5"/>
    </row>
    <row r="997" spans="2:4" ht="13">
      <c r="B997" s="5"/>
      <c r="C997" s="5"/>
      <c r="D997" s="5"/>
    </row>
    <row r="998" spans="2:4" ht="13">
      <c r="B998" s="5"/>
      <c r="C998" s="5"/>
      <c r="D998" s="5"/>
    </row>
    <row r="999" spans="2:4" ht="13">
      <c r="B999" s="5"/>
      <c r="C999" s="5"/>
      <c r="D999" s="5"/>
    </row>
    <row r="1000" spans="2:4" ht="13">
      <c r="B1000" s="5"/>
      <c r="C1000" s="5"/>
      <c r="D1000" s="5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1000"/>
  <sheetViews>
    <sheetView workbookViewId="0"/>
  </sheetViews>
  <sheetFormatPr baseColWidth="10" defaultColWidth="12.6640625" defaultRowHeight="15.75" customHeight="1"/>
  <cols>
    <col min="1" max="1" width="2.6640625" customWidth="1"/>
    <col min="6" max="6" width="4" customWidth="1"/>
    <col min="8" max="8" width="16.1640625" customWidth="1"/>
    <col min="9" max="9" width="4.1640625" customWidth="1"/>
    <col min="13" max="13" width="4.83203125" customWidth="1"/>
  </cols>
  <sheetData>
    <row r="1" spans="1:27" ht="7.5" customHeight="1">
      <c r="A1" s="396"/>
    </row>
    <row r="2" spans="1:27" ht="29.25" customHeight="1">
      <c r="A2" s="397"/>
      <c r="B2" s="403" t="s">
        <v>3843</v>
      </c>
      <c r="C2" s="404"/>
      <c r="D2" s="404"/>
      <c r="E2" s="404"/>
      <c r="F2" s="404"/>
      <c r="G2" s="404"/>
      <c r="H2" s="404"/>
      <c r="I2" s="404"/>
      <c r="J2" s="404"/>
      <c r="K2" s="404"/>
      <c r="L2" s="404"/>
      <c r="M2" s="404"/>
      <c r="N2" s="404"/>
      <c r="O2" s="398"/>
      <c r="P2" s="398"/>
      <c r="Q2" s="398"/>
      <c r="R2" s="398"/>
      <c r="S2" s="398"/>
      <c r="T2" s="398"/>
      <c r="U2" s="398"/>
      <c r="V2" s="398"/>
      <c r="W2" s="398"/>
      <c r="X2" s="398"/>
      <c r="Y2" s="398"/>
      <c r="Z2" s="398"/>
      <c r="AA2" s="398"/>
    </row>
    <row r="3" spans="1:27" ht="7.5" customHeight="1">
      <c r="A3" s="399"/>
      <c r="B3" s="400"/>
      <c r="C3" s="400"/>
      <c r="D3" s="400"/>
      <c r="E3" s="400"/>
      <c r="F3" s="400"/>
      <c r="G3" s="400"/>
      <c r="H3" s="400"/>
      <c r="I3" s="400"/>
      <c r="J3" s="400"/>
      <c r="K3" s="400"/>
      <c r="L3" s="400"/>
      <c r="M3" s="400"/>
      <c r="N3" s="400"/>
    </row>
    <row r="4" spans="1:27" ht="16">
      <c r="A4" s="401"/>
      <c r="B4" s="405" t="s">
        <v>3844</v>
      </c>
      <c r="C4" s="404"/>
      <c r="D4" s="404"/>
      <c r="E4" s="404"/>
      <c r="F4" s="404"/>
      <c r="G4" s="404"/>
      <c r="H4" s="404"/>
      <c r="I4" s="404"/>
      <c r="J4" s="404"/>
      <c r="K4" s="404"/>
      <c r="L4" s="404"/>
      <c r="M4" s="404"/>
      <c r="N4" s="404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7.5" customHeight="1">
      <c r="A5" s="396"/>
    </row>
    <row r="6" spans="1:27" ht="1.5" customHeight="1">
      <c r="A6" s="396"/>
    </row>
    <row r="7" spans="1:27" ht="16">
      <c r="A7" s="401"/>
      <c r="B7" s="406" t="s">
        <v>3845</v>
      </c>
      <c r="C7" s="404"/>
      <c r="D7" s="404"/>
      <c r="E7" s="404"/>
      <c r="G7" s="407" t="s">
        <v>3846</v>
      </c>
      <c r="H7" s="404"/>
      <c r="I7" s="404"/>
      <c r="J7" s="404"/>
      <c r="K7" s="404"/>
      <c r="L7" s="404"/>
      <c r="M7" s="404"/>
      <c r="N7" s="404"/>
      <c r="O7" s="401"/>
      <c r="P7" s="401"/>
    </row>
    <row r="8" spans="1:27" ht="13">
      <c r="A8" s="396"/>
    </row>
    <row r="9" spans="1:27" ht="13">
      <c r="A9" s="396"/>
    </row>
    <row r="10" spans="1:27" ht="13">
      <c r="A10" s="396"/>
    </row>
    <row r="11" spans="1:27" ht="13">
      <c r="A11" s="396"/>
    </row>
    <row r="12" spans="1:27" ht="13">
      <c r="A12" s="396"/>
    </row>
    <row r="13" spans="1:27" ht="13">
      <c r="A13" s="396"/>
    </row>
    <row r="14" spans="1:27" ht="13">
      <c r="A14" s="396"/>
    </row>
    <row r="15" spans="1:27" ht="13">
      <c r="A15" s="396"/>
    </row>
    <row r="16" spans="1:27" ht="13">
      <c r="A16" s="396"/>
      <c r="B16" s="396"/>
      <c r="C16" s="396"/>
      <c r="D16" s="396"/>
      <c r="E16" s="396"/>
      <c r="F16" s="396"/>
      <c r="G16" s="396"/>
      <c r="H16" s="396"/>
      <c r="I16" s="396"/>
      <c r="J16" s="396"/>
      <c r="K16" s="402"/>
      <c r="L16" s="402"/>
      <c r="M16" s="402"/>
      <c r="N16" s="402"/>
      <c r="O16" s="396"/>
      <c r="P16" s="396"/>
      <c r="Q16" s="396"/>
      <c r="R16" s="396"/>
      <c r="S16" s="396"/>
      <c r="T16" s="396"/>
      <c r="U16" s="396"/>
      <c r="V16" s="396"/>
      <c r="W16" s="396"/>
      <c r="X16" s="396"/>
      <c r="Y16" s="396"/>
      <c r="Z16" s="396"/>
      <c r="AA16" s="396"/>
    </row>
    <row r="17" spans="1:14" ht="13">
      <c r="A17" s="396"/>
      <c r="K17" s="5"/>
      <c r="M17" s="5"/>
      <c r="N17" s="5"/>
    </row>
    <row r="18" spans="1:14" ht="13">
      <c r="A18" s="396"/>
      <c r="K18" s="5"/>
      <c r="M18" s="5"/>
      <c r="N18" s="5"/>
    </row>
    <row r="19" spans="1:14" ht="13">
      <c r="A19" s="396"/>
      <c r="K19" s="5"/>
      <c r="M19" s="5"/>
      <c r="N19" s="5"/>
    </row>
    <row r="20" spans="1:14" ht="13">
      <c r="A20" s="396"/>
      <c r="K20" s="5"/>
      <c r="M20" s="5"/>
      <c r="N20" s="5"/>
    </row>
    <row r="21" spans="1:14" ht="13">
      <c r="A21" s="396"/>
      <c r="K21" s="5"/>
      <c r="M21" s="5"/>
      <c r="N21" s="5"/>
    </row>
    <row r="22" spans="1:14" ht="16">
      <c r="A22" s="401"/>
      <c r="B22" s="406" t="s">
        <v>3847</v>
      </c>
      <c r="C22" s="404"/>
      <c r="D22" s="404"/>
      <c r="E22" s="404"/>
      <c r="G22" s="406" t="s">
        <v>3848</v>
      </c>
      <c r="H22" s="404"/>
      <c r="I22" s="404"/>
      <c r="J22" s="404"/>
      <c r="K22" s="404"/>
      <c r="L22" s="404"/>
      <c r="M22" s="404"/>
      <c r="N22" s="404"/>
    </row>
    <row r="23" spans="1:14" ht="13">
      <c r="A23" s="396"/>
      <c r="K23" s="5"/>
      <c r="M23" s="5"/>
      <c r="N23" s="5"/>
    </row>
    <row r="24" spans="1:14" ht="13">
      <c r="A24" s="396"/>
      <c r="K24" s="5"/>
      <c r="M24" s="5"/>
      <c r="N24" s="5"/>
    </row>
    <row r="25" spans="1:14" ht="13">
      <c r="A25" s="396"/>
      <c r="K25" s="5"/>
      <c r="M25" s="5"/>
      <c r="N25" s="5"/>
    </row>
    <row r="26" spans="1:14" ht="13">
      <c r="A26" s="396"/>
      <c r="K26" s="5"/>
      <c r="M26" s="5"/>
      <c r="N26" s="5"/>
    </row>
    <row r="27" spans="1:14" ht="13">
      <c r="A27" s="396"/>
      <c r="K27" s="5"/>
      <c r="M27" s="5"/>
      <c r="N27" s="5"/>
    </row>
    <row r="28" spans="1:14" ht="13">
      <c r="A28" s="396"/>
      <c r="K28" s="5"/>
      <c r="M28" s="5"/>
      <c r="N28" s="5"/>
    </row>
    <row r="29" spans="1:14" ht="13">
      <c r="A29" s="396"/>
      <c r="K29" s="5"/>
      <c r="M29" s="5"/>
      <c r="N29" s="5"/>
    </row>
    <row r="30" spans="1:14" ht="13">
      <c r="A30" s="396"/>
      <c r="K30" s="5"/>
      <c r="M30" s="5"/>
      <c r="N30" s="5"/>
    </row>
    <row r="31" spans="1:14" ht="13">
      <c r="A31" s="396"/>
      <c r="K31" s="5"/>
      <c r="M31" s="5"/>
      <c r="N31" s="5"/>
    </row>
    <row r="32" spans="1:14" ht="13">
      <c r="A32" s="396"/>
      <c r="K32" s="5"/>
      <c r="M32" s="5"/>
      <c r="N32" s="5"/>
    </row>
    <row r="33" spans="1:14" ht="13">
      <c r="A33" s="396"/>
      <c r="K33" s="5"/>
      <c r="M33" s="5"/>
      <c r="N33" s="5"/>
    </row>
    <row r="34" spans="1:14" ht="13">
      <c r="A34" s="396"/>
      <c r="K34" s="5"/>
      <c r="M34" s="5"/>
      <c r="N34" s="5"/>
    </row>
    <row r="35" spans="1:14" ht="13">
      <c r="A35" s="396"/>
      <c r="K35" s="5"/>
      <c r="M35" s="5"/>
      <c r="N35" s="5"/>
    </row>
    <row r="36" spans="1:14" ht="13">
      <c r="A36" s="396"/>
      <c r="K36" s="5"/>
      <c r="M36" s="5"/>
      <c r="N36" s="5"/>
    </row>
    <row r="37" spans="1:14" ht="16">
      <c r="A37" s="401"/>
      <c r="B37" s="406" t="s">
        <v>3849</v>
      </c>
      <c r="C37" s="404"/>
      <c r="D37" s="404"/>
      <c r="E37" s="404"/>
      <c r="G37" s="406" t="s">
        <v>3850</v>
      </c>
      <c r="H37" s="404"/>
      <c r="I37" s="404"/>
      <c r="J37" s="404"/>
      <c r="K37" s="404"/>
      <c r="L37" s="404"/>
      <c r="M37" s="404"/>
      <c r="N37" s="404"/>
    </row>
    <row r="38" spans="1:14" ht="13">
      <c r="A38" s="396"/>
      <c r="K38" s="5"/>
      <c r="M38" s="5"/>
      <c r="N38" s="5"/>
    </row>
    <row r="39" spans="1:14" ht="13">
      <c r="A39" s="396"/>
      <c r="K39" s="5"/>
      <c r="M39" s="5"/>
      <c r="N39" s="5"/>
    </row>
    <row r="40" spans="1:14" ht="13">
      <c r="A40" s="396"/>
      <c r="K40" s="5"/>
      <c r="M40" s="5"/>
      <c r="N40" s="5"/>
    </row>
    <row r="41" spans="1:14" ht="13">
      <c r="A41" s="396"/>
      <c r="K41" s="5"/>
      <c r="M41" s="5"/>
      <c r="N41" s="5"/>
    </row>
    <row r="42" spans="1:14" ht="13">
      <c r="A42" s="396"/>
      <c r="K42" s="5"/>
      <c r="M42" s="5"/>
      <c r="N42" s="5"/>
    </row>
    <row r="43" spans="1:14" ht="13">
      <c r="A43" s="396"/>
      <c r="K43" s="5"/>
      <c r="M43" s="5"/>
      <c r="N43" s="5"/>
    </row>
    <row r="44" spans="1:14" ht="13">
      <c r="A44" s="396"/>
      <c r="K44" s="5"/>
      <c r="M44" s="5"/>
      <c r="N44" s="5"/>
    </row>
    <row r="45" spans="1:14" ht="13">
      <c r="A45" s="396"/>
      <c r="K45" s="5"/>
      <c r="M45" s="5"/>
      <c r="N45" s="5"/>
    </row>
    <row r="46" spans="1:14" ht="13">
      <c r="A46" s="396"/>
      <c r="K46" s="5"/>
      <c r="M46" s="5"/>
      <c r="N46" s="5"/>
    </row>
    <row r="47" spans="1:14" ht="13">
      <c r="A47" s="396"/>
      <c r="K47" s="5"/>
      <c r="M47" s="5"/>
      <c r="N47" s="5"/>
    </row>
    <row r="48" spans="1:14" ht="13">
      <c r="A48" s="396"/>
      <c r="K48" s="5"/>
      <c r="M48" s="5"/>
      <c r="N48" s="5"/>
    </row>
    <row r="49" spans="1:14" ht="13">
      <c r="A49" s="396"/>
      <c r="K49" s="5"/>
      <c r="M49" s="5"/>
      <c r="N49" s="5"/>
    </row>
    <row r="50" spans="1:14" ht="13">
      <c r="A50" s="396"/>
      <c r="K50" s="5"/>
      <c r="M50" s="5"/>
      <c r="N50" s="5"/>
    </row>
    <row r="51" spans="1:14" ht="13">
      <c r="A51" s="396"/>
      <c r="K51" s="5"/>
      <c r="M51" s="5"/>
      <c r="N51" s="5"/>
    </row>
    <row r="52" spans="1:14" ht="13">
      <c r="A52" s="396"/>
      <c r="K52" s="5"/>
      <c r="M52" s="5"/>
      <c r="N52" s="5"/>
    </row>
    <row r="53" spans="1:14" ht="13">
      <c r="A53" s="396"/>
      <c r="K53" s="5"/>
      <c r="M53" s="5"/>
      <c r="N53" s="5"/>
    </row>
    <row r="54" spans="1:14" ht="13">
      <c r="A54" s="396"/>
      <c r="K54" s="5"/>
      <c r="M54" s="5"/>
      <c r="N54" s="5"/>
    </row>
    <row r="55" spans="1:14" ht="13">
      <c r="A55" s="396"/>
      <c r="K55" s="5"/>
      <c r="M55" s="5"/>
      <c r="N55" s="5"/>
    </row>
    <row r="56" spans="1:14" ht="13">
      <c r="A56" s="396"/>
      <c r="K56" s="5"/>
      <c r="M56" s="5"/>
      <c r="N56" s="5"/>
    </row>
    <row r="57" spans="1:14" ht="13">
      <c r="A57" s="396"/>
      <c r="K57" s="5"/>
      <c r="M57" s="5"/>
      <c r="N57" s="5"/>
    </row>
    <row r="58" spans="1:14" ht="13">
      <c r="A58" s="396"/>
      <c r="K58" s="5"/>
      <c r="M58" s="5"/>
      <c r="N58" s="5"/>
    </row>
    <row r="59" spans="1:14" ht="13">
      <c r="A59" s="396"/>
      <c r="K59" s="5"/>
      <c r="M59" s="5"/>
      <c r="N59" s="5"/>
    </row>
    <row r="60" spans="1:14" ht="13">
      <c r="A60" s="396"/>
      <c r="K60" s="5"/>
      <c r="M60" s="5"/>
      <c r="N60" s="5"/>
    </row>
    <row r="61" spans="1:14" ht="13">
      <c r="A61" s="396"/>
      <c r="K61" s="5"/>
      <c r="M61" s="5"/>
      <c r="N61" s="5"/>
    </row>
    <row r="62" spans="1:14" ht="13">
      <c r="A62" s="396"/>
      <c r="K62" s="5"/>
      <c r="M62" s="5"/>
      <c r="N62" s="5"/>
    </row>
    <row r="63" spans="1:14" ht="13">
      <c r="A63" s="396"/>
      <c r="K63" s="5"/>
      <c r="M63" s="5"/>
      <c r="N63" s="5"/>
    </row>
    <row r="64" spans="1:14" ht="13">
      <c r="A64" s="396"/>
      <c r="K64" s="5"/>
      <c r="M64" s="5"/>
      <c r="N64" s="5"/>
    </row>
    <row r="65" spans="1:14" ht="13">
      <c r="A65" s="396"/>
      <c r="K65" s="5"/>
      <c r="M65" s="5"/>
      <c r="N65" s="5"/>
    </row>
    <row r="66" spans="1:14" ht="13">
      <c r="A66" s="396"/>
      <c r="K66" s="5"/>
      <c r="M66" s="5"/>
      <c r="N66" s="5"/>
    </row>
    <row r="67" spans="1:14" ht="13">
      <c r="A67" s="396"/>
      <c r="K67" s="5"/>
      <c r="M67" s="5"/>
      <c r="N67" s="5"/>
    </row>
    <row r="68" spans="1:14" ht="13">
      <c r="A68" s="396"/>
      <c r="K68" s="5"/>
      <c r="M68" s="5"/>
      <c r="N68" s="5"/>
    </row>
    <row r="69" spans="1:14" ht="13">
      <c r="A69" s="396"/>
      <c r="K69" s="5"/>
      <c r="M69" s="5"/>
      <c r="N69" s="5"/>
    </row>
    <row r="70" spans="1:14" ht="13">
      <c r="A70" s="396"/>
      <c r="K70" s="5"/>
      <c r="M70" s="5"/>
      <c r="N70" s="5"/>
    </row>
    <row r="71" spans="1:14" ht="13">
      <c r="A71" s="396"/>
      <c r="K71" s="5"/>
      <c r="M71" s="5"/>
      <c r="N71" s="5"/>
    </row>
    <row r="72" spans="1:14" ht="13">
      <c r="A72" s="396"/>
      <c r="K72" s="5"/>
      <c r="M72" s="5"/>
      <c r="N72" s="5"/>
    </row>
    <row r="73" spans="1:14" ht="13">
      <c r="A73" s="396"/>
      <c r="K73" s="5"/>
      <c r="M73" s="5"/>
      <c r="N73" s="5"/>
    </row>
    <row r="74" spans="1:14" ht="13">
      <c r="A74" s="396"/>
      <c r="K74" s="5"/>
      <c r="M74" s="5"/>
      <c r="N74" s="5"/>
    </row>
    <row r="75" spans="1:14" ht="13">
      <c r="A75" s="396"/>
      <c r="K75" s="5"/>
      <c r="M75" s="5"/>
      <c r="N75" s="5"/>
    </row>
    <row r="76" spans="1:14" ht="13">
      <c r="A76" s="396"/>
      <c r="K76" s="5"/>
      <c r="M76" s="5"/>
      <c r="N76" s="5"/>
    </row>
    <row r="77" spans="1:14" ht="13">
      <c r="A77" s="396"/>
      <c r="K77" s="5"/>
      <c r="M77" s="5"/>
      <c r="N77" s="5"/>
    </row>
    <row r="78" spans="1:14" ht="13">
      <c r="A78" s="396"/>
      <c r="K78" s="5"/>
      <c r="M78" s="5"/>
      <c r="N78" s="5"/>
    </row>
    <row r="79" spans="1:14" ht="13">
      <c r="A79" s="396"/>
      <c r="K79" s="5"/>
      <c r="M79" s="5"/>
      <c r="N79" s="5"/>
    </row>
    <row r="80" spans="1:14" ht="13">
      <c r="A80" s="396"/>
      <c r="K80" s="5"/>
      <c r="M80" s="5"/>
      <c r="N80" s="5"/>
    </row>
    <row r="81" spans="1:14" ht="13">
      <c r="A81" s="396"/>
      <c r="K81" s="5"/>
      <c r="M81" s="5"/>
      <c r="N81" s="5"/>
    </row>
    <row r="82" spans="1:14" ht="13">
      <c r="A82" s="396"/>
      <c r="K82" s="5"/>
      <c r="M82" s="5"/>
      <c r="N82" s="5"/>
    </row>
    <row r="83" spans="1:14" ht="13">
      <c r="A83" s="396"/>
      <c r="K83" s="5"/>
      <c r="M83" s="5"/>
      <c r="N83" s="5"/>
    </row>
    <row r="84" spans="1:14" ht="13">
      <c r="A84" s="396"/>
      <c r="K84" s="5"/>
      <c r="M84" s="5"/>
      <c r="N84" s="5"/>
    </row>
    <row r="85" spans="1:14" ht="13">
      <c r="A85" s="396"/>
      <c r="K85" s="5"/>
      <c r="M85" s="5"/>
      <c r="N85" s="5"/>
    </row>
    <row r="86" spans="1:14" ht="13">
      <c r="A86" s="396"/>
      <c r="K86" s="5"/>
      <c r="M86" s="5"/>
      <c r="N86" s="5"/>
    </row>
    <row r="87" spans="1:14" ht="13">
      <c r="A87" s="396"/>
      <c r="K87" s="5"/>
      <c r="M87" s="5"/>
      <c r="N87" s="5"/>
    </row>
    <row r="88" spans="1:14" ht="13">
      <c r="A88" s="396"/>
      <c r="K88" s="5"/>
      <c r="M88" s="5"/>
      <c r="N88" s="5"/>
    </row>
    <row r="89" spans="1:14" ht="13">
      <c r="A89" s="396"/>
      <c r="K89" s="5"/>
      <c r="M89" s="5"/>
      <c r="N89" s="5"/>
    </row>
    <row r="90" spans="1:14" ht="13">
      <c r="A90" s="396"/>
      <c r="K90" s="5"/>
      <c r="M90" s="5"/>
      <c r="N90" s="5"/>
    </row>
    <row r="91" spans="1:14" ht="13">
      <c r="A91" s="396"/>
      <c r="K91" s="5"/>
      <c r="M91" s="5"/>
      <c r="N91" s="5"/>
    </row>
    <row r="92" spans="1:14" ht="13">
      <c r="A92" s="396"/>
      <c r="K92" s="5"/>
      <c r="M92" s="5"/>
      <c r="N92" s="5"/>
    </row>
    <row r="93" spans="1:14" ht="13">
      <c r="A93" s="396"/>
      <c r="K93" s="5"/>
      <c r="M93" s="5"/>
      <c r="N93" s="5"/>
    </row>
    <row r="94" spans="1:14" ht="13">
      <c r="A94" s="396"/>
      <c r="K94" s="5"/>
      <c r="M94" s="5"/>
      <c r="N94" s="5"/>
    </row>
    <row r="95" spans="1:14" ht="13">
      <c r="A95" s="396"/>
      <c r="K95" s="5"/>
      <c r="M95" s="5"/>
      <c r="N95" s="5"/>
    </row>
    <row r="96" spans="1:14" ht="13">
      <c r="A96" s="396"/>
      <c r="K96" s="5"/>
      <c r="M96" s="5"/>
      <c r="N96" s="5"/>
    </row>
    <row r="97" spans="1:14" ht="13">
      <c r="A97" s="396"/>
      <c r="K97" s="5"/>
      <c r="M97" s="5"/>
      <c r="N97" s="5"/>
    </row>
    <row r="98" spans="1:14" ht="13">
      <c r="A98" s="396"/>
      <c r="K98" s="5"/>
      <c r="M98" s="5"/>
      <c r="N98" s="5"/>
    </row>
    <row r="99" spans="1:14" ht="13">
      <c r="A99" s="396"/>
      <c r="K99" s="5"/>
      <c r="M99" s="5"/>
      <c r="N99" s="5"/>
    </row>
    <row r="100" spans="1:14" ht="13">
      <c r="A100" s="396"/>
      <c r="K100" s="5"/>
      <c r="M100" s="5"/>
      <c r="N100" s="5"/>
    </row>
    <row r="101" spans="1:14" ht="13">
      <c r="A101" s="396"/>
      <c r="K101" s="5"/>
      <c r="M101" s="5"/>
      <c r="N101" s="5"/>
    </row>
    <row r="102" spans="1:14" ht="13">
      <c r="A102" s="396"/>
      <c r="K102" s="5"/>
      <c r="M102" s="5"/>
      <c r="N102" s="5"/>
    </row>
    <row r="103" spans="1:14" ht="13">
      <c r="A103" s="396"/>
      <c r="K103" s="5"/>
      <c r="M103" s="5"/>
      <c r="N103" s="5"/>
    </row>
    <row r="104" spans="1:14" ht="13">
      <c r="A104" s="396"/>
      <c r="K104" s="5"/>
      <c r="M104" s="5"/>
      <c r="N104" s="5"/>
    </row>
    <row r="105" spans="1:14" ht="13">
      <c r="A105" s="396"/>
      <c r="K105" s="5"/>
      <c r="M105" s="5"/>
      <c r="N105" s="5"/>
    </row>
    <row r="106" spans="1:14" ht="13">
      <c r="A106" s="396"/>
      <c r="K106" s="5"/>
      <c r="M106" s="5"/>
      <c r="N106" s="5"/>
    </row>
    <row r="107" spans="1:14" ht="13">
      <c r="A107" s="396"/>
      <c r="K107" s="5"/>
      <c r="M107" s="5"/>
      <c r="N107" s="5"/>
    </row>
    <row r="108" spans="1:14" ht="13">
      <c r="A108" s="396"/>
      <c r="K108" s="5"/>
      <c r="M108" s="5"/>
      <c r="N108" s="5"/>
    </row>
    <row r="109" spans="1:14" ht="13">
      <c r="A109" s="396"/>
      <c r="K109" s="5"/>
      <c r="M109" s="5"/>
      <c r="N109" s="5"/>
    </row>
    <row r="110" spans="1:14" ht="13">
      <c r="A110" s="396"/>
      <c r="K110" s="5"/>
      <c r="M110" s="5"/>
      <c r="N110" s="5"/>
    </row>
    <row r="111" spans="1:14" ht="13">
      <c r="A111" s="396"/>
      <c r="K111" s="5"/>
      <c r="M111" s="5"/>
      <c r="N111" s="5"/>
    </row>
    <row r="112" spans="1:14" ht="13">
      <c r="A112" s="396"/>
      <c r="K112" s="5"/>
      <c r="M112" s="5"/>
      <c r="N112" s="5"/>
    </row>
    <row r="113" spans="1:14" ht="13">
      <c r="A113" s="396"/>
      <c r="K113" s="5"/>
      <c r="M113" s="5"/>
      <c r="N113" s="5"/>
    </row>
    <row r="114" spans="1:14" ht="13">
      <c r="A114" s="396"/>
      <c r="K114" s="5"/>
      <c r="M114" s="5"/>
      <c r="N114" s="5"/>
    </row>
    <row r="115" spans="1:14" ht="13">
      <c r="A115" s="396"/>
      <c r="K115" s="5"/>
      <c r="M115" s="5"/>
      <c r="N115" s="5"/>
    </row>
    <row r="116" spans="1:14" ht="13">
      <c r="A116" s="396"/>
      <c r="K116" s="5"/>
      <c r="M116" s="5"/>
      <c r="N116" s="5"/>
    </row>
    <row r="117" spans="1:14" ht="13">
      <c r="A117" s="396"/>
      <c r="K117" s="5"/>
      <c r="M117" s="5"/>
      <c r="N117" s="5"/>
    </row>
    <row r="118" spans="1:14" ht="13">
      <c r="A118" s="396"/>
      <c r="K118" s="5"/>
      <c r="M118" s="5"/>
      <c r="N118" s="5"/>
    </row>
    <row r="119" spans="1:14" ht="13">
      <c r="A119" s="396"/>
      <c r="K119" s="5"/>
      <c r="M119" s="5"/>
      <c r="N119" s="5"/>
    </row>
    <row r="120" spans="1:14" ht="13">
      <c r="A120" s="396"/>
      <c r="K120" s="5"/>
      <c r="M120" s="5"/>
      <c r="N120" s="5"/>
    </row>
    <row r="121" spans="1:14" ht="13">
      <c r="A121" s="396"/>
      <c r="K121" s="5"/>
      <c r="M121" s="5"/>
      <c r="N121" s="5"/>
    </row>
    <row r="122" spans="1:14" ht="13">
      <c r="A122" s="396"/>
      <c r="K122" s="5"/>
      <c r="M122" s="5"/>
      <c r="N122" s="5"/>
    </row>
    <row r="123" spans="1:14" ht="13">
      <c r="A123" s="396"/>
      <c r="K123" s="5"/>
      <c r="M123" s="5"/>
      <c r="N123" s="5"/>
    </row>
    <row r="124" spans="1:14" ht="13">
      <c r="A124" s="396"/>
      <c r="K124" s="5"/>
      <c r="M124" s="5"/>
      <c r="N124" s="5"/>
    </row>
    <row r="125" spans="1:14" ht="13">
      <c r="A125" s="396"/>
      <c r="K125" s="5"/>
      <c r="M125" s="5"/>
      <c r="N125" s="5"/>
    </row>
    <row r="126" spans="1:14" ht="13">
      <c r="A126" s="396"/>
      <c r="K126" s="5"/>
      <c r="M126" s="5"/>
      <c r="N126" s="5"/>
    </row>
    <row r="127" spans="1:14" ht="13">
      <c r="A127" s="396"/>
      <c r="K127" s="5"/>
      <c r="M127" s="5"/>
      <c r="N127" s="5"/>
    </row>
    <row r="128" spans="1:14" ht="13">
      <c r="A128" s="396"/>
      <c r="K128" s="5"/>
      <c r="M128" s="5"/>
      <c r="N128" s="5"/>
    </row>
    <row r="129" spans="1:14" ht="13">
      <c r="A129" s="396"/>
      <c r="K129" s="5"/>
      <c r="M129" s="5"/>
      <c r="N129" s="5"/>
    </row>
    <row r="130" spans="1:14" ht="13">
      <c r="A130" s="396"/>
      <c r="K130" s="5"/>
      <c r="M130" s="5"/>
      <c r="N130" s="5"/>
    </row>
    <row r="131" spans="1:14" ht="13">
      <c r="A131" s="396"/>
      <c r="K131" s="5"/>
      <c r="M131" s="5"/>
      <c r="N131" s="5"/>
    </row>
    <row r="132" spans="1:14" ht="13">
      <c r="A132" s="396"/>
      <c r="K132" s="5"/>
      <c r="M132" s="5"/>
      <c r="N132" s="5"/>
    </row>
    <row r="133" spans="1:14" ht="13">
      <c r="A133" s="396"/>
      <c r="K133" s="5"/>
      <c r="M133" s="5"/>
      <c r="N133" s="5"/>
    </row>
    <row r="134" spans="1:14" ht="13">
      <c r="A134" s="396"/>
      <c r="K134" s="5"/>
      <c r="M134" s="5"/>
      <c r="N134" s="5"/>
    </row>
    <row r="135" spans="1:14" ht="13">
      <c r="A135" s="396"/>
      <c r="K135" s="5"/>
      <c r="M135" s="5"/>
      <c r="N135" s="5"/>
    </row>
    <row r="136" spans="1:14" ht="13">
      <c r="A136" s="396"/>
      <c r="K136" s="5"/>
      <c r="M136" s="5"/>
      <c r="N136" s="5"/>
    </row>
    <row r="137" spans="1:14" ht="13">
      <c r="A137" s="396"/>
      <c r="K137" s="5"/>
      <c r="M137" s="5"/>
      <c r="N137" s="5"/>
    </row>
    <row r="138" spans="1:14" ht="13">
      <c r="A138" s="396"/>
      <c r="K138" s="5"/>
      <c r="M138" s="5"/>
      <c r="N138" s="5"/>
    </row>
    <row r="139" spans="1:14" ht="13">
      <c r="A139" s="396"/>
      <c r="K139" s="5"/>
      <c r="M139" s="5"/>
      <c r="N139" s="5"/>
    </row>
    <row r="140" spans="1:14" ht="13">
      <c r="A140" s="396"/>
      <c r="K140" s="5"/>
      <c r="M140" s="5"/>
      <c r="N140" s="5"/>
    </row>
    <row r="141" spans="1:14" ht="13">
      <c r="A141" s="396"/>
      <c r="K141" s="5"/>
      <c r="M141" s="5"/>
      <c r="N141" s="5"/>
    </row>
    <row r="142" spans="1:14" ht="13">
      <c r="A142" s="396"/>
      <c r="K142" s="5"/>
      <c r="M142" s="5"/>
      <c r="N142" s="5"/>
    </row>
    <row r="143" spans="1:14" ht="13">
      <c r="A143" s="396"/>
      <c r="K143" s="5"/>
      <c r="M143" s="5"/>
      <c r="N143" s="5"/>
    </row>
    <row r="144" spans="1:14" ht="13">
      <c r="A144" s="396"/>
      <c r="K144" s="5"/>
      <c r="M144" s="5"/>
      <c r="N144" s="5"/>
    </row>
    <row r="145" spans="1:14" ht="13">
      <c r="A145" s="396"/>
      <c r="K145" s="5"/>
      <c r="M145" s="5"/>
      <c r="N145" s="5"/>
    </row>
    <row r="146" spans="1:14" ht="13">
      <c r="A146" s="396"/>
      <c r="K146" s="5"/>
      <c r="M146" s="5"/>
      <c r="N146" s="5"/>
    </row>
    <row r="147" spans="1:14" ht="13">
      <c r="A147" s="396"/>
      <c r="K147" s="5"/>
      <c r="M147" s="5"/>
      <c r="N147" s="5"/>
    </row>
    <row r="148" spans="1:14" ht="13">
      <c r="A148" s="396"/>
      <c r="K148" s="5"/>
      <c r="M148" s="5"/>
      <c r="N148" s="5"/>
    </row>
    <row r="149" spans="1:14" ht="13">
      <c r="A149" s="396"/>
      <c r="K149" s="5"/>
      <c r="M149" s="5"/>
      <c r="N149" s="5"/>
    </row>
    <row r="150" spans="1:14" ht="13">
      <c r="A150" s="396"/>
      <c r="K150" s="5"/>
      <c r="M150" s="5"/>
      <c r="N150" s="5"/>
    </row>
    <row r="151" spans="1:14" ht="13">
      <c r="A151" s="396"/>
      <c r="K151" s="5"/>
      <c r="M151" s="5"/>
      <c r="N151" s="5"/>
    </row>
    <row r="152" spans="1:14" ht="13">
      <c r="A152" s="396"/>
      <c r="K152" s="5"/>
      <c r="M152" s="5"/>
      <c r="N152" s="5"/>
    </row>
    <row r="153" spans="1:14" ht="13">
      <c r="A153" s="396"/>
      <c r="K153" s="5"/>
      <c r="M153" s="5"/>
      <c r="N153" s="5"/>
    </row>
    <row r="154" spans="1:14" ht="13">
      <c r="A154" s="396"/>
      <c r="K154" s="5"/>
      <c r="M154" s="5"/>
      <c r="N154" s="5"/>
    </row>
    <row r="155" spans="1:14" ht="13">
      <c r="A155" s="396"/>
      <c r="K155" s="5"/>
      <c r="M155" s="5"/>
      <c r="N155" s="5"/>
    </row>
    <row r="156" spans="1:14" ht="13">
      <c r="A156" s="396"/>
      <c r="K156" s="5"/>
      <c r="M156" s="5"/>
      <c r="N156" s="5"/>
    </row>
    <row r="157" spans="1:14" ht="13">
      <c r="A157" s="396"/>
      <c r="K157" s="5"/>
      <c r="M157" s="5"/>
      <c r="N157" s="5"/>
    </row>
    <row r="158" spans="1:14" ht="13">
      <c r="A158" s="396"/>
      <c r="K158" s="5"/>
      <c r="M158" s="5"/>
      <c r="N158" s="5"/>
    </row>
    <row r="159" spans="1:14" ht="13">
      <c r="A159" s="396"/>
      <c r="K159" s="5"/>
      <c r="M159" s="5"/>
      <c r="N159" s="5"/>
    </row>
    <row r="160" spans="1:14" ht="13">
      <c r="A160" s="396"/>
      <c r="K160" s="5"/>
      <c r="M160" s="5"/>
      <c r="N160" s="5"/>
    </row>
    <row r="161" spans="1:14" ht="13">
      <c r="A161" s="396"/>
      <c r="K161" s="5"/>
      <c r="M161" s="5"/>
      <c r="N161" s="5"/>
    </row>
    <row r="162" spans="1:14" ht="13">
      <c r="A162" s="396"/>
      <c r="K162" s="5"/>
      <c r="M162" s="5"/>
      <c r="N162" s="5"/>
    </row>
    <row r="163" spans="1:14" ht="13">
      <c r="A163" s="396"/>
      <c r="K163" s="5"/>
      <c r="M163" s="5"/>
      <c r="N163" s="5"/>
    </row>
    <row r="164" spans="1:14" ht="13">
      <c r="A164" s="396"/>
      <c r="K164" s="5"/>
      <c r="M164" s="5"/>
      <c r="N164" s="5"/>
    </row>
    <row r="165" spans="1:14" ht="13">
      <c r="A165" s="396"/>
      <c r="K165" s="5"/>
      <c r="M165" s="5"/>
      <c r="N165" s="5"/>
    </row>
    <row r="166" spans="1:14" ht="13">
      <c r="A166" s="396"/>
      <c r="K166" s="5"/>
      <c r="M166" s="5"/>
      <c r="N166" s="5"/>
    </row>
    <row r="167" spans="1:14" ht="13">
      <c r="A167" s="396"/>
      <c r="K167" s="5"/>
      <c r="M167" s="5"/>
      <c r="N167" s="5"/>
    </row>
    <row r="168" spans="1:14" ht="13">
      <c r="A168" s="396"/>
      <c r="K168" s="5"/>
      <c r="M168" s="5"/>
      <c r="N168" s="5"/>
    </row>
    <row r="169" spans="1:14" ht="13">
      <c r="A169" s="396"/>
      <c r="K169" s="5"/>
      <c r="M169" s="5"/>
      <c r="N169" s="5"/>
    </row>
    <row r="170" spans="1:14" ht="13">
      <c r="A170" s="396"/>
      <c r="K170" s="5"/>
      <c r="M170" s="5"/>
      <c r="N170" s="5"/>
    </row>
    <row r="171" spans="1:14" ht="13">
      <c r="A171" s="396"/>
      <c r="K171" s="5"/>
      <c r="M171" s="5"/>
      <c r="N171" s="5"/>
    </row>
    <row r="172" spans="1:14" ht="13">
      <c r="A172" s="396"/>
      <c r="K172" s="5"/>
      <c r="M172" s="5"/>
      <c r="N172" s="5"/>
    </row>
    <row r="173" spans="1:14" ht="13">
      <c r="A173" s="396"/>
      <c r="K173" s="5"/>
      <c r="M173" s="5"/>
      <c r="N173" s="5"/>
    </row>
    <row r="174" spans="1:14" ht="13">
      <c r="A174" s="396"/>
      <c r="K174" s="5"/>
      <c r="M174" s="5"/>
      <c r="N174" s="5"/>
    </row>
    <row r="175" spans="1:14" ht="13">
      <c r="A175" s="396"/>
      <c r="K175" s="5"/>
      <c r="M175" s="5"/>
      <c r="N175" s="5"/>
    </row>
    <row r="176" spans="1:14" ht="13">
      <c r="A176" s="396"/>
      <c r="K176" s="5"/>
      <c r="M176" s="5"/>
      <c r="N176" s="5"/>
    </row>
    <row r="177" spans="1:14" ht="13">
      <c r="A177" s="396"/>
      <c r="K177" s="5"/>
      <c r="M177" s="5"/>
      <c r="N177" s="5"/>
    </row>
    <row r="178" spans="1:14" ht="13">
      <c r="A178" s="396"/>
      <c r="K178" s="5"/>
      <c r="M178" s="5"/>
      <c r="N178" s="5"/>
    </row>
    <row r="179" spans="1:14" ht="13">
      <c r="A179" s="396"/>
      <c r="K179" s="5"/>
      <c r="M179" s="5"/>
      <c r="N179" s="5"/>
    </row>
    <row r="180" spans="1:14" ht="13">
      <c r="A180" s="396"/>
      <c r="K180" s="5"/>
      <c r="M180" s="5"/>
      <c r="N180" s="5"/>
    </row>
    <row r="181" spans="1:14" ht="13">
      <c r="A181" s="396"/>
      <c r="K181" s="5"/>
      <c r="M181" s="5"/>
      <c r="N181" s="5"/>
    </row>
    <row r="182" spans="1:14" ht="13">
      <c r="A182" s="396"/>
      <c r="K182" s="5"/>
      <c r="M182" s="5"/>
      <c r="N182" s="5"/>
    </row>
    <row r="183" spans="1:14" ht="13">
      <c r="A183" s="396"/>
      <c r="K183" s="5"/>
      <c r="M183" s="5"/>
      <c r="N183" s="5"/>
    </row>
    <row r="184" spans="1:14" ht="13">
      <c r="A184" s="396"/>
      <c r="K184" s="5"/>
      <c r="M184" s="5"/>
      <c r="N184" s="5"/>
    </row>
    <row r="185" spans="1:14" ht="13">
      <c r="A185" s="396"/>
      <c r="K185" s="5"/>
      <c r="M185" s="5"/>
      <c r="N185" s="5"/>
    </row>
    <row r="186" spans="1:14" ht="13">
      <c r="A186" s="396"/>
      <c r="K186" s="5"/>
      <c r="M186" s="5"/>
      <c r="N186" s="5"/>
    </row>
    <row r="187" spans="1:14" ht="13">
      <c r="A187" s="396"/>
      <c r="K187" s="5"/>
      <c r="M187" s="5"/>
      <c r="N187" s="5"/>
    </row>
    <row r="188" spans="1:14" ht="13">
      <c r="A188" s="396"/>
      <c r="K188" s="5"/>
      <c r="M188" s="5"/>
      <c r="N188" s="5"/>
    </row>
    <row r="189" spans="1:14" ht="13">
      <c r="A189" s="396"/>
      <c r="K189" s="5"/>
      <c r="M189" s="5"/>
      <c r="N189" s="5"/>
    </row>
    <row r="190" spans="1:14" ht="13">
      <c r="A190" s="396"/>
      <c r="K190" s="5"/>
      <c r="M190" s="5"/>
      <c r="N190" s="5"/>
    </row>
    <row r="191" spans="1:14" ht="13">
      <c r="A191" s="396"/>
      <c r="K191" s="5"/>
      <c r="M191" s="5"/>
      <c r="N191" s="5"/>
    </row>
    <row r="192" spans="1:14" ht="13">
      <c r="A192" s="396"/>
      <c r="K192" s="5"/>
      <c r="M192" s="5"/>
      <c r="N192" s="5"/>
    </row>
    <row r="193" spans="1:14" ht="13">
      <c r="A193" s="396"/>
      <c r="K193" s="5"/>
      <c r="M193" s="5"/>
      <c r="N193" s="5"/>
    </row>
    <row r="194" spans="1:14" ht="13">
      <c r="A194" s="396"/>
      <c r="K194" s="5"/>
      <c r="M194" s="5"/>
      <c r="N194" s="5"/>
    </row>
    <row r="195" spans="1:14" ht="13">
      <c r="A195" s="396"/>
      <c r="K195" s="5"/>
      <c r="M195" s="5"/>
      <c r="N195" s="5"/>
    </row>
    <row r="196" spans="1:14" ht="13">
      <c r="A196" s="396"/>
      <c r="K196" s="5"/>
      <c r="M196" s="5"/>
      <c r="N196" s="5"/>
    </row>
    <row r="197" spans="1:14" ht="13">
      <c r="A197" s="396"/>
      <c r="K197" s="5"/>
      <c r="M197" s="5"/>
      <c r="N197" s="5"/>
    </row>
    <row r="198" spans="1:14" ht="13">
      <c r="A198" s="396"/>
      <c r="K198" s="5"/>
      <c r="M198" s="5"/>
      <c r="N198" s="5"/>
    </row>
    <row r="199" spans="1:14" ht="13">
      <c r="A199" s="396"/>
      <c r="K199" s="5"/>
      <c r="M199" s="5"/>
      <c r="N199" s="5"/>
    </row>
    <row r="200" spans="1:14" ht="13">
      <c r="A200" s="396"/>
      <c r="K200" s="5"/>
      <c r="M200" s="5"/>
      <c r="N200" s="5"/>
    </row>
    <row r="201" spans="1:14" ht="13">
      <c r="A201" s="396"/>
      <c r="K201" s="5"/>
      <c r="M201" s="5"/>
      <c r="N201" s="5"/>
    </row>
    <row r="202" spans="1:14" ht="13">
      <c r="A202" s="396"/>
      <c r="K202" s="5"/>
      <c r="M202" s="5"/>
      <c r="N202" s="5"/>
    </row>
    <row r="203" spans="1:14" ht="13">
      <c r="A203" s="396"/>
      <c r="K203" s="5"/>
      <c r="M203" s="5"/>
      <c r="N203" s="5"/>
    </row>
    <row r="204" spans="1:14" ht="13">
      <c r="A204" s="396"/>
      <c r="K204" s="5"/>
      <c r="M204" s="5"/>
      <c r="N204" s="5"/>
    </row>
    <row r="205" spans="1:14" ht="13">
      <c r="A205" s="396"/>
      <c r="K205" s="5"/>
      <c r="M205" s="5"/>
      <c r="N205" s="5"/>
    </row>
    <row r="206" spans="1:14" ht="13">
      <c r="A206" s="396"/>
      <c r="K206" s="5"/>
      <c r="M206" s="5"/>
      <c r="N206" s="5"/>
    </row>
    <row r="207" spans="1:14" ht="13">
      <c r="A207" s="396"/>
      <c r="K207" s="5"/>
      <c r="M207" s="5"/>
      <c r="N207" s="5"/>
    </row>
    <row r="208" spans="1:14" ht="13">
      <c r="A208" s="396"/>
      <c r="K208" s="5"/>
      <c r="M208" s="5"/>
      <c r="N208" s="5"/>
    </row>
    <row r="209" spans="1:14" ht="13">
      <c r="A209" s="396"/>
      <c r="K209" s="5"/>
      <c r="M209" s="5"/>
      <c r="N209" s="5"/>
    </row>
    <row r="210" spans="1:14" ht="13">
      <c r="A210" s="396"/>
      <c r="K210" s="5"/>
      <c r="M210" s="5"/>
      <c r="N210" s="5"/>
    </row>
    <row r="211" spans="1:14" ht="13">
      <c r="A211" s="396"/>
      <c r="K211" s="5"/>
      <c r="M211" s="5"/>
      <c r="N211" s="5"/>
    </row>
    <row r="212" spans="1:14" ht="13">
      <c r="A212" s="396"/>
      <c r="K212" s="5"/>
      <c r="M212" s="5"/>
      <c r="N212" s="5"/>
    </row>
    <row r="213" spans="1:14" ht="13">
      <c r="A213" s="396"/>
      <c r="K213" s="5"/>
      <c r="M213" s="5"/>
      <c r="N213" s="5"/>
    </row>
    <row r="214" spans="1:14" ht="13">
      <c r="A214" s="396"/>
      <c r="K214" s="5"/>
      <c r="M214" s="5"/>
      <c r="N214" s="5"/>
    </row>
    <row r="215" spans="1:14" ht="13">
      <c r="A215" s="396"/>
      <c r="K215" s="5"/>
      <c r="M215" s="5"/>
      <c r="N215" s="5"/>
    </row>
    <row r="216" spans="1:14" ht="13">
      <c r="A216" s="396"/>
      <c r="K216" s="5"/>
      <c r="M216" s="5"/>
      <c r="N216" s="5"/>
    </row>
    <row r="217" spans="1:14" ht="13">
      <c r="A217" s="396"/>
      <c r="K217" s="5"/>
      <c r="M217" s="5"/>
      <c r="N217" s="5"/>
    </row>
    <row r="218" spans="1:14" ht="13">
      <c r="A218" s="396"/>
      <c r="K218" s="5"/>
      <c r="M218" s="5"/>
      <c r="N218" s="5"/>
    </row>
    <row r="219" spans="1:14" ht="13">
      <c r="A219" s="396"/>
      <c r="K219" s="5"/>
      <c r="M219" s="5"/>
      <c r="N219" s="5"/>
    </row>
    <row r="220" spans="1:14" ht="13">
      <c r="A220" s="396"/>
      <c r="K220" s="5"/>
      <c r="M220" s="5"/>
      <c r="N220" s="5"/>
    </row>
    <row r="221" spans="1:14" ht="13">
      <c r="A221" s="396"/>
      <c r="K221" s="5"/>
      <c r="M221" s="5"/>
      <c r="N221" s="5"/>
    </row>
    <row r="222" spans="1:14" ht="13">
      <c r="A222" s="396"/>
      <c r="K222" s="5"/>
      <c r="M222" s="5"/>
      <c r="N222" s="5"/>
    </row>
    <row r="223" spans="1:14" ht="13">
      <c r="A223" s="396"/>
      <c r="K223" s="5"/>
      <c r="M223" s="5"/>
      <c r="N223" s="5"/>
    </row>
    <row r="224" spans="1:14" ht="13">
      <c r="A224" s="396"/>
    </row>
    <row r="225" spans="1:1" ht="13">
      <c r="A225" s="396"/>
    </row>
    <row r="226" spans="1:1" ht="13">
      <c r="A226" s="396"/>
    </row>
    <row r="227" spans="1:1" ht="13">
      <c r="A227" s="396"/>
    </row>
    <row r="228" spans="1:1" ht="13">
      <c r="A228" s="396"/>
    </row>
    <row r="229" spans="1:1" ht="13">
      <c r="A229" s="396"/>
    </row>
    <row r="230" spans="1:1" ht="13">
      <c r="A230" s="396"/>
    </row>
    <row r="231" spans="1:1" ht="13">
      <c r="A231" s="396"/>
    </row>
    <row r="232" spans="1:1" ht="13">
      <c r="A232" s="396"/>
    </row>
    <row r="233" spans="1:1" ht="13">
      <c r="A233" s="396"/>
    </row>
    <row r="234" spans="1:1" ht="13">
      <c r="A234" s="396"/>
    </row>
    <row r="235" spans="1:1" ht="13">
      <c r="A235" s="396"/>
    </row>
    <row r="236" spans="1:1" ht="13">
      <c r="A236" s="396"/>
    </row>
    <row r="237" spans="1:1" ht="13">
      <c r="A237" s="396"/>
    </row>
    <row r="238" spans="1:1" ht="13">
      <c r="A238" s="396"/>
    </row>
    <row r="239" spans="1:1" ht="13">
      <c r="A239" s="396"/>
    </row>
    <row r="240" spans="1:1" ht="13">
      <c r="A240" s="396"/>
    </row>
    <row r="241" spans="1:1" ht="13">
      <c r="A241" s="396"/>
    </row>
    <row r="242" spans="1:1" ht="13">
      <c r="A242" s="396"/>
    </row>
    <row r="243" spans="1:1" ht="13">
      <c r="A243" s="396"/>
    </row>
    <row r="244" spans="1:1" ht="13">
      <c r="A244" s="396"/>
    </row>
    <row r="245" spans="1:1" ht="13">
      <c r="A245" s="396"/>
    </row>
    <row r="246" spans="1:1" ht="13">
      <c r="A246" s="396"/>
    </row>
    <row r="247" spans="1:1" ht="13">
      <c r="A247" s="396"/>
    </row>
    <row r="248" spans="1:1" ht="13">
      <c r="A248" s="396"/>
    </row>
    <row r="249" spans="1:1" ht="13">
      <c r="A249" s="396"/>
    </row>
    <row r="250" spans="1:1" ht="13">
      <c r="A250" s="396"/>
    </row>
    <row r="251" spans="1:1" ht="13">
      <c r="A251" s="396"/>
    </row>
    <row r="252" spans="1:1" ht="13">
      <c r="A252" s="396"/>
    </row>
    <row r="253" spans="1:1" ht="13">
      <c r="A253" s="396"/>
    </row>
    <row r="254" spans="1:1" ht="13">
      <c r="A254" s="396"/>
    </row>
    <row r="255" spans="1:1" ht="13">
      <c r="A255" s="396"/>
    </row>
    <row r="256" spans="1:1" ht="13">
      <c r="A256" s="396"/>
    </row>
    <row r="257" spans="1:1" ht="13">
      <c r="A257" s="396"/>
    </row>
    <row r="258" spans="1:1" ht="13">
      <c r="A258" s="396"/>
    </row>
    <row r="259" spans="1:1" ht="13">
      <c r="A259" s="396"/>
    </row>
    <row r="260" spans="1:1" ht="13">
      <c r="A260" s="396"/>
    </row>
    <row r="261" spans="1:1" ht="13">
      <c r="A261" s="396"/>
    </row>
    <row r="262" spans="1:1" ht="13">
      <c r="A262" s="396"/>
    </row>
    <row r="263" spans="1:1" ht="13">
      <c r="A263" s="396"/>
    </row>
    <row r="264" spans="1:1" ht="13">
      <c r="A264" s="396"/>
    </row>
    <row r="265" spans="1:1" ht="13">
      <c r="A265" s="396"/>
    </row>
    <row r="266" spans="1:1" ht="13">
      <c r="A266" s="396"/>
    </row>
    <row r="267" spans="1:1" ht="13">
      <c r="A267" s="396"/>
    </row>
    <row r="268" spans="1:1" ht="13">
      <c r="A268" s="396"/>
    </row>
    <row r="269" spans="1:1" ht="13">
      <c r="A269" s="396"/>
    </row>
    <row r="270" spans="1:1" ht="13">
      <c r="A270" s="396"/>
    </row>
    <row r="271" spans="1:1" ht="13">
      <c r="A271" s="396"/>
    </row>
    <row r="272" spans="1:1" ht="13">
      <c r="A272" s="396"/>
    </row>
    <row r="273" spans="1:1" ht="13">
      <c r="A273" s="396"/>
    </row>
    <row r="274" spans="1:1" ht="13">
      <c r="A274" s="396"/>
    </row>
    <row r="275" spans="1:1" ht="13">
      <c r="A275" s="396"/>
    </row>
    <row r="276" spans="1:1" ht="13">
      <c r="A276" s="396"/>
    </row>
    <row r="277" spans="1:1" ht="13">
      <c r="A277" s="396"/>
    </row>
    <row r="278" spans="1:1" ht="13">
      <c r="A278" s="396"/>
    </row>
    <row r="279" spans="1:1" ht="13">
      <c r="A279" s="396"/>
    </row>
    <row r="280" spans="1:1" ht="13">
      <c r="A280" s="396"/>
    </row>
    <row r="281" spans="1:1" ht="13">
      <c r="A281" s="396"/>
    </row>
    <row r="282" spans="1:1" ht="13">
      <c r="A282" s="396"/>
    </row>
    <row r="283" spans="1:1" ht="13">
      <c r="A283" s="396"/>
    </row>
    <row r="284" spans="1:1" ht="13">
      <c r="A284" s="396"/>
    </row>
    <row r="285" spans="1:1" ht="13">
      <c r="A285" s="396"/>
    </row>
    <row r="286" spans="1:1" ht="13">
      <c r="A286" s="396"/>
    </row>
    <row r="287" spans="1:1" ht="13">
      <c r="A287" s="396"/>
    </row>
    <row r="288" spans="1:1" ht="13">
      <c r="A288" s="396"/>
    </row>
    <row r="289" spans="1:1" ht="13">
      <c r="A289" s="396"/>
    </row>
    <row r="290" spans="1:1" ht="13">
      <c r="A290" s="396"/>
    </row>
    <row r="291" spans="1:1" ht="13">
      <c r="A291" s="396"/>
    </row>
    <row r="292" spans="1:1" ht="13">
      <c r="A292" s="396"/>
    </row>
    <row r="293" spans="1:1" ht="13">
      <c r="A293" s="396"/>
    </row>
    <row r="294" spans="1:1" ht="13">
      <c r="A294" s="396"/>
    </row>
    <row r="295" spans="1:1" ht="13">
      <c r="A295" s="396"/>
    </row>
    <row r="296" spans="1:1" ht="13">
      <c r="A296" s="396"/>
    </row>
    <row r="297" spans="1:1" ht="13">
      <c r="A297" s="396"/>
    </row>
    <row r="298" spans="1:1" ht="13">
      <c r="A298" s="396"/>
    </row>
    <row r="299" spans="1:1" ht="13">
      <c r="A299" s="396"/>
    </row>
    <row r="300" spans="1:1" ht="13">
      <c r="A300" s="396"/>
    </row>
    <row r="301" spans="1:1" ht="13">
      <c r="A301" s="396"/>
    </row>
    <row r="302" spans="1:1" ht="13">
      <c r="A302" s="396"/>
    </row>
    <row r="303" spans="1:1" ht="13">
      <c r="A303" s="396"/>
    </row>
    <row r="304" spans="1:1" ht="13">
      <c r="A304" s="396"/>
    </row>
    <row r="305" spans="1:1" ht="13">
      <c r="A305" s="396"/>
    </row>
    <row r="306" spans="1:1" ht="13">
      <c r="A306" s="396"/>
    </row>
    <row r="307" spans="1:1" ht="13">
      <c r="A307" s="396"/>
    </row>
    <row r="308" spans="1:1" ht="13">
      <c r="A308" s="396"/>
    </row>
    <row r="309" spans="1:1" ht="13">
      <c r="A309" s="396"/>
    </row>
    <row r="310" spans="1:1" ht="13">
      <c r="A310" s="396"/>
    </row>
    <row r="311" spans="1:1" ht="13">
      <c r="A311" s="396"/>
    </row>
    <row r="312" spans="1:1" ht="13">
      <c r="A312" s="396"/>
    </row>
    <row r="313" spans="1:1" ht="13">
      <c r="A313" s="396"/>
    </row>
    <row r="314" spans="1:1" ht="13">
      <c r="A314" s="396"/>
    </row>
    <row r="315" spans="1:1" ht="13">
      <c r="A315" s="396"/>
    </row>
    <row r="316" spans="1:1" ht="13">
      <c r="A316" s="396"/>
    </row>
    <row r="317" spans="1:1" ht="13">
      <c r="A317" s="396"/>
    </row>
    <row r="318" spans="1:1" ht="13">
      <c r="A318" s="396"/>
    </row>
    <row r="319" spans="1:1" ht="13">
      <c r="A319" s="396"/>
    </row>
    <row r="320" spans="1:1" ht="13">
      <c r="A320" s="396"/>
    </row>
    <row r="321" spans="1:1" ht="13">
      <c r="A321" s="396"/>
    </row>
    <row r="322" spans="1:1" ht="13">
      <c r="A322" s="396"/>
    </row>
    <row r="323" spans="1:1" ht="13">
      <c r="A323" s="396"/>
    </row>
    <row r="324" spans="1:1" ht="13">
      <c r="A324" s="396"/>
    </row>
    <row r="325" spans="1:1" ht="13">
      <c r="A325" s="396"/>
    </row>
    <row r="326" spans="1:1" ht="13">
      <c r="A326" s="396"/>
    </row>
    <row r="327" spans="1:1" ht="13">
      <c r="A327" s="396"/>
    </row>
    <row r="328" spans="1:1" ht="13">
      <c r="A328" s="396"/>
    </row>
    <row r="329" spans="1:1" ht="13">
      <c r="A329" s="396"/>
    </row>
    <row r="330" spans="1:1" ht="13">
      <c r="A330" s="396"/>
    </row>
    <row r="331" spans="1:1" ht="13">
      <c r="A331" s="396"/>
    </row>
    <row r="332" spans="1:1" ht="13">
      <c r="A332" s="396"/>
    </row>
    <row r="333" spans="1:1" ht="13">
      <c r="A333" s="396"/>
    </row>
    <row r="334" spans="1:1" ht="13">
      <c r="A334" s="396"/>
    </row>
    <row r="335" spans="1:1" ht="13">
      <c r="A335" s="396"/>
    </row>
    <row r="336" spans="1:1" ht="13">
      <c r="A336" s="396"/>
    </row>
    <row r="337" spans="1:1" ht="13">
      <c r="A337" s="396"/>
    </row>
    <row r="338" spans="1:1" ht="13">
      <c r="A338" s="396"/>
    </row>
    <row r="339" spans="1:1" ht="13">
      <c r="A339" s="396"/>
    </row>
    <row r="340" spans="1:1" ht="13">
      <c r="A340" s="396"/>
    </row>
    <row r="341" spans="1:1" ht="13">
      <c r="A341" s="396"/>
    </row>
    <row r="342" spans="1:1" ht="13">
      <c r="A342" s="396"/>
    </row>
    <row r="343" spans="1:1" ht="13">
      <c r="A343" s="396"/>
    </row>
    <row r="344" spans="1:1" ht="13">
      <c r="A344" s="396"/>
    </row>
    <row r="345" spans="1:1" ht="13">
      <c r="A345" s="396"/>
    </row>
    <row r="346" spans="1:1" ht="13">
      <c r="A346" s="396"/>
    </row>
    <row r="347" spans="1:1" ht="13">
      <c r="A347" s="396"/>
    </row>
    <row r="348" spans="1:1" ht="13">
      <c r="A348" s="396"/>
    </row>
    <row r="349" spans="1:1" ht="13">
      <c r="A349" s="396"/>
    </row>
    <row r="350" spans="1:1" ht="13">
      <c r="A350" s="396"/>
    </row>
    <row r="351" spans="1:1" ht="13">
      <c r="A351" s="396"/>
    </row>
    <row r="352" spans="1:1" ht="13">
      <c r="A352" s="396"/>
    </row>
    <row r="353" spans="1:1" ht="13">
      <c r="A353" s="396"/>
    </row>
    <row r="354" spans="1:1" ht="13">
      <c r="A354" s="396"/>
    </row>
    <row r="355" spans="1:1" ht="13">
      <c r="A355" s="396"/>
    </row>
    <row r="356" spans="1:1" ht="13">
      <c r="A356" s="396"/>
    </row>
    <row r="357" spans="1:1" ht="13">
      <c r="A357" s="396"/>
    </row>
    <row r="358" spans="1:1" ht="13">
      <c r="A358" s="396"/>
    </row>
    <row r="359" spans="1:1" ht="13">
      <c r="A359" s="396"/>
    </row>
    <row r="360" spans="1:1" ht="13">
      <c r="A360" s="396"/>
    </row>
    <row r="361" spans="1:1" ht="13">
      <c r="A361" s="396"/>
    </row>
    <row r="362" spans="1:1" ht="13">
      <c r="A362" s="396"/>
    </row>
    <row r="363" spans="1:1" ht="13">
      <c r="A363" s="396"/>
    </row>
    <row r="364" spans="1:1" ht="13">
      <c r="A364" s="396"/>
    </row>
    <row r="365" spans="1:1" ht="13">
      <c r="A365" s="396"/>
    </row>
    <row r="366" spans="1:1" ht="13">
      <c r="A366" s="396"/>
    </row>
    <row r="367" spans="1:1" ht="13">
      <c r="A367" s="396"/>
    </row>
    <row r="368" spans="1:1" ht="13">
      <c r="A368" s="396"/>
    </row>
    <row r="369" spans="1:1" ht="13">
      <c r="A369" s="396"/>
    </row>
    <row r="370" spans="1:1" ht="13">
      <c r="A370" s="396"/>
    </row>
    <row r="371" spans="1:1" ht="13">
      <c r="A371" s="396"/>
    </row>
    <row r="372" spans="1:1" ht="13">
      <c r="A372" s="396"/>
    </row>
    <row r="373" spans="1:1" ht="13">
      <c r="A373" s="396"/>
    </row>
    <row r="374" spans="1:1" ht="13">
      <c r="A374" s="396"/>
    </row>
    <row r="375" spans="1:1" ht="13">
      <c r="A375" s="396"/>
    </row>
    <row r="376" spans="1:1" ht="13">
      <c r="A376" s="396"/>
    </row>
    <row r="377" spans="1:1" ht="13">
      <c r="A377" s="396"/>
    </row>
    <row r="378" spans="1:1" ht="13">
      <c r="A378" s="396"/>
    </row>
    <row r="379" spans="1:1" ht="13">
      <c r="A379" s="396"/>
    </row>
    <row r="380" spans="1:1" ht="13">
      <c r="A380" s="396"/>
    </row>
    <row r="381" spans="1:1" ht="13">
      <c r="A381" s="396"/>
    </row>
    <row r="382" spans="1:1" ht="13">
      <c r="A382" s="396"/>
    </row>
    <row r="383" spans="1:1" ht="13">
      <c r="A383" s="396"/>
    </row>
    <row r="384" spans="1:1" ht="13">
      <c r="A384" s="396"/>
    </row>
    <row r="385" spans="1:1" ht="13">
      <c r="A385" s="396"/>
    </row>
    <row r="386" spans="1:1" ht="13">
      <c r="A386" s="396"/>
    </row>
    <row r="387" spans="1:1" ht="13">
      <c r="A387" s="396"/>
    </row>
    <row r="388" spans="1:1" ht="13">
      <c r="A388" s="396"/>
    </row>
    <row r="389" spans="1:1" ht="13">
      <c r="A389" s="396"/>
    </row>
    <row r="390" spans="1:1" ht="13">
      <c r="A390" s="396"/>
    </row>
    <row r="391" spans="1:1" ht="13">
      <c r="A391" s="396"/>
    </row>
    <row r="392" spans="1:1" ht="13">
      <c r="A392" s="396"/>
    </row>
    <row r="393" spans="1:1" ht="13">
      <c r="A393" s="396"/>
    </row>
    <row r="394" spans="1:1" ht="13">
      <c r="A394" s="396"/>
    </row>
    <row r="395" spans="1:1" ht="13">
      <c r="A395" s="396"/>
    </row>
    <row r="396" spans="1:1" ht="13">
      <c r="A396" s="396"/>
    </row>
    <row r="397" spans="1:1" ht="13">
      <c r="A397" s="396"/>
    </row>
    <row r="398" spans="1:1" ht="13">
      <c r="A398" s="396"/>
    </row>
    <row r="399" spans="1:1" ht="13">
      <c r="A399" s="396"/>
    </row>
    <row r="400" spans="1:1" ht="13">
      <c r="A400" s="396"/>
    </row>
    <row r="401" spans="1:1" ht="13">
      <c r="A401" s="396"/>
    </row>
    <row r="402" spans="1:1" ht="13">
      <c r="A402" s="396"/>
    </row>
    <row r="403" spans="1:1" ht="13">
      <c r="A403" s="396"/>
    </row>
    <row r="404" spans="1:1" ht="13">
      <c r="A404" s="396"/>
    </row>
    <row r="405" spans="1:1" ht="13">
      <c r="A405" s="396"/>
    </row>
    <row r="406" spans="1:1" ht="13">
      <c r="A406" s="396"/>
    </row>
    <row r="407" spans="1:1" ht="13">
      <c r="A407" s="396"/>
    </row>
    <row r="408" spans="1:1" ht="13">
      <c r="A408" s="396"/>
    </row>
    <row r="409" spans="1:1" ht="13">
      <c r="A409" s="396"/>
    </row>
    <row r="410" spans="1:1" ht="13">
      <c r="A410" s="396"/>
    </row>
    <row r="411" spans="1:1" ht="13">
      <c r="A411" s="396"/>
    </row>
    <row r="412" spans="1:1" ht="13">
      <c r="A412" s="396"/>
    </row>
    <row r="413" spans="1:1" ht="13">
      <c r="A413" s="396"/>
    </row>
    <row r="414" spans="1:1" ht="13">
      <c r="A414" s="396"/>
    </row>
    <row r="415" spans="1:1" ht="13">
      <c r="A415" s="396"/>
    </row>
    <row r="416" spans="1:1" ht="13">
      <c r="A416" s="396"/>
    </row>
    <row r="417" spans="1:1" ht="13">
      <c r="A417" s="396"/>
    </row>
    <row r="418" spans="1:1" ht="13">
      <c r="A418" s="396"/>
    </row>
    <row r="419" spans="1:1" ht="13">
      <c r="A419" s="396"/>
    </row>
    <row r="420" spans="1:1" ht="13">
      <c r="A420" s="396"/>
    </row>
    <row r="421" spans="1:1" ht="13">
      <c r="A421" s="396"/>
    </row>
    <row r="422" spans="1:1" ht="13">
      <c r="A422" s="396"/>
    </row>
    <row r="423" spans="1:1" ht="13">
      <c r="A423" s="396"/>
    </row>
    <row r="424" spans="1:1" ht="13">
      <c r="A424" s="396"/>
    </row>
    <row r="425" spans="1:1" ht="13">
      <c r="A425" s="396"/>
    </row>
    <row r="426" spans="1:1" ht="13">
      <c r="A426" s="396"/>
    </row>
    <row r="427" spans="1:1" ht="13">
      <c r="A427" s="396"/>
    </row>
    <row r="428" spans="1:1" ht="13">
      <c r="A428" s="396"/>
    </row>
    <row r="429" spans="1:1" ht="13">
      <c r="A429" s="396"/>
    </row>
    <row r="430" spans="1:1" ht="13">
      <c r="A430" s="396"/>
    </row>
    <row r="431" spans="1:1" ht="13">
      <c r="A431" s="396"/>
    </row>
    <row r="432" spans="1:1" ht="13">
      <c r="A432" s="396"/>
    </row>
    <row r="433" spans="1:1" ht="13">
      <c r="A433" s="396"/>
    </row>
    <row r="434" spans="1:1" ht="13">
      <c r="A434" s="396"/>
    </row>
    <row r="435" spans="1:1" ht="13">
      <c r="A435" s="396"/>
    </row>
    <row r="436" spans="1:1" ht="13">
      <c r="A436" s="396"/>
    </row>
    <row r="437" spans="1:1" ht="13">
      <c r="A437" s="396"/>
    </row>
    <row r="438" spans="1:1" ht="13">
      <c r="A438" s="396"/>
    </row>
    <row r="439" spans="1:1" ht="13">
      <c r="A439" s="396"/>
    </row>
    <row r="440" spans="1:1" ht="13">
      <c r="A440" s="396"/>
    </row>
    <row r="441" spans="1:1" ht="13">
      <c r="A441" s="396"/>
    </row>
    <row r="442" spans="1:1" ht="13">
      <c r="A442" s="396"/>
    </row>
    <row r="443" spans="1:1" ht="13">
      <c r="A443" s="396"/>
    </row>
    <row r="444" spans="1:1" ht="13">
      <c r="A444" s="396"/>
    </row>
    <row r="445" spans="1:1" ht="13">
      <c r="A445" s="396"/>
    </row>
    <row r="446" spans="1:1" ht="13">
      <c r="A446" s="396"/>
    </row>
    <row r="447" spans="1:1" ht="13">
      <c r="A447" s="396"/>
    </row>
    <row r="448" spans="1:1" ht="13">
      <c r="A448" s="396"/>
    </row>
    <row r="449" spans="1:1" ht="13">
      <c r="A449" s="396"/>
    </row>
    <row r="450" spans="1:1" ht="13">
      <c r="A450" s="396"/>
    </row>
    <row r="451" spans="1:1" ht="13">
      <c r="A451" s="396"/>
    </row>
    <row r="452" spans="1:1" ht="13">
      <c r="A452" s="396"/>
    </row>
    <row r="453" spans="1:1" ht="13">
      <c r="A453" s="396"/>
    </row>
    <row r="454" spans="1:1" ht="13">
      <c r="A454" s="396"/>
    </row>
    <row r="455" spans="1:1" ht="13">
      <c r="A455" s="396"/>
    </row>
    <row r="456" spans="1:1" ht="13">
      <c r="A456" s="396"/>
    </row>
    <row r="457" spans="1:1" ht="13">
      <c r="A457" s="396"/>
    </row>
    <row r="458" spans="1:1" ht="13">
      <c r="A458" s="396"/>
    </row>
    <row r="459" spans="1:1" ht="13">
      <c r="A459" s="396"/>
    </row>
    <row r="460" spans="1:1" ht="13">
      <c r="A460" s="396"/>
    </row>
    <row r="461" spans="1:1" ht="13">
      <c r="A461" s="396"/>
    </row>
    <row r="462" spans="1:1" ht="13">
      <c r="A462" s="396"/>
    </row>
    <row r="463" spans="1:1" ht="13">
      <c r="A463" s="396"/>
    </row>
    <row r="464" spans="1:1" ht="13">
      <c r="A464" s="396"/>
    </row>
    <row r="465" spans="1:1" ht="13">
      <c r="A465" s="396"/>
    </row>
    <row r="466" spans="1:1" ht="13">
      <c r="A466" s="396"/>
    </row>
    <row r="467" spans="1:1" ht="13">
      <c r="A467" s="396"/>
    </row>
    <row r="468" spans="1:1" ht="13">
      <c r="A468" s="396"/>
    </row>
    <row r="469" spans="1:1" ht="13">
      <c r="A469" s="396"/>
    </row>
    <row r="470" spans="1:1" ht="13">
      <c r="A470" s="396"/>
    </row>
    <row r="471" spans="1:1" ht="13">
      <c r="A471" s="396"/>
    </row>
    <row r="472" spans="1:1" ht="13">
      <c r="A472" s="396"/>
    </row>
    <row r="473" spans="1:1" ht="13">
      <c r="A473" s="396"/>
    </row>
    <row r="474" spans="1:1" ht="13">
      <c r="A474" s="396"/>
    </row>
    <row r="475" spans="1:1" ht="13">
      <c r="A475" s="396"/>
    </row>
    <row r="476" spans="1:1" ht="13">
      <c r="A476" s="396"/>
    </row>
    <row r="477" spans="1:1" ht="13">
      <c r="A477" s="396"/>
    </row>
    <row r="478" spans="1:1" ht="13">
      <c r="A478" s="396"/>
    </row>
    <row r="479" spans="1:1" ht="13">
      <c r="A479" s="396"/>
    </row>
    <row r="480" spans="1:1" ht="13">
      <c r="A480" s="396"/>
    </row>
    <row r="481" spans="1:1" ht="13">
      <c r="A481" s="396"/>
    </row>
    <row r="482" spans="1:1" ht="13">
      <c r="A482" s="396"/>
    </row>
    <row r="483" spans="1:1" ht="13">
      <c r="A483" s="396"/>
    </row>
    <row r="484" spans="1:1" ht="13">
      <c r="A484" s="396"/>
    </row>
    <row r="485" spans="1:1" ht="13">
      <c r="A485" s="396"/>
    </row>
    <row r="486" spans="1:1" ht="13">
      <c r="A486" s="396"/>
    </row>
    <row r="487" spans="1:1" ht="13">
      <c r="A487" s="396"/>
    </row>
    <row r="488" spans="1:1" ht="13">
      <c r="A488" s="396"/>
    </row>
    <row r="489" spans="1:1" ht="13">
      <c r="A489" s="396"/>
    </row>
    <row r="490" spans="1:1" ht="13">
      <c r="A490" s="396"/>
    </row>
    <row r="491" spans="1:1" ht="13">
      <c r="A491" s="396"/>
    </row>
    <row r="492" spans="1:1" ht="13">
      <c r="A492" s="396"/>
    </row>
    <row r="493" spans="1:1" ht="13">
      <c r="A493" s="396"/>
    </row>
    <row r="494" spans="1:1" ht="13">
      <c r="A494" s="396"/>
    </row>
    <row r="495" spans="1:1" ht="13">
      <c r="A495" s="396"/>
    </row>
    <row r="496" spans="1:1" ht="13">
      <c r="A496" s="396"/>
    </row>
    <row r="497" spans="1:1" ht="13">
      <c r="A497" s="396"/>
    </row>
    <row r="498" spans="1:1" ht="13">
      <c r="A498" s="396"/>
    </row>
    <row r="499" spans="1:1" ht="13">
      <c r="A499" s="396"/>
    </row>
    <row r="500" spans="1:1" ht="13">
      <c r="A500" s="396"/>
    </row>
    <row r="501" spans="1:1" ht="13">
      <c r="A501" s="396"/>
    </row>
    <row r="502" spans="1:1" ht="13">
      <c r="A502" s="396"/>
    </row>
    <row r="503" spans="1:1" ht="13">
      <c r="A503" s="396"/>
    </row>
    <row r="504" spans="1:1" ht="13">
      <c r="A504" s="396"/>
    </row>
    <row r="505" spans="1:1" ht="13">
      <c r="A505" s="396"/>
    </row>
    <row r="506" spans="1:1" ht="13">
      <c r="A506" s="396"/>
    </row>
    <row r="507" spans="1:1" ht="13">
      <c r="A507" s="396"/>
    </row>
    <row r="508" spans="1:1" ht="13">
      <c r="A508" s="396"/>
    </row>
    <row r="509" spans="1:1" ht="13">
      <c r="A509" s="396"/>
    </row>
    <row r="510" spans="1:1" ht="13">
      <c r="A510" s="396"/>
    </row>
    <row r="511" spans="1:1" ht="13">
      <c r="A511" s="396"/>
    </row>
    <row r="512" spans="1:1" ht="13">
      <c r="A512" s="396"/>
    </row>
    <row r="513" spans="1:1" ht="13">
      <c r="A513" s="396"/>
    </row>
    <row r="514" spans="1:1" ht="13">
      <c r="A514" s="396"/>
    </row>
    <row r="515" spans="1:1" ht="13">
      <c r="A515" s="396"/>
    </row>
    <row r="516" spans="1:1" ht="13">
      <c r="A516" s="396"/>
    </row>
    <row r="517" spans="1:1" ht="13">
      <c r="A517" s="396"/>
    </row>
    <row r="518" spans="1:1" ht="13">
      <c r="A518" s="396"/>
    </row>
    <row r="519" spans="1:1" ht="13">
      <c r="A519" s="396"/>
    </row>
    <row r="520" spans="1:1" ht="13">
      <c r="A520" s="396"/>
    </row>
    <row r="521" spans="1:1" ht="13">
      <c r="A521" s="396"/>
    </row>
    <row r="522" spans="1:1" ht="13">
      <c r="A522" s="396"/>
    </row>
    <row r="523" spans="1:1" ht="13">
      <c r="A523" s="396"/>
    </row>
    <row r="524" spans="1:1" ht="13">
      <c r="A524" s="396"/>
    </row>
    <row r="525" spans="1:1" ht="13">
      <c r="A525" s="396"/>
    </row>
    <row r="526" spans="1:1" ht="13">
      <c r="A526" s="396"/>
    </row>
    <row r="527" spans="1:1" ht="13">
      <c r="A527" s="396"/>
    </row>
    <row r="528" spans="1:1" ht="13">
      <c r="A528" s="396"/>
    </row>
    <row r="529" spans="1:1" ht="13">
      <c r="A529" s="396"/>
    </row>
    <row r="530" spans="1:1" ht="13">
      <c r="A530" s="396"/>
    </row>
    <row r="531" spans="1:1" ht="13">
      <c r="A531" s="396"/>
    </row>
    <row r="532" spans="1:1" ht="13">
      <c r="A532" s="396"/>
    </row>
    <row r="533" spans="1:1" ht="13">
      <c r="A533" s="396"/>
    </row>
    <row r="534" spans="1:1" ht="13">
      <c r="A534" s="396"/>
    </row>
    <row r="535" spans="1:1" ht="13">
      <c r="A535" s="396"/>
    </row>
    <row r="536" spans="1:1" ht="13">
      <c r="A536" s="396"/>
    </row>
    <row r="537" spans="1:1" ht="13">
      <c r="A537" s="396"/>
    </row>
    <row r="538" spans="1:1" ht="13">
      <c r="A538" s="396"/>
    </row>
    <row r="539" spans="1:1" ht="13">
      <c r="A539" s="396"/>
    </row>
    <row r="540" spans="1:1" ht="13">
      <c r="A540" s="396"/>
    </row>
    <row r="541" spans="1:1" ht="13">
      <c r="A541" s="396"/>
    </row>
    <row r="542" spans="1:1" ht="13">
      <c r="A542" s="396"/>
    </row>
    <row r="543" spans="1:1" ht="13">
      <c r="A543" s="396"/>
    </row>
    <row r="544" spans="1:1" ht="13">
      <c r="A544" s="396"/>
    </row>
    <row r="545" spans="1:1" ht="13">
      <c r="A545" s="396"/>
    </row>
    <row r="546" spans="1:1" ht="13">
      <c r="A546" s="396"/>
    </row>
    <row r="547" spans="1:1" ht="13">
      <c r="A547" s="396"/>
    </row>
    <row r="548" spans="1:1" ht="13">
      <c r="A548" s="396"/>
    </row>
    <row r="549" spans="1:1" ht="13">
      <c r="A549" s="396"/>
    </row>
    <row r="550" spans="1:1" ht="13">
      <c r="A550" s="396"/>
    </row>
    <row r="551" spans="1:1" ht="13">
      <c r="A551" s="396"/>
    </row>
    <row r="552" spans="1:1" ht="13">
      <c r="A552" s="396"/>
    </row>
    <row r="553" spans="1:1" ht="13">
      <c r="A553" s="396"/>
    </row>
    <row r="554" spans="1:1" ht="13">
      <c r="A554" s="396"/>
    </row>
    <row r="555" spans="1:1" ht="13">
      <c r="A555" s="396"/>
    </row>
    <row r="556" spans="1:1" ht="13">
      <c r="A556" s="396"/>
    </row>
    <row r="557" spans="1:1" ht="13">
      <c r="A557" s="396"/>
    </row>
    <row r="558" spans="1:1" ht="13">
      <c r="A558" s="396"/>
    </row>
    <row r="559" spans="1:1" ht="13">
      <c r="A559" s="396"/>
    </row>
    <row r="560" spans="1:1" ht="13">
      <c r="A560" s="396"/>
    </row>
    <row r="561" spans="1:1" ht="13">
      <c r="A561" s="396"/>
    </row>
    <row r="562" spans="1:1" ht="13">
      <c r="A562" s="396"/>
    </row>
    <row r="563" spans="1:1" ht="13">
      <c r="A563" s="396"/>
    </row>
    <row r="564" spans="1:1" ht="13">
      <c r="A564" s="396"/>
    </row>
    <row r="565" spans="1:1" ht="13">
      <c r="A565" s="396"/>
    </row>
    <row r="566" spans="1:1" ht="13">
      <c r="A566" s="396"/>
    </row>
    <row r="567" spans="1:1" ht="13">
      <c r="A567" s="396"/>
    </row>
    <row r="568" spans="1:1" ht="13">
      <c r="A568" s="396"/>
    </row>
    <row r="569" spans="1:1" ht="13">
      <c r="A569" s="396"/>
    </row>
    <row r="570" spans="1:1" ht="13">
      <c r="A570" s="396"/>
    </row>
    <row r="571" spans="1:1" ht="13">
      <c r="A571" s="396"/>
    </row>
    <row r="572" spans="1:1" ht="13">
      <c r="A572" s="396"/>
    </row>
    <row r="573" spans="1:1" ht="13">
      <c r="A573" s="396"/>
    </row>
    <row r="574" spans="1:1" ht="13">
      <c r="A574" s="396"/>
    </row>
    <row r="575" spans="1:1" ht="13">
      <c r="A575" s="396"/>
    </row>
    <row r="576" spans="1:1" ht="13">
      <c r="A576" s="396"/>
    </row>
    <row r="577" spans="1:1" ht="13">
      <c r="A577" s="396"/>
    </row>
    <row r="578" spans="1:1" ht="13">
      <c r="A578" s="396"/>
    </row>
    <row r="579" spans="1:1" ht="13">
      <c r="A579" s="396"/>
    </row>
    <row r="580" spans="1:1" ht="13">
      <c r="A580" s="396"/>
    </row>
    <row r="581" spans="1:1" ht="13">
      <c r="A581" s="396"/>
    </row>
    <row r="582" spans="1:1" ht="13">
      <c r="A582" s="396"/>
    </row>
    <row r="583" spans="1:1" ht="13">
      <c r="A583" s="396"/>
    </row>
    <row r="584" spans="1:1" ht="13">
      <c r="A584" s="396"/>
    </row>
    <row r="585" spans="1:1" ht="13">
      <c r="A585" s="396"/>
    </row>
    <row r="586" spans="1:1" ht="13">
      <c r="A586" s="396"/>
    </row>
    <row r="587" spans="1:1" ht="13">
      <c r="A587" s="396"/>
    </row>
    <row r="588" spans="1:1" ht="13">
      <c r="A588" s="396"/>
    </row>
    <row r="589" spans="1:1" ht="13">
      <c r="A589" s="396"/>
    </row>
    <row r="590" spans="1:1" ht="13">
      <c r="A590" s="396"/>
    </row>
    <row r="591" spans="1:1" ht="13">
      <c r="A591" s="396"/>
    </row>
    <row r="592" spans="1:1" ht="13">
      <c r="A592" s="396"/>
    </row>
    <row r="593" spans="1:1" ht="13">
      <c r="A593" s="396"/>
    </row>
    <row r="594" spans="1:1" ht="13">
      <c r="A594" s="396"/>
    </row>
    <row r="595" spans="1:1" ht="13">
      <c r="A595" s="396"/>
    </row>
    <row r="596" spans="1:1" ht="13">
      <c r="A596" s="396"/>
    </row>
    <row r="597" spans="1:1" ht="13">
      <c r="A597" s="396"/>
    </row>
    <row r="598" spans="1:1" ht="13">
      <c r="A598" s="396"/>
    </row>
    <row r="599" spans="1:1" ht="13">
      <c r="A599" s="396"/>
    </row>
    <row r="600" spans="1:1" ht="13">
      <c r="A600" s="396"/>
    </row>
    <row r="601" spans="1:1" ht="13">
      <c r="A601" s="396"/>
    </row>
    <row r="602" spans="1:1" ht="13">
      <c r="A602" s="396"/>
    </row>
    <row r="603" spans="1:1" ht="13">
      <c r="A603" s="396"/>
    </row>
    <row r="604" spans="1:1" ht="13">
      <c r="A604" s="396"/>
    </row>
    <row r="605" spans="1:1" ht="13">
      <c r="A605" s="396"/>
    </row>
    <row r="606" spans="1:1" ht="13">
      <c r="A606" s="396"/>
    </row>
    <row r="607" spans="1:1" ht="13">
      <c r="A607" s="396"/>
    </row>
    <row r="608" spans="1:1" ht="13">
      <c r="A608" s="396"/>
    </row>
    <row r="609" spans="1:1" ht="13">
      <c r="A609" s="396"/>
    </row>
    <row r="610" spans="1:1" ht="13">
      <c r="A610" s="396"/>
    </row>
    <row r="611" spans="1:1" ht="13">
      <c r="A611" s="396"/>
    </row>
    <row r="612" spans="1:1" ht="13">
      <c r="A612" s="396"/>
    </row>
    <row r="613" spans="1:1" ht="13">
      <c r="A613" s="396"/>
    </row>
    <row r="614" spans="1:1" ht="13">
      <c r="A614" s="396"/>
    </row>
    <row r="615" spans="1:1" ht="13">
      <c r="A615" s="396"/>
    </row>
    <row r="616" spans="1:1" ht="13">
      <c r="A616" s="396"/>
    </row>
    <row r="617" spans="1:1" ht="13">
      <c r="A617" s="396"/>
    </row>
    <row r="618" spans="1:1" ht="13">
      <c r="A618" s="396"/>
    </row>
    <row r="619" spans="1:1" ht="13">
      <c r="A619" s="396"/>
    </row>
    <row r="620" spans="1:1" ht="13">
      <c r="A620" s="396"/>
    </row>
    <row r="621" spans="1:1" ht="13">
      <c r="A621" s="396"/>
    </row>
    <row r="622" spans="1:1" ht="13">
      <c r="A622" s="396"/>
    </row>
    <row r="623" spans="1:1" ht="13">
      <c r="A623" s="396"/>
    </row>
    <row r="624" spans="1:1" ht="13">
      <c r="A624" s="396"/>
    </row>
    <row r="625" spans="1:1" ht="13">
      <c r="A625" s="396"/>
    </row>
    <row r="626" spans="1:1" ht="13">
      <c r="A626" s="396"/>
    </row>
    <row r="627" spans="1:1" ht="13">
      <c r="A627" s="396"/>
    </row>
    <row r="628" spans="1:1" ht="13">
      <c r="A628" s="396"/>
    </row>
    <row r="629" spans="1:1" ht="13">
      <c r="A629" s="396"/>
    </row>
    <row r="630" spans="1:1" ht="13">
      <c r="A630" s="396"/>
    </row>
    <row r="631" spans="1:1" ht="13">
      <c r="A631" s="396"/>
    </row>
    <row r="632" spans="1:1" ht="13">
      <c r="A632" s="396"/>
    </row>
    <row r="633" spans="1:1" ht="13">
      <c r="A633" s="396"/>
    </row>
    <row r="634" spans="1:1" ht="13">
      <c r="A634" s="396"/>
    </row>
    <row r="635" spans="1:1" ht="13">
      <c r="A635" s="396"/>
    </row>
    <row r="636" spans="1:1" ht="13">
      <c r="A636" s="396"/>
    </row>
    <row r="637" spans="1:1" ht="13">
      <c r="A637" s="396"/>
    </row>
    <row r="638" spans="1:1" ht="13">
      <c r="A638" s="396"/>
    </row>
    <row r="639" spans="1:1" ht="13">
      <c r="A639" s="396"/>
    </row>
    <row r="640" spans="1:1" ht="13">
      <c r="A640" s="396"/>
    </row>
    <row r="641" spans="1:1" ht="13">
      <c r="A641" s="396"/>
    </row>
    <row r="642" spans="1:1" ht="13">
      <c r="A642" s="396"/>
    </row>
    <row r="643" spans="1:1" ht="13">
      <c r="A643" s="396"/>
    </row>
    <row r="644" spans="1:1" ht="13">
      <c r="A644" s="396"/>
    </row>
    <row r="645" spans="1:1" ht="13">
      <c r="A645" s="396"/>
    </row>
    <row r="646" spans="1:1" ht="13">
      <c r="A646" s="396"/>
    </row>
    <row r="647" spans="1:1" ht="13">
      <c r="A647" s="396"/>
    </row>
    <row r="648" spans="1:1" ht="13">
      <c r="A648" s="396"/>
    </row>
    <row r="649" spans="1:1" ht="13">
      <c r="A649" s="396"/>
    </row>
    <row r="650" spans="1:1" ht="13">
      <c r="A650" s="396"/>
    </row>
    <row r="651" spans="1:1" ht="13">
      <c r="A651" s="396"/>
    </row>
    <row r="652" spans="1:1" ht="13">
      <c r="A652" s="396"/>
    </row>
    <row r="653" spans="1:1" ht="13">
      <c r="A653" s="396"/>
    </row>
    <row r="654" spans="1:1" ht="13">
      <c r="A654" s="396"/>
    </row>
    <row r="655" spans="1:1" ht="13">
      <c r="A655" s="396"/>
    </row>
    <row r="656" spans="1:1" ht="13">
      <c r="A656" s="396"/>
    </row>
    <row r="657" spans="1:1" ht="13">
      <c r="A657" s="396"/>
    </row>
    <row r="658" spans="1:1" ht="13">
      <c r="A658" s="396"/>
    </row>
    <row r="659" spans="1:1" ht="13">
      <c r="A659" s="396"/>
    </row>
    <row r="660" spans="1:1" ht="13">
      <c r="A660" s="396"/>
    </row>
    <row r="661" spans="1:1" ht="13">
      <c r="A661" s="396"/>
    </row>
    <row r="662" spans="1:1" ht="13">
      <c r="A662" s="396"/>
    </row>
    <row r="663" spans="1:1" ht="13">
      <c r="A663" s="396"/>
    </row>
    <row r="664" spans="1:1" ht="13">
      <c r="A664" s="396"/>
    </row>
    <row r="665" spans="1:1" ht="13">
      <c r="A665" s="396"/>
    </row>
    <row r="666" spans="1:1" ht="13">
      <c r="A666" s="396"/>
    </row>
    <row r="667" spans="1:1" ht="13">
      <c r="A667" s="396"/>
    </row>
    <row r="668" spans="1:1" ht="13">
      <c r="A668" s="396"/>
    </row>
    <row r="669" spans="1:1" ht="13">
      <c r="A669" s="396"/>
    </row>
    <row r="670" spans="1:1" ht="13">
      <c r="A670" s="396"/>
    </row>
    <row r="671" spans="1:1" ht="13">
      <c r="A671" s="396"/>
    </row>
    <row r="672" spans="1:1" ht="13">
      <c r="A672" s="396"/>
    </row>
    <row r="673" spans="1:1" ht="13">
      <c r="A673" s="396"/>
    </row>
    <row r="674" spans="1:1" ht="13">
      <c r="A674" s="396"/>
    </row>
    <row r="675" spans="1:1" ht="13">
      <c r="A675" s="396"/>
    </row>
    <row r="676" spans="1:1" ht="13">
      <c r="A676" s="396"/>
    </row>
    <row r="677" spans="1:1" ht="13">
      <c r="A677" s="396"/>
    </row>
    <row r="678" spans="1:1" ht="13">
      <c r="A678" s="396"/>
    </row>
    <row r="679" spans="1:1" ht="13">
      <c r="A679" s="396"/>
    </row>
    <row r="680" spans="1:1" ht="13">
      <c r="A680" s="396"/>
    </row>
    <row r="681" spans="1:1" ht="13">
      <c r="A681" s="396"/>
    </row>
    <row r="682" spans="1:1" ht="13">
      <c r="A682" s="396"/>
    </row>
    <row r="683" spans="1:1" ht="13">
      <c r="A683" s="396"/>
    </row>
    <row r="684" spans="1:1" ht="13">
      <c r="A684" s="396"/>
    </row>
    <row r="685" spans="1:1" ht="13">
      <c r="A685" s="396"/>
    </row>
    <row r="686" spans="1:1" ht="13">
      <c r="A686" s="396"/>
    </row>
    <row r="687" spans="1:1" ht="13">
      <c r="A687" s="396"/>
    </row>
    <row r="688" spans="1:1" ht="13">
      <c r="A688" s="396"/>
    </row>
    <row r="689" spans="1:1" ht="13">
      <c r="A689" s="396"/>
    </row>
    <row r="690" spans="1:1" ht="13">
      <c r="A690" s="396"/>
    </row>
    <row r="691" spans="1:1" ht="13">
      <c r="A691" s="396"/>
    </row>
    <row r="692" spans="1:1" ht="13">
      <c r="A692" s="396"/>
    </row>
    <row r="693" spans="1:1" ht="13">
      <c r="A693" s="396"/>
    </row>
    <row r="694" spans="1:1" ht="13">
      <c r="A694" s="396"/>
    </row>
    <row r="695" spans="1:1" ht="13">
      <c r="A695" s="396"/>
    </row>
    <row r="696" spans="1:1" ht="13">
      <c r="A696" s="396"/>
    </row>
    <row r="697" spans="1:1" ht="13">
      <c r="A697" s="396"/>
    </row>
    <row r="698" spans="1:1" ht="13">
      <c r="A698" s="396"/>
    </row>
    <row r="699" spans="1:1" ht="13">
      <c r="A699" s="396"/>
    </row>
    <row r="700" spans="1:1" ht="13">
      <c r="A700" s="396"/>
    </row>
    <row r="701" spans="1:1" ht="13">
      <c r="A701" s="396"/>
    </row>
    <row r="702" spans="1:1" ht="13">
      <c r="A702" s="396"/>
    </row>
    <row r="703" spans="1:1" ht="13">
      <c r="A703" s="396"/>
    </row>
    <row r="704" spans="1:1" ht="13">
      <c r="A704" s="396"/>
    </row>
    <row r="705" spans="1:1" ht="13">
      <c r="A705" s="396"/>
    </row>
    <row r="706" spans="1:1" ht="13">
      <c r="A706" s="396"/>
    </row>
    <row r="707" spans="1:1" ht="13">
      <c r="A707" s="396"/>
    </row>
    <row r="708" spans="1:1" ht="13">
      <c r="A708" s="396"/>
    </row>
    <row r="709" spans="1:1" ht="13">
      <c r="A709" s="396"/>
    </row>
    <row r="710" spans="1:1" ht="13">
      <c r="A710" s="396"/>
    </row>
    <row r="711" spans="1:1" ht="13">
      <c r="A711" s="396"/>
    </row>
    <row r="712" spans="1:1" ht="13">
      <c r="A712" s="396"/>
    </row>
    <row r="713" spans="1:1" ht="13">
      <c r="A713" s="396"/>
    </row>
    <row r="714" spans="1:1" ht="13">
      <c r="A714" s="396"/>
    </row>
    <row r="715" spans="1:1" ht="13">
      <c r="A715" s="396"/>
    </row>
    <row r="716" spans="1:1" ht="13">
      <c r="A716" s="396"/>
    </row>
    <row r="717" spans="1:1" ht="13">
      <c r="A717" s="396"/>
    </row>
    <row r="718" spans="1:1" ht="13">
      <c r="A718" s="396"/>
    </row>
    <row r="719" spans="1:1" ht="13">
      <c r="A719" s="396"/>
    </row>
    <row r="720" spans="1:1" ht="13">
      <c r="A720" s="396"/>
    </row>
    <row r="721" spans="1:1" ht="13">
      <c r="A721" s="396"/>
    </row>
    <row r="722" spans="1:1" ht="13">
      <c r="A722" s="396"/>
    </row>
    <row r="723" spans="1:1" ht="13">
      <c r="A723" s="396"/>
    </row>
    <row r="724" spans="1:1" ht="13">
      <c r="A724" s="396"/>
    </row>
    <row r="725" spans="1:1" ht="13">
      <c r="A725" s="396"/>
    </row>
    <row r="726" spans="1:1" ht="13">
      <c r="A726" s="396"/>
    </row>
    <row r="727" spans="1:1" ht="13">
      <c r="A727" s="396"/>
    </row>
    <row r="728" spans="1:1" ht="13">
      <c r="A728" s="396"/>
    </row>
    <row r="729" spans="1:1" ht="13">
      <c r="A729" s="396"/>
    </row>
    <row r="730" spans="1:1" ht="13">
      <c r="A730" s="396"/>
    </row>
    <row r="731" spans="1:1" ht="13">
      <c r="A731" s="396"/>
    </row>
    <row r="732" spans="1:1" ht="13">
      <c r="A732" s="396"/>
    </row>
    <row r="733" spans="1:1" ht="13">
      <c r="A733" s="396"/>
    </row>
    <row r="734" spans="1:1" ht="13">
      <c r="A734" s="396"/>
    </row>
    <row r="735" spans="1:1" ht="13">
      <c r="A735" s="396"/>
    </row>
    <row r="736" spans="1:1" ht="13">
      <c r="A736" s="396"/>
    </row>
    <row r="737" spans="1:1" ht="13">
      <c r="A737" s="396"/>
    </row>
    <row r="738" spans="1:1" ht="13">
      <c r="A738" s="396"/>
    </row>
    <row r="739" spans="1:1" ht="13">
      <c r="A739" s="396"/>
    </row>
    <row r="740" spans="1:1" ht="13">
      <c r="A740" s="396"/>
    </row>
    <row r="741" spans="1:1" ht="13">
      <c r="A741" s="396"/>
    </row>
    <row r="742" spans="1:1" ht="13">
      <c r="A742" s="396"/>
    </row>
    <row r="743" spans="1:1" ht="13">
      <c r="A743" s="396"/>
    </row>
    <row r="744" spans="1:1" ht="13">
      <c r="A744" s="396"/>
    </row>
    <row r="745" spans="1:1" ht="13">
      <c r="A745" s="396"/>
    </row>
    <row r="746" spans="1:1" ht="13">
      <c r="A746" s="396"/>
    </row>
    <row r="747" spans="1:1" ht="13">
      <c r="A747" s="396"/>
    </row>
    <row r="748" spans="1:1" ht="13">
      <c r="A748" s="396"/>
    </row>
    <row r="749" spans="1:1" ht="13">
      <c r="A749" s="396"/>
    </row>
    <row r="750" spans="1:1" ht="13">
      <c r="A750" s="396"/>
    </row>
    <row r="751" spans="1:1" ht="13">
      <c r="A751" s="396"/>
    </row>
    <row r="752" spans="1:1" ht="13">
      <c r="A752" s="396"/>
    </row>
    <row r="753" spans="1:1" ht="13">
      <c r="A753" s="396"/>
    </row>
    <row r="754" spans="1:1" ht="13">
      <c r="A754" s="396"/>
    </row>
    <row r="755" spans="1:1" ht="13">
      <c r="A755" s="396"/>
    </row>
    <row r="756" spans="1:1" ht="13">
      <c r="A756" s="396"/>
    </row>
    <row r="757" spans="1:1" ht="13">
      <c r="A757" s="396"/>
    </row>
    <row r="758" spans="1:1" ht="13">
      <c r="A758" s="396"/>
    </row>
    <row r="759" spans="1:1" ht="13">
      <c r="A759" s="396"/>
    </row>
    <row r="760" spans="1:1" ht="13">
      <c r="A760" s="396"/>
    </row>
    <row r="761" spans="1:1" ht="13">
      <c r="A761" s="396"/>
    </row>
    <row r="762" spans="1:1" ht="13">
      <c r="A762" s="396"/>
    </row>
    <row r="763" spans="1:1" ht="13">
      <c r="A763" s="396"/>
    </row>
    <row r="764" spans="1:1" ht="13">
      <c r="A764" s="396"/>
    </row>
    <row r="765" spans="1:1" ht="13">
      <c r="A765" s="396"/>
    </row>
    <row r="766" spans="1:1" ht="13">
      <c r="A766" s="396"/>
    </row>
    <row r="767" spans="1:1" ht="13">
      <c r="A767" s="396"/>
    </row>
    <row r="768" spans="1:1" ht="13">
      <c r="A768" s="396"/>
    </row>
    <row r="769" spans="1:1" ht="13">
      <c r="A769" s="396"/>
    </row>
    <row r="770" spans="1:1" ht="13">
      <c r="A770" s="396"/>
    </row>
    <row r="771" spans="1:1" ht="13">
      <c r="A771" s="396"/>
    </row>
    <row r="772" spans="1:1" ht="13">
      <c r="A772" s="396"/>
    </row>
    <row r="773" spans="1:1" ht="13">
      <c r="A773" s="396"/>
    </row>
    <row r="774" spans="1:1" ht="13">
      <c r="A774" s="396"/>
    </row>
    <row r="775" spans="1:1" ht="13">
      <c r="A775" s="396"/>
    </row>
    <row r="776" spans="1:1" ht="13">
      <c r="A776" s="396"/>
    </row>
    <row r="777" spans="1:1" ht="13">
      <c r="A777" s="396"/>
    </row>
    <row r="778" spans="1:1" ht="13">
      <c r="A778" s="396"/>
    </row>
    <row r="779" spans="1:1" ht="13">
      <c r="A779" s="396"/>
    </row>
    <row r="780" spans="1:1" ht="13">
      <c r="A780" s="396"/>
    </row>
    <row r="781" spans="1:1" ht="13">
      <c r="A781" s="396"/>
    </row>
    <row r="782" spans="1:1" ht="13">
      <c r="A782" s="396"/>
    </row>
    <row r="783" spans="1:1" ht="13">
      <c r="A783" s="396"/>
    </row>
    <row r="784" spans="1:1" ht="13">
      <c r="A784" s="396"/>
    </row>
    <row r="785" spans="1:1" ht="13">
      <c r="A785" s="396"/>
    </row>
    <row r="786" spans="1:1" ht="13">
      <c r="A786" s="396"/>
    </row>
    <row r="787" spans="1:1" ht="13">
      <c r="A787" s="396"/>
    </row>
    <row r="788" spans="1:1" ht="13">
      <c r="A788" s="396"/>
    </row>
    <row r="789" spans="1:1" ht="13">
      <c r="A789" s="396"/>
    </row>
    <row r="790" spans="1:1" ht="13">
      <c r="A790" s="396"/>
    </row>
    <row r="791" spans="1:1" ht="13">
      <c r="A791" s="396"/>
    </row>
    <row r="792" spans="1:1" ht="13">
      <c r="A792" s="396"/>
    </row>
    <row r="793" spans="1:1" ht="13">
      <c r="A793" s="396"/>
    </row>
    <row r="794" spans="1:1" ht="13">
      <c r="A794" s="396"/>
    </row>
    <row r="795" spans="1:1" ht="13">
      <c r="A795" s="396"/>
    </row>
    <row r="796" spans="1:1" ht="13">
      <c r="A796" s="396"/>
    </row>
    <row r="797" spans="1:1" ht="13">
      <c r="A797" s="396"/>
    </row>
    <row r="798" spans="1:1" ht="13">
      <c r="A798" s="396"/>
    </row>
    <row r="799" spans="1:1" ht="13">
      <c r="A799" s="396"/>
    </row>
    <row r="800" spans="1:1" ht="13">
      <c r="A800" s="396"/>
    </row>
    <row r="801" spans="1:1" ht="13">
      <c r="A801" s="396"/>
    </row>
    <row r="802" spans="1:1" ht="13">
      <c r="A802" s="396"/>
    </row>
    <row r="803" spans="1:1" ht="13">
      <c r="A803" s="396"/>
    </row>
    <row r="804" spans="1:1" ht="13">
      <c r="A804" s="396"/>
    </row>
    <row r="805" spans="1:1" ht="13">
      <c r="A805" s="396"/>
    </row>
    <row r="806" spans="1:1" ht="13">
      <c r="A806" s="396"/>
    </row>
    <row r="807" spans="1:1" ht="13">
      <c r="A807" s="396"/>
    </row>
    <row r="808" spans="1:1" ht="13">
      <c r="A808" s="396"/>
    </row>
    <row r="809" spans="1:1" ht="13">
      <c r="A809" s="396"/>
    </row>
    <row r="810" spans="1:1" ht="13">
      <c r="A810" s="396"/>
    </row>
    <row r="811" spans="1:1" ht="13">
      <c r="A811" s="396"/>
    </row>
    <row r="812" spans="1:1" ht="13">
      <c r="A812" s="396"/>
    </row>
    <row r="813" spans="1:1" ht="13">
      <c r="A813" s="396"/>
    </row>
    <row r="814" spans="1:1" ht="13">
      <c r="A814" s="396"/>
    </row>
    <row r="815" spans="1:1" ht="13">
      <c r="A815" s="396"/>
    </row>
    <row r="816" spans="1:1" ht="13">
      <c r="A816" s="396"/>
    </row>
    <row r="817" spans="1:1" ht="13">
      <c r="A817" s="396"/>
    </row>
    <row r="818" spans="1:1" ht="13">
      <c r="A818" s="396"/>
    </row>
    <row r="819" spans="1:1" ht="13">
      <c r="A819" s="396"/>
    </row>
    <row r="820" spans="1:1" ht="13">
      <c r="A820" s="396"/>
    </row>
    <row r="821" spans="1:1" ht="13">
      <c r="A821" s="396"/>
    </row>
    <row r="822" spans="1:1" ht="13">
      <c r="A822" s="396"/>
    </row>
    <row r="823" spans="1:1" ht="13">
      <c r="A823" s="396"/>
    </row>
    <row r="824" spans="1:1" ht="13">
      <c r="A824" s="396"/>
    </row>
    <row r="825" spans="1:1" ht="13">
      <c r="A825" s="396"/>
    </row>
    <row r="826" spans="1:1" ht="13">
      <c r="A826" s="396"/>
    </row>
    <row r="827" spans="1:1" ht="13">
      <c r="A827" s="396"/>
    </row>
    <row r="828" spans="1:1" ht="13">
      <c r="A828" s="396"/>
    </row>
    <row r="829" spans="1:1" ht="13">
      <c r="A829" s="396"/>
    </row>
    <row r="830" spans="1:1" ht="13">
      <c r="A830" s="396"/>
    </row>
    <row r="831" spans="1:1" ht="13">
      <c r="A831" s="396"/>
    </row>
    <row r="832" spans="1:1" ht="13">
      <c r="A832" s="396"/>
    </row>
    <row r="833" spans="1:1" ht="13">
      <c r="A833" s="396"/>
    </row>
    <row r="834" spans="1:1" ht="13">
      <c r="A834" s="396"/>
    </row>
    <row r="835" spans="1:1" ht="13">
      <c r="A835" s="396"/>
    </row>
    <row r="836" spans="1:1" ht="13">
      <c r="A836" s="396"/>
    </row>
    <row r="837" spans="1:1" ht="13">
      <c r="A837" s="396"/>
    </row>
    <row r="838" spans="1:1" ht="13">
      <c r="A838" s="396"/>
    </row>
    <row r="839" spans="1:1" ht="13">
      <c r="A839" s="396"/>
    </row>
    <row r="840" spans="1:1" ht="13">
      <c r="A840" s="396"/>
    </row>
    <row r="841" spans="1:1" ht="13">
      <c r="A841" s="396"/>
    </row>
    <row r="842" spans="1:1" ht="13">
      <c r="A842" s="396"/>
    </row>
    <row r="843" spans="1:1" ht="13">
      <c r="A843" s="396"/>
    </row>
    <row r="844" spans="1:1" ht="13">
      <c r="A844" s="396"/>
    </row>
    <row r="845" spans="1:1" ht="13">
      <c r="A845" s="396"/>
    </row>
    <row r="846" spans="1:1" ht="13">
      <c r="A846" s="396"/>
    </row>
    <row r="847" spans="1:1" ht="13">
      <c r="A847" s="396"/>
    </row>
    <row r="848" spans="1:1" ht="13">
      <c r="A848" s="396"/>
    </row>
    <row r="849" spans="1:1" ht="13">
      <c r="A849" s="396"/>
    </row>
    <row r="850" spans="1:1" ht="13">
      <c r="A850" s="396"/>
    </row>
    <row r="851" spans="1:1" ht="13">
      <c r="A851" s="396"/>
    </row>
    <row r="852" spans="1:1" ht="13">
      <c r="A852" s="396"/>
    </row>
    <row r="853" spans="1:1" ht="13">
      <c r="A853" s="396"/>
    </row>
    <row r="854" spans="1:1" ht="13">
      <c r="A854" s="396"/>
    </row>
    <row r="855" spans="1:1" ht="13">
      <c r="A855" s="396"/>
    </row>
    <row r="856" spans="1:1" ht="13">
      <c r="A856" s="396"/>
    </row>
    <row r="857" spans="1:1" ht="13">
      <c r="A857" s="396"/>
    </row>
    <row r="858" spans="1:1" ht="13">
      <c r="A858" s="396"/>
    </row>
    <row r="859" spans="1:1" ht="13">
      <c r="A859" s="396"/>
    </row>
    <row r="860" spans="1:1" ht="13">
      <c r="A860" s="396"/>
    </row>
    <row r="861" spans="1:1" ht="13">
      <c r="A861" s="396"/>
    </row>
    <row r="862" spans="1:1" ht="13">
      <c r="A862" s="396"/>
    </row>
    <row r="863" spans="1:1" ht="13">
      <c r="A863" s="396"/>
    </row>
    <row r="864" spans="1:1" ht="13">
      <c r="A864" s="396"/>
    </row>
    <row r="865" spans="1:1" ht="13">
      <c r="A865" s="396"/>
    </row>
    <row r="866" spans="1:1" ht="13">
      <c r="A866" s="396"/>
    </row>
    <row r="867" spans="1:1" ht="13">
      <c r="A867" s="396"/>
    </row>
    <row r="868" spans="1:1" ht="13">
      <c r="A868" s="396"/>
    </row>
    <row r="869" spans="1:1" ht="13">
      <c r="A869" s="396"/>
    </row>
    <row r="870" spans="1:1" ht="13">
      <c r="A870" s="396"/>
    </row>
    <row r="871" spans="1:1" ht="13">
      <c r="A871" s="396"/>
    </row>
    <row r="872" spans="1:1" ht="13">
      <c r="A872" s="396"/>
    </row>
    <row r="873" spans="1:1" ht="13">
      <c r="A873" s="396"/>
    </row>
    <row r="874" spans="1:1" ht="13">
      <c r="A874" s="396"/>
    </row>
    <row r="875" spans="1:1" ht="13">
      <c r="A875" s="396"/>
    </row>
    <row r="876" spans="1:1" ht="13">
      <c r="A876" s="396"/>
    </row>
    <row r="877" spans="1:1" ht="13">
      <c r="A877" s="396"/>
    </row>
    <row r="878" spans="1:1" ht="13">
      <c r="A878" s="396"/>
    </row>
    <row r="879" spans="1:1" ht="13">
      <c r="A879" s="396"/>
    </row>
    <row r="880" spans="1:1" ht="13">
      <c r="A880" s="396"/>
    </row>
    <row r="881" spans="1:1" ht="13">
      <c r="A881" s="396"/>
    </row>
    <row r="882" spans="1:1" ht="13">
      <c r="A882" s="396"/>
    </row>
    <row r="883" spans="1:1" ht="13">
      <c r="A883" s="396"/>
    </row>
    <row r="884" spans="1:1" ht="13">
      <c r="A884" s="396"/>
    </row>
    <row r="885" spans="1:1" ht="13">
      <c r="A885" s="396"/>
    </row>
    <row r="886" spans="1:1" ht="13">
      <c r="A886" s="396"/>
    </row>
    <row r="887" spans="1:1" ht="13">
      <c r="A887" s="396"/>
    </row>
    <row r="888" spans="1:1" ht="13">
      <c r="A888" s="396"/>
    </row>
    <row r="889" spans="1:1" ht="13">
      <c r="A889" s="396"/>
    </row>
    <row r="890" spans="1:1" ht="13">
      <c r="A890" s="396"/>
    </row>
    <row r="891" spans="1:1" ht="13">
      <c r="A891" s="396"/>
    </row>
    <row r="892" spans="1:1" ht="13">
      <c r="A892" s="396"/>
    </row>
    <row r="893" spans="1:1" ht="13">
      <c r="A893" s="396"/>
    </row>
    <row r="894" spans="1:1" ht="13">
      <c r="A894" s="396"/>
    </row>
    <row r="895" spans="1:1" ht="13">
      <c r="A895" s="396"/>
    </row>
    <row r="896" spans="1:1" ht="13">
      <c r="A896" s="396"/>
    </row>
    <row r="897" spans="1:1" ht="13">
      <c r="A897" s="396"/>
    </row>
    <row r="898" spans="1:1" ht="13">
      <c r="A898" s="396"/>
    </row>
    <row r="899" spans="1:1" ht="13">
      <c r="A899" s="396"/>
    </row>
    <row r="900" spans="1:1" ht="13">
      <c r="A900" s="396"/>
    </row>
    <row r="901" spans="1:1" ht="13">
      <c r="A901" s="396"/>
    </row>
    <row r="902" spans="1:1" ht="13">
      <c r="A902" s="396"/>
    </row>
    <row r="903" spans="1:1" ht="13">
      <c r="A903" s="396"/>
    </row>
    <row r="904" spans="1:1" ht="13">
      <c r="A904" s="396"/>
    </row>
    <row r="905" spans="1:1" ht="13">
      <c r="A905" s="396"/>
    </row>
    <row r="906" spans="1:1" ht="13">
      <c r="A906" s="396"/>
    </row>
    <row r="907" spans="1:1" ht="13">
      <c r="A907" s="396"/>
    </row>
    <row r="908" spans="1:1" ht="13">
      <c r="A908" s="396"/>
    </row>
    <row r="909" spans="1:1" ht="13">
      <c r="A909" s="396"/>
    </row>
    <row r="910" spans="1:1" ht="13">
      <c r="A910" s="396"/>
    </row>
    <row r="911" spans="1:1" ht="13">
      <c r="A911" s="396"/>
    </row>
    <row r="912" spans="1:1" ht="13">
      <c r="A912" s="396"/>
    </row>
    <row r="913" spans="1:1" ht="13">
      <c r="A913" s="396"/>
    </row>
    <row r="914" spans="1:1" ht="13">
      <c r="A914" s="396"/>
    </row>
    <row r="915" spans="1:1" ht="13">
      <c r="A915" s="396"/>
    </row>
    <row r="916" spans="1:1" ht="13">
      <c r="A916" s="396"/>
    </row>
    <row r="917" spans="1:1" ht="13">
      <c r="A917" s="396"/>
    </row>
    <row r="918" spans="1:1" ht="13">
      <c r="A918" s="396"/>
    </row>
    <row r="919" spans="1:1" ht="13">
      <c r="A919" s="396"/>
    </row>
    <row r="920" spans="1:1" ht="13">
      <c r="A920" s="396"/>
    </row>
    <row r="921" spans="1:1" ht="13">
      <c r="A921" s="396"/>
    </row>
    <row r="922" spans="1:1" ht="13">
      <c r="A922" s="396"/>
    </row>
    <row r="923" spans="1:1" ht="13">
      <c r="A923" s="396"/>
    </row>
    <row r="924" spans="1:1" ht="13">
      <c r="A924" s="396"/>
    </row>
    <row r="925" spans="1:1" ht="13">
      <c r="A925" s="396"/>
    </row>
    <row r="926" spans="1:1" ht="13">
      <c r="A926" s="396"/>
    </row>
    <row r="927" spans="1:1" ht="13">
      <c r="A927" s="396"/>
    </row>
    <row r="928" spans="1:1" ht="13">
      <c r="A928" s="396"/>
    </row>
    <row r="929" spans="1:1" ht="13">
      <c r="A929" s="396"/>
    </row>
    <row r="930" spans="1:1" ht="13">
      <c r="A930" s="396"/>
    </row>
    <row r="931" spans="1:1" ht="13">
      <c r="A931" s="396"/>
    </row>
    <row r="932" spans="1:1" ht="13">
      <c r="A932" s="396"/>
    </row>
    <row r="933" spans="1:1" ht="13">
      <c r="A933" s="396"/>
    </row>
    <row r="934" spans="1:1" ht="13">
      <c r="A934" s="396"/>
    </row>
    <row r="935" spans="1:1" ht="13">
      <c r="A935" s="396"/>
    </row>
    <row r="936" spans="1:1" ht="13">
      <c r="A936" s="396"/>
    </row>
    <row r="937" spans="1:1" ht="13">
      <c r="A937" s="396"/>
    </row>
    <row r="938" spans="1:1" ht="13">
      <c r="A938" s="396"/>
    </row>
    <row r="939" spans="1:1" ht="13">
      <c r="A939" s="396"/>
    </row>
    <row r="940" spans="1:1" ht="13">
      <c r="A940" s="396"/>
    </row>
    <row r="941" spans="1:1" ht="13">
      <c r="A941" s="396"/>
    </row>
    <row r="942" spans="1:1" ht="13">
      <c r="A942" s="396"/>
    </row>
    <row r="943" spans="1:1" ht="13">
      <c r="A943" s="396"/>
    </row>
    <row r="944" spans="1:1" ht="13">
      <c r="A944" s="396"/>
    </row>
    <row r="945" spans="1:1" ht="13">
      <c r="A945" s="396"/>
    </row>
    <row r="946" spans="1:1" ht="13">
      <c r="A946" s="396"/>
    </row>
    <row r="947" spans="1:1" ht="13">
      <c r="A947" s="396"/>
    </row>
    <row r="948" spans="1:1" ht="13">
      <c r="A948" s="396"/>
    </row>
    <row r="949" spans="1:1" ht="13">
      <c r="A949" s="396"/>
    </row>
    <row r="950" spans="1:1" ht="13">
      <c r="A950" s="396"/>
    </row>
    <row r="951" spans="1:1" ht="13">
      <c r="A951" s="396"/>
    </row>
    <row r="952" spans="1:1" ht="13">
      <c r="A952" s="396"/>
    </row>
    <row r="953" spans="1:1" ht="13">
      <c r="A953" s="396"/>
    </row>
    <row r="954" spans="1:1" ht="13">
      <c r="A954" s="396"/>
    </row>
    <row r="955" spans="1:1" ht="13">
      <c r="A955" s="396"/>
    </row>
    <row r="956" spans="1:1" ht="13">
      <c r="A956" s="396"/>
    </row>
    <row r="957" spans="1:1" ht="13">
      <c r="A957" s="396"/>
    </row>
    <row r="958" spans="1:1" ht="13">
      <c r="A958" s="396"/>
    </row>
    <row r="959" spans="1:1" ht="13">
      <c r="A959" s="396"/>
    </row>
    <row r="960" spans="1:1" ht="13">
      <c r="A960" s="396"/>
    </row>
    <row r="961" spans="1:1" ht="13">
      <c r="A961" s="396"/>
    </row>
    <row r="962" spans="1:1" ht="13">
      <c r="A962" s="396"/>
    </row>
    <row r="963" spans="1:1" ht="13">
      <c r="A963" s="396"/>
    </row>
    <row r="964" spans="1:1" ht="13">
      <c r="A964" s="396"/>
    </row>
    <row r="965" spans="1:1" ht="13">
      <c r="A965" s="396"/>
    </row>
    <row r="966" spans="1:1" ht="13">
      <c r="A966" s="396"/>
    </row>
    <row r="967" spans="1:1" ht="13">
      <c r="A967" s="396"/>
    </row>
    <row r="968" spans="1:1" ht="13">
      <c r="A968" s="396"/>
    </row>
    <row r="969" spans="1:1" ht="13">
      <c r="A969" s="396"/>
    </row>
    <row r="970" spans="1:1" ht="13">
      <c r="A970" s="396"/>
    </row>
    <row r="971" spans="1:1" ht="13">
      <c r="A971" s="396"/>
    </row>
    <row r="972" spans="1:1" ht="13">
      <c r="A972" s="396"/>
    </row>
    <row r="973" spans="1:1" ht="13">
      <c r="A973" s="396"/>
    </row>
    <row r="974" spans="1:1" ht="13">
      <c r="A974" s="396"/>
    </row>
    <row r="975" spans="1:1" ht="13">
      <c r="A975" s="396"/>
    </row>
    <row r="976" spans="1:1" ht="13">
      <c r="A976" s="396"/>
    </row>
    <row r="977" spans="1:1" ht="13">
      <c r="A977" s="396"/>
    </row>
    <row r="978" spans="1:1" ht="13">
      <c r="A978" s="396"/>
    </row>
    <row r="979" spans="1:1" ht="13">
      <c r="A979" s="396"/>
    </row>
    <row r="980" spans="1:1" ht="13">
      <c r="A980" s="396"/>
    </row>
    <row r="981" spans="1:1" ht="13">
      <c r="A981" s="396"/>
    </row>
    <row r="982" spans="1:1" ht="13">
      <c r="A982" s="396"/>
    </row>
    <row r="983" spans="1:1" ht="13">
      <c r="A983" s="396"/>
    </row>
    <row r="984" spans="1:1" ht="13">
      <c r="A984" s="396"/>
    </row>
    <row r="985" spans="1:1" ht="13">
      <c r="A985" s="396"/>
    </row>
    <row r="986" spans="1:1" ht="13">
      <c r="A986" s="396"/>
    </row>
    <row r="987" spans="1:1" ht="13">
      <c r="A987" s="396"/>
    </row>
    <row r="988" spans="1:1" ht="13">
      <c r="A988" s="396"/>
    </row>
    <row r="989" spans="1:1" ht="13">
      <c r="A989" s="396"/>
    </row>
    <row r="990" spans="1:1" ht="13">
      <c r="A990" s="396"/>
    </row>
    <row r="991" spans="1:1" ht="13">
      <c r="A991" s="396"/>
    </row>
    <row r="992" spans="1:1" ht="13">
      <c r="A992" s="396"/>
    </row>
    <row r="993" spans="1:1" ht="13">
      <c r="A993" s="396"/>
    </row>
    <row r="994" spans="1:1" ht="13">
      <c r="A994" s="396"/>
    </row>
    <row r="995" spans="1:1" ht="13">
      <c r="A995" s="396"/>
    </row>
    <row r="996" spans="1:1" ht="13">
      <c r="A996" s="396"/>
    </row>
    <row r="997" spans="1:1" ht="13">
      <c r="A997" s="396"/>
    </row>
    <row r="998" spans="1:1" ht="13">
      <c r="A998" s="396"/>
    </row>
    <row r="999" spans="1:1" ht="13">
      <c r="A999" s="396"/>
    </row>
    <row r="1000" spans="1:1" ht="13">
      <c r="A1000" s="396"/>
    </row>
  </sheetData>
  <mergeCells count="8">
    <mergeCell ref="B37:E37"/>
    <mergeCell ref="G37:N37"/>
    <mergeCell ref="B2:N2"/>
    <mergeCell ref="B4:N4"/>
    <mergeCell ref="B7:E7"/>
    <mergeCell ref="G7:N7"/>
    <mergeCell ref="B22:E22"/>
    <mergeCell ref="G22:N2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B1:H1000"/>
  <sheetViews>
    <sheetView workbookViewId="0"/>
  </sheetViews>
  <sheetFormatPr baseColWidth="10" defaultColWidth="12.6640625" defaultRowHeight="15.75" customHeight="1"/>
  <cols>
    <col min="1" max="1" width="3.6640625" customWidth="1"/>
    <col min="2" max="2" width="5.83203125" customWidth="1"/>
    <col min="3" max="3" width="36" customWidth="1"/>
    <col min="4" max="4" width="21.83203125" customWidth="1"/>
    <col min="5" max="5" width="34.6640625" customWidth="1"/>
    <col min="6" max="6" width="36" customWidth="1"/>
  </cols>
  <sheetData>
    <row r="1" spans="2:8" ht="15.75" customHeight="1">
      <c r="B1" s="2" t="s">
        <v>238</v>
      </c>
      <c r="C1" s="3"/>
      <c r="D1" s="4"/>
      <c r="E1" s="4"/>
      <c r="F1" s="4"/>
      <c r="G1" s="3"/>
    </row>
    <row r="2" spans="2:8" ht="15.75" customHeight="1">
      <c r="D2" s="5"/>
      <c r="E2" s="5"/>
      <c r="F2" s="5"/>
    </row>
    <row r="3" spans="2:8" ht="15.75" customHeight="1">
      <c r="B3" s="6" t="s">
        <v>239</v>
      </c>
      <c r="C3" s="6" t="s">
        <v>18</v>
      </c>
      <c r="D3" s="6" t="s">
        <v>240</v>
      </c>
      <c r="E3" s="6" t="s">
        <v>241</v>
      </c>
      <c r="F3" s="6" t="s">
        <v>242</v>
      </c>
      <c r="G3" s="6" t="s">
        <v>243</v>
      </c>
      <c r="H3" s="5"/>
    </row>
    <row r="4" spans="2:8" ht="15.75" customHeight="1">
      <c r="C4" s="7" t="s">
        <v>46</v>
      </c>
      <c r="D4" s="5" t="s">
        <v>244</v>
      </c>
      <c r="E4" s="5" t="s">
        <v>245</v>
      </c>
      <c r="F4" s="5" t="s">
        <v>246</v>
      </c>
    </row>
    <row r="5" spans="2:8" ht="15.75" customHeight="1">
      <c r="C5" s="7" t="s">
        <v>52</v>
      </c>
      <c r="D5" s="5" t="s">
        <v>247</v>
      </c>
      <c r="E5" s="5" t="s">
        <v>245</v>
      </c>
      <c r="F5" s="5"/>
    </row>
    <row r="6" spans="2:8" ht="15.75" customHeight="1">
      <c r="C6" s="7" t="s">
        <v>59</v>
      </c>
      <c r="D6" s="5"/>
      <c r="E6" s="5" t="s">
        <v>245</v>
      </c>
      <c r="F6" s="5"/>
    </row>
    <row r="7" spans="2:8" ht="15.75" customHeight="1">
      <c r="C7" s="7" t="s">
        <v>60</v>
      </c>
      <c r="D7" s="5"/>
      <c r="E7" s="5" t="s">
        <v>245</v>
      </c>
      <c r="F7" s="5"/>
    </row>
    <row r="8" spans="2:8" ht="15.75" customHeight="1">
      <c r="C8" s="7" t="s">
        <v>11</v>
      </c>
      <c r="D8" s="5" t="s">
        <v>248</v>
      </c>
      <c r="E8" s="5" t="s">
        <v>245</v>
      </c>
      <c r="F8" s="5" t="s">
        <v>249</v>
      </c>
    </row>
    <row r="9" spans="2:8" ht="15.75" customHeight="1">
      <c r="C9" s="7" t="s">
        <v>90</v>
      </c>
      <c r="D9" s="5" t="s">
        <v>248</v>
      </c>
      <c r="E9" s="5" t="s">
        <v>245</v>
      </c>
      <c r="F9" s="5"/>
    </row>
    <row r="10" spans="2:8" ht="15.75" customHeight="1">
      <c r="C10" s="7" t="s">
        <v>102</v>
      </c>
      <c r="D10" s="5"/>
      <c r="E10" s="5"/>
      <c r="F10" s="5"/>
    </row>
    <row r="11" spans="2:8" ht="15.75" customHeight="1">
      <c r="C11" s="7" t="s">
        <v>110</v>
      </c>
      <c r="D11" s="5" t="s">
        <v>247</v>
      </c>
      <c r="E11" s="5" t="s">
        <v>250</v>
      </c>
      <c r="F11" s="5"/>
    </row>
    <row r="12" spans="2:8" ht="15.75" customHeight="1">
      <c r="C12" s="7" t="s">
        <v>115</v>
      </c>
      <c r="D12" s="5" t="s">
        <v>248</v>
      </c>
      <c r="E12" s="5"/>
      <c r="F12" s="5"/>
    </row>
    <row r="13" spans="2:8" ht="15.75" customHeight="1">
      <c r="C13" s="7" t="s">
        <v>130</v>
      </c>
      <c r="D13" s="5"/>
      <c r="E13" s="5"/>
      <c r="F13" s="5"/>
    </row>
    <row r="14" spans="2:8" ht="15.75" customHeight="1">
      <c r="C14" s="7" t="s">
        <v>251</v>
      </c>
      <c r="D14" s="5" t="s">
        <v>247</v>
      </c>
      <c r="E14" s="5" t="s">
        <v>252</v>
      </c>
      <c r="F14" s="5"/>
    </row>
    <row r="15" spans="2:8" ht="15.75" customHeight="1">
      <c r="C15" s="7" t="s">
        <v>143</v>
      </c>
      <c r="D15" s="5"/>
      <c r="E15" s="5"/>
      <c r="F15" s="5"/>
    </row>
    <row r="16" spans="2:8" ht="15.75" customHeight="1">
      <c r="C16" s="7" t="s">
        <v>146</v>
      </c>
      <c r="D16" s="5"/>
      <c r="E16" s="5"/>
      <c r="F16" s="5"/>
    </row>
    <row r="17" spans="3:6" ht="15.75" customHeight="1">
      <c r="C17" s="7" t="s">
        <v>158</v>
      </c>
      <c r="D17" s="5" t="s">
        <v>247</v>
      </c>
      <c r="E17" s="5" t="s">
        <v>250</v>
      </c>
      <c r="F17" s="5"/>
    </row>
    <row r="18" spans="3:6" ht="15.75" customHeight="1">
      <c r="C18" s="7" t="s">
        <v>167</v>
      </c>
      <c r="D18" s="5"/>
      <c r="E18" s="5"/>
      <c r="F18" s="5"/>
    </row>
    <row r="19" spans="3:6" ht="15.75" customHeight="1">
      <c r="C19" s="7" t="s">
        <v>192</v>
      </c>
      <c r="D19" s="5" t="s">
        <v>253</v>
      </c>
      <c r="E19" s="5" t="s">
        <v>254</v>
      </c>
      <c r="F19" s="5"/>
    </row>
    <row r="20" spans="3:6" ht="15.75" customHeight="1">
      <c r="C20" s="7" t="s">
        <v>203</v>
      </c>
      <c r="D20" s="5" t="s">
        <v>247</v>
      </c>
      <c r="E20" s="5" t="s">
        <v>254</v>
      </c>
      <c r="F20" s="5"/>
    </row>
    <row r="21" spans="3:6" ht="15.75" customHeight="1">
      <c r="C21" s="7" t="s">
        <v>255</v>
      </c>
      <c r="D21" s="5" t="s">
        <v>248</v>
      </c>
      <c r="E21" s="5" t="s">
        <v>256</v>
      </c>
      <c r="F21" s="5"/>
    </row>
    <row r="22" spans="3:6" ht="15.75" customHeight="1">
      <c r="C22" s="7" t="s">
        <v>257</v>
      </c>
      <c r="D22" s="5" t="s">
        <v>253</v>
      </c>
      <c r="E22" s="5"/>
      <c r="F22" s="5"/>
    </row>
    <row r="23" spans="3:6" ht="15.75" customHeight="1">
      <c r="C23" s="7" t="s">
        <v>258</v>
      </c>
      <c r="D23" s="5" t="s">
        <v>248</v>
      </c>
      <c r="E23" s="5" t="s">
        <v>245</v>
      </c>
      <c r="F23" s="5"/>
    </row>
    <row r="24" spans="3:6" ht="15.75" customHeight="1">
      <c r="C24" s="7" t="s">
        <v>259</v>
      </c>
      <c r="D24" s="5" t="s">
        <v>248</v>
      </c>
      <c r="E24" s="5" t="s">
        <v>245</v>
      </c>
      <c r="F24" s="5"/>
    </row>
    <row r="25" spans="3:6" ht="15.75" customHeight="1">
      <c r="C25" s="7" t="s">
        <v>260</v>
      </c>
      <c r="D25" s="5" t="s">
        <v>248</v>
      </c>
      <c r="E25" s="5" t="s">
        <v>254</v>
      </c>
      <c r="F25" s="5"/>
    </row>
    <row r="26" spans="3:6" ht="15.75" customHeight="1">
      <c r="C26" s="7" t="s">
        <v>261</v>
      </c>
      <c r="D26" s="5"/>
      <c r="E26" s="5" t="s">
        <v>245</v>
      </c>
      <c r="F26" s="5"/>
    </row>
    <row r="27" spans="3:6" ht="15.75" customHeight="1">
      <c r="C27" s="7" t="s">
        <v>262</v>
      </c>
      <c r="D27" s="5" t="s">
        <v>248</v>
      </c>
      <c r="E27" s="5"/>
      <c r="F27" s="5"/>
    </row>
    <row r="28" spans="3:6" ht="15.75" customHeight="1">
      <c r="D28" s="5"/>
      <c r="E28" s="5"/>
      <c r="F28" s="5"/>
    </row>
    <row r="29" spans="3:6" ht="15.75" customHeight="1">
      <c r="D29" s="5"/>
      <c r="E29" s="5"/>
      <c r="F29" s="5"/>
    </row>
    <row r="30" spans="3:6" ht="15.75" customHeight="1">
      <c r="D30" s="5"/>
      <c r="E30" s="5"/>
      <c r="F30" s="5"/>
    </row>
    <row r="31" spans="3:6" ht="15.75" customHeight="1">
      <c r="D31" s="5"/>
      <c r="E31" s="5"/>
      <c r="F31" s="5"/>
    </row>
    <row r="32" spans="3:6" ht="15.75" customHeight="1">
      <c r="D32" s="5"/>
      <c r="E32" s="5"/>
      <c r="F32" s="5"/>
    </row>
    <row r="33" spans="4:6" ht="15.75" customHeight="1">
      <c r="D33" s="5"/>
      <c r="E33" s="5"/>
      <c r="F33" s="5"/>
    </row>
    <row r="34" spans="4:6" ht="15.75" customHeight="1">
      <c r="D34" s="5"/>
      <c r="E34" s="5"/>
      <c r="F34" s="5"/>
    </row>
    <row r="35" spans="4:6" ht="15.75" customHeight="1">
      <c r="D35" s="5"/>
      <c r="E35" s="5"/>
      <c r="F35" s="5"/>
    </row>
    <row r="36" spans="4:6" ht="15.75" customHeight="1">
      <c r="D36" s="5"/>
      <c r="E36" s="5"/>
      <c r="F36" s="5"/>
    </row>
    <row r="37" spans="4:6" ht="15.75" customHeight="1">
      <c r="D37" s="5"/>
      <c r="E37" s="5"/>
      <c r="F37" s="5"/>
    </row>
    <row r="38" spans="4:6" ht="15.75" customHeight="1">
      <c r="D38" s="5"/>
      <c r="E38" s="5"/>
      <c r="F38" s="5"/>
    </row>
    <row r="39" spans="4:6" ht="15.75" customHeight="1">
      <c r="D39" s="5"/>
      <c r="E39" s="5"/>
      <c r="F39" s="5"/>
    </row>
    <row r="40" spans="4:6" ht="15.75" customHeight="1">
      <c r="D40" s="5"/>
      <c r="E40" s="5"/>
      <c r="F40" s="5"/>
    </row>
    <row r="41" spans="4:6" ht="15.75" customHeight="1">
      <c r="D41" s="5"/>
      <c r="E41" s="5"/>
      <c r="F41" s="5"/>
    </row>
    <row r="42" spans="4:6" ht="15.75" customHeight="1">
      <c r="D42" s="5"/>
      <c r="E42" s="5"/>
      <c r="F42" s="5"/>
    </row>
    <row r="43" spans="4:6" ht="15.75" customHeight="1">
      <c r="D43" s="5"/>
      <c r="E43" s="5"/>
      <c r="F43" s="5"/>
    </row>
    <row r="44" spans="4:6" ht="15.75" customHeight="1">
      <c r="D44" s="5"/>
      <c r="E44" s="5"/>
      <c r="F44" s="5"/>
    </row>
    <row r="45" spans="4:6" ht="15.75" customHeight="1">
      <c r="D45" s="5"/>
      <c r="E45" s="5"/>
      <c r="F45" s="5"/>
    </row>
    <row r="46" spans="4:6" ht="13">
      <c r="D46" s="5"/>
      <c r="E46" s="5"/>
      <c r="F46" s="5"/>
    </row>
    <row r="47" spans="4:6" ht="13">
      <c r="D47" s="5"/>
      <c r="E47" s="5"/>
      <c r="F47" s="5"/>
    </row>
    <row r="48" spans="4:6" ht="13">
      <c r="D48" s="5"/>
      <c r="E48" s="5"/>
      <c r="F48" s="5"/>
    </row>
    <row r="49" spans="4:6" ht="13">
      <c r="D49" s="5"/>
      <c r="E49" s="5"/>
      <c r="F49" s="5"/>
    </row>
    <row r="50" spans="4:6" ht="13">
      <c r="D50" s="5"/>
      <c r="E50" s="5"/>
      <c r="F50" s="5"/>
    </row>
    <row r="51" spans="4:6" ht="13">
      <c r="D51" s="5"/>
      <c r="E51" s="5"/>
      <c r="F51" s="5"/>
    </row>
    <row r="52" spans="4:6" ht="13">
      <c r="D52" s="5"/>
      <c r="E52" s="5"/>
      <c r="F52" s="5"/>
    </row>
    <row r="53" spans="4:6" ht="13">
      <c r="D53" s="5"/>
      <c r="E53" s="5"/>
      <c r="F53" s="5"/>
    </row>
    <row r="54" spans="4:6" ht="13">
      <c r="D54" s="5"/>
      <c r="E54" s="5"/>
      <c r="F54" s="5"/>
    </row>
    <row r="55" spans="4:6" ht="13">
      <c r="D55" s="5"/>
      <c r="E55" s="5"/>
      <c r="F55" s="5"/>
    </row>
    <row r="56" spans="4:6" ht="13">
      <c r="D56" s="5"/>
      <c r="E56" s="5"/>
      <c r="F56" s="5"/>
    </row>
    <row r="57" spans="4:6" ht="13">
      <c r="D57" s="5"/>
      <c r="E57" s="5"/>
      <c r="F57" s="5"/>
    </row>
    <row r="58" spans="4:6" ht="13">
      <c r="D58" s="5"/>
      <c r="E58" s="5"/>
      <c r="F58" s="5"/>
    </row>
    <row r="59" spans="4:6" ht="13">
      <c r="D59" s="5"/>
      <c r="E59" s="5"/>
      <c r="F59" s="5"/>
    </row>
    <row r="60" spans="4:6" ht="13">
      <c r="D60" s="5"/>
      <c r="E60" s="5"/>
      <c r="F60" s="5"/>
    </row>
    <row r="61" spans="4:6" ht="13">
      <c r="D61" s="5"/>
      <c r="E61" s="5"/>
      <c r="F61" s="5"/>
    </row>
    <row r="62" spans="4:6" ht="13">
      <c r="D62" s="5"/>
      <c r="E62" s="5"/>
      <c r="F62" s="5"/>
    </row>
    <row r="63" spans="4:6" ht="13">
      <c r="D63" s="5"/>
      <c r="E63" s="5"/>
      <c r="F63" s="5"/>
    </row>
    <row r="64" spans="4:6" ht="13">
      <c r="D64" s="5"/>
      <c r="E64" s="5"/>
      <c r="F64" s="5"/>
    </row>
    <row r="65" spans="4:6" ht="13">
      <c r="D65" s="5"/>
      <c r="E65" s="5"/>
      <c r="F65" s="5"/>
    </row>
    <row r="66" spans="4:6" ht="13">
      <c r="D66" s="5"/>
      <c r="E66" s="5"/>
      <c r="F66" s="5"/>
    </row>
    <row r="67" spans="4:6" ht="13">
      <c r="D67" s="5"/>
      <c r="E67" s="5"/>
      <c r="F67" s="5"/>
    </row>
    <row r="68" spans="4:6" ht="13">
      <c r="D68" s="5"/>
      <c r="E68" s="5"/>
      <c r="F68" s="5"/>
    </row>
    <row r="69" spans="4:6" ht="13">
      <c r="D69" s="5"/>
      <c r="E69" s="5"/>
      <c r="F69" s="5"/>
    </row>
    <row r="70" spans="4:6" ht="13">
      <c r="D70" s="5"/>
      <c r="E70" s="5"/>
      <c r="F70" s="5"/>
    </row>
    <row r="71" spans="4:6" ht="13">
      <c r="D71" s="5"/>
      <c r="E71" s="5"/>
      <c r="F71" s="5"/>
    </row>
    <row r="72" spans="4:6" ht="13">
      <c r="D72" s="5"/>
      <c r="E72" s="5"/>
      <c r="F72" s="5"/>
    </row>
    <row r="73" spans="4:6" ht="13">
      <c r="D73" s="5"/>
      <c r="E73" s="5"/>
      <c r="F73" s="5"/>
    </row>
    <row r="74" spans="4:6" ht="13">
      <c r="D74" s="5"/>
      <c r="E74" s="5"/>
      <c r="F74" s="5"/>
    </row>
    <row r="75" spans="4:6" ht="13">
      <c r="D75" s="5"/>
      <c r="E75" s="5"/>
      <c r="F75" s="5"/>
    </row>
    <row r="76" spans="4:6" ht="13">
      <c r="D76" s="5"/>
      <c r="E76" s="5"/>
      <c r="F76" s="5"/>
    </row>
    <row r="77" spans="4:6" ht="13">
      <c r="D77" s="5"/>
      <c r="E77" s="5"/>
      <c r="F77" s="5"/>
    </row>
    <row r="78" spans="4:6" ht="13">
      <c r="D78" s="5"/>
      <c r="E78" s="5"/>
      <c r="F78" s="5"/>
    </row>
    <row r="79" spans="4:6" ht="13">
      <c r="D79" s="5"/>
      <c r="E79" s="5"/>
      <c r="F79" s="5"/>
    </row>
    <row r="80" spans="4:6" ht="13">
      <c r="D80" s="5"/>
      <c r="E80" s="5"/>
      <c r="F80" s="5"/>
    </row>
    <row r="81" spans="4:6" ht="13">
      <c r="D81" s="5"/>
      <c r="E81" s="5"/>
      <c r="F81" s="5"/>
    </row>
    <row r="82" spans="4:6" ht="13">
      <c r="D82" s="5"/>
      <c r="E82" s="5"/>
      <c r="F82" s="5"/>
    </row>
    <row r="83" spans="4:6" ht="13">
      <c r="D83" s="5"/>
      <c r="E83" s="5"/>
      <c r="F83" s="5"/>
    </row>
    <row r="84" spans="4:6" ht="13">
      <c r="D84" s="5"/>
      <c r="E84" s="5"/>
      <c r="F84" s="5"/>
    </row>
    <row r="85" spans="4:6" ht="13">
      <c r="D85" s="5"/>
      <c r="E85" s="5"/>
      <c r="F85" s="5"/>
    </row>
    <row r="86" spans="4:6" ht="13">
      <c r="D86" s="5"/>
      <c r="E86" s="5"/>
      <c r="F86" s="5"/>
    </row>
    <row r="87" spans="4:6" ht="13">
      <c r="D87" s="5"/>
      <c r="E87" s="5"/>
      <c r="F87" s="5"/>
    </row>
    <row r="88" spans="4:6" ht="13">
      <c r="D88" s="5"/>
      <c r="E88" s="5"/>
      <c r="F88" s="5"/>
    </row>
    <row r="89" spans="4:6" ht="13">
      <c r="D89" s="5"/>
      <c r="E89" s="5"/>
      <c r="F89" s="5"/>
    </row>
    <row r="90" spans="4:6" ht="13">
      <c r="D90" s="5"/>
      <c r="E90" s="5"/>
      <c r="F90" s="5"/>
    </row>
    <row r="91" spans="4:6" ht="13">
      <c r="D91" s="5"/>
      <c r="E91" s="5"/>
      <c r="F91" s="5"/>
    </row>
    <row r="92" spans="4:6" ht="13">
      <c r="D92" s="5"/>
      <c r="E92" s="5"/>
      <c r="F92" s="5"/>
    </row>
    <row r="93" spans="4:6" ht="13">
      <c r="D93" s="5"/>
      <c r="E93" s="5"/>
      <c r="F93" s="5"/>
    </row>
    <row r="94" spans="4:6" ht="13">
      <c r="D94" s="5"/>
      <c r="E94" s="5"/>
      <c r="F94" s="5"/>
    </row>
    <row r="95" spans="4:6" ht="13">
      <c r="D95" s="5"/>
      <c r="E95" s="5"/>
      <c r="F95" s="5"/>
    </row>
    <row r="96" spans="4:6" ht="13">
      <c r="D96" s="5"/>
      <c r="E96" s="5"/>
      <c r="F96" s="5"/>
    </row>
    <row r="97" spans="4:6" ht="13">
      <c r="D97" s="5"/>
      <c r="E97" s="5"/>
      <c r="F97" s="5"/>
    </row>
    <row r="98" spans="4:6" ht="13">
      <c r="D98" s="5"/>
      <c r="E98" s="5"/>
      <c r="F98" s="5"/>
    </row>
    <row r="99" spans="4:6" ht="13">
      <c r="D99" s="5"/>
      <c r="E99" s="5"/>
      <c r="F99" s="5"/>
    </row>
    <row r="100" spans="4:6" ht="13">
      <c r="D100" s="5"/>
      <c r="E100" s="5"/>
      <c r="F100" s="5"/>
    </row>
    <row r="101" spans="4:6" ht="13">
      <c r="D101" s="5"/>
      <c r="E101" s="5"/>
      <c r="F101" s="5"/>
    </row>
    <row r="102" spans="4:6" ht="13">
      <c r="D102" s="5"/>
      <c r="E102" s="5"/>
      <c r="F102" s="5"/>
    </row>
    <row r="103" spans="4:6" ht="13">
      <c r="D103" s="5"/>
      <c r="E103" s="5"/>
      <c r="F103" s="5"/>
    </row>
    <row r="104" spans="4:6" ht="13">
      <c r="D104" s="5"/>
      <c r="E104" s="5"/>
      <c r="F104" s="5"/>
    </row>
    <row r="105" spans="4:6" ht="13">
      <c r="D105" s="5"/>
      <c r="E105" s="5"/>
      <c r="F105" s="5"/>
    </row>
    <row r="106" spans="4:6" ht="13">
      <c r="D106" s="5"/>
      <c r="E106" s="5"/>
      <c r="F106" s="5"/>
    </row>
    <row r="107" spans="4:6" ht="13">
      <c r="D107" s="5"/>
      <c r="E107" s="5"/>
      <c r="F107" s="5"/>
    </row>
    <row r="108" spans="4:6" ht="13">
      <c r="D108" s="5"/>
      <c r="E108" s="5"/>
      <c r="F108" s="5"/>
    </row>
    <row r="109" spans="4:6" ht="13">
      <c r="D109" s="5"/>
      <c r="E109" s="5"/>
      <c r="F109" s="5"/>
    </row>
    <row r="110" spans="4:6" ht="13">
      <c r="D110" s="5"/>
      <c r="E110" s="5"/>
      <c r="F110" s="5"/>
    </row>
    <row r="111" spans="4:6" ht="13">
      <c r="D111" s="5"/>
      <c r="E111" s="5"/>
      <c r="F111" s="5"/>
    </row>
    <row r="112" spans="4:6" ht="13">
      <c r="D112" s="5"/>
      <c r="E112" s="5"/>
      <c r="F112" s="5"/>
    </row>
    <row r="113" spans="4:6" ht="13">
      <c r="D113" s="5"/>
      <c r="E113" s="5"/>
      <c r="F113" s="5"/>
    </row>
    <row r="114" spans="4:6" ht="13">
      <c r="D114" s="5"/>
      <c r="E114" s="5"/>
      <c r="F114" s="5"/>
    </row>
    <row r="115" spans="4:6" ht="13">
      <c r="D115" s="5"/>
      <c r="E115" s="5"/>
      <c r="F115" s="5"/>
    </row>
    <row r="116" spans="4:6" ht="13">
      <c r="D116" s="5"/>
      <c r="E116" s="5"/>
      <c r="F116" s="5"/>
    </row>
    <row r="117" spans="4:6" ht="13">
      <c r="D117" s="5"/>
      <c r="E117" s="5"/>
      <c r="F117" s="5"/>
    </row>
    <row r="118" spans="4:6" ht="13">
      <c r="D118" s="5"/>
      <c r="E118" s="5"/>
      <c r="F118" s="5"/>
    </row>
    <row r="119" spans="4:6" ht="13">
      <c r="D119" s="5"/>
      <c r="E119" s="5"/>
      <c r="F119" s="5"/>
    </row>
    <row r="120" spans="4:6" ht="13">
      <c r="D120" s="5"/>
      <c r="E120" s="5"/>
      <c r="F120" s="5"/>
    </row>
    <row r="121" spans="4:6" ht="13">
      <c r="D121" s="5"/>
      <c r="E121" s="5"/>
      <c r="F121" s="5"/>
    </row>
    <row r="122" spans="4:6" ht="13">
      <c r="D122" s="5"/>
      <c r="E122" s="5"/>
      <c r="F122" s="5"/>
    </row>
    <row r="123" spans="4:6" ht="13">
      <c r="D123" s="5"/>
      <c r="E123" s="5"/>
      <c r="F123" s="5"/>
    </row>
    <row r="124" spans="4:6" ht="13">
      <c r="D124" s="5"/>
      <c r="E124" s="5"/>
      <c r="F124" s="5"/>
    </row>
    <row r="125" spans="4:6" ht="13">
      <c r="D125" s="5"/>
      <c r="E125" s="5"/>
      <c r="F125" s="5"/>
    </row>
    <row r="126" spans="4:6" ht="13">
      <c r="D126" s="5"/>
      <c r="E126" s="5"/>
      <c r="F126" s="5"/>
    </row>
    <row r="127" spans="4:6" ht="13">
      <c r="D127" s="5"/>
      <c r="E127" s="5"/>
      <c r="F127" s="5"/>
    </row>
    <row r="128" spans="4:6" ht="13">
      <c r="D128" s="5"/>
      <c r="E128" s="5"/>
      <c r="F128" s="5"/>
    </row>
    <row r="129" spans="4:6" ht="13">
      <c r="D129" s="5"/>
      <c r="E129" s="5"/>
      <c r="F129" s="5"/>
    </row>
    <row r="130" spans="4:6" ht="13">
      <c r="D130" s="5"/>
      <c r="E130" s="5"/>
      <c r="F130" s="5"/>
    </row>
    <row r="131" spans="4:6" ht="13">
      <c r="D131" s="5"/>
      <c r="E131" s="5"/>
      <c r="F131" s="5"/>
    </row>
    <row r="132" spans="4:6" ht="13">
      <c r="D132" s="5"/>
      <c r="E132" s="5"/>
      <c r="F132" s="5"/>
    </row>
    <row r="133" spans="4:6" ht="13">
      <c r="D133" s="5"/>
      <c r="E133" s="5"/>
      <c r="F133" s="5"/>
    </row>
    <row r="134" spans="4:6" ht="13">
      <c r="D134" s="5"/>
      <c r="E134" s="5"/>
      <c r="F134" s="5"/>
    </row>
    <row r="135" spans="4:6" ht="13">
      <c r="D135" s="5"/>
      <c r="E135" s="5"/>
      <c r="F135" s="5"/>
    </row>
    <row r="136" spans="4:6" ht="13">
      <c r="D136" s="5"/>
      <c r="E136" s="5"/>
      <c r="F136" s="5"/>
    </row>
    <row r="137" spans="4:6" ht="13">
      <c r="D137" s="5"/>
      <c r="E137" s="5"/>
      <c r="F137" s="5"/>
    </row>
    <row r="138" spans="4:6" ht="13">
      <c r="D138" s="5"/>
      <c r="E138" s="5"/>
      <c r="F138" s="5"/>
    </row>
    <row r="139" spans="4:6" ht="13">
      <c r="D139" s="5"/>
      <c r="E139" s="5"/>
      <c r="F139" s="5"/>
    </row>
    <row r="140" spans="4:6" ht="13">
      <c r="D140" s="5"/>
      <c r="E140" s="5"/>
      <c r="F140" s="5"/>
    </row>
    <row r="141" spans="4:6" ht="13">
      <c r="D141" s="5"/>
      <c r="E141" s="5"/>
      <c r="F141" s="5"/>
    </row>
    <row r="142" spans="4:6" ht="13">
      <c r="D142" s="5"/>
      <c r="E142" s="5"/>
      <c r="F142" s="5"/>
    </row>
    <row r="143" spans="4:6" ht="13">
      <c r="D143" s="5"/>
      <c r="E143" s="5"/>
      <c r="F143" s="5"/>
    </row>
    <row r="144" spans="4:6" ht="13">
      <c r="D144" s="5"/>
      <c r="E144" s="5"/>
      <c r="F144" s="5"/>
    </row>
    <row r="145" spans="4:6" ht="13">
      <c r="D145" s="5"/>
      <c r="E145" s="5"/>
      <c r="F145" s="5"/>
    </row>
    <row r="146" spans="4:6" ht="13">
      <c r="D146" s="5"/>
      <c r="E146" s="5"/>
      <c r="F146" s="5"/>
    </row>
    <row r="147" spans="4:6" ht="13">
      <c r="D147" s="5"/>
      <c r="E147" s="5"/>
      <c r="F147" s="5"/>
    </row>
    <row r="148" spans="4:6" ht="13">
      <c r="D148" s="5"/>
      <c r="E148" s="5"/>
      <c r="F148" s="5"/>
    </row>
    <row r="149" spans="4:6" ht="13">
      <c r="D149" s="5"/>
      <c r="E149" s="5"/>
      <c r="F149" s="5"/>
    </row>
    <row r="150" spans="4:6" ht="13">
      <c r="D150" s="5"/>
      <c r="E150" s="5"/>
      <c r="F150" s="5"/>
    </row>
    <row r="151" spans="4:6" ht="13">
      <c r="D151" s="5"/>
      <c r="E151" s="5"/>
      <c r="F151" s="5"/>
    </row>
    <row r="152" spans="4:6" ht="13">
      <c r="D152" s="5"/>
      <c r="E152" s="5"/>
      <c r="F152" s="5"/>
    </row>
    <row r="153" spans="4:6" ht="13">
      <c r="D153" s="5"/>
      <c r="E153" s="5"/>
      <c r="F153" s="5"/>
    </row>
    <row r="154" spans="4:6" ht="13">
      <c r="D154" s="5"/>
      <c r="E154" s="5"/>
      <c r="F154" s="5"/>
    </row>
    <row r="155" spans="4:6" ht="13">
      <c r="D155" s="5"/>
      <c r="E155" s="5"/>
      <c r="F155" s="5"/>
    </row>
    <row r="156" spans="4:6" ht="13">
      <c r="D156" s="5"/>
      <c r="E156" s="5"/>
      <c r="F156" s="5"/>
    </row>
    <row r="157" spans="4:6" ht="13">
      <c r="D157" s="5"/>
      <c r="E157" s="5"/>
      <c r="F157" s="5"/>
    </row>
    <row r="158" spans="4:6" ht="13">
      <c r="D158" s="5"/>
      <c r="E158" s="5"/>
      <c r="F158" s="5"/>
    </row>
    <row r="159" spans="4:6" ht="13">
      <c r="D159" s="5"/>
      <c r="E159" s="5"/>
      <c r="F159" s="5"/>
    </row>
    <row r="160" spans="4:6" ht="13">
      <c r="D160" s="5"/>
      <c r="E160" s="5"/>
      <c r="F160" s="5"/>
    </row>
    <row r="161" spans="4:6" ht="13">
      <c r="D161" s="5"/>
      <c r="E161" s="5"/>
      <c r="F161" s="5"/>
    </row>
    <row r="162" spans="4:6" ht="13">
      <c r="D162" s="5"/>
      <c r="E162" s="5"/>
      <c r="F162" s="5"/>
    </row>
    <row r="163" spans="4:6" ht="13">
      <c r="D163" s="5"/>
      <c r="E163" s="5"/>
      <c r="F163" s="5"/>
    </row>
    <row r="164" spans="4:6" ht="13">
      <c r="D164" s="5"/>
      <c r="E164" s="5"/>
      <c r="F164" s="5"/>
    </row>
    <row r="165" spans="4:6" ht="13">
      <c r="D165" s="5"/>
      <c r="E165" s="5"/>
      <c r="F165" s="5"/>
    </row>
    <row r="166" spans="4:6" ht="13">
      <c r="D166" s="5"/>
      <c r="E166" s="5"/>
      <c r="F166" s="5"/>
    </row>
    <row r="167" spans="4:6" ht="13">
      <c r="D167" s="5"/>
      <c r="E167" s="5"/>
      <c r="F167" s="5"/>
    </row>
    <row r="168" spans="4:6" ht="13">
      <c r="D168" s="5"/>
      <c r="E168" s="5"/>
      <c r="F168" s="5"/>
    </row>
    <row r="169" spans="4:6" ht="13">
      <c r="D169" s="5"/>
      <c r="E169" s="5"/>
      <c r="F169" s="5"/>
    </row>
    <row r="170" spans="4:6" ht="13">
      <c r="D170" s="5"/>
      <c r="E170" s="5"/>
      <c r="F170" s="5"/>
    </row>
    <row r="171" spans="4:6" ht="13">
      <c r="D171" s="5"/>
      <c r="E171" s="5"/>
      <c r="F171" s="5"/>
    </row>
    <row r="172" spans="4:6" ht="13">
      <c r="D172" s="5"/>
      <c r="E172" s="5"/>
      <c r="F172" s="5"/>
    </row>
    <row r="173" spans="4:6" ht="13">
      <c r="D173" s="5"/>
      <c r="E173" s="5"/>
      <c r="F173" s="5"/>
    </row>
    <row r="174" spans="4:6" ht="13">
      <c r="D174" s="5"/>
      <c r="E174" s="5"/>
      <c r="F174" s="5"/>
    </row>
    <row r="175" spans="4:6" ht="13">
      <c r="D175" s="5"/>
      <c r="E175" s="5"/>
      <c r="F175" s="5"/>
    </row>
    <row r="176" spans="4:6" ht="13">
      <c r="D176" s="5"/>
      <c r="E176" s="5"/>
      <c r="F176" s="5"/>
    </row>
    <row r="177" spans="4:6" ht="13">
      <c r="D177" s="5"/>
      <c r="E177" s="5"/>
      <c r="F177" s="5"/>
    </row>
    <row r="178" spans="4:6" ht="13">
      <c r="D178" s="5"/>
      <c r="E178" s="5"/>
      <c r="F178" s="5"/>
    </row>
    <row r="179" spans="4:6" ht="13">
      <c r="D179" s="5"/>
      <c r="E179" s="5"/>
      <c r="F179" s="5"/>
    </row>
    <row r="180" spans="4:6" ht="13">
      <c r="D180" s="5"/>
      <c r="E180" s="5"/>
      <c r="F180" s="5"/>
    </row>
    <row r="181" spans="4:6" ht="13">
      <c r="D181" s="5"/>
      <c r="E181" s="5"/>
      <c r="F181" s="5"/>
    </row>
    <row r="182" spans="4:6" ht="13">
      <c r="D182" s="5"/>
      <c r="E182" s="5"/>
      <c r="F182" s="5"/>
    </row>
    <row r="183" spans="4:6" ht="13">
      <c r="D183" s="5"/>
      <c r="E183" s="5"/>
      <c r="F183" s="5"/>
    </row>
    <row r="184" spans="4:6" ht="13">
      <c r="D184" s="5"/>
      <c r="E184" s="5"/>
      <c r="F184" s="5"/>
    </row>
    <row r="185" spans="4:6" ht="13">
      <c r="D185" s="5"/>
      <c r="E185" s="5"/>
      <c r="F185" s="5"/>
    </row>
    <row r="186" spans="4:6" ht="13">
      <c r="D186" s="5"/>
      <c r="E186" s="5"/>
      <c r="F186" s="5"/>
    </row>
    <row r="187" spans="4:6" ht="13">
      <c r="D187" s="5"/>
      <c r="E187" s="5"/>
      <c r="F187" s="5"/>
    </row>
    <row r="188" spans="4:6" ht="13">
      <c r="D188" s="5"/>
      <c r="E188" s="5"/>
      <c r="F188" s="5"/>
    </row>
    <row r="189" spans="4:6" ht="13">
      <c r="D189" s="5"/>
      <c r="E189" s="5"/>
      <c r="F189" s="5"/>
    </row>
    <row r="190" spans="4:6" ht="13">
      <c r="D190" s="5"/>
      <c r="E190" s="5"/>
      <c r="F190" s="5"/>
    </row>
    <row r="191" spans="4:6" ht="13">
      <c r="D191" s="5"/>
      <c r="E191" s="5"/>
      <c r="F191" s="5"/>
    </row>
    <row r="192" spans="4:6" ht="13">
      <c r="D192" s="5"/>
      <c r="E192" s="5"/>
      <c r="F192" s="5"/>
    </row>
    <row r="193" spans="4:6" ht="13">
      <c r="D193" s="5"/>
      <c r="E193" s="5"/>
      <c r="F193" s="5"/>
    </row>
    <row r="194" spans="4:6" ht="13">
      <c r="D194" s="5"/>
      <c r="E194" s="5"/>
      <c r="F194" s="5"/>
    </row>
    <row r="195" spans="4:6" ht="13">
      <c r="D195" s="5"/>
      <c r="E195" s="5"/>
      <c r="F195" s="5"/>
    </row>
    <row r="196" spans="4:6" ht="13">
      <c r="D196" s="5"/>
      <c r="E196" s="5"/>
      <c r="F196" s="5"/>
    </row>
    <row r="197" spans="4:6" ht="13">
      <c r="D197" s="5"/>
      <c r="E197" s="5"/>
      <c r="F197" s="5"/>
    </row>
    <row r="198" spans="4:6" ht="13">
      <c r="D198" s="5"/>
      <c r="E198" s="5"/>
      <c r="F198" s="5"/>
    </row>
    <row r="199" spans="4:6" ht="13">
      <c r="D199" s="5"/>
      <c r="E199" s="5"/>
      <c r="F199" s="5"/>
    </row>
    <row r="200" spans="4:6" ht="13">
      <c r="D200" s="5"/>
      <c r="E200" s="5"/>
      <c r="F200" s="5"/>
    </row>
    <row r="201" spans="4:6" ht="13">
      <c r="D201" s="5"/>
      <c r="E201" s="5"/>
      <c r="F201" s="5"/>
    </row>
    <row r="202" spans="4:6" ht="13">
      <c r="D202" s="5"/>
      <c r="E202" s="5"/>
      <c r="F202" s="5"/>
    </row>
    <row r="203" spans="4:6" ht="13">
      <c r="D203" s="5"/>
      <c r="E203" s="5"/>
      <c r="F203" s="5"/>
    </row>
    <row r="204" spans="4:6" ht="13">
      <c r="D204" s="5"/>
      <c r="E204" s="5"/>
      <c r="F204" s="5"/>
    </row>
    <row r="205" spans="4:6" ht="13">
      <c r="D205" s="5"/>
      <c r="E205" s="5"/>
      <c r="F205" s="5"/>
    </row>
    <row r="206" spans="4:6" ht="13">
      <c r="D206" s="5"/>
      <c r="E206" s="5"/>
      <c r="F206" s="5"/>
    </row>
    <row r="207" spans="4:6" ht="13">
      <c r="D207" s="5"/>
      <c r="E207" s="5"/>
      <c r="F207" s="5"/>
    </row>
    <row r="208" spans="4:6" ht="13">
      <c r="D208" s="5"/>
      <c r="E208" s="5"/>
      <c r="F208" s="5"/>
    </row>
    <row r="209" spans="4:6" ht="13">
      <c r="D209" s="5"/>
      <c r="E209" s="5"/>
      <c r="F209" s="5"/>
    </row>
    <row r="210" spans="4:6" ht="13">
      <c r="D210" s="5"/>
      <c r="E210" s="5"/>
      <c r="F210" s="5"/>
    </row>
    <row r="211" spans="4:6" ht="13">
      <c r="D211" s="5"/>
      <c r="E211" s="5"/>
      <c r="F211" s="5"/>
    </row>
    <row r="212" spans="4:6" ht="13">
      <c r="D212" s="5"/>
      <c r="E212" s="5"/>
      <c r="F212" s="5"/>
    </row>
    <row r="213" spans="4:6" ht="13">
      <c r="D213" s="5"/>
      <c r="E213" s="5"/>
      <c r="F213" s="5"/>
    </row>
    <row r="214" spans="4:6" ht="13">
      <c r="D214" s="5"/>
      <c r="E214" s="5"/>
      <c r="F214" s="5"/>
    </row>
    <row r="215" spans="4:6" ht="13">
      <c r="D215" s="5"/>
      <c r="E215" s="5"/>
      <c r="F215" s="5"/>
    </row>
    <row r="216" spans="4:6" ht="13">
      <c r="D216" s="5"/>
      <c r="E216" s="5"/>
      <c r="F216" s="5"/>
    </row>
    <row r="217" spans="4:6" ht="13">
      <c r="D217" s="5"/>
      <c r="E217" s="5"/>
      <c r="F217" s="5"/>
    </row>
    <row r="218" spans="4:6" ht="13">
      <c r="D218" s="5"/>
      <c r="E218" s="5"/>
      <c r="F218" s="5"/>
    </row>
    <row r="219" spans="4:6" ht="13">
      <c r="D219" s="5"/>
      <c r="E219" s="5"/>
      <c r="F219" s="5"/>
    </row>
    <row r="220" spans="4:6" ht="13">
      <c r="D220" s="5"/>
      <c r="E220" s="5"/>
      <c r="F220" s="5"/>
    </row>
    <row r="221" spans="4:6" ht="13">
      <c r="D221" s="5"/>
      <c r="E221" s="5"/>
      <c r="F221" s="5"/>
    </row>
    <row r="222" spans="4:6" ht="13">
      <c r="D222" s="5"/>
      <c r="E222" s="5"/>
      <c r="F222" s="5"/>
    </row>
    <row r="223" spans="4:6" ht="13">
      <c r="D223" s="5"/>
      <c r="E223" s="5"/>
      <c r="F223" s="5"/>
    </row>
    <row r="224" spans="4:6" ht="13">
      <c r="D224" s="5"/>
      <c r="E224" s="5"/>
      <c r="F224" s="5"/>
    </row>
    <row r="225" spans="4:6" ht="13">
      <c r="D225" s="5"/>
      <c r="E225" s="5"/>
      <c r="F225" s="5"/>
    </row>
    <row r="226" spans="4:6" ht="13">
      <c r="D226" s="5"/>
      <c r="E226" s="5"/>
      <c r="F226" s="5"/>
    </row>
    <row r="227" spans="4:6" ht="13">
      <c r="D227" s="5"/>
      <c r="E227" s="5"/>
      <c r="F227" s="5"/>
    </row>
    <row r="228" spans="4:6" ht="13">
      <c r="D228" s="5"/>
      <c r="E228" s="5"/>
      <c r="F228" s="5"/>
    </row>
    <row r="229" spans="4:6" ht="13">
      <c r="D229" s="5"/>
      <c r="E229" s="5"/>
      <c r="F229" s="5"/>
    </row>
    <row r="230" spans="4:6" ht="13">
      <c r="D230" s="5"/>
      <c r="E230" s="5"/>
      <c r="F230" s="5"/>
    </row>
    <row r="231" spans="4:6" ht="13">
      <c r="D231" s="5"/>
      <c r="E231" s="5"/>
      <c r="F231" s="5"/>
    </row>
    <row r="232" spans="4:6" ht="13">
      <c r="D232" s="5"/>
      <c r="E232" s="5"/>
      <c r="F232" s="5"/>
    </row>
    <row r="233" spans="4:6" ht="13">
      <c r="D233" s="5"/>
      <c r="E233" s="5"/>
      <c r="F233" s="5"/>
    </row>
    <row r="234" spans="4:6" ht="13">
      <c r="D234" s="5"/>
      <c r="E234" s="5"/>
      <c r="F234" s="5"/>
    </row>
    <row r="235" spans="4:6" ht="13">
      <c r="D235" s="5"/>
      <c r="E235" s="5"/>
      <c r="F235" s="5"/>
    </row>
    <row r="236" spans="4:6" ht="13">
      <c r="D236" s="5"/>
      <c r="E236" s="5"/>
      <c r="F236" s="5"/>
    </row>
    <row r="237" spans="4:6" ht="13">
      <c r="D237" s="5"/>
      <c r="E237" s="5"/>
      <c r="F237" s="5"/>
    </row>
    <row r="238" spans="4:6" ht="13">
      <c r="D238" s="5"/>
      <c r="E238" s="5"/>
      <c r="F238" s="5"/>
    </row>
    <row r="239" spans="4:6" ht="13">
      <c r="D239" s="5"/>
      <c r="E239" s="5"/>
      <c r="F239" s="5"/>
    </row>
    <row r="240" spans="4:6" ht="13">
      <c r="D240" s="5"/>
      <c r="E240" s="5"/>
      <c r="F240" s="5"/>
    </row>
    <row r="241" spans="4:6" ht="13">
      <c r="D241" s="5"/>
      <c r="E241" s="5"/>
      <c r="F241" s="5"/>
    </row>
    <row r="242" spans="4:6" ht="13">
      <c r="D242" s="5"/>
      <c r="E242" s="5"/>
      <c r="F242" s="5"/>
    </row>
    <row r="243" spans="4:6" ht="13">
      <c r="D243" s="5"/>
      <c r="E243" s="5"/>
      <c r="F243" s="5"/>
    </row>
    <row r="244" spans="4:6" ht="13">
      <c r="D244" s="5"/>
      <c r="E244" s="5"/>
      <c r="F244" s="5"/>
    </row>
    <row r="245" spans="4:6" ht="13">
      <c r="D245" s="5"/>
      <c r="E245" s="5"/>
      <c r="F245" s="5"/>
    </row>
    <row r="246" spans="4:6" ht="13">
      <c r="D246" s="5"/>
      <c r="E246" s="5"/>
      <c r="F246" s="5"/>
    </row>
    <row r="247" spans="4:6" ht="13">
      <c r="D247" s="5"/>
      <c r="E247" s="5"/>
      <c r="F247" s="5"/>
    </row>
    <row r="248" spans="4:6" ht="13">
      <c r="D248" s="5"/>
      <c r="E248" s="5"/>
      <c r="F248" s="5"/>
    </row>
    <row r="249" spans="4:6" ht="13">
      <c r="D249" s="5"/>
      <c r="E249" s="5"/>
      <c r="F249" s="5"/>
    </row>
    <row r="250" spans="4:6" ht="13">
      <c r="D250" s="5"/>
      <c r="E250" s="5"/>
      <c r="F250" s="5"/>
    </row>
    <row r="251" spans="4:6" ht="13">
      <c r="D251" s="5"/>
      <c r="E251" s="5"/>
      <c r="F251" s="5"/>
    </row>
    <row r="252" spans="4:6" ht="13">
      <c r="D252" s="5"/>
      <c r="E252" s="5"/>
      <c r="F252" s="5"/>
    </row>
    <row r="253" spans="4:6" ht="13">
      <c r="D253" s="5"/>
      <c r="E253" s="5"/>
      <c r="F253" s="5"/>
    </row>
    <row r="254" spans="4:6" ht="13">
      <c r="D254" s="5"/>
      <c r="E254" s="5"/>
      <c r="F254" s="5"/>
    </row>
    <row r="255" spans="4:6" ht="13">
      <c r="D255" s="5"/>
      <c r="E255" s="5"/>
      <c r="F255" s="5"/>
    </row>
    <row r="256" spans="4:6" ht="13">
      <c r="D256" s="5"/>
      <c r="E256" s="5"/>
      <c r="F256" s="5"/>
    </row>
    <row r="257" spans="4:6" ht="13">
      <c r="D257" s="5"/>
      <c r="E257" s="5"/>
      <c r="F257" s="5"/>
    </row>
    <row r="258" spans="4:6" ht="13">
      <c r="D258" s="5"/>
      <c r="E258" s="5"/>
      <c r="F258" s="5"/>
    </row>
    <row r="259" spans="4:6" ht="13">
      <c r="D259" s="5"/>
      <c r="E259" s="5"/>
      <c r="F259" s="5"/>
    </row>
    <row r="260" spans="4:6" ht="13">
      <c r="D260" s="5"/>
      <c r="E260" s="5"/>
      <c r="F260" s="5"/>
    </row>
    <row r="261" spans="4:6" ht="13">
      <c r="D261" s="5"/>
      <c r="E261" s="5"/>
      <c r="F261" s="5"/>
    </row>
    <row r="262" spans="4:6" ht="13">
      <c r="D262" s="5"/>
      <c r="E262" s="5"/>
      <c r="F262" s="5"/>
    </row>
    <row r="263" spans="4:6" ht="13">
      <c r="D263" s="5"/>
      <c r="E263" s="5"/>
      <c r="F263" s="5"/>
    </row>
    <row r="264" spans="4:6" ht="13">
      <c r="D264" s="5"/>
      <c r="E264" s="5"/>
      <c r="F264" s="5"/>
    </row>
    <row r="265" spans="4:6" ht="13">
      <c r="D265" s="5"/>
      <c r="E265" s="5"/>
      <c r="F265" s="5"/>
    </row>
    <row r="266" spans="4:6" ht="13">
      <c r="D266" s="5"/>
      <c r="E266" s="5"/>
      <c r="F266" s="5"/>
    </row>
    <row r="267" spans="4:6" ht="13">
      <c r="D267" s="5"/>
      <c r="E267" s="5"/>
      <c r="F267" s="5"/>
    </row>
    <row r="268" spans="4:6" ht="13">
      <c r="D268" s="5"/>
      <c r="E268" s="5"/>
      <c r="F268" s="5"/>
    </row>
    <row r="269" spans="4:6" ht="13">
      <c r="D269" s="5"/>
      <c r="E269" s="5"/>
      <c r="F269" s="5"/>
    </row>
    <row r="270" spans="4:6" ht="13">
      <c r="D270" s="5"/>
      <c r="E270" s="5"/>
      <c r="F270" s="5"/>
    </row>
    <row r="271" spans="4:6" ht="13">
      <c r="D271" s="5"/>
      <c r="E271" s="5"/>
      <c r="F271" s="5"/>
    </row>
    <row r="272" spans="4:6" ht="13">
      <c r="D272" s="5"/>
      <c r="E272" s="5"/>
      <c r="F272" s="5"/>
    </row>
    <row r="273" spans="4:6" ht="13">
      <c r="D273" s="5"/>
      <c r="E273" s="5"/>
      <c r="F273" s="5"/>
    </row>
    <row r="274" spans="4:6" ht="13">
      <c r="D274" s="5"/>
      <c r="E274" s="5"/>
      <c r="F274" s="5"/>
    </row>
    <row r="275" spans="4:6" ht="13">
      <c r="D275" s="5"/>
      <c r="E275" s="5"/>
      <c r="F275" s="5"/>
    </row>
    <row r="276" spans="4:6" ht="13">
      <c r="D276" s="5"/>
      <c r="E276" s="5"/>
      <c r="F276" s="5"/>
    </row>
    <row r="277" spans="4:6" ht="13">
      <c r="D277" s="5"/>
      <c r="E277" s="5"/>
      <c r="F277" s="5"/>
    </row>
    <row r="278" spans="4:6" ht="13">
      <c r="D278" s="5"/>
      <c r="E278" s="5"/>
      <c r="F278" s="5"/>
    </row>
    <row r="279" spans="4:6" ht="13">
      <c r="D279" s="5"/>
      <c r="E279" s="5"/>
      <c r="F279" s="5"/>
    </row>
    <row r="280" spans="4:6" ht="13">
      <c r="D280" s="5"/>
      <c r="E280" s="5"/>
      <c r="F280" s="5"/>
    </row>
    <row r="281" spans="4:6" ht="13">
      <c r="D281" s="5"/>
      <c r="E281" s="5"/>
      <c r="F281" s="5"/>
    </row>
    <row r="282" spans="4:6" ht="13">
      <c r="D282" s="5"/>
      <c r="E282" s="5"/>
      <c r="F282" s="5"/>
    </row>
    <row r="283" spans="4:6" ht="13">
      <c r="D283" s="5"/>
      <c r="E283" s="5"/>
      <c r="F283" s="5"/>
    </row>
    <row r="284" spans="4:6" ht="13">
      <c r="D284" s="5"/>
      <c r="E284" s="5"/>
      <c r="F284" s="5"/>
    </row>
    <row r="285" spans="4:6" ht="13">
      <c r="D285" s="5"/>
      <c r="E285" s="5"/>
      <c r="F285" s="5"/>
    </row>
    <row r="286" spans="4:6" ht="13">
      <c r="D286" s="5"/>
      <c r="E286" s="5"/>
      <c r="F286" s="5"/>
    </row>
    <row r="287" spans="4:6" ht="13">
      <c r="D287" s="5"/>
      <c r="E287" s="5"/>
      <c r="F287" s="5"/>
    </row>
    <row r="288" spans="4:6" ht="13">
      <c r="D288" s="5"/>
      <c r="E288" s="5"/>
      <c r="F288" s="5"/>
    </row>
    <row r="289" spans="4:6" ht="13">
      <c r="D289" s="5"/>
      <c r="E289" s="5"/>
      <c r="F289" s="5"/>
    </row>
    <row r="290" spans="4:6" ht="13">
      <c r="D290" s="5"/>
      <c r="E290" s="5"/>
      <c r="F290" s="5"/>
    </row>
    <row r="291" spans="4:6" ht="13">
      <c r="D291" s="5"/>
      <c r="E291" s="5"/>
      <c r="F291" s="5"/>
    </row>
    <row r="292" spans="4:6" ht="13">
      <c r="D292" s="5"/>
      <c r="E292" s="5"/>
      <c r="F292" s="5"/>
    </row>
    <row r="293" spans="4:6" ht="13">
      <c r="D293" s="5"/>
      <c r="E293" s="5"/>
      <c r="F293" s="5"/>
    </row>
    <row r="294" spans="4:6" ht="13">
      <c r="D294" s="5"/>
      <c r="E294" s="5"/>
      <c r="F294" s="5"/>
    </row>
    <row r="295" spans="4:6" ht="13">
      <c r="D295" s="5"/>
      <c r="E295" s="5"/>
      <c r="F295" s="5"/>
    </row>
    <row r="296" spans="4:6" ht="13">
      <c r="D296" s="5"/>
      <c r="E296" s="5"/>
      <c r="F296" s="5"/>
    </row>
    <row r="297" spans="4:6" ht="13">
      <c r="D297" s="5"/>
      <c r="E297" s="5"/>
      <c r="F297" s="5"/>
    </row>
    <row r="298" spans="4:6" ht="13">
      <c r="D298" s="5"/>
      <c r="E298" s="5"/>
      <c r="F298" s="5"/>
    </row>
    <row r="299" spans="4:6" ht="13">
      <c r="D299" s="5"/>
      <c r="E299" s="5"/>
      <c r="F299" s="5"/>
    </row>
    <row r="300" spans="4:6" ht="13">
      <c r="D300" s="5"/>
      <c r="E300" s="5"/>
      <c r="F300" s="5"/>
    </row>
    <row r="301" spans="4:6" ht="13">
      <c r="D301" s="5"/>
      <c r="E301" s="5"/>
      <c r="F301" s="5"/>
    </row>
    <row r="302" spans="4:6" ht="13">
      <c r="D302" s="5"/>
      <c r="E302" s="5"/>
      <c r="F302" s="5"/>
    </row>
    <row r="303" spans="4:6" ht="13">
      <c r="D303" s="5"/>
      <c r="E303" s="5"/>
      <c r="F303" s="5"/>
    </row>
    <row r="304" spans="4:6" ht="13">
      <c r="D304" s="5"/>
      <c r="E304" s="5"/>
      <c r="F304" s="5"/>
    </row>
    <row r="305" spans="4:6" ht="13">
      <c r="D305" s="5"/>
      <c r="E305" s="5"/>
      <c r="F305" s="5"/>
    </row>
    <row r="306" spans="4:6" ht="13">
      <c r="D306" s="5"/>
      <c r="E306" s="5"/>
      <c r="F306" s="5"/>
    </row>
    <row r="307" spans="4:6" ht="13">
      <c r="D307" s="5"/>
      <c r="E307" s="5"/>
      <c r="F307" s="5"/>
    </row>
    <row r="308" spans="4:6" ht="13">
      <c r="D308" s="5"/>
      <c r="E308" s="5"/>
      <c r="F308" s="5"/>
    </row>
    <row r="309" spans="4:6" ht="13">
      <c r="D309" s="5"/>
      <c r="E309" s="5"/>
      <c r="F309" s="5"/>
    </row>
    <row r="310" spans="4:6" ht="13">
      <c r="D310" s="5"/>
      <c r="E310" s="5"/>
      <c r="F310" s="5"/>
    </row>
    <row r="311" spans="4:6" ht="13">
      <c r="D311" s="5"/>
      <c r="E311" s="5"/>
      <c r="F311" s="5"/>
    </row>
    <row r="312" spans="4:6" ht="13">
      <c r="D312" s="5"/>
      <c r="E312" s="5"/>
      <c r="F312" s="5"/>
    </row>
    <row r="313" spans="4:6" ht="13">
      <c r="D313" s="5"/>
      <c r="E313" s="5"/>
      <c r="F313" s="5"/>
    </row>
    <row r="314" spans="4:6" ht="13">
      <c r="D314" s="5"/>
      <c r="E314" s="5"/>
      <c r="F314" s="5"/>
    </row>
    <row r="315" spans="4:6" ht="13">
      <c r="D315" s="5"/>
      <c r="E315" s="5"/>
      <c r="F315" s="5"/>
    </row>
    <row r="316" spans="4:6" ht="13">
      <c r="D316" s="5"/>
      <c r="E316" s="5"/>
      <c r="F316" s="5"/>
    </row>
    <row r="317" spans="4:6" ht="13">
      <c r="D317" s="5"/>
      <c r="E317" s="5"/>
      <c r="F317" s="5"/>
    </row>
    <row r="318" spans="4:6" ht="13">
      <c r="D318" s="5"/>
      <c r="E318" s="5"/>
      <c r="F318" s="5"/>
    </row>
    <row r="319" spans="4:6" ht="13">
      <c r="D319" s="5"/>
      <c r="E319" s="5"/>
      <c r="F319" s="5"/>
    </row>
    <row r="320" spans="4:6" ht="13">
      <c r="D320" s="5"/>
      <c r="E320" s="5"/>
      <c r="F320" s="5"/>
    </row>
    <row r="321" spans="4:6" ht="13">
      <c r="D321" s="5"/>
      <c r="E321" s="5"/>
      <c r="F321" s="5"/>
    </row>
    <row r="322" spans="4:6" ht="13">
      <c r="D322" s="5"/>
      <c r="E322" s="5"/>
      <c r="F322" s="5"/>
    </row>
    <row r="323" spans="4:6" ht="13">
      <c r="D323" s="5"/>
      <c r="E323" s="5"/>
      <c r="F323" s="5"/>
    </row>
    <row r="324" spans="4:6" ht="13">
      <c r="D324" s="5"/>
      <c r="E324" s="5"/>
      <c r="F324" s="5"/>
    </row>
    <row r="325" spans="4:6" ht="13">
      <c r="D325" s="5"/>
      <c r="E325" s="5"/>
      <c r="F325" s="5"/>
    </row>
    <row r="326" spans="4:6" ht="13">
      <c r="D326" s="5"/>
      <c r="E326" s="5"/>
      <c r="F326" s="5"/>
    </row>
    <row r="327" spans="4:6" ht="13">
      <c r="D327" s="5"/>
      <c r="E327" s="5"/>
      <c r="F327" s="5"/>
    </row>
    <row r="328" spans="4:6" ht="13">
      <c r="D328" s="5"/>
      <c r="E328" s="5"/>
      <c r="F328" s="5"/>
    </row>
    <row r="329" spans="4:6" ht="13">
      <c r="D329" s="5"/>
      <c r="E329" s="5"/>
      <c r="F329" s="5"/>
    </row>
    <row r="330" spans="4:6" ht="13">
      <c r="D330" s="5"/>
      <c r="E330" s="5"/>
      <c r="F330" s="5"/>
    </row>
    <row r="331" spans="4:6" ht="13">
      <c r="D331" s="5"/>
      <c r="E331" s="5"/>
      <c r="F331" s="5"/>
    </row>
    <row r="332" spans="4:6" ht="13">
      <c r="D332" s="5"/>
      <c r="E332" s="5"/>
      <c r="F332" s="5"/>
    </row>
    <row r="333" spans="4:6" ht="13">
      <c r="D333" s="5"/>
      <c r="E333" s="5"/>
      <c r="F333" s="5"/>
    </row>
    <row r="334" spans="4:6" ht="13">
      <c r="D334" s="5"/>
      <c r="E334" s="5"/>
      <c r="F334" s="5"/>
    </row>
    <row r="335" spans="4:6" ht="13">
      <c r="D335" s="5"/>
      <c r="E335" s="5"/>
      <c r="F335" s="5"/>
    </row>
    <row r="336" spans="4:6" ht="13">
      <c r="D336" s="5"/>
      <c r="E336" s="5"/>
      <c r="F336" s="5"/>
    </row>
    <row r="337" spans="4:6" ht="13">
      <c r="D337" s="5"/>
      <c r="E337" s="5"/>
      <c r="F337" s="5"/>
    </row>
    <row r="338" spans="4:6" ht="13">
      <c r="D338" s="5"/>
      <c r="E338" s="5"/>
      <c r="F338" s="5"/>
    </row>
    <row r="339" spans="4:6" ht="13">
      <c r="D339" s="5"/>
      <c r="E339" s="5"/>
      <c r="F339" s="5"/>
    </row>
    <row r="340" spans="4:6" ht="13">
      <c r="D340" s="5"/>
      <c r="E340" s="5"/>
      <c r="F340" s="5"/>
    </row>
    <row r="341" spans="4:6" ht="13">
      <c r="D341" s="5"/>
      <c r="E341" s="5"/>
      <c r="F341" s="5"/>
    </row>
    <row r="342" spans="4:6" ht="13">
      <c r="D342" s="5"/>
      <c r="E342" s="5"/>
      <c r="F342" s="5"/>
    </row>
    <row r="343" spans="4:6" ht="13">
      <c r="D343" s="5"/>
      <c r="E343" s="5"/>
      <c r="F343" s="5"/>
    </row>
    <row r="344" spans="4:6" ht="13">
      <c r="D344" s="5"/>
      <c r="E344" s="5"/>
      <c r="F344" s="5"/>
    </row>
    <row r="345" spans="4:6" ht="13">
      <c r="D345" s="5"/>
      <c r="E345" s="5"/>
      <c r="F345" s="5"/>
    </row>
    <row r="346" spans="4:6" ht="13">
      <c r="D346" s="5"/>
      <c r="E346" s="5"/>
      <c r="F346" s="5"/>
    </row>
    <row r="347" spans="4:6" ht="13">
      <c r="D347" s="5"/>
      <c r="E347" s="5"/>
      <c r="F347" s="5"/>
    </row>
    <row r="348" spans="4:6" ht="13">
      <c r="D348" s="5"/>
      <c r="E348" s="5"/>
      <c r="F348" s="5"/>
    </row>
    <row r="349" spans="4:6" ht="13">
      <c r="D349" s="5"/>
      <c r="E349" s="5"/>
      <c r="F349" s="5"/>
    </row>
    <row r="350" spans="4:6" ht="13">
      <c r="D350" s="5"/>
      <c r="E350" s="5"/>
      <c r="F350" s="5"/>
    </row>
    <row r="351" spans="4:6" ht="13">
      <c r="D351" s="5"/>
      <c r="E351" s="5"/>
      <c r="F351" s="5"/>
    </row>
    <row r="352" spans="4:6" ht="13">
      <c r="D352" s="5"/>
      <c r="E352" s="5"/>
      <c r="F352" s="5"/>
    </row>
    <row r="353" spans="4:6" ht="13">
      <c r="D353" s="5"/>
      <c r="E353" s="5"/>
      <c r="F353" s="5"/>
    </row>
    <row r="354" spans="4:6" ht="13">
      <c r="D354" s="5"/>
      <c r="E354" s="5"/>
      <c r="F354" s="5"/>
    </row>
    <row r="355" spans="4:6" ht="13">
      <c r="D355" s="5"/>
      <c r="E355" s="5"/>
      <c r="F355" s="5"/>
    </row>
    <row r="356" spans="4:6" ht="13">
      <c r="D356" s="5"/>
      <c r="E356" s="5"/>
      <c r="F356" s="5"/>
    </row>
    <row r="357" spans="4:6" ht="13">
      <c r="D357" s="5"/>
      <c r="E357" s="5"/>
      <c r="F357" s="5"/>
    </row>
    <row r="358" spans="4:6" ht="13">
      <c r="D358" s="5"/>
      <c r="E358" s="5"/>
      <c r="F358" s="5"/>
    </row>
    <row r="359" spans="4:6" ht="13">
      <c r="D359" s="5"/>
      <c r="E359" s="5"/>
      <c r="F359" s="5"/>
    </row>
    <row r="360" spans="4:6" ht="13">
      <c r="D360" s="5"/>
      <c r="E360" s="5"/>
      <c r="F360" s="5"/>
    </row>
    <row r="361" spans="4:6" ht="13">
      <c r="D361" s="5"/>
      <c r="E361" s="5"/>
      <c r="F361" s="5"/>
    </row>
    <row r="362" spans="4:6" ht="13">
      <c r="D362" s="5"/>
      <c r="E362" s="5"/>
      <c r="F362" s="5"/>
    </row>
    <row r="363" spans="4:6" ht="13">
      <c r="D363" s="5"/>
      <c r="E363" s="5"/>
      <c r="F363" s="5"/>
    </row>
    <row r="364" spans="4:6" ht="13">
      <c r="D364" s="5"/>
      <c r="E364" s="5"/>
      <c r="F364" s="5"/>
    </row>
    <row r="365" spans="4:6" ht="13">
      <c r="D365" s="5"/>
      <c r="E365" s="5"/>
      <c r="F365" s="5"/>
    </row>
    <row r="366" spans="4:6" ht="13">
      <c r="D366" s="5"/>
      <c r="E366" s="5"/>
      <c r="F366" s="5"/>
    </row>
    <row r="367" spans="4:6" ht="13">
      <c r="D367" s="5"/>
      <c r="E367" s="5"/>
      <c r="F367" s="5"/>
    </row>
    <row r="368" spans="4:6" ht="13">
      <c r="D368" s="5"/>
      <c r="E368" s="5"/>
      <c r="F368" s="5"/>
    </row>
    <row r="369" spans="4:6" ht="13">
      <c r="D369" s="5"/>
      <c r="E369" s="5"/>
      <c r="F369" s="5"/>
    </row>
    <row r="370" spans="4:6" ht="13">
      <c r="D370" s="5"/>
      <c r="E370" s="5"/>
      <c r="F370" s="5"/>
    </row>
    <row r="371" spans="4:6" ht="13">
      <c r="D371" s="5"/>
      <c r="E371" s="5"/>
      <c r="F371" s="5"/>
    </row>
    <row r="372" spans="4:6" ht="13">
      <c r="D372" s="5"/>
      <c r="E372" s="5"/>
      <c r="F372" s="5"/>
    </row>
    <row r="373" spans="4:6" ht="13">
      <c r="D373" s="5"/>
      <c r="E373" s="5"/>
      <c r="F373" s="5"/>
    </row>
    <row r="374" spans="4:6" ht="13">
      <c r="D374" s="5"/>
      <c r="E374" s="5"/>
      <c r="F374" s="5"/>
    </row>
    <row r="375" spans="4:6" ht="13">
      <c r="D375" s="5"/>
      <c r="E375" s="5"/>
      <c r="F375" s="5"/>
    </row>
    <row r="376" spans="4:6" ht="13">
      <c r="D376" s="5"/>
      <c r="E376" s="5"/>
      <c r="F376" s="5"/>
    </row>
    <row r="377" spans="4:6" ht="13">
      <c r="D377" s="5"/>
      <c r="E377" s="5"/>
      <c r="F377" s="5"/>
    </row>
    <row r="378" spans="4:6" ht="13">
      <c r="D378" s="5"/>
      <c r="E378" s="5"/>
      <c r="F378" s="5"/>
    </row>
    <row r="379" spans="4:6" ht="13">
      <c r="D379" s="5"/>
      <c r="E379" s="5"/>
      <c r="F379" s="5"/>
    </row>
    <row r="380" spans="4:6" ht="13">
      <c r="D380" s="5"/>
      <c r="E380" s="5"/>
      <c r="F380" s="5"/>
    </row>
    <row r="381" spans="4:6" ht="13">
      <c r="D381" s="5"/>
      <c r="E381" s="5"/>
      <c r="F381" s="5"/>
    </row>
    <row r="382" spans="4:6" ht="13">
      <c r="D382" s="5"/>
      <c r="E382" s="5"/>
      <c r="F382" s="5"/>
    </row>
    <row r="383" spans="4:6" ht="13">
      <c r="D383" s="5"/>
      <c r="E383" s="5"/>
      <c r="F383" s="5"/>
    </row>
    <row r="384" spans="4:6" ht="13">
      <c r="D384" s="5"/>
      <c r="E384" s="5"/>
      <c r="F384" s="5"/>
    </row>
    <row r="385" spans="4:6" ht="13">
      <c r="D385" s="5"/>
      <c r="E385" s="5"/>
      <c r="F385" s="5"/>
    </row>
    <row r="386" spans="4:6" ht="13">
      <c r="D386" s="5"/>
      <c r="E386" s="5"/>
      <c r="F386" s="5"/>
    </row>
    <row r="387" spans="4:6" ht="13">
      <c r="D387" s="5"/>
      <c r="E387" s="5"/>
      <c r="F387" s="5"/>
    </row>
    <row r="388" spans="4:6" ht="13">
      <c r="D388" s="5"/>
      <c r="E388" s="5"/>
      <c r="F388" s="5"/>
    </row>
    <row r="389" spans="4:6" ht="13">
      <c r="D389" s="5"/>
      <c r="E389" s="5"/>
      <c r="F389" s="5"/>
    </row>
    <row r="390" spans="4:6" ht="13">
      <c r="D390" s="5"/>
      <c r="E390" s="5"/>
      <c r="F390" s="5"/>
    </row>
    <row r="391" spans="4:6" ht="13">
      <c r="D391" s="5"/>
      <c r="E391" s="5"/>
      <c r="F391" s="5"/>
    </row>
    <row r="392" spans="4:6" ht="13">
      <c r="D392" s="5"/>
      <c r="E392" s="5"/>
      <c r="F392" s="5"/>
    </row>
    <row r="393" spans="4:6" ht="13">
      <c r="D393" s="5"/>
      <c r="E393" s="5"/>
      <c r="F393" s="5"/>
    </row>
    <row r="394" spans="4:6" ht="13">
      <c r="D394" s="5"/>
      <c r="E394" s="5"/>
      <c r="F394" s="5"/>
    </row>
    <row r="395" spans="4:6" ht="13">
      <c r="D395" s="5"/>
      <c r="E395" s="5"/>
      <c r="F395" s="5"/>
    </row>
    <row r="396" spans="4:6" ht="13">
      <c r="D396" s="5"/>
      <c r="E396" s="5"/>
      <c r="F396" s="5"/>
    </row>
    <row r="397" spans="4:6" ht="13">
      <c r="D397" s="5"/>
      <c r="E397" s="5"/>
      <c r="F397" s="5"/>
    </row>
    <row r="398" spans="4:6" ht="13">
      <c r="D398" s="5"/>
      <c r="E398" s="5"/>
      <c r="F398" s="5"/>
    </row>
    <row r="399" spans="4:6" ht="13">
      <c r="D399" s="5"/>
      <c r="E399" s="5"/>
      <c r="F399" s="5"/>
    </row>
    <row r="400" spans="4:6" ht="13">
      <c r="D400" s="5"/>
      <c r="E400" s="5"/>
      <c r="F400" s="5"/>
    </row>
    <row r="401" spans="4:6" ht="13">
      <c r="D401" s="5"/>
      <c r="E401" s="5"/>
      <c r="F401" s="5"/>
    </row>
    <row r="402" spans="4:6" ht="13">
      <c r="D402" s="5"/>
      <c r="E402" s="5"/>
      <c r="F402" s="5"/>
    </row>
    <row r="403" spans="4:6" ht="13">
      <c r="D403" s="5"/>
      <c r="E403" s="5"/>
      <c r="F403" s="5"/>
    </row>
    <row r="404" spans="4:6" ht="13">
      <c r="D404" s="5"/>
      <c r="E404" s="5"/>
      <c r="F404" s="5"/>
    </row>
    <row r="405" spans="4:6" ht="13">
      <c r="D405" s="5"/>
      <c r="E405" s="5"/>
      <c r="F405" s="5"/>
    </row>
    <row r="406" spans="4:6" ht="13">
      <c r="D406" s="5"/>
      <c r="E406" s="5"/>
      <c r="F406" s="5"/>
    </row>
    <row r="407" spans="4:6" ht="13">
      <c r="D407" s="5"/>
      <c r="E407" s="5"/>
      <c r="F407" s="5"/>
    </row>
    <row r="408" spans="4:6" ht="13">
      <c r="D408" s="5"/>
      <c r="E408" s="5"/>
      <c r="F408" s="5"/>
    </row>
    <row r="409" spans="4:6" ht="13">
      <c r="D409" s="5"/>
      <c r="E409" s="5"/>
      <c r="F409" s="5"/>
    </row>
    <row r="410" spans="4:6" ht="13">
      <c r="D410" s="5"/>
      <c r="E410" s="5"/>
      <c r="F410" s="5"/>
    </row>
    <row r="411" spans="4:6" ht="13">
      <c r="D411" s="5"/>
      <c r="E411" s="5"/>
      <c r="F411" s="5"/>
    </row>
    <row r="412" spans="4:6" ht="13">
      <c r="D412" s="5"/>
      <c r="E412" s="5"/>
      <c r="F412" s="5"/>
    </row>
    <row r="413" spans="4:6" ht="13">
      <c r="D413" s="5"/>
      <c r="E413" s="5"/>
      <c r="F413" s="5"/>
    </row>
    <row r="414" spans="4:6" ht="13">
      <c r="D414" s="5"/>
      <c r="E414" s="5"/>
      <c r="F414" s="5"/>
    </row>
    <row r="415" spans="4:6" ht="13">
      <c r="D415" s="5"/>
      <c r="E415" s="5"/>
      <c r="F415" s="5"/>
    </row>
    <row r="416" spans="4:6" ht="13">
      <c r="D416" s="5"/>
      <c r="E416" s="5"/>
      <c r="F416" s="5"/>
    </row>
    <row r="417" spans="4:6" ht="13">
      <c r="D417" s="5"/>
      <c r="E417" s="5"/>
      <c r="F417" s="5"/>
    </row>
    <row r="418" spans="4:6" ht="13">
      <c r="D418" s="5"/>
      <c r="E418" s="5"/>
      <c r="F418" s="5"/>
    </row>
    <row r="419" spans="4:6" ht="13">
      <c r="D419" s="5"/>
      <c r="E419" s="5"/>
      <c r="F419" s="5"/>
    </row>
    <row r="420" spans="4:6" ht="13">
      <c r="D420" s="5"/>
      <c r="E420" s="5"/>
      <c r="F420" s="5"/>
    </row>
    <row r="421" spans="4:6" ht="13">
      <c r="D421" s="5"/>
      <c r="E421" s="5"/>
      <c r="F421" s="5"/>
    </row>
    <row r="422" spans="4:6" ht="13">
      <c r="D422" s="5"/>
      <c r="E422" s="5"/>
      <c r="F422" s="5"/>
    </row>
    <row r="423" spans="4:6" ht="13">
      <c r="D423" s="5"/>
      <c r="E423" s="5"/>
      <c r="F423" s="5"/>
    </row>
    <row r="424" spans="4:6" ht="13">
      <c r="D424" s="5"/>
      <c r="E424" s="5"/>
      <c r="F424" s="5"/>
    </row>
    <row r="425" spans="4:6" ht="13">
      <c r="D425" s="5"/>
      <c r="E425" s="5"/>
      <c r="F425" s="5"/>
    </row>
    <row r="426" spans="4:6" ht="13">
      <c r="D426" s="5"/>
      <c r="E426" s="5"/>
      <c r="F426" s="5"/>
    </row>
    <row r="427" spans="4:6" ht="13">
      <c r="D427" s="5"/>
      <c r="E427" s="5"/>
      <c r="F427" s="5"/>
    </row>
    <row r="428" spans="4:6" ht="13">
      <c r="D428" s="5"/>
      <c r="E428" s="5"/>
      <c r="F428" s="5"/>
    </row>
    <row r="429" spans="4:6" ht="13">
      <c r="D429" s="5"/>
      <c r="E429" s="5"/>
      <c r="F429" s="5"/>
    </row>
    <row r="430" spans="4:6" ht="13">
      <c r="D430" s="5"/>
      <c r="E430" s="5"/>
      <c r="F430" s="5"/>
    </row>
    <row r="431" spans="4:6" ht="13">
      <c r="D431" s="5"/>
      <c r="E431" s="5"/>
      <c r="F431" s="5"/>
    </row>
    <row r="432" spans="4:6" ht="13">
      <c r="D432" s="5"/>
      <c r="E432" s="5"/>
      <c r="F432" s="5"/>
    </row>
    <row r="433" spans="4:6" ht="13">
      <c r="D433" s="5"/>
      <c r="E433" s="5"/>
      <c r="F433" s="5"/>
    </row>
    <row r="434" spans="4:6" ht="13">
      <c r="D434" s="5"/>
      <c r="E434" s="5"/>
      <c r="F434" s="5"/>
    </row>
    <row r="435" spans="4:6" ht="13">
      <c r="D435" s="5"/>
      <c r="E435" s="5"/>
      <c r="F435" s="5"/>
    </row>
    <row r="436" spans="4:6" ht="13">
      <c r="D436" s="5"/>
      <c r="E436" s="5"/>
      <c r="F436" s="5"/>
    </row>
    <row r="437" spans="4:6" ht="13">
      <c r="D437" s="5"/>
      <c r="E437" s="5"/>
      <c r="F437" s="5"/>
    </row>
    <row r="438" spans="4:6" ht="13">
      <c r="D438" s="5"/>
      <c r="E438" s="5"/>
      <c r="F438" s="5"/>
    </row>
    <row r="439" spans="4:6" ht="13">
      <c r="D439" s="5"/>
      <c r="E439" s="5"/>
      <c r="F439" s="5"/>
    </row>
    <row r="440" spans="4:6" ht="13">
      <c r="D440" s="5"/>
      <c r="E440" s="5"/>
      <c r="F440" s="5"/>
    </row>
    <row r="441" spans="4:6" ht="13">
      <c r="D441" s="5"/>
      <c r="E441" s="5"/>
      <c r="F441" s="5"/>
    </row>
    <row r="442" spans="4:6" ht="13">
      <c r="D442" s="5"/>
      <c r="E442" s="5"/>
      <c r="F442" s="5"/>
    </row>
    <row r="443" spans="4:6" ht="13">
      <c r="D443" s="5"/>
      <c r="E443" s="5"/>
      <c r="F443" s="5"/>
    </row>
    <row r="444" spans="4:6" ht="13">
      <c r="D444" s="5"/>
      <c r="E444" s="5"/>
      <c r="F444" s="5"/>
    </row>
    <row r="445" spans="4:6" ht="13">
      <c r="D445" s="5"/>
      <c r="E445" s="5"/>
      <c r="F445" s="5"/>
    </row>
    <row r="446" spans="4:6" ht="13">
      <c r="D446" s="5"/>
      <c r="E446" s="5"/>
      <c r="F446" s="5"/>
    </row>
    <row r="447" spans="4:6" ht="13">
      <c r="D447" s="5"/>
      <c r="E447" s="5"/>
      <c r="F447" s="5"/>
    </row>
    <row r="448" spans="4:6" ht="13">
      <c r="D448" s="5"/>
      <c r="E448" s="5"/>
      <c r="F448" s="5"/>
    </row>
    <row r="449" spans="4:6" ht="13">
      <c r="D449" s="5"/>
      <c r="E449" s="5"/>
      <c r="F449" s="5"/>
    </row>
    <row r="450" spans="4:6" ht="13">
      <c r="D450" s="5"/>
      <c r="E450" s="5"/>
      <c r="F450" s="5"/>
    </row>
    <row r="451" spans="4:6" ht="13">
      <c r="D451" s="5"/>
      <c r="E451" s="5"/>
      <c r="F451" s="5"/>
    </row>
    <row r="452" spans="4:6" ht="13">
      <c r="D452" s="5"/>
      <c r="E452" s="5"/>
      <c r="F452" s="5"/>
    </row>
    <row r="453" spans="4:6" ht="13">
      <c r="D453" s="5"/>
      <c r="E453" s="5"/>
      <c r="F453" s="5"/>
    </row>
    <row r="454" spans="4:6" ht="13">
      <c r="D454" s="5"/>
      <c r="E454" s="5"/>
      <c r="F454" s="5"/>
    </row>
    <row r="455" spans="4:6" ht="13">
      <c r="D455" s="5"/>
      <c r="E455" s="5"/>
      <c r="F455" s="5"/>
    </row>
    <row r="456" spans="4:6" ht="13">
      <c r="D456" s="5"/>
      <c r="E456" s="5"/>
      <c r="F456" s="5"/>
    </row>
    <row r="457" spans="4:6" ht="13">
      <c r="D457" s="5"/>
      <c r="E457" s="5"/>
      <c r="F457" s="5"/>
    </row>
    <row r="458" spans="4:6" ht="13">
      <c r="D458" s="5"/>
      <c r="E458" s="5"/>
      <c r="F458" s="5"/>
    </row>
    <row r="459" spans="4:6" ht="13">
      <c r="D459" s="5"/>
      <c r="E459" s="5"/>
      <c r="F459" s="5"/>
    </row>
    <row r="460" spans="4:6" ht="13">
      <c r="D460" s="5"/>
      <c r="E460" s="5"/>
      <c r="F460" s="5"/>
    </row>
    <row r="461" spans="4:6" ht="13">
      <c r="D461" s="5"/>
      <c r="E461" s="5"/>
      <c r="F461" s="5"/>
    </row>
    <row r="462" spans="4:6" ht="13">
      <c r="D462" s="5"/>
      <c r="E462" s="5"/>
      <c r="F462" s="5"/>
    </row>
    <row r="463" spans="4:6" ht="13">
      <c r="D463" s="5"/>
      <c r="E463" s="5"/>
      <c r="F463" s="5"/>
    </row>
    <row r="464" spans="4:6" ht="13">
      <c r="D464" s="5"/>
      <c r="E464" s="5"/>
      <c r="F464" s="5"/>
    </row>
    <row r="465" spans="4:6" ht="13">
      <c r="D465" s="5"/>
      <c r="E465" s="5"/>
      <c r="F465" s="5"/>
    </row>
    <row r="466" spans="4:6" ht="13">
      <c r="D466" s="5"/>
      <c r="E466" s="5"/>
      <c r="F466" s="5"/>
    </row>
    <row r="467" spans="4:6" ht="13">
      <c r="D467" s="5"/>
      <c r="E467" s="5"/>
      <c r="F467" s="5"/>
    </row>
    <row r="468" spans="4:6" ht="13">
      <c r="D468" s="5"/>
      <c r="E468" s="5"/>
      <c r="F468" s="5"/>
    </row>
    <row r="469" spans="4:6" ht="13">
      <c r="D469" s="5"/>
      <c r="E469" s="5"/>
      <c r="F469" s="5"/>
    </row>
    <row r="470" spans="4:6" ht="13">
      <c r="D470" s="5"/>
      <c r="E470" s="5"/>
      <c r="F470" s="5"/>
    </row>
    <row r="471" spans="4:6" ht="13">
      <c r="D471" s="5"/>
      <c r="E471" s="5"/>
      <c r="F471" s="5"/>
    </row>
    <row r="472" spans="4:6" ht="13">
      <c r="D472" s="5"/>
      <c r="E472" s="5"/>
      <c r="F472" s="5"/>
    </row>
    <row r="473" spans="4:6" ht="13">
      <c r="D473" s="5"/>
      <c r="E473" s="5"/>
      <c r="F473" s="5"/>
    </row>
    <row r="474" spans="4:6" ht="13">
      <c r="D474" s="5"/>
      <c r="E474" s="5"/>
      <c r="F474" s="5"/>
    </row>
    <row r="475" spans="4:6" ht="13">
      <c r="D475" s="5"/>
      <c r="E475" s="5"/>
      <c r="F475" s="5"/>
    </row>
    <row r="476" spans="4:6" ht="13">
      <c r="D476" s="5"/>
      <c r="E476" s="5"/>
      <c r="F476" s="5"/>
    </row>
    <row r="477" spans="4:6" ht="13">
      <c r="D477" s="5"/>
      <c r="E477" s="5"/>
      <c r="F477" s="5"/>
    </row>
    <row r="478" spans="4:6" ht="13">
      <c r="D478" s="5"/>
      <c r="E478" s="5"/>
      <c r="F478" s="5"/>
    </row>
    <row r="479" spans="4:6" ht="13">
      <c r="D479" s="5"/>
      <c r="E479" s="5"/>
      <c r="F479" s="5"/>
    </row>
    <row r="480" spans="4:6" ht="13">
      <c r="D480" s="5"/>
      <c r="E480" s="5"/>
      <c r="F480" s="5"/>
    </row>
    <row r="481" spans="4:6" ht="13">
      <c r="D481" s="5"/>
      <c r="E481" s="5"/>
      <c r="F481" s="5"/>
    </row>
    <row r="482" spans="4:6" ht="13">
      <c r="D482" s="5"/>
      <c r="E482" s="5"/>
      <c r="F482" s="5"/>
    </row>
    <row r="483" spans="4:6" ht="13">
      <c r="D483" s="5"/>
      <c r="E483" s="5"/>
      <c r="F483" s="5"/>
    </row>
    <row r="484" spans="4:6" ht="13">
      <c r="D484" s="5"/>
      <c r="E484" s="5"/>
      <c r="F484" s="5"/>
    </row>
    <row r="485" spans="4:6" ht="13">
      <c r="D485" s="5"/>
      <c r="E485" s="5"/>
      <c r="F485" s="5"/>
    </row>
    <row r="486" spans="4:6" ht="13">
      <c r="D486" s="5"/>
      <c r="E486" s="5"/>
      <c r="F486" s="5"/>
    </row>
    <row r="487" spans="4:6" ht="13">
      <c r="D487" s="5"/>
      <c r="E487" s="5"/>
      <c r="F487" s="5"/>
    </row>
    <row r="488" spans="4:6" ht="13">
      <c r="D488" s="5"/>
      <c r="E488" s="5"/>
      <c r="F488" s="5"/>
    </row>
    <row r="489" spans="4:6" ht="13">
      <c r="D489" s="5"/>
      <c r="E489" s="5"/>
      <c r="F489" s="5"/>
    </row>
    <row r="490" spans="4:6" ht="13">
      <c r="D490" s="5"/>
      <c r="E490" s="5"/>
      <c r="F490" s="5"/>
    </row>
    <row r="491" spans="4:6" ht="13">
      <c r="D491" s="5"/>
      <c r="E491" s="5"/>
      <c r="F491" s="5"/>
    </row>
    <row r="492" spans="4:6" ht="13">
      <c r="D492" s="5"/>
      <c r="E492" s="5"/>
      <c r="F492" s="5"/>
    </row>
    <row r="493" spans="4:6" ht="13">
      <c r="D493" s="5"/>
      <c r="E493" s="5"/>
      <c r="F493" s="5"/>
    </row>
    <row r="494" spans="4:6" ht="13">
      <c r="D494" s="5"/>
      <c r="E494" s="5"/>
      <c r="F494" s="5"/>
    </row>
    <row r="495" spans="4:6" ht="13">
      <c r="D495" s="5"/>
      <c r="E495" s="5"/>
      <c r="F495" s="5"/>
    </row>
    <row r="496" spans="4:6" ht="13">
      <c r="D496" s="5"/>
      <c r="E496" s="5"/>
      <c r="F496" s="5"/>
    </row>
    <row r="497" spans="4:6" ht="13">
      <c r="D497" s="5"/>
      <c r="E497" s="5"/>
      <c r="F497" s="5"/>
    </row>
    <row r="498" spans="4:6" ht="13">
      <c r="D498" s="5"/>
      <c r="E498" s="5"/>
      <c r="F498" s="5"/>
    </row>
    <row r="499" spans="4:6" ht="13">
      <c r="D499" s="5"/>
      <c r="E499" s="5"/>
      <c r="F499" s="5"/>
    </row>
    <row r="500" spans="4:6" ht="13">
      <c r="D500" s="5"/>
      <c r="E500" s="5"/>
      <c r="F500" s="5"/>
    </row>
    <row r="501" spans="4:6" ht="13">
      <c r="D501" s="5"/>
      <c r="E501" s="5"/>
      <c r="F501" s="5"/>
    </row>
    <row r="502" spans="4:6" ht="13">
      <c r="D502" s="5"/>
      <c r="E502" s="5"/>
      <c r="F502" s="5"/>
    </row>
    <row r="503" spans="4:6" ht="13">
      <c r="D503" s="5"/>
      <c r="E503" s="5"/>
      <c r="F503" s="5"/>
    </row>
    <row r="504" spans="4:6" ht="13">
      <c r="D504" s="5"/>
      <c r="E504" s="5"/>
      <c r="F504" s="5"/>
    </row>
    <row r="505" spans="4:6" ht="13">
      <c r="D505" s="5"/>
      <c r="E505" s="5"/>
      <c r="F505" s="5"/>
    </row>
    <row r="506" spans="4:6" ht="13">
      <c r="D506" s="5"/>
      <c r="E506" s="5"/>
      <c r="F506" s="5"/>
    </row>
    <row r="507" spans="4:6" ht="13">
      <c r="D507" s="5"/>
      <c r="E507" s="5"/>
      <c r="F507" s="5"/>
    </row>
    <row r="508" spans="4:6" ht="13">
      <c r="D508" s="5"/>
      <c r="E508" s="5"/>
      <c r="F508" s="5"/>
    </row>
    <row r="509" spans="4:6" ht="13">
      <c r="D509" s="5"/>
      <c r="E509" s="5"/>
      <c r="F509" s="5"/>
    </row>
    <row r="510" spans="4:6" ht="13">
      <c r="D510" s="5"/>
      <c r="E510" s="5"/>
      <c r="F510" s="5"/>
    </row>
    <row r="511" spans="4:6" ht="13">
      <c r="D511" s="5"/>
      <c r="E511" s="5"/>
      <c r="F511" s="5"/>
    </row>
    <row r="512" spans="4:6" ht="13">
      <c r="D512" s="5"/>
      <c r="E512" s="5"/>
      <c r="F512" s="5"/>
    </row>
    <row r="513" spans="4:6" ht="13">
      <c r="D513" s="5"/>
      <c r="E513" s="5"/>
      <c r="F513" s="5"/>
    </row>
    <row r="514" spans="4:6" ht="13">
      <c r="D514" s="5"/>
      <c r="E514" s="5"/>
      <c r="F514" s="5"/>
    </row>
    <row r="515" spans="4:6" ht="13">
      <c r="D515" s="5"/>
      <c r="E515" s="5"/>
      <c r="F515" s="5"/>
    </row>
    <row r="516" spans="4:6" ht="13">
      <c r="D516" s="5"/>
      <c r="E516" s="5"/>
      <c r="F516" s="5"/>
    </row>
    <row r="517" spans="4:6" ht="13">
      <c r="D517" s="5"/>
      <c r="E517" s="5"/>
      <c r="F517" s="5"/>
    </row>
    <row r="518" spans="4:6" ht="13">
      <c r="D518" s="5"/>
      <c r="E518" s="5"/>
      <c r="F518" s="5"/>
    </row>
    <row r="519" spans="4:6" ht="13">
      <c r="D519" s="5"/>
      <c r="E519" s="5"/>
      <c r="F519" s="5"/>
    </row>
    <row r="520" spans="4:6" ht="13">
      <c r="D520" s="5"/>
      <c r="E520" s="5"/>
      <c r="F520" s="5"/>
    </row>
    <row r="521" spans="4:6" ht="13">
      <c r="D521" s="5"/>
      <c r="E521" s="5"/>
      <c r="F521" s="5"/>
    </row>
    <row r="522" spans="4:6" ht="13">
      <c r="D522" s="5"/>
      <c r="E522" s="5"/>
      <c r="F522" s="5"/>
    </row>
    <row r="523" spans="4:6" ht="13">
      <c r="D523" s="5"/>
      <c r="E523" s="5"/>
      <c r="F523" s="5"/>
    </row>
    <row r="524" spans="4:6" ht="13">
      <c r="D524" s="5"/>
      <c r="E524" s="5"/>
      <c r="F524" s="5"/>
    </row>
    <row r="525" spans="4:6" ht="13">
      <c r="D525" s="5"/>
      <c r="E525" s="5"/>
      <c r="F525" s="5"/>
    </row>
    <row r="526" spans="4:6" ht="13">
      <c r="D526" s="5"/>
      <c r="E526" s="5"/>
      <c r="F526" s="5"/>
    </row>
    <row r="527" spans="4:6" ht="13">
      <c r="D527" s="5"/>
      <c r="E527" s="5"/>
      <c r="F527" s="5"/>
    </row>
    <row r="528" spans="4:6" ht="13">
      <c r="D528" s="5"/>
      <c r="E528" s="5"/>
      <c r="F528" s="5"/>
    </row>
    <row r="529" spans="4:6" ht="13">
      <c r="D529" s="5"/>
      <c r="E529" s="5"/>
      <c r="F529" s="5"/>
    </row>
    <row r="530" spans="4:6" ht="13">
      <c r="D530" s="5"/>
      <c r="E530" s="5"/>
      <c r="F530" s="5"/>
    </row>
    <row r="531" spans="4:6" ht="13">
      <c r="D531" s="5"/>
      <c r="E531" s="5"/>
      <c r="F531" s="5"/>
    </row>
    <row r="532" spans="4:6" ht="13">
      <c r="D532" s="5"/>
      <c r="E532" s="5"/>
      <c r="F532" s="5"/>
    </row>
    <row r="533" spans="4:6" ht="13">
      <c r="D533" s="5"/>
      <c r="E533" s="5"/>
      <c r="F533" s="5"/>
    </row>
    <row r="534" spans="4:6" ht="13">
      <c r="D534" s="5"/>
      <c r="E534" s="5"/>
      <c r="F534" s="5"/>
    </row>
    <row r="535" spans="4:6" ht="13">
      <c r="D535" s="5"/>
      <c r="E535" s="5"/>
      <c r="F535" s="5"/>
    </row>
    <row r="536" spans="4:6" ht="13">
      <c r="D536" s="5"/>
      <c r="E536" s="5"/>
      <c r="F536" s="5"/>
    </row>
    <row r="537" spans="4:6" ht="13">
      <c r="D537" s="5"/>
      <c r="E537" s="5"/>
      <c r="F537" s="5"/>
    </row>
    <row r="538" spans="4:6" ht="13">
      <c r="D538" s="5"/>
      <c r="E538" s="5"/>
      <c r="F538" s="5"/>
    </row>
    <row r="539" spans="4:6" ht="13">
      <c r="D539" s="5"/>
      <c r="E539" s="5"/>
      <c r="F539" s="5"/>
    </row>
    <row r="540" spans="4:6" ht="13">
      <c r="D540" s="5"/>
      <c r="E540" s="5"/>
      <c r="F540" s="5"/>
    </row>
    <row r="541" spans="4:6" ht="13">
      <c r="D541" s="5"/>
      <c r="E541" s="5"/>
      <c r="F541" s="5"/>
    </row>
    <row r="542" spans="4:6" ht="13">
      <c r="D542" s="5"/>
      <c r="E542" s="5"/>
      <c r="F542" s="5"/>
    </row>
    <row r="543" spans="4:6" ht="13">
      <c r="D543" s="5"/>
      <c r="E543" s="5"/>
      <c r="F543" s="5"/>
    </row>
    <row r="544" spans="4:6" ht="13">
      <c r="D544" s="5"/>
      <c r="E544" s="5"/>
      <c r="F544" s="5"/>
    </row>
    <row r="545" spans="4:6" ht="13">
      <c r="D545" s="5"/>
      <c r="E545" s="5"/>
      <c r="F545" s="5"/>
    </row>
    <row r="546" spans="4:6" ht="13">
      <c r="D546" s="5"/>
      <c r="E546" s="5"/>
      <c r="F546" s="5"/>
    </row>
    <row r="547" spans="4:6" ht="13">
      <c r="D547" s="5"/>
      <c r="E547" s="5"/>
      <c r="F547" s="5"/>
    </row>
    <row r="548" spans="4:6" ht="13">
      <c r="D548" s="5"/>
      <c r="E548" s="5"/>
      <c r="F548" s="5"/>
    </row>
    <row r="549" spans="4:6" ht="13">
      <c r="D549" s="5"/>
      <c r="E549" s="5"/>
      <c r="F549" s="5"/>
    </row>
    <row r="550" spans="4:6" ht="13">
      <c r="D550" s="5"/>
      <c r="E550" s="5"/>
      <c r="F550" s="5"/>
    </row>
    <row r="551" spans="4:6" ht="13">
      <c r="D551" s="5"/>
      <c r="E551" s="5"/>
      <c r="F551" s="5"/>
    </row>
    <row r="552" spans="4:6" ht="13">
      <c r="D552" s="5"/>
      <c r="E552" s="5"/>
      <c r="F552" s="5"/>
    </row>
    <row r="553" spans="4:6" ht="13">
      <c r="D553" s="5"/>
      <c r="E553" s="5"/>
      <c r="F553" s="5"/>
    </row>
    <row r="554" spans="4:6" ht="13">
      <c r="D554" s="5"/>
      <c r="E554" s="5"/>
      <c r="F554" s="5"/>
    </row>
    <row r="555" spans="4:6" ht="13">
      <c r="D555" s="5"/>
      <c r="E555" s="5"/>
      <c r="F555" s="5"/>
    </row>
    <row r="556" spans="4:6" ht="13">
      <c r="D556" s="5"/>
      <c r="E556" s="5"/>
      <c r="F556" s="5"/>
    </row>
    <row r="557" spans="4:6" ht="13">
      <c r="D557" s="5"/>
      <c r="E557" s="5"/>
      <c r="F557" s="5"/>
    </row>
    <row r="558" spans="4:6" ht="13">
      <c r="D558" s="5"/>
      <c r="E558" s="5"/>
      <c r="F558" s="5"/>
    </row>
    <row r="559" spans="4:6" ht="13">
      <c r="D559" s="5"/>
      <c r="E559" s="5"/>
      <c r="F559" s="5"/>
    </row>
    <row r="560" spans="4:6" ht="13">
      <c r="D560" s="5"/>
      <c r="E560" s="5"/>
      <c r="F560" s="5"/>
    </row>
    <row r="561" spans="4:6" ht="13">
      <c r="D561" s="5"/>
      <c r="E561" s="5"/>
      <c r="F561" s="5"/>
    </row>
    <row r="562" spans="4:6" ht="13">
      <c r="D562" s="5"/>
      <c r="E562" s="5"/>
      <c r="F562" s="5"/>
    </row>
    <row r="563" spans="4:6" ht="13">
      <c r="D563" s="5"/>
      <c r="E563" s="5"/>
      <c r="F563" s="5"/>
    </row>
    <row r="564" spans="4:6" ht="13">
      <c r="D564" s="5"/>
      <c r="E564" s="5"/>
      <c r="F564" s="5"/>
    </row>
    <row r="565" spans="4:6" ht="13">
      <c r="D565" s="5"/>
      <c r="E565" s="5"/>
      <c r="F565" s="5"/>
    </row>
    <row r="566" spans="4:6" ht="13">
      <c r="D566" s="5"/>
      <c r="E566" s="5"/>
      <c r="F566" s="5"/>
    </row>
    <row r="567" spans="4:6" ht="13">
      <c r="D567" s="5"/>
      <c r="E567" s="5"/>
      <c r="F567" s="5"/>
    </row>
    <row r="568" spans="4:6" ht="13">
      <c r="D568" s="5"/>
      <c r="E568" s="5"/>
      <c r="F568" s="5"/>
    </row>
    <row r="569" spans="4:6" ht="13">
      <c r="D569" s="5"/>
      <c r="E569" s="5"/>
      <c r="F569" s="5"/>
    </row>
    <row r="570" spans="4:6" ht="13">
      <c r="D570" s="5"/>
      <c r="E570" s="5"/>
      <c r="F570" s="5"/>
    </row>
    <row r="571" spans="4:6" ht="13">
      <c r="D571" s="5"/>
      <c r="E571" s="5"/>
      <c r="F571" s="5"/>
    </row>
    <row r="572" spans="4:6" ht="13">
      <c r="D572" s="5"/>
      <c r="E572" s="5"/>
      <c r="F572" s="5"/>
    </row>
    <row r="573" spans="4:6" ht="13">
      <c r="D573" s="5"/>
      <c r="E573" s="5"/>
      <c r="F573" s="5"/>
    </row>
    <row r="574" spans="4:6" ht="13">
      <c r="D574" s="5"/>
      <c r="E574" s="5"/>
      <c r="F574" s="5"/>
    </row>
    <row r="575" spans="4:6" ht="13">
      <c r="D575" s="5"/>
      <c r="E575" s="5"/>
      <c r="F575" s="5"/>
    </row>
    <row r="576" spans="4:6" ht="13">
      <c r="D576" s="5"/>
      <c r="E576" s="5"/>
      <c r="F576" s="5"/>
    </row>
    <row r="577" spans="4:6" ht="13">
      <c r="D577" s="5"/>
      <c r="E577" s="5"/>
      <c r="F577" s="5"/>
    </row>
    <row r="578" spans="4:6" ht="13">
      <c r="D578" s="5"/>
      <c r="E578" s="5"/>
      <c r="F578" s="5"/>
    </row>
    <row r="579" spans="4:6" ht="13">
      <c r="D579" s="5"/>
      <c r="E579" s="5"/>
      <c r="F579" s="5"/>
    </row>
    <row r="580" spans="4:6" ht="13">
      <c r="D580" s="5"/>
      <c r="E580" s="5"/>
      <c r="F580" s="5"/>
    </row>
    <row r="581" spans="4:6" ht="13">
      <c r="D581" s="5"/>
      <c r="E581" s="5"/>
      <c r="F581" s="5"/>
    </row>
    <row r="582" spans="4:6" ht="13">
      <c r="D582" s="5"/>
      <c r="E582" s="5"/>
      <c r="F582" s="5"/>
    </row>
    <row r="583" spans="4:6" ht="13">
      <c r="D583" s="5"/>
      <c r="E583" s="5"/>
      <c r="F583" s="5"/>
    </row>
    <row r="584" spans="4:6" ht="13">
      <c r="D584" s="5"/>
      <c r="E584" s="5"/>
      <c r="F584" s="5"/>
    </row>
    <row r="585" spans="4:6" ht="13">
      <c r="D585" s="5"/>
      <c r="E585" s="5"/>
      <c r="F585" s="5"/>
    </row>
    <row r="586" spans="4:6" ht="13">
      <c r="D586" s="5"/>
      <c r="E586" s="5"/>
      <c r="F586" s="5"/>
    </row>
    <row r="587" spans="4:6" ht="13">
      <c r="D587" s="5"/>
      <c r="E587" s="5"/>
      <c r="F587" s="5"/>
    </row>
    <row r="588" spans="4:6" ht="13">
      <c r="D588" s="5"/>
      <c r="E588" s="5"/>
      <c r="F588" s="5"/>
    </row>
    <row r="589" spans="4:6" ht="13">
      <c r="D589" s="5"/>
      <c r="E589" s="5"/>
      <c r="F589" s="5"/>
    </row>
    <row r="590" spans="4:6" ht="13">
      <c r="D590" s="5"/>
      <c r="E590" s="5"/>
      <c r="F590" s="5"/>
    </row>
    <row r="591" spans="4:6" ht="13">
      <c r="D591" s="5"/>
      <c r="E591" s="5"/>
      <c r="F591" s="5"/>
    </row>
    <row r="592" spans="4:6" ht="13">
      <c r="D592" s="5"/>
      <c r="E592" s="5"/>
      <c r="F592" s="5"/>
    </row>
    <row r="593" spans="4:6" ht="13">
      <c r="D593" s="5"/>
      <c r="E593" s="5"/>
      <c r="F593" s="5"/>
    </row>
    <row r="594" spans="4:6" ht="13">
      <c r="D594" s="5"/>
      <c r="E594" s="5"/>
      <c r="F594" s="5"/>
    </row>
    <row r="595" spans="4:6" ht="13">
      <c r="D595" s="5"/>
      <c r="E595" s="5"/>
      <c r="F595" s="5"/>
    </row>
    <row r="596" spans="4:6" ht="13">
      <c r="D596" s="5"/>
      <c r="E596" s="5"/>
      <c r="F596" s="5"/>
    </row>
    <row r="597" spans="4:6" ht="13">
      <c r="D597" s="5"/>
      <c r="E597" s="5"/>
      <c r="F597" s="5"/>
    </row>
    <row r="598" spans="4:6" ht="13">
      <c r="D598" s="5"/>
      <c r="E598" s="5"/>
      <c r="F598" s="5"/>
    </row>
    <row r="599" spans="4:6" ht="13">
      <c r="D599" s="5"/>
      <c r="E599" s="5"/>
      <c r="F599" s="5"/>
    </row>
    <row r="600" spans="4:6" ht="13">
      <c r="D600" s="5"/>
      <c r="E600" s="5"/>
      <c r="F600" s="5"/>
    </row>
    <row r="601" spans="4:6" ht="13">
      <c r="D601" s="5"/>
      <c r="E601" s="5"/>
      <c r="F601" s="5"/>
    </row>
    <row r="602" spans="4:6" ht="13">
      <c r="D602" s="5"/>
      <c r="E602" s="5"/>
      <c r="F602" s="5"/>
    </row>
    <row r="603" spans="4:6" ht="13">
      <c r="D603" s="5"/>
      <c r="E603" s="5"/>
      <c r="F603" s="5"/>
    </row>
    <row r="604" spans="4:6" ht="13">
      <c r="D604" s="5"/>
      <c r="E604" s="5"/>
      <c r="F604" s="5"/>
    </row>
    <row r="605" spans="4:6" ht="13">
      <c r="D605" s="5"/>
      <c r="E605" s="5"/>
      <c r="F605" s="5"/>
    </row>
    <row r="606" spans="4:6" ht="13">
      <c r="D606" s="5"/>
      <c r="E606" s="5"/>
      <c r="F606" s="5"/>
    </row>
    <row r="607" spans="4:6" ht="13">
      <c r="D607" s="5"/>
      <c r="E607" s="5"/>
      <c r="F607" s="5"/>
    </row>
    <row r="608" spans="4:6" ht="13">
      <c r="D608" s="5"/>
      <c r="E608" s="5"/>
      <c r="F608" s="5"/>
    </row>
    <row r="609" spans="4:6" ht="13">
      <c r="D609" s="5"/>
      <c r="E609" s="5"/>
      <c r="F609" s="5"/>
    </row>
    <row r="610" spans="4:6" ht="13">
      <c r="D610" s="5"/>
      <c r="E610" s="5"/>
      <c r="F610" s="5"/>
    </row>
    <row r="611" spans="4:6" ht="13">
      <c r="D611" s="5"/>
      <c r="E611" s="5"/>
      <c r="F611" s="5"/>
    </row>
    <row r="612" spans="4:6" ht="13">
      <c r="D612" s="5"/>
      <c r="E612" s="5"/>
      <c r="F612" s="5"/>
    </row>
    <row r="613" spans="4:6" ht="13">
      <c r="D613" s="5"/>
      <c r="E613" s="5"/>
      <c r="F613" s="5"/>
    </row>
    <row r="614" spans="4:6" ht="13">
      <c r="D614" s="5"/>
      <c r="E614" s="5"/>
      <c r="F614" s="5"/>
    </row>
    <row r="615" spans="4:6" ht="13">
      <c r="D615" s="5"/>
      <c r="E615" s="5"/>
      <c r="F615" s="5"/>
    </row>
    <row r="616" spans="4:6" ht="13">
      <c r="D616" s="5"/>
      <c r="E616" s="5"/>
      <c r="F616" s="5"/>
    </row>
    <row r="617" spans="4:6" ht="13">
      <c r="D617" s="5"/>
      <c r="E617" s="5"/>
      <c r="F617" s="5"/>
    </row>
    <row r="618" spans="4:6" ht="13">
      <c r="D618" s="5"/>
      <c r="E618" s="5"/>
      <c r="F618" s="5"/>
    </row>
    <row r="619" spans="4:6" ht="13">
      <c r="D619" s="5"/>
      <c r="E619" s="5"/>
      <c r="F619" s="5"/>
    </row>
    <row r="620" spans="4:6" ht="13">
      <c r="D620" s="5"/>
      <c r="E620" s="5"/>
      <c r="F620" s="5"/>
    </row>
    <row r="621" spans="4:6" ht="13">
      <c r="D621" s="5"/>
      <c r="E621" s="5"/>
      <c r="F621" s="5"/>
    </row>
    <row r="622" spans="4:6" ht="13">
      <c r="D622" s="5"/>
      <c r="E622" s="5"/>
      <c r="F622" s="5"/>
    </row>
    <row r="623" spans="4:6" ht="13">
      <c r="D623" s="5"/>
      <c r="E623" s="5"/>
      <c r="F623" s="5"/>
    </row>
    <row r="624" spans="4:6" ht="13">
      <c r="D624" s="5"/>
      <c r="E624" s="5"/>
      <c r="F624" s="5"/>
    </row>
    <row r="625" spans="4:6" ht="13">
      <c r="D625" s="5"/>
      <c r="E625" s="5"/>
      <c r="F625" s="5"/>
    </row>
    <row r="626" spans="4:6" ht="13">
      <c r="D626" s="5"/>
      <c r="E626" s="5"/>
      <c r="F626" s="5"/>
    </row>
    <row r="627" spans="4:6" ht="13">
      <c r="D627" s="5"/>
      <c r="E627" s="5"/>
      <c r="F627" s="5"/>
    </row>
    <row r="628" spans="4:6" ht="13">
      <c r="D628" s="5"/>
      <c r="E628" s="5"/>
      <c r="F628" s="5"/>
    </row>
    <row r="629" spans="4:6" ht="13">
      <c r="D629" s="5"/>
      <c r="E629" s="5"/>
      <c r="F629" s="5"/>
    </row>
    <row r="630" spans="4:6" ht="13">
      <c r="D630" s="5"/>
      <c r="E630" s="5"/>
      <c r="F630" s="5"/>
    </row>
    <row r="631" spans="4:6" ht="13">
      <c r="D631" s="5"/>
      <c r="E631" s="5"/>
      <c r="F631" s="5"/>
    </row>
    <row r="632" spans="4:6" ht="13">
      <c r="D632" s="5"/>
      <c r="E632" s="5"/>
      <c r="F632" s="5"/>
    </row>
    <row r="633" spans="4:6" ht="13">
      <c r="D633" s="5"/>
      <c r="E633" s="5"/>
      <c r="F633" s="5"/>
    </row>
    <row r="634" spans="4:6" ht="13">
      <c r="D634" s="5"/>
      <c r="E634" s="5"/>
      <c r="F634" s="5"/>
    </row>
    <row r="635" spans="4:6" ht="13">
      <c r="D635" s="5"/>
      <c r="E635" s="5"/>
      <c r="F635" s="5"/>
    </row>
    <row r="636" spans="4:6" ht="13">
      <c r="D636" s="5"/>
      <c r="E636" s="5"/>
      <c r="F636" s="5"/>
    </row>
    <row r="637" spans="4:6" ht="13">
      <c r="D637" s="5"/>
      <c r="E637" s="5"/>
      <c r="F637" s="5"/>
    </row>
    <row r="638" spans="4:6" ht="13">
      <c r="D638" s="5"/>
      <c r="E638" s="5"/>
      <c r="F638" s="5"/>
    </row>
    <row r="639" spans="4:6" ht="13">
      <c r="D639" s="5"/>
      <c r="E639" s="5"/>
      <c r="F639" s="5"/>
    </row>
    <row r="640" spans="4:6" ht="13">
      <c r="D640" s="5"/>
      <c r="E640" s="5"/>
      <c r="F640" s="5"/>
    </row>
    <row r="641" spans="4:6" ht="13">
      <c r="D641" s="5"/>
      <c r="E641" s="5"/>
      <c r="F641" s="5"/>
    </row>
    <row r="642" spans="4:6" ht="13">
      <c r="D642" s="5"/>
      <c r="E642" s="5"/>
      <c r="F642" s="5"/>
    </row>
    <row r="643" spans="4:6" ht="13">
      <c r="D643" s="5"/>
      <c r="E643" s="5"/>
      <c r="F643" s="5"/>
    </row>
    <row r="644" spans="4:6" ht="13">
      <c r="D644" s="5"/>
      <c r="E644" s="5"/>
      <c r="F644" s="5"/>
    </row>
    <row r="645" spans="4:6" ht="13">
      <c r="D645" s="5"/>
      <c r="E645" s="5"/>
      <c r="F645" s="5"/>
    </row>
    <row r="646" spans="4:6" ht="13">
      <c r="D646" s="5"/>
      <c r="E646" s="5"/>
      <c r="F646" s="5"/>
    </row>
    <row r="647" spans="4:6" ht="13">
      <c r="D647" s="5"/>
      <c r="E647" s="5"/>
      <c r="F647" s="5"/>
    </row>
    <row r="648" spans="4:6" ht="13">
      <c r="D648" s="5"/>
      <c r="E648" s="5"/>
      <c r="F648" s="5"/>
    </row>
    <row r="649" spans="4:6" ht="13">
      <c r="D649" s="5"/>
      <c r="E649" s="5"/>
      <c r="F649" s="5"/>
    </row>
    <row r="650" spans="4:6" ht="13">
      <c r="D650" s="5"/>
      <c r="E650" s="5"/>
      <c r="F650" s="5"/>
    </row>
    <row r="651" spans="4:6" ht="13">
      <c r="D651" s="5"/>
      <c r="E651" s="5"/>
      <c r="F651" s="5"/>
    </row>
    <row r="652" spans="4:6" ht="13">
      <c r="D652" s="5"/>
      <c r="E652" s="5"/>
      <c r="F652" s="5"/>
    </row>
    <row r="653" spans="4:6" ht="13">
      <c r="D653" s="5"/>
      <c r="E653" s="5"/>
      <c r="F653" s="5"/>
    </row>
    <row r="654" spans="4:6" ht="13">
      <c r="D654" s="5"/>
      <c r="E654" s="5"/>
      <c r="F654" s="5"/>
    </row>
    <row r="655" spans="4:6" ht="13">
      <c r="D655" s="5"/>
      <c r="E655" s="5"/>
      <c r="F655" s="5"/>
    </row>
    <row r="656" spans="4:6" ht="13">
      <c r="D656" s="5"/>
      <c r="E656" s="5"/>
      <c r="F656" s="5"/>
    </row>
    <row r="657" spans="4:6" ht="13">
      <c r="D657" s="5"/>
      <c r="E657" s="5"/>
      <c r="F657" s="5"/>
    </row>
    <row r="658" spans="4:6" ht="13">
      <c r="D658" s="5"/>
      <c r="E658" s="5"/>
      <c r="F658" s="5"/>
    </row>
    <row r="659" spans="4:6" ht="13">
      <c r="D659" s="5"/>
      <c r="E659" s="5"/>
      <c r="F659" s="5"/>
    </row>
    <row r="660" spans="4:6" ht="13">
      <c r="D660" s="5"/>
      <c r="E660" s="5"/>
      <c r="F660" s="5"/>
    </row>
    <row r="661" spans="4:6" ht="13">
      <c r="D661" s="5"/>
      <c r="E661" s="5"/>
      <c r="F661" s="5"/>
    </row>
    <row r="662" spans="4:6" ht="13">
      <c r="D662" s="5"/>
      <c r="E662" s="5"/>
      <c r="F662" s="5"/>
    </row>
    <row r="663" spans="4:6" ht="13">
      <c r="D663" s="5"/>
      <c r="E663" s="5"/>
      <c r="F663" s="5"/>
    </row>
    <row r="664" spans="4:6" ht="13">
      <c r="D664" s="5"/>
      <c r="E664" s="5"/>
      <c r="F664" s="5"/>
    </row>
    <row r="665" spans="4:6" ht="13">
      <c r="D665" s="5"/>
      <c r="E665" s="5"/>
      <c r="F665" s="5"/>
    </row>
    <row r="666" spans="4:6" ht="13">
      <c r="D666" s="5"/>
      <c r="E666" s="5"/>
      <c r="F666" s="5"/>
    </row>
    <row r="667" spans="4:6" ht="13">
      <c r="D667" s="5"/>
      <c r="E667" s="5"/>
      <c r="F667" s="5"/>
    </row>
    <row r="668" spans="4:6" ht="13">
      <c r="D668" s="5"/>
      <c r="E668" s="5"/>
      <c r="F668" s="5"/>
    </row>
    <row r="669" spans="4:6" ht="13">
      <c r="D669" s="5"/>
      <c r="E669" s="5"/>
      <c r="F669" s="5"/>
    </row>
    <row r="670" spans="4:6" ht="13">
      <c r="D670" s="5"/>
      <c r="E670" s="5"/>
      <c r="F670" s="5"/>
    </row>
    <row r="671" spans="4:6" ht="13">
      <c r="D671" s="5"/>
      <c r="E671" s="5"/>
      <c r="F671" s="5"/>
    </row>
    <row r="672" spans="4:6" ht="13">
      <c r="D672" s="5"/>
      <c r="E672" s="5"/>
      <c r="F672" s="5"/>
    </row>
    <row r="673" spans="4:6" ht="13">
      <c r="D673" s="5"/>
      <c r="E673" s="5"/>
      <c r="F673" s="5"/>
    </row>
    <row r="674" spans="4:6" ht="13">
      <c r="D674" s="5"/>
      <c r="E674" s="5"/>
      <c r="F674" s="5"/>
    </row>
    <row r="675" spans="4:6" ht="13">
      <c r="D675" s="5"/>
      <c r="E675" s="5"/>
      <c r="F675" s="5"/>
    </row>
    <row r="676" spans="4:6" ht="13">
      <c r="D676" s="5"/>
      <c r="E676" s="5"/>
      <c r="F676" s="5"/>
    </row>
    <row r="677" spans="4:6" ht="13">
      <c r="D677" s="5"/>
      <c r="E677" s="5"/>
      <c r="F677" s="5"/>
    </row>
    <row r="678" spans="4:6" ht="13">
      <c r="D678" s="5"/>
      <c r="E678" s="5"/>
      <c r="F678" s="5"/>
    </row>
    <row r="679" spans="4:6" ht="13">
      <c r="D679" s="5"/>
      <c r="E679" s="5"/>
      <c r="F679" s="5"/>
    </row>
    <row r="680" spans="4:6" ht="13">
      <c r="D680" s="5"/>
      <c r="E680" s="5"/>
      <c r="F680" s="5"/>
    </row>
    <row r="681" spans="4:6" ht="13">
      <c r="D681" s="5"/>
      <c r="E681" s="5"/>
      <c r="F681" s="5"/>
    </row>
    <row r="682" spans="4:6" ht="13">
      <c r="D682" s="5"/>
      <c r="E682" s="5"/>
      <c r="F682" s="5"/>
    </row>
    <row r="683" spans="4:6" ht="13">
      <c r="D683" s="5"/>
      <c r="E683" s="5"/>
      <c r="F683" s="5"/>
    </row>
    <row r="684" spans="4:6" ht="13">
      <c r="D684" s="5"/>
      <c r="E684" s="5"/>
      <c r="F684" s="5"/>
    </row>
    <row r="685" spans="4:6" ht="13">
      <c r="D685" s="5"/>
      <c r="E685" s="5"/>
      <c r="F685" s="5"/>
    </row>
    <row r="686" spans="4:6" ht="13">
      <c r="D686" s="5"/>
      <c r="E686" s="5"/>
      <c r="F686" s="5"/>
    </row>
    <row r="687" spans="4:6" ht="13">
      <c r="D687" s="5"/>
      <c r="E687" s="5"/>
      <c r="F687" s="5"/>
    </row>
    <row r="688" spans="4:6" ht="13">
      <c r="D688" s="5"/>
      <c r="E688" s="5"/>
      <c r="F688" s="5"/>
    </row>
    <row r="689" spans="4:6" ht="13">
      <c r="D689" s="5"/>
      <c r="E689" s="5"/>
      <c r="F689" s="5"/>
    </row>
    <row r="690" spans="4:6" ht="13">
      <c r="D690" s="5"/>
      <c r="E690" s="5"/>
      <c r="F690" s="5"/>
    </row>
    <row r="691" spans="4:6" ht="13">
      <c r="D691" s="5"/>
      <c r="E691" s="5"/>
      <c r="F691" s="5"/>
    </row>
    <row r="692" spans="4:6" ht="13">
      <c r="D692" s="5"/>
      <c r="E692" s="5"/>
      <c r="F692" s="5"/>
    </row>
    <row r="693" spans="4:6" ht="13">
      <c r="D693" s="5"/>
      <c r="E693" s="5"/>
      <c r="F693" s="5"/>
    </row>
    <row r="694" spans="4:6" ht="13">
      <c r="D694" s="5"/>
      <c r="E694" s="5"/>
      <c r="F694" s="5"/>
    </row>
    <row r="695" spans="4:6" ht="13">
      <c r="D695" s="5"/>
      <c r="E695" s="5"/>
      <c r="F695" s="5"/>
    </row>
    <row r="696" spans="4:6" ht="13">
      <c r="D696" s="5"/>
      <c r="E696" s="5"/>
      <c r="F696" s="5"/>
    </row>
    <row r="697" spans="4:6" ht="13">
      <c r="D697" s="5"/>
      <c r="E697" s="5"/>
      <c r="F697" s="5"/>
    </row>
    <row r="698" spans="4:6" ht="13">
      <c r="D698" s="5"/>
      <c r="E698" s="5"/>
      <c r="F698" s="5"/>
    </row>
    <row r="699" spans="4:6" ht="13">
      <c r="D699" s="5"/>
      <c r="E699" s="5"/>
      <c r="F699" s="5"/>
    </row>
    <row r="700" spans="4:6" ht="13">
      <c r="D700" s="5"/>
      <c r="E700" s="5"/>
      <c r="F700" s="5"/>
    </row>
    <row r="701" spans="4:6" ht="13">
      <c r="D701" s="5"/>
      <c r="E701" s="5"/>
      <c r="F701" s="5"/>
    </row>
    <row r="702" spans="4:6" ht="13">
      <c r="D702" s="5"/>
      <c r="E702" s="5"/>
      <c r="F702" s="5"/>
    </row>
    <row r="703" spans="4:6" ht="13">
      <c r="D703" s="5"/>
      <c r="E703" s="5"/>
      <c r="F703" s="5"/>
    </row>
    <row r="704" spans="4:6" ht="13">
      <c r="D704" s="5"/>
      <c r="E704" s="5"/>
      <c r="F704" s="5"/>
    </row>
    <row r="705" spans="4:6" ht="13">
      <c r="D705" s="5"/>
      <c r="E705" s="5"/>
      <c r="F705" s="5"/>
    </row>
    <row r="706" spans="4:6" ht="13">
      <c r="D706" s="5"/>
      <c r="E706" s="5"/>
      <c r="F706" s="5"/>
    </row>
    <row r="707" spans="4:6" ht="13">
      <c r="D707" s="5"/>
      <c r="E707" s="5"/>
      <c r="F707" s="5"/>
    </row>
    <row r="708" spans="4:6" ht="13">
      <c r="D708" s="5"/>
      <c r="E708" s="5"/>
      <c r="F708" s="5"/>
    </row>
    <row r="709" spans="4:6" ht="13">
      <c r="D709" s="5"/>
      <c r="E709" s="5"/>
      <c r="F709" s="5"/>
    </row>
    <row r="710" spans="4:6" ht="13">
      <c r="D710" s="5"/>
      <c r="E710" s="5"/>
      <c r="F710" s="5"/>
    </row>
    <row r="711" spans="4:6" ht="13">
      <c r="D711" s="5"/>
      <c r="E711" s="5"/>
      <c r="F711" s="5"/>
    </row>
    <row r="712" spans="4:6" ht="13">
      <c r="D712" s="5"/>
      <c r="E712" s="5"/>
      <c r="F712" s="5"/>
    </row>
    <row r="713" spans="4:6" ht="13">
      <c r="D713" s="5"/>
      <c r="E713" s="5"/>
      <c r="F713" s="5"/>
    </row>
    <row r="714" spans="4:6" ht="13">
      <c r="D714" s="5"/>
      <c r="E714" s="5"/>
      <c r="F714" s="5"/>
    </row>
    <row r="715" spans="4:6" ht="13">
      <c r="D715" s="5"/>
      <c r="E715" s="5"/>
      <c r="F715" s="5"/>
    </row>
    <row r="716" spans="4:6" ht="13">
      <c r="D716" s="5"/>
      <c r="E716" s="5"/>
      <c r="F716" s="5"/>
    </row>
    <row r="717" spans="4:6" ht="13">
      <c r="D717" s="5"/>
      <c r="E717" s="5"/>
      <c r="F717" s="5"/>
    </row>
    <row r="718" spans="4:6" ht="13">
      <c r="D718" s="5"/>
      <c r="E718" s="5"/>
      <c r="F718" s="5"/>
    </row>
    <row r="719" spans="4:6" ht="13">
      <c r="D719" s="5"/>
      <c r="E719" s="5"/>
      <c r="F719" s="5"/>
    </row>
    <row r="720" spans="4:6" ht="13">
      <c r="D720" s="5"/>
      <c r="E720" s="5"/>
      <c r="F720" s="5"/>
    </row>
    <row r="721" spans="4:6" ht="13">
      <c r="D721" s="5"/>
      <c r="E721" s="5"/>
      <c r="F721" s="5"/>
    </row>
    <row r="722" spans="4:6" ht="13">
      <c r="D722" s="5"/>
      <c r="E722" s="5"/>
      <c r="F722" s="5"/>
    </row>
    <row r="723" spans="4:6" ht="13">
      <c r="D723" s="5"/>
      <c r="E723" s="5"/>
      <c r="F723" s="5"/>
    </row>
    <row r="724" spans="4:6" ht="13">
      <c r="D724" s="5"/>
      <c r="E724" s="5"/>
      <c r="F724" s="5"/>
    </row>
    <row r="725" spans="4:6" ht="13">
      <c r="D725" s="5"/>
      <c r="E725" s="5"/>
      <c r="F725" s="5"/>
    </row>
    <row r="726" spans="4:6" ht="13">
      <c r="D726" s="5"/>
      <c r="E726" s="5"/>
      <c r="F726" s="5"/>
    </row>
    <row r="727" spans="4:6" ht="13">
      <c r="D727" s="5"/>
      <c r="E727" s="5"/>
      <c r="F727" s="5"/>
    </row>
    <row r="728" spans="4:6" ht="13">
      <c r="D728" s="5"/>
      <c r="E728" s="5"/>
      <c r="F728" s="5"/>
    </row>
    <row r="729" spans="4:6" ht="13">
      <c r="D729" s="5"/>
      <c r="E729" s="5"/>
      <c r="F729" s="5"/>
    </row>
    <row r="730" spans="4:6" ht="13">
      <c r="D730" s="5"/>
      <c r="E730" s="5"/>
      <c r="F730" s="5"/>
    </row>
    <row r="731" spans="4:6" ht="13">
      <c r="D731" s="5"/>
      <c r="E731" s="5"/>
      <c r="F731" s="5"/>
    </row>
    <row r="732" spans="4:6" ht="13">
      <c r="D732" s="5"/>
      <c r="E732" s="5"/>
      <c r="F732" s="5"/>
    </row>
    <row r="733" spans="4:6" ht="13">
      <c r="D733" s="5"/>
      <c r="E733" s="5"/>
      <c r="F733" s="5"/>
    </row>
    <row r="734" spans="4:6" ht="13">
      <c r="D734" s="5"/>
      <c r="E734" s="5"/>
      <c r="F734" s="5"/>
    </row>
    <row r="735" spans="4:6" ht="13">
      <c r="D735" s="5"/>
      <c r="E735" s="5"/>
      <c r="F735" s="5"/>
    </row>
    <row r="736" spans="4:6" ht="13">
      <c r="D736" s="5"/>
      <c r="E736" s="5"/>
      <c r="F736" s="5"/>
    </row>
    <row r="737" spans="4:6" ht="13">
      <c r="D737" s="5"/>
      <c r="E737" s="5"/>
      <c r="F737" s="5"/>
    </row>
    <row r="738" spans="4:6" ht="13">
      <c r="D738" s="5"/>
      <c r="E738" s="5"/>
      <c r="F738" s="5"/>
    </row>
    <row r="739" spans="4:6" ht="13">
      <c r="D739" s="5"/>
      <c r="E739" s="5"/>
      <c r="F739" s="5"/>
    </row>
    <row r="740" spans="4:6" ht="13">
      <c r="D740" s="5"/>
      <c r="E740" s="5"/>
      <c r="F740" s="5"/>
    </row>
    <row r="741" spans="4:6" ht="13">
      <c r="D741" s="5"/>
      <c r="E741" s="5"/>
      <c r="F741" s="5"/>
    </row>
    <row r="742" spans="4:6" ht="13">
      <c r="D742" s="5"/>
      <c r="E742" s="5"/>
      <c r="F742" s="5"/>
    </row>
    <row r="743" spans="4:6" ht="13">
      <c r="D743" s="5"/>
      <c r="E743" s="5"/>
      <c r="F743" s="5"/>
    </row>
    <row r="744" spans="4:6" ht="13">
      <c r="D744" s="5"/>
      <c r="E744" s="5"/>
      <c r="F744" s="5"/>
    </row>
    <row r="745" spans="4:6" ht="13">
      <c r="D745" s="5"/>
      <c r="E745" s="5"/>
      <c r="F745" s="5"/>
    </row>
    <row r="746" spans="4:6" ht="13">
      <c r="D746" s="5"/>
      <c r="E746" s="5"/>
      <c r="F746" s="5"/>
    </row>
    <row r="747" spans="4:6" ht="13">
      <c r="D747" s="5"/>
      <c r="E747" s="5"/>
      <c r="F747" s="5"/>
    </row>
    <row r="748" spans="4:6" ht="13">
      <c r="D748" s="5"/>
      <c r="E748" s="5"/>
      <c r="F748" s="5"/>
    </row>
    <row r="749" spans="4:6" ht="13">
      <c r="D749" s="5"/>
      <c r="E749" s="5"/>
      <c r="F749" s="5"/>
    </row>
    <row r="750" spans="4:6" ht="13">
      <c r="D750" s="5"/>
      <c r="E750" s="5"/>
      <c r="F750" s="5"/>
    </row>
    <row r="751" spans="4:6" ht="13">
      <c r="D751" s="5"/>
      <c r="E751" s="5"/>
      <c r="F751" s="5"/>
    </row>
    <row r="752" spans="4:6" ht="13">
      <c r="D752" s="5"/>
      <c r="E752" s="5"/>
      <c r="F752" s="5"/>
    </row>
    <row r="753" spans="4:6" ht="13">
      <c r="D753" s="5"/>
      <c r="E753" s="5"/>
      <c r="F753" s="5"/>
    </row>
    <row r="754" spans="4:6" ht="13">
      <c r="D754" s="5"/>
      <c r="E754" s="5"/>
      <c r="F754" s="5"/>
    </row>
    <row r="755" spans="4:6" ht="13">
      <c r="D755" s="5"/>
      <c r="E755" s="5"/>
      <c r="F755" s="5"/>
    </row>
    <row r="756" spans="4:6" ht="13">
      <c r="D756" s="5"/>
      <c r="E756" s="5"/>
      <c r="F756" s="5"/>
    </row>
    <row r="757" spans="4:6" ht="13">
      <c r="D757" s="5"/>
      <c r="E757" s="5"/>
      <c r="F757" s="5"/>
    </row>
    <row r="758" spans="4:6" ht="13">
      <c r="D758" s="5"/>
      <c r="E758" s="5"/>
      <c r="F758" s="5"/>
    </row>
    <row r="759" spans="4:6" ht="13">
      <c r="D759" s="5"/>
      <c r="E759" s="5"/>
      <c r="F759" s="5"/>
    </row>
    <row r="760" spans="4:6" ht="13">
      <c r="D760" s="5"/>
      <c r="E760" s="5"/>
      <c r="F760" s="5"/>
    </row>
    <row r="761" spans="4:6" ht="13">
      <c r="D761" s="5"/>
      <c r="E761" s="5"/>
      <c r="F761" s="5"/>
    </row>
    <row r="762" spans="4:6" ht="13">
      <c r="D762" s="5"/>
      <c r="E762" s="5"/>
      <c r="F762" s="5"/>
    </row>
    <row r="763" spans="4:6" ht="13">
      <c r="D763" s="5"/>
      <c r="E763" s="5"/>
      <c r="F763" s="5"/>
    </row>
    <row r="764" spans="4:6" ht="13">
      <c r="D764" s="5"/>
      <c r="E764" s="5"/>
      <c r="F764" s="5"/>
    </row>
    <row r="765" spans="4:6" ht="13">
      <c r="D765" s="5"/>
      <c r="E765" s="5"/>
      <c r="F765" s="5"/>
    </row>
    <row r="766" spans="4:6" ht="13">
      <c r="D766" s="5"/>
      <c r="E766" s="5"/>
      <c r="F766" s="5"/>
    </row>
    <row r="767" spans="4:6" ht="13">
      <c r="D767" s="5"/>
      <c r="E767" s="5"/>
      <c r="F767" s="5"/>
    </row>
    <row r="768" spans="4:6" ht="13">
      <c r="D768" s="5"/>
      <c r="E768" s="5"/>
      <c r="F768" s="5"/>
    </row>
    <row r="769" spans="4:6" ht="13">
      <c r="D769" s="5"/>
      <c r="E769" s="5"/>
      <c r="F769" s="5"/>
    </row>
    <row r="770" spans="4:6" ht="13">
      <c r="D770" s="5"/>
      <c r="E770" s="5"/>
      <c r="F770" s="5"/>
    </row>
    <row r="771" spans="4:6" ht="13">
      <c r="D771" s="5"/>
      <c r="E771" s="5"/>
      <c r="F771" s="5"/>
    </row>
    <row r="772" spans="4:6" ht="13">
      <c r="D772" s="5"/>
      <c r="E772" s="5"/>
      <c r="F772" s="5"/>
    </row>
    <row r="773" spans="4:6" ht="13">
      <c r="D773" s="5"/>
      <c r="E773" s="5"/>
      <c r="F773" s="5"/>
    </row>
    <row r="774" spans="4:6" ht="13">
      <c r="D774" s="5"/>
      <c r="E774" s="5"/>
      <c r="F774" s="5"/>
    </row>
    <row r="775" spans="4:6" ht="13">
      <c r="D775" s="5"/>
      <c r="E775" s="5"/>
      <c r="F775" s="5"/>
    </row>
    <row r="776" spans="4:6" ht="13">
      <c r="D776" s="5"/>
      <c r="E776" s="5"/>
      <c r="F776" s="5"/>
    </row>
    <row r="777" spans="4:6" ht="13">
      <c r="D777" s="5"/>
      <c r="E777" s="5"/>
      <c r="F777" s="5"/>
    </row>
    <row r="778" spans="4:6" ht="13">
      <c r="D778" s="5"/>
      <c r="E778" s="5"/>
      <c r="F778" s="5"/>
    </row>
    <row r="779" spans="4:6" ht="13">
      <c r="D779" s="5"/>
      <c r="E779" s="5"/>
      <c r="F779" s="5"/>
    </row>
    <row r="780" spans="4:6" ht="13">
      <c r="D780" s="5"/>
      <c r="E780" s="5"/>
      <c r="F780" s="5"/>
    </row>
    <row r="781" spans="4:6" ht="13">
      <c r="D781" s="5"/>
      <c r="E781" s="5"/>
      <c r="F781" s="5"/>
    </row>
    <row r="782" spans="4:6" ht="13">
      <c r="D782" s="5"/>
      <c r="E782" s="5"/>
      <c r="F782" s="5"/>
    </row>
    <row r="783" spans="4:6" ht="13">
      <c r="D783" s="5"/>
      <c r="E783" s="5"/>
      <c r="F783" s="5"/>
    </row>
    <row r="784" spans="4:6" ht="13">
      <c r="D784" s="5"/>
      <c r="E784" s="5"/>
      <c r="F784" s="5"/>
    </row>
    <row r="785" spans="4:6" ht="13">
      <c r="D785" s="5"/>
      <c r="E785" s="5"/>
      <c r="F785" s="5"/>
    </row>
    <row r="786" spans="4:6" ht="13">
      <c r="D786" s="5"/>
      <c r="E786" s="5"/>
      <c r="F786" s="5"/>
    </row>
    <row r="787" spans="4:6" ht="13">
      <c r="D787" s="5"/>
      <c r="E787" s="5"/>
      <c r="F787" s="5"/>
    </row>
    <row r="788" spans="4:6" ht="13">
      <c r="D788" s="5"/>
      <c r="E788" s="5"/>
      <c r="F788" s="5"/>
    </row>
    <row r="789" spans="4:6" ht="13">
      <c r="D789" s="5"/>
      <c r="E789" s="5"/>
      <c r="F789" s="5"/>
    </row>
    <row r="790" spans="4:6" ht="13">
      <c r="D790" s="5"/>
      <c r="E790" s="5"/>
      <c r="F790" s="5"/>
    </row>
    <row r="791" spans="4:6" ht="13">
      <c r="D791" s="5"/>
      <c r="E791" s="5"/>
      <c r="F791" s="5"/>
    </row>
    <row r="792" spans="4:6" ht="13">
      <c r="D792" s="5"/>
      <c r="E792" s="5"/>
      <c r="F792" s="5"/>
    </row>
    <row r="793" spans="4:6" ht="13">
      <c r="D793" s="5"/>
      <c r="E793" s="5"/>
      <c r="F793" s="5"/>
    </row>
    <row r="794" spans="4:6" ht="13">
      <c r="D794" s="5"/>
      <c r="E794" s="5"/>
      <c r="F794" s="5"/>
    </row>
    <row r="795" spans="4:6" ht="13">
      <c r="D795" s="5"/>
      <c r="E795" s="5"/>
      <c r="F795" s="5"/>
    </row>
    <row r="796" spans="4:6" ht="13">
      <c r="D796" s="5"/>
      <c r="E796" s="5"/>
      <c r="F796" s="5"/>
    </row>
    <row r="797" spans="4:6" ht="13">
      <c r="D797" s="5"/>
      <c r="E797" s="5"/>
      <c r="F797" s="5"/>
    </row>
    <row r="798" spans="4:6" ht="13">
      <c r="D798" s="5"/>
      <c r="E798" s="5"/>
      <c r="F798" s="5"/>
    </row>
    <row r="799" spans="4:6" ht="13">
      <c r="D799" s="5"/>
      <c r="E799" s="5"/>
      <c r="F799" s="5"/>
    </row>
    <row r="800" spans="4:6" ht="13">
      <c r="D800" s="5"/>
      <c r="E800" s="5"/>
      <c r="F800" s="5"/>
    </row>
    <row r="801" spans="4:6" ht="13">
      <c r="D801" s="5"/>
      <c r="E801" s="5"/>
      <c r="F801" s="5"/>
    </row>
    <row r="802" spans="4:6" ht="13">
      <c r="D802" s="5"/>
      <c r="E802" s="5"/>
      <c r="F802" s="5"/>
    </row>
    <row r="803" spans="4:6" ht="13">
      <c r="D803" s="5"/>
      <c r="E803" s="5"/>
      <c r="F803" s="5"/>
    </row>
    <row r="804" spans="4:6" ht="13">
      <c r="D804" s="5"/>
      <c r="E804" s="5"/>
      <c r="F804" s="5"/>
    </row>
    <row r="805" spans="4:6" ht="13">
      <c r="D805" s="5"/>
      <c r="E805" s="5"/>
      <c r="F805" s="5"/>
    </row>
    <row r="806" spans="4:6" ht="13">
      <c r="D806" s="5"/>
      <c r="E806" s="5"/>
      <c r="F806" s="5"/>
    </row>
    <row r="807" spans="4:6" ht="13">
      <c r="D807" s="5"/>
      <c r="E807" s="5"/>
      <c r="F807" s="5"/>
    </row>
    <row r="808" spans="4:6" ht="13">
      <c r="D808" s="5"/>
      <c r="E808" s="5"/>
      <c r="F808" s="5"/>
    </row>
    <row r="809" spans="4:6" ht="13">
      <c r="D809" s="5"/>
      <c r="E809" s="5"/>
      <c r="F809" s="5"/>
    </row>
    <row r="810" spans="4:6" ht="13">
      <c r="D810" s="5"/>
      <c r="E810" s="5"/>
      <c r="F810" s="5"/>
    </row>
    <row r="811" spans="4:6" ht="13">
      <c r="D811" s="5"/>
      <c r="E811" s="5"/>
      <c r="F811" s="5"/>
    </row>
    <row r="812" spans="4:6" ht="13">
      <c r="D812" s="5"/>
      <c r="E812" s="5"/>
      <c r="F812" s="5"/>
    </row>
    <row r="813" spans="4:6" ht="13">
      <c r="D813" s="5"/>
      <c r="E813" s="5"/>
      <c r="F813" s="5"/>
    </row>
    <row r="814" spans="4:6" ht="13">
      <c r="D814" s="5"/>
      <c r="E814" s="5"/>
      <c r="F814" s="5"/>
    </row>
    <row r="815" spans="4:6" ht="13">
      <c r="D815" s="5"/>
      <c r="E815" s="5"/>
      <c r="F815" s="5"/>
    </row>
    <row r="816" spans="4:6" ht="13">
      <c r="D816" s="5"/>
      <c r="E816" s="5"/>
      <c r="F816" s="5"/>
    </row>
    <row r="817" spans="4:6" ht="13">
      <c r="D817" s="5"/>
      <c r="E817" s="5"/>
      <c r="F817" s="5"/>
    </row>
    <row r="818" spans="4:6" ht="13">
      <c r="D818" s="5"/>
      <c r="E818" s="5"/>
      <c r="F818" s="5"/>
    </row>
    <row r="819" spans="4:6" ht="13">
      <c r="D819" s="5"/>
      <c r="E819" s="5"/>
      <c r="F819" s="5"/>
    </row>
    <row r="820" spans="4:6" ht="13">
      <c r="D820" s="5"/>
      <c r="E820" s="5"/>
      <c r="F820" s="5"/>
    </row>
    <row r="821" spans="4:6" ht="13">
      <c r="D821" s="5"/>
      <c r="E821" s="5"/>
      <c r="F821" s="5"/>
    </row>
    <row r="822" spans="4:6" ht="13">
      <c r="D822" s="5"/>
      <c r="E822" s="5"/>
      <c r="F822" s="5"/>
    </row>
    <row r="823" spans="4:6" ht="13">
      <c r="D823" s="5"/>
      <c r="E823" s="5"/>
      <c r="F823" s="5"/>
    </row>
    <row r="824" spans="4:6" ht="13">
      <c r="D824" s="5"/>
      <c r="E824" s="5"/>
      <c r="F824" s="5"/>
    </row>
    <row r="825" spans="4:6" ht="13">
      <c r="D825" s="5"/>
      <c r="E825" s="5"/>
      <c r="F825" s="5"/>
    </row>
    <row r="826" spans="4:6" ht="13">
      <c r="D826" s="5"/>
      <c r="E826" s="5"/>
      <c r="F826" s="5"/>
    </row>
    <row r="827" spans="4:6" ht="13">
      <c r="D827" s="5"/>
      <c r="E827" s="5"/>
      <c r="F827" s="5"/>
    </row>
    <row r="828" spans="4:6" ht="13">
      <c r="D828" s="5"/>
      <c r="E828" s="5"/>
      <c r="F828" s="5"/>
    </row>
    <row r="829" spans="4:6" ht="13">
      <c r="D829" s="5"/>
      <c r="E829" s="5"/>
      <c r="F829" s="5"/>
    </row>
    <row r="830" spans="4:6" ht="13">
      <c r="D830" s="5"/>
      <c r="E830" s="5"/>
      <c r="F830" s="5"/>
    </row>
    <row r="831" spans="4:6" ht="13">
      <c r="D831" s="5"/>
      <c r="E831" s="5"/>
      <c r="F831" s="5"/>
    </row>
    <row r="832" spans="4:6" ht="13">
      <c r="D832" s="5"/>
      <c r="E832" s="5"/>
      <c r="F832" s="5"/>
    </row>
    <row r="833" spans="4:6" ht="13">
      <c r="D833" s="5"/>
      <c r="E833" s="5"/>
      <c r="F833" s="5"/>
    </row>
    <row r="834" spans="4:6" ht="13">
      <c r="D834" s="5"/>
      <c r="E834" s="5"/>
      <c r="F834" s="5"/>
    </row>
    <row r="835" spans="4:6" ht="13">
      <c r="D835" s="5"/>
      <c r="E835" s="5"/>
      <c r="F835" s="5"/>
    </row>
    <row r="836" spans="4:6" ht="13">
      <c r="D836" s="5"/>
      <c r="E836" s="5"/>
      <c r="F836" s="5"/>
    </row>
    <row r="837" spans="4:6" ht="13">
      <c r="D837" s="5"/>
      <c r="E837" s="5"/>
      <c r="F837" s="5"/>
    </row>
    <row r="838" spans="4:6" ht="13">
      <c r="D838" s="5"/>
      <c r="E838" s="5"/>
      <c r="F838" s="5"/>
    </row>
    <row r="839" spans="4:6" ht="13">
      <c r="D839" s="5"/>
      <c r="E839" s="5"/>
      <c r="F839" s="5"/>
    </row>
    <row r="840" spans="4:6" ht="13">
      <c r="D840" s="5"/>
      <c r="E840" s="5"/>
      <c r="F840" s="5"/>
    </row>
    <row r="841" spans="4:6" ht="13">
      <c r="D841" s="5"/>
      <c r="E841" s="5"/>
      <c r="F841" s="5"/>
    </row>
    <row r="842" spans="4:6" ht="13">
      <c r="D842" s="5"/>
      <c r="E842" s="5"/>
      <c r="F842" s="5"/>
    </row>
    <row r="843" spans="4:6" ht="13">
      <c r="D843" s="5"/>
      <c r="E843" s="5"/>
      <c r="F843" s="5"/>
    </row>
    <row r="844" spans="4:6" ht="13">
      <c r="D844" s="5"/>
      <c r="E844" s="5"/>
      <c r="F844" s="5"/>
    </row>
    <row r="845" spans="4:6" ht="13">
      <c r="D845" s="5"/>
      <c r="E845" s="5"/>
      <c r="F845" s="5"/>
    </row>
    <row r="846" spans="4:6" ht="13">
      <c r="D846" s="5"/>
      <c r="E846" s="5"/>
      <c r="F846" s="5"/>
    </row>
    <row r="847" spans="4:6" ht="13">
      <c r="D847" s="5"/>
      <c r="E847" s="5"/>
      <c r="F847" s="5"/>
    </row>
    <row r="848" spans="4:6" ht="13">
      <c r="D848" s="5"/>
      <c r="E848" s="5"/>
      <c r="F848" s="5"/>
    </row>
    <row r="849" spans="4:6" ht="13">
      <c r="D849" s="5"/>
      <c r="E849" s="5"/>
      <c r="F849" s="5"/>
    </row>
    <row r="850" spans="4:6" ht="13">
      <c r="D850" s="5"/>
      <c r="E850" s="5"/>
      <c r="F850" s="5"/>
    </row>
    <row r="851" spans="4:6" ht="13">
      <c r="D851" s="5"/>
      <c r="E851" s="5"/>
      <c r="F851" s="5"/>
    </row>
    <row r="852" spans="4:6" ht="13">
      <c r="D852" s="5"/>
      <c r="E852" s="5"/>
      <c r="F852" s="5"/>
    </row>
    <row r="853" spans="4:6" ht="13">
      <c r="D853" s="5"/>
      <c r="E853" s="5"/>
      <c r="F853" s="5"/>
    </row>
    <row r="854" spans="4:6" ht="13">
      <c r="D854" s="5"/>
      <c r="E854" s="5"/>
      <c r="F854" s="5"/>
    </row>
    <row r="855" spans="4:6" ht="13">
      <c r="D855" s="5"/>
      <c r="E855" s="5"/>
      <c r="F855" s="5"/>
    </row>
    <row r="856" spans="4:6" ht="13">
      <c r="D856" s="5"/>
      <c r="E856" s="5"/>
      <c r="F856" s="5"/>
    </row>
    <row r="857" spans="4:6" ht="13">
      <c r="D857" s="5"/>
      <c r="E857" s="5"/>
      <c r="F857" s="5"/>
    </row>
    <row r="858" spans="4:6" ht="13">
      <c r="D858" s="5"/>
      <c r="E858" s="5"/>
      <c r="F858" s="5"/>
    </row>
    <row r="859" spans="4:6" ht="13">
      <c r="D859" s="5"/>
      <c r="E859" s="5"/>
      <c r="F859" s="5"/>
    </row>
    <row r="860" spans="4:6" ht="13">
      <c r="D860" s="5"/>
      <c r="E860" s="5"/>
      <c r="F860" s="5"/>
    </row>
    <row r="861" spans="4:6" ht="13">
      <c r="D861" s="5"/>
      <c r="E861" s="5"/>
      <c r="F861" s="5"/>
    </row>
    <row r="862" spans="4:6" ht="13">
      <c r="D862" s="5"/>
      <c r="E862" s="5"/>
      <c r="F862" s="5"/>
    </row>
    <row r="863" spans="4:6" ht="13">
      <c r="D863" s="5"/>
      <c r="E863" s="5"/>
      <c r="F863" s="5"/>
    </row>
    <row r="864" spans="4:6" ht="13">
      <c r="D864" s="5"/>
      <c r="E864" s="5"/>
      <c r="F864" s="5"/>
    </row>
    <row r="865" spans="4:6" ht="13">
      <c r="D865" s="5"/>
      <c r="E865" s="5"/>
      <c r="F865" s="5"/>
    </row>
    <row r="866" spans="4:6" ht="13">
      <c r="D866" s="5"/>
      <c r="E866" s="5"/>
      <c r="F866" s="5"/>
    </row>
    <row r="867" spans="4:6" ht="13">
      <c r="D867" s="5"/>
      <c r="E867" s="5"/>
      <c r="F867" s="5"/>
    </row>
    <row r="868" spans="4:6" ht="13">
      <c r="D868" s="5"/>
      <c r="E868" s="5"/>
      <c r="F868" s="5"/>
    </row>
    <row r="869" spans="4:6" ht="13">
      <c r="D869" s="5"/>
      <c r="E869" s="5"/>
      <c r="F869" s="5"/>
    </row>
    <row r="870" spans="4:6" ht="13">
      <c r="D870" s="5"/>
      <c r="E870" s="5"/>
      <c r="F870" s="5"/>
    </row>
    <row r="871" spans="4:6" ht="13">
      <c r="D871" s="5"/>
      <c r="E871" s="5"/>
      <c r="F871" s="5"/>
    </row>
    <row r="872" spans="4:6" ht="13">
      <c r="D872" s="5"/>
      <c r="E872" s="5"/>
      <c r="F872" s="5"/>
    </row>
    <row r="873" spans="4:6" ht="13">
      <c r="D873" s="5"/>
      <c r="E873" s="5"/>
      <c r="F873" s="5"/>
    </row>
    <row r="874" spans="4:6" ht="13">
      <c r="D874" s="5"/>
      <c r="E874" s="5"/>
      <c r="F874" s="5"/>
    </row>
    <row r="875" spans="4:6" ht="13">
      <c r="D875" s="5"/>
      <c r="E875" s="5"/>
      <c r="F875" s="5"/>
    </row>
    <row r="876" spans="4:6" ht="13">
      <c r="D876" s="5"/>
      <c r="E876" s="5"/>
      <c r="F876" s="5"/>
    </row>
    <row r="877" spans="4:6" ht="13">
      <c r="D877" s="5"/>
      <c r="E877" s="5"/>
      <c r="F877" s="5"/>
    </row>
    <row r="878" spans="4:6" ht="13">
      <c r="D878" s="5"/>
      <c r="E878" s="5"/>
      <c r="F878" s="5"/>
    </row>
    <row r="879" spans="4:6" ht="13">
      <c r="D879" s="5"/>
      <c r="E879" s="5"/>
      <c r="F879" s="5"/>
    </row>
    <row r="880" spans="4:6" ht="13">
      <c r="D880" s="5"/>
      <c r="E880" s="5"/>
      <c r="F880" s="5"/>
    </row>
    <row r="881" spans="4:6" ht="13">
      <c r="D881" s="5"/>
      <c r="E881" s="5"/>
      <c r="F881" s="5"/>
    </row>
    <row r="882" spans="4:6" ht="13">
      <c r="D882" s="5"/>
      <c r="E882" s="5"/>
      <c r="F882" s="5"/>
    </row>
    <row r="883" spans="4:6" ht="13">
      <c r="D883" s="5"/>
      <c r="E883" s="5"/>
      <c r="F883" s="5"/>
    </row>
    <row r="884" spans="4:6" ht="13">
      <c r="D884" s="5"/>
      <c r="E884" s="5"/>
      <c r="F884" s="5"/>
    </row>
    <row r="885" spans="4:6" ht="13">
      <c r="D885" s="5"/>
      <c r="E885" s="5"/>
      <c r="F885" s="5"/>
    </row>
    <row r="886" spans="4:6" ht="13">
      <c r="D886" s="5"/>
      <c r="E886" s="5"/>
      <c r="F886" s="5"/>
    </row>
    <row r="887" spans="4:6" ht="13">
      <c r="D887" s="5"/>
      <c r="E887" s="5"/>
      <c r="F887" s="5"/>
    </row>
    <row r="888" spans="4:6" ht="13">
      <c r="D888" s="5"/>
      <c r="E888" s="5"/>
      <c r="F888" s="5"/>
    </row>
    <row r="889" spans="4:6" ht="13">
      <c r="D889" s="5"/>
      <c r="E889" s="5"/>
      <c r="F889" s="5"/>
    </row>
    <row r="890" spans="4:6" ht="13">
      <c r="D890" s="5"/>
      <c r="E890" s="5"/>
      <c r="F890" s="5"/>
    </row>
    <row r="891" spans="4:6" ht="13">
      <c r="D891" s="5"/>
      <c r="E891" s="5"/>
      <c r="F891" s="5"/>
    </row>
    <row r="892" spans="4:6" ht="13">
      <c r="D892" s="5"/>
      <c r="E892" s="5"/>
      <c r="F892" s="5"/>
    </row>
    <row r="893" spans="4:6" ht="13">
      <c r="D893" s="5"/>
      <c r="E893" s="5"/>
      <c r="F893" s="5"/>
    </row>
    <row r="894" spans="4:6" ht="13">
      <c r="D894" s="5"/>
      <c r="E894" s="5"/>
      <c r="F894" s="5"/>
    </row>
    <row r="895" spans="4:6" ht="13">
      <c r="D895" s="5"/>
      <c r="E895" s="5"/>
      <c r="F895" s="5"/>
    </row>
    <row r="896" spans="4:6" ht="13">
      <c r="D896" s="5"/>
      <c r="E896" s="5"/>
      <c r="F896" s="5"/>
    </row>
    <row r="897" spans="4:6" ht="13">
      <c r="D897" s="5"/>
      <c r="E897" s="5"/>
      <c r="F897" s="5"/>
    </row>
    <row r="898" spans="4:6" ht="13">
      <c r="D898" s="5"/>
      <c r="E898" s="5"/>
      <c r="F898" s="5"/>
    </row>
    <row r="899" spans="4:6" ht="13">
      <c r="D899" s="5"/>
      <c r="E899" s="5"/>
      <c r="F899" s="5"/>
    </row>
    <row r="900" spans="4:6" ht="13">
      <c r="D900" s="5"/>
      <c r="E900" s="5"/>
      <c r="F900" s="5"/>
    </row>
    <row r="901" spans="4:6" ht="13">
      <c r="D901" s="5"/>
      <c r="E901" s="5"/>
      <c r="F901" s="5"/>
    </row>
    <row r="902" spans="4:6" ht="13">
      <c r="D902" s="5"/>
      <c r="E902" s="5"/>
      <c r="F902" s="5"/>
    </row>
    <row r="903" spans="4:6" ht="13">
      <c r="D903" s="5"/>
      <c r="E903" s="5"/>
      <c r="F903" s="5"/>
    </row>
    <row r="904" spans="4:6" ht="13">
      <c r="D904" s="5"/>
      <c r="E904" s="5"/>
      <c r="F904" s="5"/>
    </row>
    <row r="905" spans="4:6" ht="13">
      <c r="D905" s="5"/>
      <c r="E905" s="5"/>
      <c r="F905" s="5"/>
    </row>
    <row r="906" spans="4:6" ht="13">
      <c r="D906" s="5"/>
      <c r="E906" s="5"/>
      <c r="F906" s="5"/>
    </row>
    <row r="907" spans="4:6" ht="13">
      <c r="D907" s="5"/>
      <c r="E907" s="5"/>
      <c r="F907" s="5"/>
    </row>
    <row r="908" spans="4:6" ht="13">
      <c r="D908" s="5"/>
      <c r="E908" s="5"/>
      <c r="F908" s="5"/>
    </row>
    <row r="909" spans="4:6" ht="13">
      <c r="D909" s="5"/>
      <c r="E909" s="5"/>
      <c r="F909" s="5"/>
    </row>
    <row r="910" spans="4:6" ht="13">
      <c r="D910" s="5"/>
      <c r="E910" s="5"/>
      <c r="F910" s="5"/>
    </row>
    <row r="911" spans="4:6" ht="13">
      <c r="D911" s="5"/>
      <c r="E911" s="5"/>
      <c r="F911" s="5"/>
    </row>
    <row r="912" spans="4:6" ht="13">
      <c r="D912" s="5"/>
      <c r="E912" s="5"/>
      <c r="F912" s="5"/>
    </row>
    <row r="913" spans="4:6" ht="13">
      <c r="D913" s="5"/>
      <c r="E913" s="5"/>
      <c r="F913" s="5"/>
    </row>
    <row r="914" spans="4:6" ht="13">
      <c r="D914" s="5"/>
      <c r="E914" s="5"/>
      <c r="F914" s="5"/>
    </row>
    <row r="915" spans="4:6" ht="13">
      <c r="D915" s="5"/>
      <c r="E915" s="5"/>
      <c r="F915" s="5"/>
    </row>
    <row r="916" spans="4:6" ht="13">
      <c r="D916" s="5"/>
      <c r="E916" s="5"/>
      <c r="F916" s="5"/>
    </row>
    <row r="917" spans="4:6" ht="13">
      <c r="D917" s="5"/>
      <c r="E917" s="5"/>
      <c r="F917" s="5"/>
    </row>
    <row r="918" spans="4:6" ht="13">
      <c r="D918" s="5"/>
      <c r="E918" s="5"/>
      <c r="F918" s="5"/>
    </row>
    <row r="919" spans="4:6" ht="13">
      <c r="D919" s="5"/>
      <c r="E919" s="5"/>
      <c r="F919" s="5"/>
    </row>
    <row r="920" spans="4:6" ht="13">
      <c r="D920" s="5"/>
      <c r="E920" s="5"/>
      <c r="F920" s="5"/>
    </row>
    <row r="921" spans="4:6" ht="13">
      <c r="D921" s="5"/>
      <c r="E921" s="5"/>
      <c r="F921" s="5"/>
    </row>
    <row r="922" spans="4:6" ht="13">
      <c r="D922" s="5"/>
      <c r="E922" s="5"/>
      <c r="F922" s="5"/>
    </row>
    <row r="923" spans="4:6" ht="13">
      <c r="D923" s="5"/>
      <c r="E923" s="5"/>
      <c r="F923" s="5"/>
    </row>
    <row r="924" spans="4:6" ht="13">
      <c r="D924" s="5"/>
      <c r="E924" s="5"/>
      <c r="F924" s="5"/>
    </row>
    <row r="925" spans="4:6" ht="13">
      <c r="D925" s="5"/>
      <c r="E925" s="5"/>
      <c r="F925" s="5"/>
    </row>
    <row r="926" spans="4:6" ht="13">
      <c r="D926" s="5"/>
      <c r="E926" s="5"/>
      <c r="F926" s="5"/>
    </row>
    <row r="927" spans="4:6" ht="13">
      <c r="D927" s="5"/>
      <c r="E927" s="5"/>
      <c r="F927" s="5"/>
    </row>
    <row r="928" spans="4:6" ht="13">
      <c r="D928" s="5"/>
      <c r="E928" s="5"/>
      <c r="F928" s="5"/>
    </row>
    <row r="929" spans="4:6" ht="13">
      <c r="D929" s="5"/>
      <c r="E929" s="5"/>
      <c r="F929" s="5"/>
    </row>
    <row r="930" spans="4:6" ht="13">
      <c r="D930" s="5"/>
      <c r="E930" s="5"/>
      <c r="F930" s="5"/>
    </row>
    <row r="931" spans="4:6" ht="13">
      <c r="D931" s="5"/>
      <c r="E931" s="5"/>
      <c r="F931" s="5"/>
    </row>
    <row r="932" spans="4:6" ht="13">
      <c r="D932" s="5"/>
      <c r="E932" s="5"/>
      <c r="F932" s="5"/>
    </row>
    <row r="933" spans="4:6" ht="13">
      <c r="D933" s="5"/>
      <c r="E933" s="5"/>
      <c r="F933" s="5"/>
    </row>
    <row r="934" spans="4:6" ht="13">
      <c r="D934" s="5"/>
      <c r="E934" s="5"/>
      <c r="F934" s="5"/>
    </row>
    <row r="935" spans="4:6" ht="13">
      <c r="D935" s="5"/>
      <c r="E935" s="5"/>
      <c r="F935" s="5"/>
    </row>
    <row r="936" spans="4:6" ht="13">
      <c r="D936" s="5"/>
      <c r="E936" s="5"/>
      <c r="F936" s="5"/>
    </row>
    <row r="937" spans="4:6" ht="13">
      <c r="D937" s="5"/>
      <c r="E937" s="5"/>
      <c r="F937" s="5"/>
    </row>
    <row r="938" spans="4:6" ht="13">
      <c r="D938" s="5"/>
      <c r="E938" s="5"/>
      <c r="F938" s="5"/>
    </row>
    <row r="939" spans="4:6" ht="13">
      <c r="D939" s="5"/>
      <c r="E939" s="5"/>
      <c r="F939" s="5"/>
    </row>
    <row r="940" spans="4:6" ht="13">
      <c r="D940" s="5"/>
      <c r="E940" s="5"/>
      <c r="F940" s="5"/>
    </row>
    <row r="941" spans="4:6" ht="13">
      <c r="D941" s="5"/>
      <c r="E941" s="5"/>
      <c r="F941" s="5"/>
    </row>
    <row r="942" spans="4:6" ht="13">
      <c r="D942" s="5"/>
      <c r="E942" s="5"/>
      <c r="F942" s="5"/>
    </row>
    <row r="943" spans="4:6" ht="13">
      <c r="D943" s="5"/>
      <c r="E943" s="5"/>
      <c r="F943" s="5"/>
    </row>
    <row r="944" spans="4:6" ht="13">
      <c r="D944" s="5"/>
      <c r="E944" s="5"/>
      <c r="F944" s="5"/>
    </row>
    <row r="945" spans="4:6" ht="13">
      <c r="D945" s="5"/>
      <c r="E945" s="5"/>
      <c r="F945" s="5"/>
    </row>
    <row r="946" spans="4:6" ht="13">
      <c r="D946" s="5"/>
      <c r="E946" s="5"/>
      <c r="F946" s="5"/>
    </row>
    <row r="947" spans="4:6" ht="13">
      <c r="D947" s="5"/>
      <c r="E947" s="5"/>
      <c r="F947" s="5"/>
    </row>
    <row r="948" spans="4:6" ht="13">
      <c r="D948" s="5"/>
      <c r="E948" s="5"/>
      <c r="F948" s="5"/>
    </row>
    <row r="949" spans="4:6" ht="13">
      <c r="D949" s="5"/>
      <c r="E949" s="5"/>
      <c r="F949" s="5"/>
    </row>
    <row r="950" spans="4:6" ht="13">
      <c r="D950" s="5"/>
      <c r="E950" s="5"/>
      <c r="F950" s="5"/>
    </row>
    <row r="951" spans="4:6" ht="13">
      <c r="D951" s="5"/>
      <c r="E951" s="5"/>
      <c r="F951" s="5"/>
    </row>
    <row r="952" spans="4:6" ht="13">
      <c r="D952" s="5"/>
      <c r="E952" s="5"/>
      <c r="F952" s="5"/>
    </row>
    <row r="953" spans="4:6" ht="13">
      <c r="D953" s="5"/>
      <c r="E953" s="5"/>
      <c r="F953" s="5"/>
    </row>
    <row r="954" spans="4:6" ht="13">
      <c r="D954" s="5"/>
      <c r="E954" s="5"/>
      <c r="F954" s="5"/>
    </row>
    <row r="955" spans="4:6" ht="13">
      <c r="D955" s="5"/>
      <c r="E955" s="5"/>
      <c r="F955" s="5"/>
    </row>
    <row r="956" spans="4:6" ht="13">
      <c r="D956" s="5"/>
      <c r="E956" s="5"/>
      <c r="F956" s="5"/>
    </row>
    <row r="957" spans="4:6" ht="13">
      <c r="D957" s="5"/>
      <c r="E957" s="5"/>
      <c r="F957" s="5"/>
    </row>
    <row r="958" spans="4:6" ht="13">
      <c r="D958" s="5"/>
      <c r="E958" s="5"/>
      <c r="F958" s="5"/>
    </row>
    <row r="959" spans="4:6" ht="13">
      <c r="D959" s="5"/>
      <c r="E959" s="5"/>
      <c r="F959" s="5"/>
    </row>
    <row r="960" spans="4:6" ht="13">
      <c r="D960" s="5"/>
      <c r="E960" s="5"/>
      <c r="F960" s="5"/>
    </row>
    <row r="961" spans="4:6" ht="13">
      <c r="D961" s="5"/>
      <c r="E961" s="5"/>
      <c r="F961" s="5"/>
    </row>
    <row r="962" spans="4:6" ht="13">
      <c r="D962" s="5"/>
      <c r="E962" s="5"/>
      <c r="F962" s="5"/>
    </row>
    <row r="963" spans="4:6" ht="13">
      <c r="D963" s="5"/>
      <c r="E963" s="5"/>
      <c r="F963" s="5"/>
    </row>
    <row r="964" spans="4:6" ht="13">
      <c r="D964" s="5"/>
      <c r="E964" s="5"/>
      <c r="F964" s="5"/>
    </row>
    <row r="965" spans="4:6" ht="13">
      <c r="D965" s="5"/>
      <c r="E965" s="5"/>
      <c r="F965" s="5"/>
    </row>
    <row r="966" spans="4:6" ht="13">
      <c r="D966" s="5"/>
      <c r="E966" s="5"/>
      <c r="F966" s="5"/>
    </row>
    <row r="967" spans="4:6" ht="13">
      <c r="D967" s="5"/>
      <c r="E967" s="5"/>
      <c r="F967" s="5"/>
    </row>
    <row r="968" spans="4:6" ht="13">
      <c r="D968" s="5"/>
      <c r="E968" s="5"/>
      <c r="F968" s="5"/>
    </row>
    <row r="969" spans="4:6" ht="13">
      <c r="D969" s="5"/>
      <c r="E969" s="5"/>
      <c r="F969" s="5"/>
    </row>
    <row r="970" spans="4:6" ht="13">
      <c r="D970" s="5"/>
      <c r="E970" s="5"/>
      <c r="F970" s="5"/>
    </row>
    <row r="971" spans="4:6" ht="13">
      <c r="D971" s="5"/>
      <c r="E971" s="5"/>
      <c r="F971" s="5"/>
    </row>
    <row r="972" spans="4:6" ht="13">
      <c r="D972" s="5"/>
      <c r="E972" s="5"/>
      <c r="F972" s="5"/>
    </row>
    <row r="973" spans="4:6" ht="13">
      <c r="D973" s="5"/>
      <c r="E973" s="5"/>
      <c r="F973" s="5"/>
    </row>
    <row r="974" spans="4:6" ht="13">
      <c r="D974" s="5"/>
      <c r="E974" s="5"/>
      <c r="F974" s="5"/>
    </row>
    <row r="975" spans="4:6" ht="13">
      <c r="D975" s="5"/>
      <c r="E975" s="5"/>
      <c r="F975" s="5"/>
    </row>
    <row r="976" spans="4:6" ht="13">
      <c r="D976" s="5"/>
      <c r="E976" s="5"/>
      <c r="F976" s="5"/>
    </row>
    <row r="977" spans="4:6" ht="13">
      <c r="D977" s="5"/>
      <c r="E977" s="5"/>
      <c r="F977" s="5"/>
    </row>
    <row r="978" spans="4:6" ht="13">
      <c r="D978" s="5"/>
      <c r="E978" s="5"/>
      <c r="F978" s="5"/>
    </row>
    <row r="979" spans="4:6" ht="13">
      <c r="D979" s="5"/>
      <c r="E979" s="5"/>
      <c r="F979" s="5"/>
    </row>
    <row r="980" spans="4:6" ht="13">
      <c r="D980" s="5"/>
      <c r="E980" s="5"/>
      <c r="F980" s="5"/>
    </row>
    <row r="981" spans="4:6" ht="13">
      <c r="D981" s="5"/>
      <c r="E981" s="5"/>
      <c r="F981" s="5"/>
    </row>
    <row r="982" spans="4:6" ht="13">
      <c r="D982" s="5"/>
      <c r="E982" s="5"/>
      <c r="F982" s="5"/>
    </row>
    <row r="983" spans="4:6" ht="13">
      <c r="D983" s="5"/>
      <c r="E983" s="5"/>
      <c r="F983" s="5"/>
    </row>
    <row r="984" spans="4:6" ht="13">
      <c r="D984" s="5"/>
      <c r="E984" s="5"/>
      <c r="F984" s="5"/>
    </row>
    <row r="985" spans="4:6" ht="13">
      <c r="D985" s="5"/>
      <c r="E985" s="5"/>
      <c r="F985" s="5"/>
    </row>
    <row r="986" spans="4:6" ht="13">
      <c r="D986" s="5"/>
      <c r="E986" s="5"/>
      <c r="F986" s="5"/>
    </row>
    <row r="987" spans="4:6" ht="13">
      <c r="D987" s="5"/>
      <c r="E987" s="5"/>
      <c r="F987" s="5"/>
    </row>
    <row r="988" spans="4:6" ht="13">
      <c r="D988" s="5"/>
      <c r="E988" s="5"/>
      <c r="F988" s="5"/>
    </row>
    <row r="989" spans="4:6" ht="13">
      <c r="D989" s="5"/>
      <c r="E989" s="5"/>
      <c r="F989" s="5"/>
    </row>
    <row r="990" spans="4:6" ht="13">
      <c r="D990" s="5"/>
      <c r="E990" s="5"/>
      <c r="F990" s="5"/>
    </row>
    <row r="991" spans="4:6" ht="13">
      <c r="D991" s="5"/>
      <c r="E991" s="5"/>
      <c r="F991" s="5"/>
    </row>
    <row r="992" spans="4:6" ht="13">
      <c r="D992" s="5"/>
      <c r="E992" s="5"/>
      <c r="F992" s="5"/>
    </row>
    <row r="993" spans="4:6" ht="13">
      <c r="D993" s="5"/>
      <c r="E993" s="5"/>
      <c r="F993" s="5"/>
    </row>
    <row r="994" spans="4:6" ht="13">
      <c r="D994" s="5"/>
      <c r="E994" s="5"/>
      <c r="F994" s="5"/>
    </row>
    <row r="995" spans="4:6" ht="13">
      <c r="D995" s="5"/>
      <c r="E995" s="5"/>
      <c r="F995" s="5"/>
    </row>
    <row r="996" spans="4:6" ht="13">
      <c r="D996" s="5"/>
      <c r="E996" s="5"/>
      <c r="F996" s="5"/>
    </row>
    <row r="997" spans="4:6" ht="13">
      <c r="D997" s="5"/>
      <c r="E997" s="5"/>
      <c r="F997" s="5"/>
    </row>
    <row r="998" spans="4:6" ht="13">
      <c r="D998" s="5"/>
      <c r="E998" s="5"/>
      <c r="F998" s="5"/>
    </row>
    <row r="999" spans="4:6" ht="13">
      <c r="D999" s="5"/>
      <c r="E999" s="5"/>
      <c r="F999" s="5"/>
    </row>
    <row r="1000" spans="4:6" ht="13">
      <c r="D1000" s="5"/>
      <c r="E1000" s="5"/>
      <c r="F1000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22"/>
  <sheetViews>
    <sheetView showGridLines="0" workbookViewId="0"/>
  </sheetViews>
  <sheetFormatPr baseColWidth="10" defaultColWidth="12.6640625" defaultRowHeight="15.75" customHeight="1"/>
  <sheetData>
    <row r="1" spans="1:2" ht="15.75" customHeight="1">
      <c r="A1" s="423" t="s">
        <v>17</v>
      </c>
      <c r="B1" s="424" t="s">
        <v>18</v>
      </c>
    </row>
    <row r="2" spans="1:2" ht="15.75" customHeight="1">
      <c r="A2" s="425" t="s">
        <v>19</v>
      </c>
      <c r="B2" s="429"/>
    </row>
    <row r="3" spans="1:2" ht="15.75" customHeight="1">
      <c r="A3" s="425" t="s">
        <v>834</v>
      </c>
      <c r="B3" s="426" t="s">
        <v>843</v>
      </c>
    </row>
    <row r="4" spans="1:2" ht="15.75" customHeight="1">
      <c r="A4" s="430"/>
      <c r="B4" s="431" t="s">
        <v>890</v>
      </c>
    </row>
    <row r="5" spans="1:2" ht="15.75" customHeight="1">
      <c r="A5" s="430"/>
      <c r="B5" s="431" t="s">
        <v>854</v>
      </c>
    </row>
    <row r="6" spans="1:2" ht="15.75" customHeight="1">
      <c r="A6" s="430"/>
      <c r="B6" s="431" t="s">
        <v>908</v>
      </c>
    </row>
    <row r="7" spans="1:2" ht="15.75" customHeight="1">
      <c r="A7" s="430"/>
      <c r="B7" s="431" t="s">
        <v>853</v>
      </c>
    </row>
    <row r="8" spans="1:2" ht="15.75" customHeight="1">
      <c r="A8" s="430"/>
      <c r="B8" s="431" t="s">
        <v>896</v>
      </c>
    </row>
    <row r="9" spans="1:2" ht="15.75" customHeight="1">
      <c r="A9" s="430"/>
      <c r="B9" s="431" t="s">
        <v>846</v>
      </c>
    </row>
    <row r="10" spans="1:2" ht="15.75" customHeight="1">
      <c r="A10" s="430"/>
      <c r="B10" s="431" t="s">
        <v>881</v>
      </c>
    </row>
    <row r="11" spans="1:2" ht="15.75" customHeight="1">
      <c r="A11" s="430"/>
      <c r="B11" s="431" t="s">
        <v>894</v>
      </c>
    </row>
    <row r="12" spans="1:2" ht="15.75" customHeight="1">
      <c r="A12" s="430"/>
      <c r="B12" s="431" t="s">
        <v>845</v>
      </c>
    </row>
    <row r="13" spans="1:2" ht="15.75" customHeight="1">
      <c r="A13" s="430"/>
      <c r="B13" s="431" t="s">
        <v>841</v>
      </c>
    </row>
    <row r="14" spans="1:2" ht="15.75" customHeight="1">
      <c r="A14" s="430"/>
      <c r="B14" s="431" t="s">
        <v>831</v>
      </c>
    </row>
    <row r="15" spans="1:2" ht="15.75" customHeight="1">
      <c r="A15" s="430"/>
      <c r="B15" s="431" t="s">
        <v>842</v>
      </c>
    </row>
    <row r="16" spans="1:2" ht="15.75" customHeight="1">
      <c r="A16" s="430"/>
      <c r="B16" s="431" t="s">
        <v>840</v>
      </c>
    </row>
    <row r="17" spans="1:2" ht="15.75" customHeight="1">
      <c r="A17" s="430"/>
      <c r="B17" s="431" t="s">
        <v>917</v>
      </c>
    </row>
    <row r="18" spans="1:2" ht="15.75" customHeight="1">
      <c r="A18" s="430"/>
      <c r="B18" s="431" t="s">
        <v>880</v>
      </c>
    </row>
    <row r="19" spans="1:2" ht="15.75" customHeight="1">
      <c r="A19" s="430"/>
      <c r="B19" s="431" t="s">
        <v>883</v>
      </c>
    </row>
    <row r="20" spans="1:2" ht="15.75" customHeight="1">
      <c r="A20" s="430"/>
      <c r="B20" s="431" t="s">
        <v>885</v>
      </c>
    </row>
    <row r="21" spans="1:2" ht="15.75" customHeight="1">
      <c r="A21" s="425" t="s">
        <v>940</v>
      </c>
      <c r="B21" s="429"/>
    </row>
    <row r="22" spans="1:2" ht="15.75" customHeight="1">
      <c r="A22" s="427" t="s">
        <v>3851</v>
      </c>
      <c r="B22" s="432"/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T10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35.33203125" customWidth="1"/>
    <col min="2" max="2" width="34.6640625" customWidth="1"/>
    <col min="3" max="3" width="29.6640625" customWidth="1"/>
    <col min="4" max="4" width="14" customWidth="1"/>
    <col min="5" max="5" width="27.1640625" customWidth="1"/>
    <col min="6" max="6" width="27.83203125" customWidth="1"/>
    <col min="7" max="7" width="16.5" customWidth="1"/>
    <col min="8" max="8" width="23.5" customWidth="1"/>
    <col min="9" max="9" width="20.6640625" customWidth="1"/>
    <col min="10" max="11" width="19.33203125" customWidth="1"/>
    <col min="12" max="12" width="23" customWidth="1"/>
    <col min="13" max="13" width="20.33203125" customWidth="1"/>
    <col min="14" max="14" width="18" customWidth="1"/>
    <col min="15" max="15" width="18.33203125" customWidth="1"/>
    <col min="16" max="16" width="18.1640625" customWidth="1"/>
  </cols>
  <sheetData>
    <row r="1" spans="1:18" ht="15">
      <c r="A1" s="11" t="s">
        <v>941</v>
      </c>
      <c r="B1" s="11" t="s">
        <v>942</v>
      </c>
      <c r="C1" s="12" t="s">
        <v>0</v>
      </c>
      <c r="D1" s="11" t="s">
        <v>264</v>
      </c>
      <c r="E1" s="12" t="s">
        <v>265</v>
      </c>
      <c r="F1" s="12" t="s">
        <v>266</v>
      </c>
      <c r="G1" s="11" t="s">
        <v>267</v>
      </c>
      <c r="H1" s="11" t="s">
        <v>268</v>
      </c>
      <c r="I1" s="11" t="s">
        <v>269</v>
      </c>
      <c r="J1" s="12" t="s">
        <v>17</v>
      </c>
      <c r="K1" s="12" t="s">
        <v>270</v>
      </c>
      <c r="L1" s="12" t="s">
        <v>271</v>
      </c>
      <c r="M1" s="12" t="s">
        <v>272</v>
      </c>
      <c r="N1" s="12" t="s">
        <v>273</v>
      </c>
      <c r="O1" s="13" t="s">
        <v>274</v>
      </c>
      <c r="P1" s="12" t="s">
        <v>275</v>
      </c>
      <c r="Q1" s="12" t="s">
        <v>276</v>
      </c>
      <c r="R1" s="11" t="s">
        <v>277</v>
      </c>
    </row>
    <row r="2" spans="1:18" ht="16">
      <c r="A2" s="15" t="s">
        <v>279</v>
      </c>
      <c r="B2" s="9" t="s">
        <v>280</v>
      </c>
      <c r="C2" s="16" t="s">
        <v>224</v>
      </c>
      <c r="D2" s="17" t="s">
        <v>281</v>
      </c>
      <c r="E2" s="18" t="s">
        <v>282</v>
      </c>
      <c r="F2" s="18"/>
      <c r="G2" s="17">
        <f t="shared" ref="G2:G26" si="0">I2-H2</f>
        <v>3</v>
      </c>
      <c r="H2" s="19">
        <v>2022</v>
      </c>
      <c r="I2" s="19">
        <v>2025</v>
      </c>
      <c r="J2" s="19" t="str">
        <f t="shared" ref="J2:J17" si="1">IF(I2=2023,"Retention", "Existing")</f>
        <v>Existing</v>
      </c>
      <c r="K2" s="18" t="s">
        <v>253</v>
      </c>
      <c r="L2" s="18" t="s">
        <v>254</v>
      </c>
      <c r="M2" s="133">
        <v>29000</v>
      </c>
      <c r="N2" s="18"/>
      <c r="O2" s="18"/>
      <c r="P2" s="18" t="s">
        <v>837</v>
      </c>
      <c r="Q2" s="19" t="s">
        <v>285</v>
      </c>
      <c r="R2" s="17" t="s">
        <v>570</v>
      </c>
    </row>
    <row r="3" spans="1:18" ht="32">
      <c r="A3" s="15" t="s">
        <v>279</v>
      </c>
      <c r="B3" s="9" t="s">
        <v>280</v>
      </c>
      <c r="C3" s="16" t="s">
        <v>3</v>
      </c>
      <c r="D3" s="17" t="s">
        <v>281</v>
      </c>
      <c r="E3" s="18" t="s">
        <v>287</v>
      </c>
      <c r="F3" s="18"/>
      <c r="G3" s="17">
        <f t="shared" si="0"/>
        <v>3</v>
      </c>
      <c r="H3" s="19">
        <v>2022</v>
      </c>
      <c r="I3" s="19">
        <v>2025</v>
      </c>
      <c r="J3" s="19" t="str">
        <f t="shared" si="1"/>
        <v>Existing</v>
      </c>
      <c r="K3" s="18" t="s">
        <v>253</v>
      </c>
      <c r="L3" s="18" t="s">
        <v>245</v>
      </c>
      <c r="M3" s="134" t="s">
        <v>943</v>
      </c>
      <c r="N3" s="18"/>
      <c r="O3" s="18"/>
      <c r="P3" s="18" t="s">
        <v>837</v>
      </c>
      <c r="Q3" s="19" t="s">
        <v>285</v>
      </c>
      <c r="R3" s="17" t="s">
        <v>570</v>
      </c>
    </row>
    <row r="4" spans="1:18" ht="32">
      <c r="A4" s="15" t="s">
        <v>279</v>
      </c>
      <c r="B4" s="9" t="s">
        <v>280</v>
      </c>
      <c r="C4" s="16" t="s">
        <v>170</v>
      </c>
      <c r="D4" s="17" t="s">
        <v>281</v>
      </c>
      <c r="E4" s="18" t="s">
        <v>288</v>
      </c>
      <c r="F4" s="18"/>
      <c r="G4" s="17">
        <f t="shared" si="0"/>
        <v>3</v>
      </c>
      <c r="H4" s="19">
        <v>2022</v>
      </c>
      <c r="I4" s="19">
        <v>2025</v>
      </c>
      <c r="J4" s="19" t="str">
        <f t="shared" si="1"/>
        <v>Existing</v>
      </c>
      <c r="K4" s="18" t="s">
        <v>253</v>
      </c>
      <c r="L4" s="18" t="s">
        <v>245</v>
      </c>
      <c r="M4" s="134" t="s">
        <v>944</v>
      </c>
      <c r="N4" s="18"/>
      <c r="O4" s="18"/>
      <c r="P4" s="18" t="s">
        <v>837</v>
      </c>
      <c r="Q4" s="19" t="s">
        <v>285</v>
      </c>
      <c r="R4" s="17" t="s">
        <v>570</v>
      </c>
    </row>
    <row r="5" spans="1:18" ht="32">
      <c r="A5" s="15" t="s">
        <v>279</v>
      </c>
      <c r="B5" s="9" t="s">
        <v>280</v>
      </c>
      <c r="C5" s="16" t="s">
        <v>118</v>
      </c>
      <c r="D5" s="17" t="s">
        <v>281</v>
      </c>
      <c r="E5" s="18" t="s">
        <v>289</v>
      </c>
      <c r="F5" s="18"/>
      <c r="G5" s="17">
        <f t="shared" si="0"/>
        <v>3</v>
      </c>
      <c r="H5" s="19">
        <v>2022</v>
      </c>
      <c r="I5" s="19">
        <v>2025</v>
      </c>
      <c r="J5" s="19" t="str">
        <f t="shared" si="1"/>
        <v>Existing</v>
      </c>
      <c r="K5" s="18" t="s">
        <v>253</v>
      </c>
      <c r="L5" s="18" t="s">
        <v>245</v>
      </c>
      <c r="M5" s="134" t="s">
        <v>944</v>
      </c>
      <c r="N5" s="18"/>
      <c r="O5" s="18"/>
      <c r="P5" s="18" t="s">
        <v>837</v>
      </c>
      <c r="Q5" s="19" t="s">
        <v>285</v>
      </c>
      <c r="R5" s="17" t="s">
        <v>570</v>
      </c>
    </row>
    <row r="6" spans="1:18" ht="16">
      <c r="A6" s="15" t="s">
        <v>290</v>
      </c>
      <c r="B6" s="10" t="s">
        <v>291</v>
      </c>
      <c r="C6" s="16" t="s">
        <v>186</v>
      </c>
      <c r="D6" s="17" t="s">
        <v>281</v>
      </c>
      <c r="E6" s="18" t="s">
        <v>292</v>
      </c>
      <c r="F6" s="18"/>
      <c r="G6" s="17">
        <f t="shared" si="0"/>
        <v>3</v>
      </c>
      <c r="H6" s="19">
        <v>2020</v>
      </c>
      <c r="I6" s="19">
        <v>2023</v>
      </c>
      <c r="J6" s="19" t="str">
        <f t="shared" si="1"/>
        <v>Retention</v>
      </c>
      <c r="K6" s="18" t="s">
        <v>283</v>
      </c>
      <c r="L6" s="18" t="s">
        <v>254</v>
      </c>
      <c r="M6" s="69">
        <v>122225000</v>
      </c>
      <c r="N6" s="18"/>
      <c r="O6" s="18"/>
      <c r="P6" s="18" t="s">
        <v>293</v>
      </c>
      <c r="Q6" s="19" t="s">
        <v>294</v>
      </c>
      <c r="R6" s="17" t="s">
        <v>295</v>
      </c>
    </row>
    <row r="7" spans="1:18" ht="16">
      <c r="A7" s="15" t="s">
        <v>290</v>
      </c>
      <c r="B7" s="10" t="s">
        <v>291</v>
      </c>
      <c r="C7" s="16" t="s">
        <v>24</v>
      </c>
      <c r="D7" s="17" t="s">
        <v>281</v>
      </c>
      <c r="E7" s="18" t="s">
        <v>296</v>
      </c>
      <c r="F7" s="18"/>
      <c r="G7" s="17">
        <f t="shared" si="0"/>
        <v>3</v>
      </c>
      <c r="H7" s="19">
        <v>2020</v>
      </c>
      <c r="I7" s="19">
        <v>2023</v>
      </c>
      <c r="J7" s="19" t="str">
        <f t="shared" si="1"/>
        <v>Retention</v>
      </c>
      <c r="K7" s="18" t="s">
        <v>283</v>
      </c>
      <c r="L7" s="18" t="s">
        <v>297</v>
      </c>
      <c r="M7" s="69">
        <v>122225000</v>
      </c>
      <c r="N7" s="18"/>
      <c r="O7" s="18"/>
      <c r="P7" s="18" t="s">
        <v>293</v>
      </c>
      <c r="Q7" s="19" t="s">
        <v>294</v>
      </c>
      <c r="R7" s="17" t="s">
        <v>295</v>
      </c>
    </row>
    <row r="8" spans="1:18" ht="16">
      <c r="A8" s="15" t="s">
        <v>290</v>
      </c>
      <c r="B8" s="10" t="s">
        <v>291</v>
      </c>
      <c r="C8" s="16" t="s">
        <v>137</v>
      </c>
      <c r="D8" s="17" t="s">
        <v>281</v>
      </c>
      <c r="E8" s="18" t="s">
        <v>298</v>
      </c>
      <c r="F8" s="18"/>
      <c r="G8" s="17">
        <f t="shared" si="0"/>
        <v>3</v>
      </c>
      <c r="H8" s="19">
        <v>2020</v>
      </c>
      <c r="I8" s="19">
        <v>2023</v>
      </c>
      <c r="J8" s="19" t="str">
        <f t="shared" si="1"/>
        <v>Retention</v>
      </c>
      <c r="K8" s="18" t="s">
        <v>283</v>
      </c>
      <c r="L8" s="18" t="s">
        <v>245</v>
      </c>
      <c r="M8" s="69">
        <v>122225000</v>
      </c>
      <c r="N8" s="18"/>
      <c r="O8" s="18"/>
      <c r="P8" s="25" t="s">
        <v>299</v>
      </c>
      <c r="Q8" s="19" t="s">
        <v>294</v>
      </c>
      <c r="R8" s="17" t="s">
        <v>295</v>
      </c>
    </row>
    <row r="9" spans="1:18" ht="16.5" customHeight="1">
      <c r="A9" s="15" t="s">
        <v>290</v>
      </c>
      <c r="B9" s="10" t="s">
        <v>291</v>
      </c>
      <c r="C9" s="16" t="s">
        <v>99</v>
      </c>
      <c r="D9" s="17" t="s">
        <v>281</v>
      </c>
      <c r="E9" s="18" t="s">
        <v>300</v>
      </c>
      <c r="F9" s="18"/>
      <c r="G9" s="17">
        <f t="shared" si="0"/>
        <v>3</v>
      </c>
      <c r="H9" s="19">
        <v>2020</v>
      </c>
      <c r="I9" s="19">
        <v>2023</v>
      </c>
      <c r="J9" s="19" t="str">
        <f t="shared" si="1"/>
        <v>Retention</v>
      </c>
      <c r="K9" s="18" t="s">
        <v>283</v>
      </c>
      <c r="L9" s="18" t="s">
        <v>245</v>
      </c>
      <c r="M9" s="69">
        <v>122225000</v>
      </c>
      <c r="N9" s="18"/>
      <c r="O9" s="18"/>
      <c r="P9" s="25" t="s">
        <v>299</v>
      </c>
      <c r="Q9" s="19" t="s">
        <v>294</v>
      </c>
      <c r="R9" s="17" t="s">
        <v>295</v>
      </c>
    </row>
    <row r="10" spans="1:18" ht="16">
      <c r="A10" s="26" t="s">
        <v>301</v>
      </c>
      <c r="B10" s="10" t="s">
        <v>302</v>
      </c>
      <c r="C10" s="16" t="s">
        <v>2</v>
      </c>
      <c r="D10" s="17" t="s">
        <v>281</v>
      </c>
      <c r="E10" s="18" t="s">
        <v>303</v>
      </c>
      <c r="F10" s="18"/>
      <c r="G10" s="17">
        <f t="shared" si="0"/>
        <v>4</v>
      </c>
      <c r="H10" s="27">
        <v>2019</v>
      </c>
      <c r="I10" s="27">
        <v>2023</v>
      </c>
      <c r="J10" s="19" t="str">
        <f t="shared" si="1"/>
        <v>Retention</v>
      </c>
      <c r="K10" s="18"/>
      <c r="L10" s="18" t="s">
        <v>304</v>
      </c>
      <c r="M10" s="135">
        <v>87000</v>
      </c>
      <c r="N10" s="18"/>
      <c r="O10" s="18"/>
      <c r="P10" s="18"/>
      <c r="Q10" s="19" t="s">
        <v>306</v>
      </c>
      <c r="R10" s="17" t="s">
        <v>307</v>
      </c>
    </row>
    <row r="11" spans="1:18" ht="16">
      <c r="A11" s="26" t="s">
        <v>301</v>
      </c>
      <c r="B11" s="10" t="s">
        <v>302</v>
      </c>
      <c r="C11" s="16" t="s">
        <v>308</v>
      </c>
      <c r="D11" s="17" t="s">
        <v>281</v>
      </c>
      <c r="E11" s="33"/>
      <c r="F11" s="18"/>
      <c r="G11" s="17">
        <f t="shared" si="0"/>
        <v>4</v>
      </c>
      <c r="H11" s="27">
        <v>2019</v>
      </c>
      <c r="I11" s="27">
        <v>2023</v>
      </c>
      <c r="J11" s="19" t="str">
        <f t="shared" si="1"/>
        <v>Retention</v>
      </c>
      <c r="K11" s="18"/>
      <c r="L11" s="18" t="s">
        <v>309</v>
      </c>
      <c r="M11" s="135">
        <v>87000</v>
      </c>
      <c r="N11" s="18"/>
      <c r="O11" s="18"/>
      <c r="P11" s="18"/>
      <c r="Q11" s="19" t="s">
        <v>306</v>
      </c>
      <c r="R11" s="17" t="s">
        <v>307</v>
      </c>
    </row>
    <row r="12" spans="1:18" ht="16">
      <c r="A12" s="26" t="s">
        <v>301</v>
      </c>
      <c r="B12" s="8" t="s">
        <v>310</v>
      </c>
      <c r="C12" s="16" t="s">
        <v>219</v>
      </c>
      <c r="D12" s="17" t="s">
        <v>281</v>
      </c>
      <c r="E12" s="18" t="s">
        <v>311</v>
      </c>
      <c r="F12" s="18"/>
      <c r="G12" s="17">
        <f t="shared" si="0"/>
        <v>3</v>
      </c>
      <c r="H12" s="27">
        <v>2022</v>
      </c>
      <c r="I12" s="27">
        <v>2025</v>
      </c>
      <c r="J12" s="19" t="str">
        <f t="shared" si="1"/>
        <v>Existing</v>
      </c>
      <c r="K12" s="18"/>
      <c r="L12" s="18" t="s">
        <v>254</v>
      </c>
      <c r="M12" s="28">
        <v>42000</v>
      </c>
      <c r="N12" s="18"/>
      <c r="O12" s="18"/>
      <c r="P12" s="32" t="s">
        <v>945</v>
      </c>
      <c r="Q12" s="19" t="s">
        <v>306</v>
      </c>
      <c r="R12" s="19" t="s">
        <v>946</v>
      </c>
    </row>
    <row r="13" spans="1:18" ht="16">
      <c r="A13" s="26" t="s">
        <v>301</v>
      </c>
      <c r="B13" s="8" t="s">
        <v>310</v>
      </c>
      <c r="C13" s="16" t="s">
        <v>10</v>
      </c>
      <c r="D13" s="17" t="s">
        <v>281</v>
      </c>
      <c r="E13" s="33" t="s">
        <v>313</v>
      </c>
      <c r="F13" s="18"/>
      <c r="G13" s="17">
        <f t="shared" si="0"/>
        <v>3</v>
      </c>
      <c r="H13" s="27">
        <v>2022</v>
      </c>
      <c r="I13" s="27">
        <v>2025</v>
      </c>
      <c r="J13" s="19" t="str">
        <f t="shared" si="1"/>
        <v>Existing</v>
      </c>
      <c r="K13" s="18"/>
      <c r="L13" s="18" t="s">
        <v>297</v>
      </c>
      <c r="M13" s="28">
        <v>42000</v>
      </c>
      <c r="N13" s="18"/>
      <c r="O13" s="18"/>
      <c r="P13" s="32" t="s">
        <v>945</v>
      </c>
      <c r="Q13" s="19" t="s">
        <v>306</v>
      </c>
      <c r="R13" s="19" t="s">
        <v>947</v>
      </c>
    </row>
    <row r="14" spans="1:18" ht="16">
      <c r="A14" s="26" t="s">
        <v>301</v>
      </c>
      <c r="B14" s="8" t="s">
        <v>310</v>
      </c>
      <c r="C14" s="16" t="s">
        <v>165</v>
      </c>
      <c r="D14" s="17" t="s">
        <v>281</v>
      </c>
      <c r="E14" s="33" t="s">
        <v>314</v>
      </c>
      <c r="F14" s="18"/>
      <c r="G14" s="17">
        <f t="shared" si="0"/>
        <v>3</v>
      </c>
      <c r="H14" s="27">
        <v>2022</v>
      </c>
      <c r="I14" s="27">
        <v>2025</v>
      </c>
      <c r="J14" s="19" t="str">
        <f t="shared" si="1"/>
        <v>Existing</v>
      </c>
      <c r="K14" s="18"/>
      <c r="L14" s="18" t="s">
        <v>315</v>
      </c>
      <c r="M14" s="28">
        <v>42000</v>
      </c>
      <c r="N14" s="18"/>
      <c r="O14" s="18"/>
      <c r="P14" s="32" t="s">
        <v>945</v>
      </c>
      <c r="Q14" s="19" t="s">
        <v>306</v>
      </c>
      <c r="R14" s="19" t="s">
        <v>946</v>
      </c>
    </row>
    <row r="15" spans="1:18" ht="16">
      <c r="A15" s="26" t="s">
        <v>301</v>
      </c>
      <c r="B15" s="8" t="s">
        <v>310</v>
      </c>
      <c r="C15" s="16" t="s">
        <v>114</v>
      </c>
      <c r="D15" s="17" t="s">
        <v>281</v>
      </c>
      <c r="E15" s="33" t="s">
        <v>316</v>
      </c>
      <c r="F15" s="18"/>
      <c r="G15" s="17">
        <f t="shared" si="0"/>
        <v>3</v>
      </c>
      <c r="H15" s="27">
        <v>2022</v>
      </c>
      <c r="I15" s="27">
        <v>2025</v>
      </c>
      <c r="J15" s="19" t="str">
        <f t="shared" si="1"/>
        <v>Existing</v>
      </c>
      <c r="K15" s="18"/>
      <c r="L15" s="18" t="s">
        <v>315</v>
      </c>
      <c r="M15" s="28">
        <v>42000</v>
      </c>
      <c r="N15" s="18"/>
      <c r="O15" s="18"/>
      <c r="P15" s="32" t="s">
        <v>945</v>
      </c>
      <c r="Q15" s="19" t="s">
        <v>306</v>
      </c>
      <c r="R15" s="19" t="s">
        <v>946</v>
      </c>
    </row>
    <row r="16" spans="1:18" ht="15">
      <c r="A16" s="15" t="s">
        <v>317</v>
      </c>
      <c r="B16" s="21" t="s">
        <v>948</v>
      </c>
      <c r="C16" s="34" t="s">
        <v>5</v>
      </c>
      <c r="D16" s="17" t="s">
        <v>281</v>
      </c>
      <c r="E16" s="18" t="s">
        <v>319</v>
      </c>
      <c r="F16" s="18"/>
      <c r="G16" s="17">
        <f t="shared" si="0"/>
        <v>3</v>
      </c>
      <c r="H16" s="19">
        <v>2021</v>
      </c>
      <c r="I16" s="19">
        <v>2024</v>
      </c>
      <c r="J16" s="19" t="str">
        <f t="shared" si="1"/>
        <v>Existing</v>
      </c>
      <c r="K16" s="18" t="s">
        <v>253</v>
      </c>
      <c r="L16" s="18" t="s">
        <v>320</v>
      </c>
      <c r="M16" s="22">
        <v>10500</v>
      </c>
      <c r="N16" s="18"/>
      <c r="O16" s="18"/>
      <c r="P16" s="18"/>
      <c r="Q16" s="19" t="s">
        <v>322</v>
      </c>
      <c r="R16" s="17" t="s">
        <v>874</v>
      </c>
    </row>
    <row r="17" spans="1:20" ht="16">
      <c r="A17" s="15" t="s">
        <v>317</v>
      </c>
      <c r="B17" s="21" t="s">
        <v>948</v>
      </c>
      <c r="C17" s="16" t="s">
        <v>121</v>
      </c>
      <c r="D17" s="17" t="s">
        <v>281</v>
      </c>
      <c r="E17" s="18" t="s">
        <v>323</v>
      </c>
      <c r="F17" s="18"/>
      <c r="G17" s="17">
        <f t="shared" si="0"/>
        <v>3</v>
      </c>
      <c r="H17" s="19">
        <v>2021</v>
      </c>
      <c r="I17" s="19">
        <v>2024</v>
      </c>
      <c r="J17" s="19" t="str">
        <f t="shared" si="1"/>
        <v>Existing</v>
      </c>
      <c r="K17" s="18" t="s">
        <v>253</v>
      </c>
      <c r="L17" s="18" t="s">
        <v>315</v>
      </c>
      <c r="M17" s="22">
        <v>18000</v>
      </c>
      <c r="N17" s="18"/>
      <c r="O17" s="18"/>
      <c r="P17" s="136"/>
      <c r="Q17" s="19" t="s">
        <v>322</v>
      </c>
      <c r="R17" s="17" t="s">
        <v>874</v>
      </c>
    </row>
    <row r="18" spans="1:20" ht="16">
      <c r="A18" s="137" t="s">
        <v>317</v>
      </c>
      <c r="B18" s="138" t="s">
        <v>948</v>
      </c>
      <c r="C18" s="139" t="s">
        <v>121</v>
      </c>
      <c r="D18" s="140"/>
      <c r="E18" s="141"/>
      <c r="F18" s="49"/>
      <c r="G18" s="140">
        <f t="shared" si="0"/>
        <v>0</v>
      </c>
      <c r="H18" s="142"/>
      <c r="I18" s="142"/>
      <c r="J18" s="142"/>
      <c r="K18" s="49"/>
      <c r="L18" s="49" t="s">
        <v>315</v>
      </c>
      <c r="M18" s="143">
        <v>11500</v>
      </c>
      <c r="N18" s="49"/>
      <c r="O18" s="49"/>
      <c r="P18" s="136"/>
      <c r="Q18" s="142" t="s">
        <v>322</v>
      </c>
      <c r="R18" s="140" t="s">
        <v>874</v>
      </c>
      <c r="S18" s="35"/>
      <c r="T18" s="35"/>
    </row>
    <row r="19" spans="1:20" ht="16">
      <c r="A19" s="15" t="s">
        <v>317</v>
      </c>
      <c r="B19" s="21" t="s">
        <v>948</v>
      </c>
      <c r="C19" s="16" t="s">
        <v>175</v>
      </c>
      <c r="D19" s="17" t="s">
        <v>281</v>
      </c>
      <c r="E19" s="18" t="s">
        <v>324</v>
      </c>
      <c r="F19" s="18"/>
      <c r="G19" s="17">
        <f t="shared" si="0"/>
        <v>3</v>
      </c>
      <c r="H19" s="19">
        <v>2021</v>
      </c>
      <c r="I19" s="19">
        <v>2024</v>
      </c>
      <c r="J19" s="19" t="str">
        <f>IF(I19=2023,"Retention", "Existing")</f>
        <v>Existing</v>
      </c>
      <c r="K19" s="18" t="s">
        <v>248</v>
      </c>
      <c r="L19" s="18" t="s">
        <v>315</v>
      </c>
      <c r="M19" s="22">
        <v>10000</v>
      </c>
      <c r="N19" s="18"/>
      <c r="O19" s="18"/>
      <c r="P19" s="136"/>
      <c r="Q19" s="19" t="s">
        <v>322</v>
      </c>
      <c r="R19" s="17" t="s">
        <v>409</v>
      </c>
    </row>
    <row r="20" spans="1:20" ht="16">
      <c r="A20" s="137" t="s">
        <v>317</v>
      </c>
      <c r="B20" s="138" t="s">
        <v>948</v>
      </c>
      <c r="C20" s="139" t="s">
        <v>175</v>
      </c>
      <c r="D20" s="140"/>
      <c r="E20" s="18"/>
      <c r="F20" s="49"/>
      <c r="G20" s="140">
        <f t="shared" si="0"/>
        <v>0</v>
      </c>
      <c r="H20" s="142"/>
      <c r="I20" s="142"/>
      <c r="J20" s="142"/>
      <c r="K20" s="49"/>
      <c r="L20" s="49" t="s">
        <v>315</v>
      </c>
      <c r="M20" s="143">
        <v>10000</v>
      </c>
      <c r="N20" s="49"/>
      <c r="O20" s="49"/>
      <c r="P20" s="136"/>
      <c r="Q20" s="142" t="s">
        <v>322</v>
      </c>
      <c r="R20" s="140" t="s">
        <v>409</v>
      </c>
      <c r="S20" s="35"/>
      <c r="T20" s="35"/>
    </row>
    <row r="21" spans="1:20" ht="16">
      <c r="A21" s="15" t="s">
        <v>317</v>
      </c>
      <c r="B21" s="21" t="s">
        <v>948</v>
      </c>
      <c r="C21" s="16" t="s">
        <v>325</v>
      </c>
      <c r="D21" s="17" t="s">
        <v>281</v>
      </c>
      <c r="E21" s="18" t="s">
        <v>326</v>
      </c>
      <c r="F21" s="18"/>
      <c r="G21" s="17">
        <f t="shared" si="0"/>
        <v>3</v>
      </c>
      <c r="H21" s="19">
        <v>2021</v>
      </c>
      <c r="I21" s="19">
        <v>2024</v>
      </c>
      <c r="J21" s="19" t="str">
        <f t="shared" ref="J21:J24" si="2">IF(I21=2023,"Retention", "Existing")</f>
        <v>Existing</v>
      </c>
      <c r="K21" s="18" t="s">
        <v>248</v>
      </c>
      <c r="L21" s="18" t="s">
        <v>254</v>
      </c>
      <c r="M21" s="22">
        <v>15000</v>
      </c>
      <c r="N21" s="18"/>
      <c r="O21" s="18"/>
      <c r="P21" s="18"/>
      <c r="Q21" s="19" t="s">
        <v>322</v>
      </c>
      <c r="R21" s="17" t="s">
        <v>949</v>
      </c>
    </row>
    <row r="22" spans="1:20" ht="16">
      <c r="A22" s="15" t="s">
        <v>317</v>
      </c>
      <c r="B22" s="21" t="s">
        <v>948</v>
      </c>
      <c r="C22" s="16" t="s">
        <v>327</v>
      </c>
      <c r="D22" s="17" t="s">
        <v>281</v>
      </c>
      <c r="E22" s="18" t="s">
        <v>328</v>
      </c>
      <c r="F22" s="18"/>
      <c r="G22" s="17">
        <f t="shared" si="0"/>
        <v>3</v>
      </c>
      <c r="H22" s="19">
        <v>2021</v>
      </c>
      <c r="I22" s="19">
        <v>2024</v>
      </c>
      <c r="J22" s="19" t="str">
        <f t="shared" si="2"/>
        <v>Existing</v>
      </c>
      <c r="K22" s="18" t="s">
        <v>248</v>
      </c>
      <c r="L22" s="18" t="s">
        <v>254</v>
      </c>
      <c r="M22" s="22">
        <v>13000</v>
      </c>
      <c r="N22" s="18"/>
      <c r="O22" s="18"/>
      <c r="P22" s="18"/>
      <c r="Q22" s="19" t="s">
        <v>322</v>
      </c>
      <c r="R22" s="17" t="s">
        <v>949</v>
      </c>
    </row>
    <row r="23" spans="1:20" ht="16">
      <c r="A23" s="15" t="s">
        <v>317</v>
      </c>
      <c r="B23" s="21" t="s">
        <v>948</v>
      </c>
      <c r="C23" s="16" t="s">
        <v>4</v>
      </c>
      <c r="D23" s="17" t="s">
        <v>281</v>
      </c>
      <c r="E23" s="18" t="s">
        <v>329</v>
      </c>
      <c r="F23" s="18"/>
      <c r="G23" s="17">
        <f t="shared" si="0"/>
        <v>3</v>
      </c>
      <c r="H23" s="19">
        <v>2021</v>
      </c>
      <c r="I23" s="19">
        <v>2024</v>
      </c>
      <c r="J23" s="19" t="str">
        <f t="shared" si="2"/>
        <v>Existing</v>
      </c>
      <c r="K23" s="18" t="s">
        <v>253</v>
      </c>
      <c r="L23" s="18" t="s">
        <v>245</v>
      </c>
      <c r="M23" s="22">
        <v>13000</v>
      </c>
      <c r="N23" s="18"/>
      <c r="O23" s="18"/>
      <c r="P23" s="18"/>
      <c r="Q23" s="19" t="s">
        <v>322</v>
      </c>
      <c r="R23" s="17" t="s">
        <v>949</v>
      </c>
    </row>
    <row r="24" spans="1:20" ht="16">
      <c r="A24" s="15" t="s">
        <v>317</v>
      </c>
      <c r="B24" s="21" t="s">
        <v>948</v>
      </c>
      <c r="C24" s="16" t="s">
        <v>154</v>
      </c>
      <c r="D24" s="17" t="s">
        <v>281</v>
      </c>
      <c r="E24" s="33" t="s">
        <v>330</v>
      </c>
      <c r="F24" s="18"/>
      <c r="G24" s="17">
        <f t="shared" si="0"/>
        <v>3</v>
      </c>
      <c r="H24" s="19">
        <v>2021</v>
      </c>
      <c r="I24" s="19">
        <v>2024</v>
      </c>
      <c r="J24" s="19" t="str">
        <f t="shared" si="2"/>
        <v>Existing</v>
      </c>
      <c r="K24" s="18" t="s">
        <v>253</v>
      </c>
      <c r="L24" s="18" t="s">
        <v>331</v>
      </c>
      <c r="M24" s="22">
        <v>20000</v>
      </c>
      <c r="N24" s="18"/>
      <c r="O24" s="18"/>
      <c r="P24" s="18"/>
      <c r="Q24" s="19" t="s">
        <v>322</v>
      </c>
      <c r="R24" s="17" t="s">
        <v>949</v>
      </c>
    </row>
    <row r="25" spans="1:20" ht="16">
      <c r="A25" s="45" t="s">
        <v>317</v>
      </c>
      <c r="B25" s="144" t="s">
        <v>948</v>
      </c>
      <c r="C25" s="145" t="s">
        <v>154</v>
      </c>
      <c r="D25" s="48"/>
      <c r="E25" s="33" t="s">
        <v>330</v>
      </c>
      <c r="F25" s="47"/>
      <c r="G25" s="48">
        <f t="shared" si="0"/>
        <v>0</v>
      </c>
      <c r="H25" s="55"/>
      <c r="I25" s="55"/>
      <c r="J25" s="55"/>
      <c r="K25" s="47"/>
      <c r="L25" s="47" t="s">
        <v>331</v>
      </c>
      <c r="M25" s="56">
        <v>13000</v>
      </c>
      <c r="N25" s="47"/>
      <c r="O25" s="47"/>
      <c r="P25" s="47"/>
      <c r="Q25" s="55" t="s">
        <v>322</v>
      </c>
      <c r="R25" s="17" t="s">
        <v>949</v>
      </c>
      <c r="S25" s="54"/>
      <c r="T25" s="54"/>
    </row>
    <row r="26" spans="1:20" ht="16">
      <c r="A26" s="15" t="s">
        <v>317</v>
      </c>
      <c r="B26" s="21" t="s">
        <v>948</v>
      </c>
      <c r="C26" s="16" t="s">
        <v>6</v>
      </c>
      <c r="D26" s="17" t="s">
        <v>281</v>
      </c>
      <c r="E26" s="33" t="s">
        <v>332</v>
      </c>
      <c r="F26" s="18"/>
      <c r="G26" s="17">
        <f t="shared" si="0"/>
        <v>3</v>
      </c>
      <c r="H26" s="19">
        <v>2021</v>
      </c>
      <c r="I26" s="19">
        <v>2024</v>
      </c>
      <c r="J26" s="19" t="str">
        <f>IF(I26=2023,"Retention", "Existing")</f>
        <v>Existing</v>
      </c>
      <c r="K26" s="18" t="s">
        <v>253</v>
      </c>
      <c r="L26" s="18" t="s">
        <v>315</v>
      </c>
      <c r="M26" s="22">
        <v>13000</v>
      </c>
      <c r="N26" s="18"/>
      <c r="O26" s="18"/>
      <c r="P26" s="18"/>
      <c r="Q26" s="19" t="s">
        <v>322</v>
      </c>
      <c r="R26" s="17" t="s">
        <v>949</v>
      </c>
    </row>
    <row r="27" spans="1:20" ht="16">
      <c r="A27" s="45" t="s">
        <v>317</v>
      </c>
      <c r="B27" s="144" t="s">
        <v>948</v>
      </c>
      <c r="C27" s="145" t="s">
        <v>6</v>
      </c>
      <c r="D27" s="48"/>
      <c r="E27" s="33" t="s">
        <v>332</v>
      </c>
      <c r="F27" s="47"/>
      <c r="G27" s="48"/>
      <c r="H27" s="55"/>
      <c r="I27" s="55"/>
      <c r="J27" s="55"/>
      <c r="K27" s="47"/>
      <c r="L27" s="47" t="s">
        <v>315</v>
      </c>
      <c r="M27" s="56"/>
      <c r="N27" s="47"/>
      <c r="O27" s="47"/>
      <c r="P27" s="47"/>
      <c r="Q27" s="19" t="s">
        <v>322</v>
      </c>
      <c r="R27" s="17" t="s">
        <v>949</v>
      </c>
      <c r="S27" s="54"/>
      <c r="T27" s="54"/>
    </row>
    <row r="28" spans="1:20" ht="16">
      <c r="A28" s="15" t="s">
        <v>317</v>
      </c>
      <c r="B28" s="21" t="s">
        <v>948</v>
      </c>
      <c r="C28" s="16" t="s">
        <v>81</v>
      </c>
      <c r="D28" s="17" t="s">
        <v>281</v>
      </c>
      <c r="E28" s="18" t="s">
        <v>333</v>
      </c>
      <c r="F28" s="18"/>
      <c r="G28" s="17">
        <f t="shared" ref="G28:G29" si="3">I28-H28</f>
        <v>3</v>
      </c>
      <c r="H28" s="19">
        <v>2021</v>
      </c>
      <c r="I28" s="19">
        <v>2024</v>
      </c>
      <c r="J28" s="19" t="str">
        <f t="shared" ref="J28:J29" si="4">IF(I28=2023,"Retention", "Existing")</f>
        <v>Existing</v>
      </c>
      <c r="K28" s="18" t="s">
        <v>253</v>
      </c>
      <c r="L28" s="18" t="s">
        <v>245</v>
      </c>
      <c r="M28" s="22">
        <v>55000</v>
      </c>
      <c r="N28" s="18"/>
      <c r="O28" s="18"/>
      <c r="P28" s="18"/>
      <c r="Q28" s="19" t="s">
        <v>322</v>
      </c>
      <c r="R28" s="17" t="s">
        <v>949</v>
      </c>
    </row>
    <row r="29" spans="1:20" ht="16">
      <c r="A29" s="15" t="s">
        <v>317</v>
      </c>
      <c r="B29" s="21" t="s">
        <v>948</v>
      </c>
      <c r="C29" s="16" t="s">
        <v>147</v>
      </c>
      <c r="D29" s="17" t="s">
        <v>281</v>
      </c>
      <c r="E29" s="18" t="s">
        <v>334</v>
      </c>
      <c r="F29" s="18"/>
      <c r="G29" s="17">
        <f t="shared" si="3"/>
        <v>3</v>
      </c>
      <c r="H29" s="19">
        <v>2021</v>
      </c>
      <c r="I29" s="19">
        <v>2024</v>
      </c>
      <c r="J29" s="19" t="str">
        <f t="shared" si="4"/>
        <v>Existing</v>
      </c>
      <c r="K29" s="18" t="s">
        <v>253</v>
      </c>
      <c r="L29" s="18" t="s">
        <v>331</v>
      </c>
      <c r="M29" s="22">
        <v>55000</v>
      </c>
      <c r="N29" s="18"/>
      <c r="O29" s="18"/>
      <c r="P29" s="18"/>
      <c r="Q29" s="19" t="s">
        <v>322</v>
      </c>
      <c r="R29" s="17" t="s">
        <v>409</v>
      </c>
    </row>
    <row r="30" spans="1:20" ht="16">
      <c r="A30" s="15" t="s">
        <v>317</v>
      </c>
      <c r="B30" s="21" t="s">
        <v>948</v>
      </c>
      <c r="C30" s="16" t="s">
        <v>147</v>
      </c>
      <c r="D30" s="17"/>
      <c r="E30" s="18"/>
      <c r="F30" s="146"/>
      <c r="G30" s="110"/>
      <c r="H30" s="147"/>
      <c r="I30" s="147"/>
      <c r="J30" s="147"/>
      <c r="K30" s="146"/>
      <c r="L30" s="146"/>
      <c r="M30" s="80"/>
      <c r="N30" s="146"/>
      <c r="O30" s="146"/>
      <c r="P30" s="146"/>
      <c r="Q30" s="147"/>
      <c r="R30" s="110"/>
    </row>
    <row r="31" spans="1:20" ht="16">
      <c r="A31" s="15" t="s">
        <v>317</v>
      </c>
      <c r="B31" s="21" t="s">
        <v>948</v>
      </c>
      <c r="C31" s="16" t="s">
        <v>103</v>
      </c>
      <c r="D31" s="17" t="s">
        <v>281</v>
      </c>
      <c r="E31" s="33" t="s">
        <v>335</v>
      </c>
      <c r="F31" s="146"/>
      <c r="G31" s="110">
        <f>I31-H31</f>
        <v>3</v>
      </c>
      <c r="H31" s="147">
        <v>2021</v>
      </c>
      <c r="I31" s="147">
        <v>2024</v>
      </c>
      <c r="J31" s="147" t="str">
        <f>IF(I31=2023,"Retention", "Existing")</f>
        <v>Existing</v>
      </c>
      <c r="K31" s="146" t="s">
        <v>253</v>
      </c>
      <c r="L31" s="146" t="s">
        <v>374</v>
      </c>
      <c r="M31" s="80">
        <v>36000</v>
      </c>
      <c r="N31" s="146"/>
      <c r="O31" s="146"/>
      <c r="P31" s="146"/>
      <c r="Q31" s="147" t="s">
        <v>322</v>
      </c>
      <c r="R31" s="110" t="s">
        <v>874</v>
      </c>
    </row>
    <row r="32" spans="1:20" ht="16">
      <c r="A32" s="45" t="s">
        <v>317</v>
      </c>
      <c r="B32" s="144" t="s">
        <v>948</v>
      </c>
      <c r="C32" s="145" t="s">
        <v>103</v>
      </c>
      <c r="D32" s="48"/>
      <c r="E32" s="33"/>
      <c r="F32" s="148"/>
      <c r="G32" s="149"/>
      <c r="H32" s="150"/>
      <c r="I32" s="150"/>
      <c r="J32" s="150"/>
      <c r="K32" s="148"/>
      <c r="L32" s="148"/>
      <c r="M32" s="151"/>
      <c r="N32" s="148"/>
      <c r="O32" s="148"/>
      <c r="P32" s="148"/>
      <c r="Q32" s="150"/>
      <c r="R32" s="149"/>
      <c r="S32" s="54"/>
      <c r="T32" s="54"/>
    </row>
    <row r="33" spans="1:20" ht="29">
      <c r="A33" s="26" t="s">
        <v>336</v>
      </c>
      <c r="B33" s="37" t="s">
        <v>337</v>
      </c>
      <c r="C33" s="34" t="s">
        <v>950</v>
      </c>
      <c r="D33" s="17" t="s">
        <v>339</v>
      </c>
      <c r="E33" s="18" t="s">
        <v>340</v>
      </c>
      <c r="F33" s="152"/>
      <c r="G33" s="153">
        <f t="shared" ref="G33:G56" si="5">I33-H33</f>
        <v>3</v>
      </c>
      <c r="H33" s="154">
        <v>2020</v>
      </c>
      <c r="I33" s="154">
        <v>2023</v>
      </c>
      <c r="J33" s="154" t="str">
        <f t="shared" ref="J33:J56" si="6">IF(I33=2023,"Retention", "Existing")</f>
        <v>Retention</v>
      </c>
      <c r="K33" s="152" t="s">
        <v>253</v>
      </c>
      <c r="L33" s="152" t="s">
        <v>245</v>
      </c>
      <c r="M33" s="155">
        <v>55000</v>
      </c>
      <c r="N33" s="152"/>
      <c r="O33" s="152"/>
      <c r="P33" s="152"/>
      <c r="Q33" s="154" t="s">
        <v>342</v>
      </c>
      <c r="R33" s="153" t="s">
        <v>343</v>
      </c>
      <c r="S33" s="156"/>
      <c r="T33" s="156"/>
    </row>
    <row r="34" spans="1:20" ht="29">
      <c r="A34" s="26" t="s">
        <v>336</v>
      </c>
      <c r="B34" s="37" t="s">
        <v>337</v>
      </c>
      <c r="C34" s="34" t="s">
        <v>951</v>
      </c>
      <c r="D34" s="17" t="s">
        <v>339</v>
      </c>
      <c r="E34" s="33" t="s">
        <v>344</v>
      </c>
      <c r="F34" s="18"/>
      <c r="G34" s="17">
        <f t="shared" si="5"/>
        <v>3</v>
      </c>
      <c r="H34" s="19">
        <v>2020</v>
      </c>
      <c r="I34" s="19">
        <v>2023</v>
      </c>
      <c r="J34" s="19" t="str">
        <f t="shared" si="6"/>
        <v>Retention</v>
      </c>
      <c r="K34" s="18" t="s">
        <v>253</v>
      </c>
      <c r="L34" s="18" t="s">
        <v>245</v>
      </c>
      <c r="M34" s="22">
        <v>36000</v>
      </c>
      <c r="N34" s="18"/>
      <c r="O34" s="18"/>
      <c r="P34" s="18"/>
      <c r="Q34" s="19" t="s">
        <v>342</v>
      </c>
      <c r="R34" s="17" t="s">
        <v>343</v>
      </c>
    </row>
    <row r="35" spans="1:20" ht="29">
      <c r="A35" s="26" t="s">
        <v>336</v>
      </c>
      <c r="B35" s="37" t="s">
        <v>337</v>
      </c>
      <c r="C35" s="34" t="s">
        <v>1</v>
      </c>
      <c r="D35" s="17" t="s">
        <v>339</v>
      </c>
      <c r="E35" s="33" t="s">
        <v>346</v>
      </c>
      <c r="F35" s="18"/>
      <c r="G35" s="17">
        <f t="shared" si="5"/>
        <v>3</v>
      </c>
      <c r="H35" s="19">
        <v>2020</v>
      </c>
      <c r="I35" s="19">
        <v>2023</v>
      </c>
      <c r="J35" s="19" t="str">
        <f t="shared" si="6"/>
        <v>Retention</v>
      </c>
      <c r="K35" s="18" t="s">
        <v>253</v>
      </c>
      <c r="L35" s="18" t="s">
        <v>245</v>
      </c>
      <c r="M35" s="22">
        <v>36000</v>
      </c>
      <c r="N35" s="18"/>
      <c r="O35" s="18"/>
      <c r="P35" s="18"/>
      <c r="Q35" s="19" t="s">
        <v>342</v>
      </c>
      <c r="R35" s="17" t="s">
        <v>343</v>
      </c>
    </row>
    <row r="36" spans="1:20" ht="29">
      <c r="A36" s="26" t="s">
        <v>336</v>
      </c>
      <c r="B36" s="37" t="s">
        <v>337</v>
      </c>
      <c r="C36" s="34" t="s">
        <v>952</v>
      </c>
      <c r="D36" s="17" t="s">
        <v>339</v>
      </c>
      <c r="E36" s="18" t="s">
        <v>347</v>
      </c>
      <c r="F36" s="18"/>
      <c r="G36" s="17">
        <f t="shared" si="5"/>
        <v>3</v>
      </c>
      <c r="H36" s="19">
        <v>2020</v>
      </c>
      <c r="I36" s="19">
        <v>2023</v>
      </c>
      <c r="J36" s="19" t="str">
        <f t="shared" si="6"/>
        <v>Retention</v>
      </c>
      <c r="K36" s="18" t="s">
        <v>253</v>
      </c>
      <c r="L36" s="18" t="s">
        <v>245</v>
      </c>
      <c r="M36" s="22">
        <v>40000</v>
      </c>
      <c r="N36" s="18"/>
      <c r="O36" s="18"/>
      <c r="P36" s="18"/>
      <c r="Q36" s="19" t="s">
        <v>342</v>
      </c>
      <c r="R36" s="17" t="s">
        <v>343</v>
      </c>
    </row>
    <row r="37" spans="1:20" ht="29">
      <c r="A37" s="26" t="s">
        <v>336</v>
      </c>
      <c r="B37" s="37" t="s">
        <v>337</v>
      </c>
      <c r="C37" s="34" t="s">
        <v>953</v>
      </c>
      <c r="D37" s="17" t="s">
        <v>339</v>
      </c>
      <c r="E37" s="33" t="s">
        <v>348</v>
      </c>
      <c r="F37" s="18"/>
      <c r="G37" s="17">
        <f t="shared" si="5"/>
        <v>3</v>
      </c>
      <c r="H37" s="19">
        <v>2020</v>
      </c>
      <c r="I37" s="19">
        <v>2023</v>
      </c>
      <c r="J37" s="19" t="str">
        <f t="shared" si="6"/>
        <v>Retention</v>
      </c>
      <c r="K37" s="18" t="s">
        <v>253</v>
      </c>
      <c r="L37" s="18" t="s">
        <v>245</v>
      </c>
      <c r="M37" s="22">
        <v>40000</v>
      </c>
      <c r="N37" s="18"/>
      <c r="O37" s="18"/>
      <c r="P37" s="18"/>
      <c r="Q37" s="19" t="s">
        <v>342</v>
      </c>
      <c r="R37" s="17" t="s">
        <v>343</v>
      </c>
    </row>
    <row r="38" spans="1:20" ht="29">
      <c r="A38" s="26" t="s">
        <v>336</v>
      </c>
      <c r="B38" s="37" t="s">
        <v>337</v>
      </c>
      <c r="C38" s="34" t="s">
        <v>8</v>
      </c>
      <c r="D38" s="17" t="s">
        <v>339</v>
      </c>
      <c r="E38" s="18" t="s">
        <v>350</v>
      </c>
      <c r="F38" s="18"/>
      <c r="G38" s="17">
        <f t="shared" si="5"/>
        <v>3</v>
      </c>
      <c r="H38" s="19">
        <v>2020</v>
      </c>
      <c r="I38" s="19">
        <v>2023</v>
      </c>
      <c r="J38" s="19" t="str">
        <f t="shared" si="6"/>
        <v>Retention</v>
      </c>
      <c r="K38" s="18" t="s">
        <v>253</v>
      </c>
      <c r="L38" s="18" t="s">
        <v>245</v>
      </c>
      <c r="M38" s="22">
        <v>40000</v>
      </c>
      <c r="N38" s="18"/>
      <c r="O38" s="18"/>
      <c r="P38" s="18"/>
      <c r="Q38" s="19" t="s">
        <v>342</v>
      </c>
      <c r="R38" s="17" t="s">
        <v>343</v>
      </c>
    </row>
    <row r="39" spans="1:20" ht="15">
      <c r="A39" s="15" t="s">
        <v>351</v>
      </c>
      <c r="B39" s="10" t="s">
        <v>954</v>
      </c>
      <c r="C39" s="34" t="s">
        <v>177</v>
      </c>
      <c r="D39" s="17" t="s">
        <v>339</v>
      </c>
      <c r="E39" s="18" t="s">
        <v>352</v>
      </c>
      <c r="F39" s="18"/>
      <c r="G39" s="17">
        <f t="shared" si="5"/>
        <v>3</v>
      </c>
      <c r="H39" s="19">
        <v>2020</v>
      </c>
      <c r="I39" s="19">
        <v>2023</v>
      </c>
      <c r="J39" s="19" t="str">
        <f t="shared" si="6"/>
        <v>Retention</v>
      </c>
      <c r="K39" s="18"/>
      <c r="L39" s="18" t="s">
        <v>245</v>
      </c>
      <c r="M39" s="22">
        <v>40000</v>
      </c>
      <c r="N39" s="18"/>
      <c r="O39" s="18"/>
      <c r="P39" s="18"/>
      <c r="Q39" s="19" t="s">
        <v>322</v>
      </c>
      <c r="R39" s="17" t="s">
        <v>425</v>
      </c>
    </row>
    <row r="40" spans="1:20" ht="15">
      <c r="A40" s="15" t="s">
        <v>351</v>
      </c>
      <c r="B40" s="10" t="s">
        <v>954</v>
      </c>
      <c r="C40" s="34" t="s">
        <v>122</v>
      </c>
      <c r="D40" s="17" t="s">
        <v>339</v>
      </c>
      <c r="E40" s="33" t="s">
        <v>355</v>
      </c>
      <c r="F40" s="18"/>
      <c r="G40" s="17">
        <f t="shared" si="5"/>
        <v>3</v>
      </c>
      <c r="H40" s="19">
        <v>2020</v>
      </c>
      <c r="I40" s="19">
        <v>2023</v>
      </c>
      <c r="J40" s="19" t="str">
        <f t="shared" si="6"/>
        <v>Retention</v>
      </c>
      <c r="K40" s="18"/>
      <c r="L40" s="18" t="s">
        <v>245</v>
      </c>
      <c r="M40" s="22">
        <v>10000</v>
      </c>
      <c r="N40" s="18"/>
      <c r="O40" s="18"/>
      <c r="P40" s="18"/>
      <c r="Q40" s="19" t="s">
        <v>322</v>
      </c>
      <c r="R40" s="17" t="s">
        <v>425</v>
      </c>
    </row>
    <row r="41" spans="1:20" ht="15">
      <c r="A41" s="15" t="s">
        <v>351</v>
      </c>
      <c r="B41" s="10" t="s">
        <v>954</v>
      </c>
      <c r="C41" s="34" t="s">
        <v>179</v>
      </c>
      <c r="D41" s="17" t="s">
        <v>339</v>
      </c>
      <c r="E41" s="33" t="s">
        <v>356</v>
      </c>
      <c r="F41" s="18"/>
      <c r="G41" s="17">
        <f t="shared" si="5"/>
        <v>3</v>
      </c>
      <c r="H41" s="19">
        <v>2020</v>
      </c>
      <c r="I41" s="19">
        <v>2023</v>
      </c>
      <c r="J41" s="19" t="str">
        <f t="shared" si="6"/>
        <v>Retention</v>
      </c>
      <c r="K41" s="18"/>
      <c r="L41" s="18" t="s">
        <v>245</v>
      </c>
      <c r="M41" s="22">
        <v>12000</v>
      </c>
      <c r="N41" s="18"/>
      <c r="O41" s="18"/>
      <c r="P41" s="18"/>
      <c r="Q41" s="19" t="s">
        <v>322</v>
      </c>
      <c r="R41" s="17" t="s">
        <v>425</v>
      </c>
    </row>
    <row r="42" spans="1:20" ht="15">
      <c r="A42" s="15" t="s">
        <v>351</v>
      </c>
      <c r="B42" s="10" t="s">
        <v>954</v>
      </c>
      <c r="C42" s="34" t="s">
        <v>123</v>
      </c>
      <c r="D42" s="17" t="s">
        <v>339</v>
      </c>
      <c r="E42" s="33" t="s">
        <v>357</v>
      </c>
      <c r="F42" s="18"/>
      <c r="G42" s="17">
        <f t="shared" si="5"/>
        <v>3</v>
      </c>
      <c r="H42" s="19">
        <v>2020</v>
      </c>
      <c r="I42" s="19">
        <v>2023</v>
      </c>
      <c r="J42" s="19" t="str">
        <f t="shared" si="6"/>
        <v>Retention</v>
      </c>
      <c r="K42" s="18"/>
      <c r="L42" s="18" t="s">
        <v>245</v>
      </c>
      <c r="M42" s="22">
        <v>30000</v>
      </c>
      <c r="N42" s="18"/>
      <c r="O42" s="18"/>
      <c r="P42" s="18"/>
      <c r="Q42" s="19" t="s">
        <v>322</v>
      </c>
      <c r="R42" s="17" t="s">
        <v>425</v>
      </c>
    </row>
    <row r="43" spans="1:20" ht="15">
      <c r="A43" s="15" t="s">
        <v>358</v>
      </c>
      <c r="B43" s="10" t="s">
        <v>359</v>
      </c>
      <c r="C43" s="34" t="s">
        <v>226</v>
      </c>
      <c r="D43" s="17" t="s">
        <v>339</v>
      </c>
      <c r="E43" s="18" t="s">
        <v>360</v>
      </c>
      <c r="F43" s="18"/>
      <c r="G43" s="17">
        <f t="shared" si="5"/>
        <v>3</v>
      </c>
      <c r="H43" s="19">
        <v>2020</v>
      </c>
      <c r="I43" s="19">
        <v>2023</v>
      </c>
      <c r="J43" s="19" t="str">
        <f t="shared" si="6"/>
        <v>Retention</v>
      </c>
      <c r="K43" s="18" t="s">
        <v>253</v>
      </c>
      <c r="L43" s="18" t="s">
        <v>254</v>
      </c>
      <c r="M43" s="22">
        <v>40000</v>
      </c>
      <c r="N43" s="18"/>
      <c r="O43" s="18"/>
      <c r="P43" s="18"/>
      <c r="Q43" s="19" t="s">
        <v>362</v>
      </c>
      <c r="R43" s="17" t="s">
        <v>295</v>
      </c>
    </row>
    <row r="44" spans="1:20" ht="15">
      <c r="A44" s="15" t="s">
        <v>358</v>
      </c>
      <c r="B44" s="10" t="s">
        <v>359</v>
      </c>
      <c r="C44" s="34" t="s">
        <v>75</v>
      </c>
      <c r="D44" s="17" t="s">
        <v>339</v>
      </c>
      <c r="E44" s="33" t="s">
        <v>363</v>
      </c>
      <c r="F44" s="18"/>
      <c r="G44" s="17">
        <f t="shared" si="5"/>
        <v>3</v>
      </c>
      <c r="H44" s="19">
        <v>2020</v>
      </c>
      <c r="I44" s="19">
        <v>2023</v>
      </c>
      <c r="J44" s="19" t="str">
        <f t="shared" si="6"/>
        <v>Retention</v>
      </c>
      <c r="K44" s="18" t="s">
        <v>253</v>
      </c>
      <c r="L44" s="18" t="s">
        <v>297</v>
      </c>
      <c r="M44" s="22">
        <v>750000</v>
      </c>
      <c r="N44" s="18"/>
      <c r="O44" s="18"/>
      <c r="P44" s="18"/>
      <c r="Q44" s="19" t="s">
        <v>362</v>
      </c>
      <c r="R44" s="17" t="s">
        <v>295</v>
      </c>
    </row>
    <row r="45" spans="1:20" ht="15">
      <c r="A45" s="15" t="s">
        <v>358</v>
      </c>
      <c r="B45" s="10" t="s">
        <v>359</v>
      </c>
      <c r="C45" s="34" t="s">
        <v>171</v>
      </c>
      <c r="D45" s="17" t="s">
        <v>339</v>
      </c>
      <c r="E45" s="33" t="s">
        <v>364</v>
      </c>
      <c r="F45" s="18"/>
      <c r="G45" s="17">
        <f t="shared" si="5"/>
        <v>3</v>
      </c>
      <c r="H45" s="19">
        <v>2020</v>
      </c>
      <c r="I45" s="19">
        <v>2023</v>
      </c>
      <c r="J45" s="19" t="str">
        <f t="shared" si="6"/>
        <v>Retention</v>
      </c>
      <c r="K45" s="18" t="s">
        <v>253</v>
      </c>
      <c r="L45" s="18" t="s">
        <v>315</v>
      </c>
      <c r="M45" s="22">
        <v>65000</v>
      </c>
      <c r="N45" s="18"/>
      <c r="O45" s="18"/>
      <c r="P45" s="18"/>
      <c r="Q45" s="19" t="s">
        <v>362</v>
      </c>
      <c r="R45" s="17" t="s">
        <v>295</v>
      </c>
    </row>
    <row r="46" spans="1:20" ht="15">
      <c r="A46" s="15" t="s">
        <v>358</v>
      </c>
      <c r="B46" s="10" t="s">
        <v>359</v>
      </c>
      <c r="C46" s="34" t="s">
        <v>91</v>
      </c>
      <c r="D46" s="17" t="s">
        <v>339</v>
      </c>
      <c r="E46" s="33" t="s">
        <v>365</v>
      </c>
      <c r="F46" s="18"/>
      <c r="G46" s="17">
        <f t="shared" si="5"/>
        <v>3</v>
      </c>
      <c r="H46" s="19">
        <v>2020</v>
      </c>
      <c r="I46" s="19">
        <v>2023</v>
      </c>
      <c r="J46" s="19" t="str">
        <f t="shared" si="6"/>
        <v>Retention</v>
      </c>
      <c r="K46" s="18" t="s">
        <v>253</v>
      </c>
      <c r="L46" s="18" t="s">
        <v>297</v>
      </c>
      <c r="M46" s="22">
        <v>49000</v>
      </c>
      <c r="N46" s="18"/>
      <c r="O46" s="18"/>
      <c r="P46" s="18"/>
      <c r="Q46" s="19" t="s">
        <v>362</v>
      </c>
      <c r="R46" s="17" t="s">
        <v>295</v>
      </c>
    </row>
    <row r="47" spans="1:20" ht="15">
      <c r="A47" s="15" t="s">
        <v>358</v>
      </c>
      <c r="B47" s="10" t="s">
        <v>359</v>
      </c>
      <c r="C47" s="34" t="s">
        <v>367</v>
      </c>
      <c r="D47" s="17" t="s">
        <v>339</v>
      </c>
      <c r="E47" s="33" t="s">
        <v>368</v>
      </c>
      <c r="F47" s="18"/>
      <c r="G47" s="17">
        <f t="shared" si="5"/>
        <v>1</v>
      </c>
      <c r="H47" s="19">
        <v>2022</v>
      </c>
      <c r="I47" s="19">
        <v>2023</v>
      </c>
      <c r="J47" s="19" t="str">
        <f t="shared" si="6"/>
        <v>Retention</v>
      </c>
      <c r="K47" s="18"/>
      <c r="L47" s="18" t="s">
        <v>254</v>
      </c>
      <c r="M47" s="22">
        <v>49000</v>
      </c>
      <c r="N47" s="18"/>
      <c r="O47" s="18"/>
      <c r="P47" s="18"/>
      <c r="Q47" s="19" t="s">
        <v>362</v>
      </c>
      <c r="R47" s="17" t="s">
        <v>295</v>
      </c>
    </row>
    <row r="48" spans="1:20" ht="15">
      <c r="A48" s="15" t="s">
        <v>358</v>
      </c>
      <c r="B48" s="10" t="s">
        <v>359</v>
      </c>
      <c r="C48" s="34" t="s">
        <v>74</v>
      </c>
      <c r="D48" s="17" t="s">
        <v>339</v>
      </c>
      <c r="E48" s="33" t="s">
        <v>370</v>
      </c>
      <c r="F48" s="18"/>
      <c r="G48" s="17">
        <f t="shared" si="5"/>
        <v>3</v>
      </c>
      <c r="H48" s="19">
        <v>2022</v>
      </c>
      <c r="I48" s="19">
        <v>2025</v>
      </c>
      <c r="J48" s="19" t="str">
        <f t="shared" si="6"/>
        <v>Existing</v>
      </c>
      <c r="K48" s="18"/>
      <c r="L48" s="18" t="s">
        <v>297</v>
      </c>
      <c r="M48" s="22">
        <v>49000</v>
      </c>
      <c r="N48" s="18"/>
      <c r="O48" s="18"/>
      <c r="P48" s="18"/>
      <c r="Q48" s="19" t="s">
        <v>362</v>
      </c>
      <c r="R48" s="17" t="s">
        <v>295</v>
      </c>
    </row>
    <row r="49" spans="1:20" ht="15">
      <c r="A49" s="15" t="s">
        <v>371</v>
      </c>
      <c r="B49" s="8" t="s">
        <v>372</v>
      </c>
      <c r="C49" s="34" t="s">
        <v>98</v>
      </c>
      <c r="D49" s="17" t="s">
        <v>339</v>
      </c>
      <c r="E49" s="18" t="s">
        <v>373</v>
      </c>
      <c r="F49" s="18"/>
      <c r="G49" s="17">
        <f t="shared" si="5"/>
        <v>3</v>
      </c>
      <c r="H49" s="19">
        <v>2022</v>
      </c>
      <c r="I49" s="19">
        <v>2025</v>
      </c>
      <c r="J49" s="19" t="str">
        <f t="shared" si="6"/>
        <v>Existing</v>
      </c>
      <c r="K49" s="18"/>
      <c r="L49" s="18" t="s">
        <v>374</v>
      </c>
      <c r="M49" s="22">
        <v>49000</v>
      </c>
      <c r="N49" s="18"/>
      <c r="O49" s="18"/>
      <c r="P49" s="18" t="s">
        <v>293</v>
      </c>
      <c r="Q49" s="19" t="s">
        <v>322</v>
      </c>
      <c r="R49" s="17" t="s">
        <v>286</v>
      </c>
    </row>
    <row r="50" spans="1:20" ht="15">
      <c r="A50" s="15" t="s">
        <v>371</v>
      </c>
      <c r="B50" s="8" t="s">
        <v>372</v>
      </c>
      <c r="C50" s="34" t="s">
        <v>135</v>
      </c>
      <c r="D50" s="17" t="s">
        <v>339</v>
      </c>
      <c r="E50" s="33" t="s">
        <v>376</v>
      </c>
      <c r="F50" s="18"/>
      <c r="G50" s="17">
        <f t="shared" si="5"/>
        <v>3</v>
      </c>
      <c r="H50" s="19">
        <v>2022</v>
      </c>
      <c r="I50" s="19">
        <v>2025</v>
      </c>
      <c r="J50" s="19" t="str">
        <f t="shared" si="6"/>
        <v>Existing</v>
      </c>
      <c r="K50" s="18"/>
      <c r="L50" s="18" t="s">
        <v>331</v>
      </c>
      <c r="M50" s="22">
        <v>46000</v>
      </c>
      <c r="N50" s="18"/>
      <c r="O50" s="18"/>
      <c r="P50" s="18" t="s">
        <v>293</v>
      </c>
      <c r="Q50" s="19" t="s">
        <v>322</v>
      </c>
      <c r="R50" s="17" t="s">
        <v>286</v>
      </c>
    </row>
    <row r="51" spans="1:20" ht="15">
      <c r="A51" s="15" t="s">
        <v>371</v>
      </c>
      <c r="B51" s="8" t="s">
        <v>372</v>
      </c>
      <c r="C51" s="34" t="s">
        <v>97</v>
      </c>
      <c r="D51" s="17" t="s">
        <v>339</v>
      </c>
      <c r="E51" s="33" t="s">
        <v>377</v>
      </c>
      <c r="F51" s="18"/>
      <c r="G51" s="17">
        <f t="shared" si="5"/>
        <v>3</v>
      </c>
      <c r="H51" s="19">
        <v>2022</v>
      </c>
      <c r="I51" s="19">
        <v>2025</v>
      </c>
      <c r="J51" s="19" t="str">
        <f t="shared" si="6"/>
        <v>Existing</v>
      </c>
      <c r="K51" s="18"/>
      <c r="L51" s="18" t="s">
        <v>315</v>
      </c>
      <c r="M51" s="22">
        <v>49000</v>
      </c>
      <c r="N51" s="18"/>
      <c r="O51" s="18"/>
      <c r="P51" s="18"/>
      <c r="Q51" s="19" t="s">
        <v>322</v>
      </c>
      <c r="R51" s="17" t="s">
        <v>286</v>
      </c>
    </row>
    <row r="52" spans="1:20" ht="15">
      <c r="A52" s="15" t="s">
        <v>371</v>
      </c>
      <c r="B52" s="8" t="s">
        <v>372</v>
      </c>
      <c r="C52" s="34" t="s">
        <v>134</v>
      </c>
      <c r="D52" s="17" t="s">
        <v>339</v>
      </c>
      <c r="E52" s="33" t="s">
        <v>378</v>
      </c>
      <c r="F52" s="18"/>
      <c r="G52" s="17">
        <f t="shared" si="5"/>
        <v>3</v>
      </c>
      <c r="H52" s="19">
        <v>2022</v>
      </c>
      <c r="I52" s="19">
        <v>2025</v>
      </c>
      <c r="J52" s="19" t="str">
        <f t="shared" si="6"/>
        <v>Existing</v>
      </c>
      <c r="K52" s="18"/>
      <c r="L52" s="18" t="s">
        <v>315</v>
      </c>
      <c r="M52" s="22">
        <v>49000</v>
      </c>
      <c r="N52" s="18"/>
      <c r="O52" s="18"/>
      <c r="P52" s="18"/>
      <c r="Q52" s="19" t="s">
        <v>322</v>
      </c>
      <c r="R52" s="17" t="s">
        <v>286</v>
      </c>
    </row>
    <row r="53" spans="1:20" ht="15">
      <c r="A53" s="15" t="s">
        <v>371</v>
      </c>
      <c r="B53" s="8" t="s">
        <v>372</v>
      </c>
      <c r="C53" s="34" t="s">
        <v>185</v>
      </c>
      <c r="D53" s="17" t="s">
        <v>339</v>
      </c>
      <c r="E53" s="33" t="s">
        <v>379</v>
      </c>
      <c r="F53" s="18"/>
      <c r="G53" s="17">
        <f t="shared" si="5"/>
        <v>3</v>
      </c>
      <c r="H53" s="19">
        <v>2022</v>
      </c>
      <c r="I53" s="19">
        <v>2025</v>
      </c>
      <c r="J53" s="19" t="str">
        <f t="shared" si="6"/>
        <v>Existing</v>
      </c>
      <c r="K53" s="18"/>
      <c r="L53" s="18" t="s">
        <v>254</v>
      </c>
      <c r="M53" s="22">
        <v>21000</v>
      </c>
      <c r="N53" s="18"/>
      <c r="O53" s="18"/>
      <c r="P53" s="18"/>
      <c r="Q53" s="19" t="s">
        <v>322</v>
      </c>
      <c r="R53" s="17" t="s">
        <v>286</v>
      </c>
    </row>
    <row r="54" spans="1:20" ht="15">
      <c r="A54" s="15" t="s">
        <v>371</v>
      </c>
      <c r="B54" s="8" t="s">
        <v>372</v>
      </c>
      <c r="C54" s="34" t="s">
        <v>22</v>
      </c>
      <c r="D54" s="17" t="s">
        <v>339</v>
      </c>
      <c r="E54" s="33" t="s">
        <v>380</v>
      </c>
      <c r="F54" s="18"/>
      <c r="G54" s="17">
        <f t="shared" si="5"/>
        <v>3</v>
      </c>
      <c r="H54" s="19">
        <v>2022</v>
      </c>
      <c r="I54" s="19">
        <v>2025</v>
      </c>
      <c r="J54" s="19" t="str">
        <f t="shared" si="6"/>
        <v>Existing</v>
      </c>
      <c r="K54" s="18"/>
      <c r="L54" s="18" t="s">
        <v>297</v>
      </c>
      <c r="M54" s="22">
        <v>21000</v>
      </c>
      <c r="N54" s="18"/>
      <c r="O54" s="18"/>
      <c r="P54" s="18"/>
      <c r="Q54" s="19" t="s">
        <v>322</v>
      </c>
      <c r="R54" s="17" t="s">
        <v>286</v>
      </c>
    </row>
    <row r="55" spans="1:20" ht="15">
      <c r="A55" s="15" t="s">
        <v>371</v>
      </c>
      <c r="B55" s="8" t="s">
        <v>372</v>
      </c>
      <c r="C55" s="34" t="s">
        <v>136</v>
      </c>
      <c r="D55" s="17" t="s">
        <v>339</v>
      </c>
      <c r="E55" s="33" t="s">
        <v>381</v>
      </c>
      <c r="F55" s="146"/>
      <c r="G55" s="110">
        <f t="shared" si="5"/>
        <v>3</v>
      </c>
      <c r="H55" s="147">
        <v>2022</v>
      </c>
      <c r="I55" s="147">
        <v>2025</v>
      </c>
      <c r="J55" s="147" t="str">
        <f t="shared" si="6"/>
        <v>Existing</v>
      </c>
      <c r="K55" s="146"/>
      <c r="L55" s="146" t="s">
        <v>315</v>
      </c>
      <c r="M55" s="80">
        <v>21000</v>
      </c>
      <c r="N55" s="146"/>
      <c r="O55" s="146"/>
      <c r="P55" s="146"/>
      <c r="Q55" s="147" t="s">
        <v>322</v>
      </c>
      <c r="R55" s="110" t="s">
        <v>286</v>
      </c>
    </row>
    <row r="56" spans="1:20" ht="15">
      <c r="A56" s="15" t="s">
        <v>383</v>
      </c>
      <c r="B56" s="10" t="s">
        <v>384</v>
      </c>
      <c r="C56" s="34" t="s">
        <v>385</v>
      </c>
      <c r="D56" s="17" t="s">
        <v>386</v>
      </c>
      <c r="E56" s="44" t="s">
        <v>387</v>
      </c>
      <c r="F56" s="152"/>
      <c r="G56" s="153">
        <f t="shared" si="5"/>
        <v>4</v>
      </c>
      <c r="H56" s="154">
        <v>2020</v>
      </c>
      <c r="I56" s="154">
        <v>2024</v>
      </c>
      <c r="J56" s="154" t="str">
        <f t="shared" si="6"/>
        <v>Existing</v>
      </c>
      <c r="K56" s="152" t="s">
        <v>253</v>
      </c>
      <c r="L56" s="152" t="s">
        <v>297</v>
      </c>
      <c r="M56" s="155">
        <v>21000</v>
      </c>
      <c r="N56" s="152"/>
      <c r="O56" s="152"/>
      <c r="P56" s="152"/>
      <c r="Q56" s="154" t="s">
        <v>389</v>
      </c>
      <c r="R56" s="19" t="s">
        <v>955</v>
      </c>
      <c r="S56" s="156"/>
      <c r="T56" s="156"/>
    </row>
    <row r="57" spans="1:20" ht="15">
      <c r="A57" s="45" t="s">
        <v>383</v>
      </c>
      <c r="B57" s="46" t="s">
        <v>384</v>
      </c>
      <c r="C57" s="47" t="s">
        <v>385</v>
      </c>
      <c r="D57" s="48"/>
      <c r="E57" s="10"/>
      <c r="F57" s="50"/>
      <c r="G57" s="51"/>
      <c r="H57" s="52"/>
      <c r="I57" s="52"/>
      <c r="J57" s="52"/>
      <c r="K57" s="50"/>
      <c r="L57" s="50" t="s">
        <v>297</v>
      </c>
      <c r="M57" s="53"/>
      <c r="N57" s="50"/>
      <c r="O57" s="50"/>
      <c r="P57" s="50"/>
      <c r="Q57" s="52"/>
      <c r="R57" s="19"/>
      <c r="S57" s="54"/>
      <c r="T57" s="54"/>
    </row>
    <row r="58" spans="1:20" ht="15">
      <c r="A58" s="15" t="s">
        <v>383</v>
      </c>
      <c r="B58" s="10" t="s">
        <v>384</v>
      </c>
      <c r="C58" s="34" t="s">
        <v>391</v>
      </c>
      <c r="D58" s="17" t="s">
        <v>386</v>
      </c>
      <c r="E58" s="18" t="s">
        <v>392</v>
      </c>
      <c r="F58" s="18"/>
      <c r="G58" s="17">
        <f>I58-H58</f>
        <v>4</v>
      </c>
      <c r="H58" s="19">
        <v>2020</v>
      </c>
      <c r="I58" s="19">
        <v>2024</v>
      </c>
      <c r="J58" s="19" t="str">
        <f>IF(I58=2023,"Retention", "Existing")</f>
        <v>Existing</v>
      </c>
      <c r="K58" s="18" t="s">
        <v>253</v>
      </c>
      <c r="L58" s="18" t="s">
        <v>315</v>
      </c>
      <c r="M58" s="22">
        <v>21000</v>
      </c>
      <c r="N58" s="18"/>
      <c r="O58" s="18"/>
      <c r="P58" s="18"/>
      <c r="Q58" s="19" t="s">
        <v>389</v>
      </c>
      <c r="R58" s="19" t="s">
        <v>955</v>
      </c>
    </row>
    <row r="59" spans="1:20" ht="15">
      <c r="A59" s="45" t="s">
        <v>383</v>
      </c>
      <c r="B59" s="46" t="s">
        <v>384</v>
      </c>
      <c r="C59" s="47" t="s">
        <v>391</v>
      </c>
      <c r="D59" s="48"/>
      <c r="E59" s="10"/>
      <c r="F59" s="47"/>
      <c r="G59" s="48"/>
      <c r="H59" s="55"/>
      <c r="I59" s="55"/>
      <c r="J59" s="55"/>
      <c r="K59" s="47"/>
      <c r="L59" s="47"/>
      <c r="M59" s="56"/>
      <c r="N59" s="47"/>
      <c r="O59" s="47"/>
      <c r="P59" s="47"/>
      <c r="Q59" s="55"/>
      <c r="R59" s="19"/>
      <c r="S59" s="54"/>
      <c r="T59" s="54"/>
    </row>
    <row r="60" spans="1:20" ht="15">
      <c r="A60" s="15" t="s">
        <v>383</v>
      </c>
      <c r="B60" s="10" t="s">
        <v>384</v>
      </c>
      <c r="C60" s="34" t="s">
        <v>393</v>
      </c>
      <c r="D60" s="17" t="s">
        <v>386</v>
      </c>
      <c r="E60" s="18" t="s">
        <v>394</v>
      </c>
      <c r="F60" s="18"/>
      <c r="G60" s="17">
        <f>I60-H60</f>
        <v>4</v>
      </c>
      <c r="H60" s="19">
        <v>2020</v>
      </c>
      <c r="I60" s="19">
        <v>2024</v>
      </c>
      <c r="J60" s="19" t="str">
        <f>IF(I60=2023,"Retention", "Existing")</f>
        <v>Existing</v>
      </c>
      <c r="K60" s="18" t="s">
        <v>253</v>
      </c>
      <c r="L60" s="18" t="s">
        <v>245</v>
      </c>
      <c r="M60" s="22">
        <v>21000</v>
      </c>
      <c r="N60" s="18"/>
      <c r="O60" s="18"/>
      <c r="P60" s="18"/>
      <c r="Q60" s="19" t="s">
        <v>389</v>
      </c>
      <c r="R60" s="19" t="s">
        <v>955</v>
      </c>
    </row>
    <row r="61" spans="1:20" ht="15">
      <c r="A61" s="45" t="s">
        <v>383</v>
      </c>
      <c r="B61" s="46" t="s">
        <v>384</v>
      </c>
      <c r="C61" s="47" t="s">
        <v>393</v>
      </c>
      <c r="D61" s="48"/>
      <c r="E61" s="10"/>
      <c r="F61" s="47"/>
      <c r="G61" s="48"/>
      <c r="H61" s="55"/>
      <c r="I61" s="55"/>
      <c r="J61" s="55"/>
      <c r="K61" s="47"/>
      <c r="L61" s="47"/>
      <c r="M61" s="56"/>
      <c r="N61" s="47"/>
      <c r="O61" s="47"/>
      <c r="P61" s="47"/>
      <c r="Q61" s="55"/>
      <c r="R61" s="19"/>
      <c r="S61" s="54"/>
      <c r="T61" s="54"/>
    </row>
    <row r="62" spans="1:20" ht="15">
      <c r="A62" s="15" t="s">
        <v>383</v>
      </c>
      <c r="B62" s="10" t="s">
        <v>384</v>
      </c>
      <c r="C62" s="34" t="s">
        <v>395</v>
      </c>
      <c r="D62" s="17" t="s">
        <v>386</v>
      </c>
      <c r="E62" s="18" t="s">
        <v>396</v>
      </c>
      <c r="F62" s="18"/>
      <c r="G62" s="17">
        <f>I62-H62</f>
        <v>4</v>
      </c>
      <c r="H62" s="19">
        <v>2020</v>
      </c>
      <c r="I62" s="19">
        <v>2024</v>
      </c>
      <c r="J62" s="19" t="str">
        <f>IF(I62=2023,"Retention", "Existing")</f>
        <v>Existing</v>
      </c>
      <c r="K62" s="18" t="s">
        <v>253</v>
      </c>
      <c r="L62" s="18" t="s">
        <v>315</v>
      </c>
      <c r="M62" s="22">
        <v>21000</v>
      </c>
      <c r="N62" s="18"/>
      <c r="O62" s="18"/>
      <c r="P62" s="18"/>
      <c r="Q62" s="19" t="s">
        <v>389</v>
      </c>
      <c r="R62" s="19" t="s">
        <v>955</v>
      </c>
    </row>
    <row r="63" spans="1:20" ht="15">
      <c r="A63" s="45" t="s">
        <v>383</v>
      </c>
      <c r="B63" s="46" t="s">
        <v>384</v>
      </c>
      <c r="C63" s="47" t="s">
        <v>395</v>
      </c>
      <c r="D63" s="48"/>
      <c r="E63" s="10"/>
      <c r="F63" s="47"/>
      <c r="G63" s="48"/>
      <c r="H63" s="55"/>
      <c r="I63" s="55"/>
      <c r="J63" s="55"/>
      <c r="K63" s="47"/>
      <c r="L63" s="47"/>
      <c r="M63" s="56"/>
      <c r="N63" s="47"/>
      <c r="O63" s="47"/>
      <c r="P63" s="47"/>
      <c r="Q63" s="55"/>
      <c r="R63" s="19"/>
      <c r="S63" s="54"/>
      <c r="T63" s="54"/>
    </row>
    <row r="64" spans="1:20" ht="15">
      <c r="A64" s="15" t="s">
        <v>383</v>
      </c>
      <c r="B64" s="10" t="s">
        <v>384</v>
      </c>
      <c r="C64" s="34" t="s">
        <v>397</v>
      </c>
      <c r="D64" s="17" t="s">
        <v>386</v>
      </c>
      <c r="E64" s="18" t="s">
        <v>398</v>
      </c>
      <c r="F64" s="18"/>
      <c r="G64" s="17">
        <f>I64-H64</f>
        <v>4</v>
      </c>
      <c r="H64" s="19">
        <v>2020</v>
      </c>
      <c r="I64" s="19">
        <v>2024</v>
      </c>
      <c r="J64" s="19" t="str">
        <f>IF(I64=2023,"Retention", "Existing")</f>
        <v>Existing</v>
      </c>
      <c r="K64" s="18" t="s">
        <v>248</v>
      </c>
      <c r="L64" s="18" t="s">
        <v>297</v>
      </c>
      <c r="M64" s="22">
        <v>21000</v>
      </c>
      <c r="N64" s="18"/>
      <c r="O64" s="18"/>
      <c r="P64" s="18"/>
      <c r="Q64" s="19" t="s">
        <v>389</v>
      </c>
      <c r="R64" s="19" t="s">
        <v>955</v>
      </c>
    </row>
    <row r="65" spans="1:20" ht="15">
      <c r="A65" s="45" t="s">
        <v>383</v>
      </c>
      <c r="B65" s="46" t="s">
        <v>384</v>
      </c>
      <c r="C65" s="47" t="s">
        <v>397</v>
      </c>
      <c r="D65" s="48"/>
      <c r="E65" s="10"/>
      <c r="F65" s="47"/>
      <c r="G65" s="48"/>
      <c r="H65" s="55"/>
      <c r="I65" s="55"/>
      <c r="J65" s="55"/>
      <c r="K65" s="47"/>
      <c r="L65" s="47"/>
      <c r="M65" s="56"/>
      <c r="N65" s="47"/>
      <c r="O65" s="47"/>
      <c r="P65" s="47"/>
      <c r="Q65" s="55"/>
      <c r="R65" s="19"/>
      <c r="S65" s="54"/>
      <c r="T65" s="54"/>
    </row>
    <row r="66" spans="1:20" ht="15">
      <c r="A66" s="15" t="s">
        <v>383</v>
      </c>
      <c r="B66" s="10" t="s">
        <v>384</v>
      </c>
      <c r="C66" s="34" t="s">
        <v>399</v>
      </c>
      <c r="D66" s="17" t="s">
        <v>386</v>
      </c>
      <c r="E66" s="18" t="s">
        <v>400</v>
      </c>
      <c r="F66" s="18"/>
      <c r="G66" s="17">
        <f>I66-H66</f>
        <v>4</v>
      </c>
      <c r="H66" s="19">
        <v>2020</v>
      </c>
      <c r="I66" s="19">
        <v>2024</v>
      </c>
      <c r="J66" s="19" t="str">
        <f>IF(I66=2023,"Retention", "Existing")</f>
        <v>Existing</v>
      </c>
      <c r="K66" s="18" t="s">
        <v>248</v>
      </c>
      <c r="L66" s="18" t="s">
        <v>315</v>
      </c>
      <c r="M66" s="22">
        <v>10000</v>
      </c>
      <c r="N66" s="18"/>
      <c r="O66" s="18"/>
      <c r="P66" s="18"/>
      <c r="Q66" s="19" t="s">
        <v>389</v>
      </c>
      <c r="R66" s="19" t="s">
        <v>955</v>
      </c>
    </row>
    <row r="67" spans="1:20" ht="15">
      <c r="A67" s="45" t="s">
        <v>383</v>
      </c>
      <c r="B67" s="46" t="s">
        <v>384</v>
      </c>
      <c r="C67" s="47" t="s">
        <v>399</v>
      </c>
      <c r="D67" s="48"/>
      <c r="E67" s="10"/>
      <c r="F67" s="47"/>
      <c r="G67" s="48"/>
      <c r="H67" s="55"/>
      <c r="I67" s="55"/>
      <c r="J67" s="55"/>
      <c r="K67" s="47"/>
      <c r="L67" s="47"/>
      <c r="M67" s="56"/>
      <c r="N67" s="47"/>
      <c r="O67" s="47"/>
      <c r="P67" s="47"/>
      <c r="Q67" s="55"/>
      <c r="R67" s="19"/>
      <c r="S67" s="54"/>
      <c r="T67" s="54"/>
    </row>
    <row r="68" spans="1:20" ht="15">
      <c r="A68" s="15" t="s">
        <v>383</v>
      </c>
      <c r="B68" s="10" t="s">
        <v>384</v>
      </c>
      <c r="C68" s="34" t="s">
        <v>401</v>
      </c>
      <c r="D68" s="17" t="s">
        <v>386</v>
      </c>
      <c r="E68" s="18" t="s">
        <v>402</v>
      </c>
      <c r="F68" s="18"/>
      <c r="G68" s="17">
        <f>I68-H68</f>
        <v>4</v>
      </c>
      <c r="H68" s="19">
        <v>2020</v>
      </c>
      <c r="I68" s="19">
        <v>2024</v>
      </c>
      <c r="J68" s="19" t="str">
        <f>IF(I68=2023,"Retention", "Existing")</f>
        <v>Existing</v>
      </c>
      <c r="K68" s="18" t="s">
        <v>253</v>
      </c>
      <c r="L68" s="18" t="s">
        <v>254</v>
      </c>
      <c r="M68" s="22">
        <v>10000</v>
      </c>
      <c r="N68" s="18"/>
      <c r="O68" s="18"/>
      <c r="P68" s="18"/>
      <c r="Q68" s="19" t="s">
        <v>389</v>
      </c>
      <c r="R68" s="19" t="s">
        <v>955</v>
      </c>
    </row>
    <row r="69" spans="1:20" ht="15">
      <c r="A69" s="45" t="s">
        <v>383</v>
      </c>
      <c r="B69" s="46" t="s">
        <v>384</v>
      </c>
      <c r="C69" s="47" t="s">
        <v>401</v>
      </c>
      <c r="D69" s="48"/>
      <c r="E69" s="10"/>
      <c r="F69" s="47"/>
      <c r="G69" s="48"/>
      <c r="H69" s="55"/>
      <c r="I69" s="55"/>
      <c r="J69" s="55"/>
      <c r="K69" s="47"/>
      <c r="L69" s="47"/>
      <c r="M69" s="56"/>
      <c r="N69" s="47"/>
      <c r="O69" s="47"/>
      <c r="P69" s="47"/>
      <c r="Q69" s="55"/>
      <c r="R69" s="19"/>
      <c r="S69" s="54"/>
      <c r="T69" s="54"/>
    </row>
    <row r="70" spans="1:20" ht="15">
      <c r="A70" s="15" t="s">
        <v>383</v>
      </c>
      <c r="B70" s="10" t="s">
        <v>384</v>
      </c>
      <c r="C70" s="34" t="s">
        <v>403</v>
      </c>
      <c r="D70" s="17" t="s">
        <v>386</v>
      </c>
      <c r="E70" s="18" t="s">
        <v>404</v>
      </c>
      <c r="F70" s="18"/>
      <c r="G70" s="17">
        <f>I70-H70</f>
        <v>4</v>
      </c>
      <c r="H70" s="19">
        <v>2020</v>
      </c>
      <c r="I70" s="19">
        <v>2024</v>
      </c>
      <c r="J70" s="19" t="str">
        <f>IF(I70=2023,"Retention", "Existing")</f>
        <v>Existing</v>
      </c>
      <c r="K70" s="18" t="s">
        <v>253</v>
      </c>
      <c r="L70" s="18" t="s">
        <v>315</v>
      </c>
      <c r="M70" s="22">
        <v>15000</v>
      </c>
      <c r="N70" s="18"/>
      <c r="O70" s="18"/>
      <c r="P70" s="18"/>
      <c r="Q70" s="19" t="s">
        <v>389</v>
      </c>
      <c r="R70" s="19" t="s">
        <v>955</v>
      </c>
    </row>
    <row r="71" spans="1:20" ht="15">
      <c r="A71" s="45" t="s">
        <v>383</v>
      </c>
      <c r="B71" s="46" t="s">
        <v>384</v>
      </c>
      <c r="C71" s="47" t="s">
        <v>403</v>
      </c>
      <c r="D71" s="48"/>
      <c r="E71" s="18" t="s">
        <v>405</v>
      </c>
      <c r="F71" s="47"/>
      <c r="G71" s="48"/>
      <c r="H71" s="55"/>
      <c r="I71" s="55"/>
      <c r="J71" s="55"/>
      <c r="K71" s="47"/>
      <c r="L71" s="47"/>
      <c r="M71" s="56"/>
      <c r="N71" s="47"/>
      <c r="O71" s="47"/>
      <c r="P71" s="47"/>
      <c r="Q71" s="55"/>
      <c r="R71" s="19"/>
      <c r="S71" s="54"/>
      <c r="T71" s="54"/>
    </row>
    <row r="72" spans="1:20" ht="15">
      <c r="A72" s="15" t="s">
        <v>406</v>
      </c>
      <c r="B72" s="8" t="s">
        <v>407</v>
      </c>
      <c r="C72" s="34" t="s">
        <v>230</v>
      </c>
      <c r="D72" s="17" t="s">
        <v>386</v>
      </c>
      <c r="E72" s="18" t="s">
        <v>408</v>
      </c>
      <c r="F72" s="18"/>
      <c r="G72" s="17">
        <f t="shared" ref="G72:G140" si="7">I72-H72</f>
        <v>3</v>
      </c>
      <c r="H72" s="19">
        <v>2022</v>
      </c>
      <c r="I72" s="19">
        <v>2025</v>
      </c>
      <c r="J72" s="19" t="str">
        <f t="shared" ref="J72:J196" si="8">IF(I72=2023,"Retention", "Existing")</f>
        <v>Existing</v>
      </c>
      <c r="K72" s="18"/>
      <c r="L72" s="18" t="s">
        <v>254</v>
      </c>
      <c r="M72" s="22">
        <v>15000</v>
      </c>
      <c r="N72" s="18"/>
      <c r="O72" s="18"/>
      <c r="P72" s="18"/>
      <c r="Q72" s="19" t="s">
        <v>389</v>
      </c>
      <c r="R72" s="17" t="s">
        <v>409</v>
      </c>
    </row>
    <row r="73" spans="1:20" ht="15">
      <c r="A73" s="15" t="s">
        <v>406</v>
      </c>
      <c r="B73" s="8" t="s">
        <v>407</v>
      </c>
      <c r="C73" s="34" t="s">
        <v>50</v>
      </c>
      <c r="D73" s="17" t="s">
        <v>386</v>
      </c>
      <c r="E73" s="18" t="s">
        <v>408</v>
      </c>
      <c r="F73" s="18"/>
      <c r="G73" s="17">
        <f t="shared" si="7"/>
        <v>3</v>
      </c>
      <c r="H73" s="19">
        <v>2022</v>
      </c>
      <c r="I73" s="19">
        <v>2025</v>
      </c>
      <c r="J73" s="19" t="str">
        <f t="shared" si="8"/>
        <v>Existing</v>
      </c>
      <c r="K73" s="18"/>
      <c r="L73" s="18" t="s">
        <v>297</v>
      </c>
      <c r="M73" s="22">
        <v>10000</v>
      </c>
      <c r="N73" s="18"/>
      <c r="O73" s="18"/>
      <c r="P73" s="18"/>
      <c r="Q73" s="19" t="s">
        <v>389</v>
      </c>
      <c r="R73" s="17" t="s">
        <v>409</v>
      </c>
    </row>
    <row r="74" spans="1:20" ht="15">
      <c r="A74" s="15" t="s">
        <v>406</v>
      </c>
      <c r="B74" s="8" t="s">
        <v>407</v>
      </c>
      <c r="C74" s="34" t="s">
        <v>157</v>
      </c>
      <c r="D74" s="17" t="s">
        <v>386</v>
      </c>
      <c r="E74" s="18" t="s">
        <v>410</v>
      </c>
      <c r="F74" s="18"/>
      <c r="G74" s="17">
        <f t="shared" si="7"/>
        <v>3</v>
      </c>
      <c r="H74" s="19">
        <v>2022</v>
      </c>
      <c r="I74" s="19">
        <v>2025</v>
      </c>
      <c r="J74" s="19" t="str">
        <f t="shared" si="8"/>
        <v>Existing</v>
      </c>
      <c r="K74" s="18"/>
      <c r="L74" s="18"/>
      <c r="M74" s="22">
        <v>10000</v>
      </c>
      <c r="N74" s="18"/>
      <c r="O74" s="18"/>
      <c r="P74" s="18"/>
      <c r="Q74" s="19" t="s">
        <v>389</v>
      </c>
      <c r="R74" s="17" t="s">
        <v>409</v>
      </c>
    </row>
    <row r="75" spans="1:20" ht="15">
      <c r="A75" s="15" t="s">
        <v>406</v>
      </c>
      <c r="B75" s="8" t="s">
        <v>407</v>
      </c>
      <c r="C75" s="34" t="s">
        <v>109</v>
      </c>
      <c r="D75" s="17" t="s">
        <v>386</v>
      </c>
      <c r="E75" s="18" t="s">
        <v>411</v>
      </c>
      <c r="F75" s="18"/>
      <c r="G75" s="17">
        <f t="shared" si="7"/>
        <v>3</v>
      </c>
      <c r="H75" s="19">
        <v>2022</v>
      </c>
      <c r="I75" s="19">
        <v>2025</v>
      </c>
      <c r="J75" s="19" t="str">
        <f t="shared" si="8"/>
        <v>Existing</v>
      </c>
      <c r="K75" s="18"/>
      <c r="L75" s="18" t="s">
        <v>315</v>
      </c>
      <c r="M75" s="22">
        <v>10000</v>
      </c>
      <c r="N75" s="18"/>
      <c r="O75" s="18"/>
      <c r="P75" s="18"/>
      <c r="Q75" s="19" t="s">
        <v>389</v>
      </c>
      <c r="R75" s="17" t="s">
        <v>409</v>
      </c>
    </row>
    <row r="76" spans="1:20" ht="15">
      <c r="A76" s="15" t="s">
        <v>406</v>
      </c>
      <c r="B76" s="8" t="s">
        <v>407</v>
      </c>
      <c r="C76" s="34" t="s">
        <v>202</v>
      </c>
      <c r="D76" s="17" t="s">
        <v>386</v>
      </c>
      <c r="E76" s="18" t="s">
        <v>412</v>
      </c>
      <c r="F76" s="18"/>
      <c r="G76" s="17">
        <f t="shared" si="7"/>
        <v>3</v>
      </c>
      <c r="H76" s="19">
        <v>2022</v>
      </c>
      <c r="I76" s="19">
        <v>2025</v>
      </c>
      <c r="J76" s="19" t="str">
        <f t="shared" si="8"/>
        <v>Existing</v>
      </c>
      <c r="K76" s="18"/>
      <c r="L76" s="18" t="s">
        <v>254</v>
      </c>
      <c r="M76" s="22">
        <v>10000</v>
      </c>
      <c r="N76" s="18"/>
      <c r="O76" s="18"/>
      <c r="P76" s="18"/>
      <c r="Q76" s="19" t="s">
        <v>389</v>
      </c>
      <c r="R76" s="17" t="s">
        <v>409</v>
      </c>
    </row>
    <row r="77" spans="1:20" ht="15">
      <c r="A77" s="15" t="s">
        <v>406</v>
      </c>
      <c r="B77" s="8" t="s">
        <v>407</v>
      </c>
      <c r="C77" s="34" t="s">
        <v>51</v>
      </c>
      <c r="D77" s="17" t="s">
        <v>386</v>
      </c>
      <c r="E77" s="33" t="s">
        <v>413</v>
      </c>
      <c r="F77" s="18"/>
      <c r="G77" s="17">
        <f t="shared" si="7"/>
        <v>3</v>
      </c>
      <c r="H77" s="19">
        <v>2022</v>
      </c>
      <c r="I77" s="19">
        <v>2025</v>
      </c>
      <c r="J77" s="19" t="str">
        <f t="shared" si="8"/>
        <v>Existing</v>
      </c>
      <c r="K77" s="18"/>
      <c r="L77" s="18" t="s">
        <v>297</v>
      </c>
      <c r="M77" s="22" t="s">
        <v>417</v>
      </c>
      <c r="N77" s="18"/>
      <c r="O77" s="18"/>
      <c r="P77" s="18"/>
      <c r="Q77" s="19" t="s">
        <v>389</v>
      </c>
      <c r="R77" s="17" t="s">
        <v>409</v>
      </c>
    </row>
    <row r="78" spans="1:20" ht="15">
      <c r="A78" s="15" t="s">
        <v>406</v>
      </c>
      <c r="B78" s="8" t="s">
        <v>407</v>
      </c>
      <c r="C78" s="34" t="s">
        <v>194</v>
      </c>
      <c r="D78" s="17" t="s">
        <v>386</v>
      </c>
      <c r="E78" s="57" t="s">
        <v>414</v>
      </c>
      <c r="F78" s="18"/>
      <c r="G78" s="17">
        <f t="shared" si="7"/>
        <v>3</v>
      </c>
      <c r="H78" s="19">
        <v>2022</v>
      </c>
      <c r="I78" s="19">
        <v>2025</v>
      </c>
      <c r="J78" s="19" t="str">
        <f t="shared" si="8"/>
        <v>Existing</v>
      </c>
      <c r="K78" s="18"/>
      <c r="L78" s="18" t="s">
        <v>254</v>
      </c>
      <c r="M78" s="22" t="s">
        <v>417</v>
      </c>
      <c r="N78" s="18"/>
      <c r="O78" s="18"/>
      <c r="P78" s="18"/>
      <c r="Q78" s="19" t="s">
        <v>389</v>
      </c>
      <c r="R78" s="17" t="s">
        <v>956</v>
      </c>
    </row>
    <row r="79" spans="1:20" ht="15">
      <c r="A79" s="15" t="s">
        <v>406</v>
      </c>
      <c r="B79" s="8" t="s">
        <v>407</v>
      </c>
      <c r="C79" s="34" t="s">
        <v>36</v>
      </c>
      <c r="D79" s="17" t="s">
        <v>386</v>
      </c>
      <c r="E79" s="33" t="s">
        <v>415</v>
      </c>
      <c r="F79" s="18"/>
      <c r="G79" s="17">
        <f t="shared" si="7"/>
        <v>3</v>
      </c>
      <c r="H79" s="19">
        <v>2022</v>
      </c>
      <c r="I79" s="19">
        <v>2025</v>
      </c>
      <c r="J79" s="19" t="str">
        <f t="shared" si="8"/>
        <v>Existing</v>
      </c>
      <c r="K79" s="18"/>
      <c r="L79" s="18" t="s">
        <v>297</v>
      </c>
      <c r="M79" s="22" t="s">
        <v>417</v>
      </c>
      <c r="N79" s="18"/>
      <c r="O79" s="18"/>
      <c r="P79" s="18"/>
      <c r="Q79" s="19" t="s">
        <v>389</v>
      </c>
      <c r="R79" s="17" t="s">
        <v>956</v>
      </c>
    </row>
    <row r="80" spans="1:20" ht="15">
      <c r="A80" s="15" t="s">
        <v>406</v>
      </c>
      <c r="B80" s="8" t="s">
        <v>407</v>
      </c>
      <c r="C80" s="34" t="s">
        <v>56</v>
      </c>
      <c r="D80" s="17" t="s">
        <v>386</v>
      </c>
      <c r="E80" s="33" t="s">
        <v>416</v>
      </c>
      <c r="F80" s="18"/>
      <c r="G80" s="17">
        <f t="shared" si="7"/>
        <v>3</v>
      </c>
      <c r="H80" s="19">
        <v>2022</v>
      </c>
      <c r="I80" s="19">
        <v>2025</v>
      </c>
      <c r="J80" s="19" t="str">
        <f t="shared" si="8"/>
        <v>Existing</v>
      </c>
      <c r="K80" s="18"/>
      <c r="L80" s="18" t="s">
        <v>297</v>
      </c>
      <c r="M80" s="22">
        <v>9000</v>
      </c>
      <c r="N80" s="18"/>
      <c r="O80" s="18"/>
      <c r="P80" s="18"/>
      <c r="Q80" s="19" t="s">
        <v>389</v>
      </c>
      <c r="R80" s="17" t="s">
        <v>956</v>
      </c>
    </row>
    <row r="81" spans="1:18" ht="15">
      <c r="A81" s="15" t="s">
        <v>406</v>
      </c>
      <c r="B81" s="8" t="s">
        <v>407</v>
      </c>
      <c r="C81" s="34" t="s">
        <v>160</v>
      </c>
      <c r="D81" s="17" t="s">
        <v>386</v>
      </c>
      <c r="E81" s="33" t="s">
        <v>418</v>
      </c>
      <c r="F81" s="18"/>
      <c r="G81" s="17">
        <f t="shared" si="7"/>
        <v>3</v>
      </c>
      <c r="H81" s="19">
        <v>2022</v>
      </c>
      <c r="I81" s="19">
        <v>2025</v>
      </c>
      <c r="J81" s="19" t="str">
        <f t="shared" si="8"/>
        <v>Existing</v>
      </c>
      <c r="K81" s="18"/>
      <c r="L81" s="18" t="s">
        <v>315</v>
      </c>
      <c r="M81" s="22">
        <v>9000</v>
      </c>
      <c r="N81" s="18"/>
      <c r="O81" s="18"/>
      <c r="P81" s="18"/>
      <c r="Q81" s="19" t="s">
        <v>389</v>
      </c>
      <c r="R81" s="17" t="s">
        <v>956</v>
      </c>
    </row>
    <row r="82" spans="1:18" ht="15">
      <c r="A82" s="15" t="s">
        <v>406</v>
      </c>
      <c r="B82" s="8" t="s">
        <v>407</v>
      </c>
      <c r="C82" s="34" t="s">
        <v>196</v>
      </c>
      <c r="D82" s="17" t="s">
        <v>386</v>
      </c>
      <c r="E82" s="18" t="s">
        <v>419</v>
      </c>
      <c r="F82" s="18"/>
      <c r="G82" s="17">
        <f t="shared" si="7"/>
        <v>3</v>
      </c>
      <c r="H82" s="19">
        <v>2022</v>
      </c>
      <c r="I82" s="19">
        <v>2025</v>
      </c>
      <c r="J82" s="19" t="str">
        <f t="shared" si="8"/>
        <v>Existing</v>
      </c>
      <c r="K82" s="18"/>
      <c r="L82" s="18" t="s">
        <v>254</v>
      </c>
      <c r="M82" s="22">
        <v>10000</v>
      </c>
      <c r="N82" s="18"/>
      <c r="O82" s="18"/>
      <c r="P82" s="18"/>
      <c r="Q82" s="19" t="s">
        <v>389</v>
      </c>
      <c r="R82" s="17" t="s">
        <v>957</v>
      </c>
    </row>
    <row r="83" spans="1:18" ht="15">
      <c r="A83" s="15" t="s">
        <v>406</v>
      </c>
      <c r="B83" s="8" t="s">
        <v>407</v>
      </c>
      <c r="C83" s="34" t="s">
        <v>67</v>
      </c>
      <c r="D83" s="17" t="s">
        <v>386</v>
      </c>
      <c r="E83" s="18" t="s">
        <v>420</v>
      </c>
      <c r="F83" s="18"/>
      <c r="G83" s="17">
        <f t="shared" si="7"/>
        <v>3</v>
      </c>
      <c r="H83" s="19">
        <v>2022</v>
      </c>
      <c r="I83" s="19">
        <v>2025</v>
      </c>
      <c r="J83" s="19" t="str">
        <f t="shared" si="8"/>
        <v>Existing</v>
      </c>
      <c r="K83" s="18"/>
      <c r="L83" s="18" t="s">
        <v>297</v>
      </c>
      <c r="M83" s="22">
        <v>10000</v>
      </c>
      <c r="N83" s="18"/>
      <c r="O83" s="18"/>
      <c r="P83" s="18"/>
      <c r="Q83" s="19" t="s">
        <v>389</v>
      </c>
      <c r="R83" s="19" t="s">
        <v>958</v>
      </c>
    </row>
    <row r="84" spans="1:18" ht="15">
      <c r="A84" s="15" t="s">
        <v>406</v>
      </c>
      <c r="B84" s="8" t="s">
        <v>407</v>
      </c>
      <c r="C84" s="34" t="s">
        <v>206</v>
      </c>
      <c r="D84" s="17" t="s">
        <v>386</v>
      </c>
      <c r="E84" s="33" t="s">
        <v>421</v>
      </c>
      <c r="F84" s="18"/>
      <c r="G84" s="17">
        <f t="shared" si="7"/>
        <v>3</v>
      </c>
      <c r="H84" s="19">
        <v>2022</v>
      </c>
      <c r="I84" s="19">
        <v>2025</v>
      </c>
      <c r="J84" s="19" t="str">
        <f t="shared" si="8"/>
        <v>Existing</v>
      </c>
      <c r="K84" s="18"/>
      <c r="L84" s="18" t="s">
        <v>254</v>
      </c>
      <c r="M84" s="22">
        <v>15000</v>
      </c>
      <c r="N84" s="18"/>
      <c r="O84" s="18"/>
      <c r="P84" s="18"/>
      <c r="Q84" s="19" t="s">
        <v>389</v>
      </c>
      <c r="R84" s="38" t="s">
        <v>540</v>
      </c>
    </row>
    <row r="85" spans="1:18" ht="15">
      <c r="A85" s="15" t="s">
        <v>406</v>
      </c>
      <c r="B85" s="8" t="s">
        <v>407</v>
      </c>
      <c r="C85" s="34" t="s">
        <v>55</v>
      </c>
      <c r="D85" s="17" t="s">
        <v>386</v>
      </c>
      <c r="E85" s="33" t="s">
        <v>422</v>
      </c>
      <c r="F85" s="18"/>
      <c r="G85" s="17">
        <f t="shared" si="7"/>
        <v>3</v>
      </c>
      <c r="H85" s="19">
        <v>2022</v>
      </c>
      <c r="I85" s="19">
        <v>2025</v>
      </c>
      <c r="J85" s="19" t="str">
        <f t="shared" si="8"/>
        <v>Existing</v>
      </c>
      <c r="K85" s="18"/>
      <c r="L85" s="18" t="s">
        <v>245</v>
      </c>
      <c r="M85" s="22">
        <v>15000</v>
      </c>
      <c r="N85" s="18"/>
      <c r="O85" s="18"/>
      <c r="P85" s="18"/>
      <c r="Q85" s="19" t="s">
        <v>389</v>
      </c>
      <c r="R85" s="38" t="s">
        <v>540</v>
      </c>
    </row>
    <row r="86" spans="1:18" ht="15">
      <c r="A86" s="15" t="s">
        <v>406</v>
      </c>
      <c r="B86" s="8" t="s">
        <v>407</v>
      </c>
      <c r="C86" s="34" t="s">
        <v>181</v>
      </c>
      <c r="D86" s="17" t="s">
        <v>386</v>
      </c>
      <c r="E86" s="33" t="s">
        <v>423</v>
      </c>
      <c r="F86" s="18"/>
      <c r="G86" s="17">
        <f t="shared" si="7"/>
        <v>3</v>
      </c>
      <c r="H86" s="19">
        <v>2022</v>
      </c>
      <c r="I86" s="19">
        <v>2025</v>
      </c>
      <c r="J86" s="19" t="str">
        <f t="shared" si="8"/>
        <v>Existing</v>
      </c>
      <c r="K86" s="18"/>
      <c r="L86" s="18" t="s">
        <v>315</v>
      </c>
      <c r="M86" s="22">
        <v>10000</v>
      </c>
      <c r="N86" s="18"/>
      <c r="O86" s="18"/>
      <c r="P86" s="18"/>
      <c r="Q86" s="19" t="s">
        <v>389</v>
      </c>
      <c r="R86" s="38" t="s">
        <v>425</v>
      </c>
    </row>
    <row r="87" spans="1:18" ht="15">
      <c r="A87" s="15" t="s">
        <v>406</v>
      </c>
      <c r="B87" s="8" t="s">
        <v>407</v>
      </c>
      <c r="C87" s="34" t="s">
        <v>126</v>
      </c>
      <c r="D87" s="17" t="s">
        <v>386</v>
      </c>
      <c r="E87" s="33" t="s">
        <v>424</v>
      </c>
      <c r="F87" s="18"/>
      <c r="G87" s="17">
        <f t="shared" si="7"/>
        <v>3</v>
      </c>
      <c r="H87" s="19">
        <v>2022</v>
      </c>
      <c r="I87" s="19">
        <v>2025</v>
      </c>
      <c r="J87" s="19" t="str">
        <f t="shared" si="8"/>
        <v>Existing</v>
      </c>
      <c r="K87" s="18"/>
      <c r="L87" s="18" t="s">
        <v>315</v>
      </c>
      <c r="M87" s="22">
        <v>35000</v>
      </c>
      <c r="N87" s="18"/>
      <c r="O87" s="18"/>
      <c r="P87" s="18"/>
      <c r="Q87" s="19" t="s">
        <v>389</v>
      </c>
      <c r="R87" s="38" t="s">
        <v>425</v>
      </c>
    </row>
    <row r="88" spans="1:18" ht="15">
      <c r="A88" s="15" t="s">
        <v>406</v>
      </c>
      <c r="B88" s="8" t="s">
        <v>407</v>
      </c>
      <c r="C88" s="34" t="s">
        <v>228</v>
      </c>
      <c r="D88" s="17" t="s">
        <v>386</v>
      </c>
      <c r="E88" s="33" t="s">
        <v>426</v>
      </c>
      <c r="F88" s="18"/>
      <c r="G88" s="17">
        <f t="shared" si="7"/>
        <v>3</v>
      </c>
      <c r="H88" s="19">
        <v>2022</v>
      </c>
      <c r="I88" s="19">
        <v>2025</v>
      </c>
      <c r="J88" s="19" t="str">
        <f t="shared" si="8"/>
        <v>Existing</v>
      </c>
      <c r="K88" s="18"/>
      <c r="L88" s="18" t="s">
        <v>254</v>
      </c>
      <c r="M88" s="22" t="s">
        <v>417</v>
      </c>
      <c r="N88" s="18"/>
      <c r="O88" s="18"/>
      <c r="P88" s="18"/>
      <c r="Q88" s="19" t="s">
        <v>389</v>
      </c>
      <c r="R88" s="38" t="s">
        <v>959</v>
      </c>
    </row>
    <row r="89" spans="1:18" ht="32">
      <c r="A89" s="15" t="s">
        <v>406</v>
      </c>
      <c r="B89" s="8" t="s">
        <v>407</v>
      </c>
      <c r="C89" s="34" t="s">
        <v>77</v>
      </c>
      <c r="D89" s="17" t="s">
        <v>386</v>
      </c>
      <c r="E89" s="33" t="s">
        <v>427</v>
      </c>
      <c r="F89" s="18"/>
      <c r="G89" s="17">
        <f t="shared" si="7"/>
        <v>3</v>
      </c>
      <c r="H89" s="19">
        <v>2022</v>
      </c>
      <c r="I89" s="19">
        <v>2025</v>
      </c>
      <c r="J89" s="19" t="str">
        <f t="shared" si="8"/>
        <v>Existing</v>
      </c>
      <c r="K89" s="18"/>
      <c r="L89" s="18" t="s">
        <v>297</v>
      </c>
      <c r="M89" s="20" t="s">
        <v>431</v>
      </c>
      <c r="N89" s="18"/>
      <c r="O89" s="18"/>
      <c r="P89" s="18"/>
      <c r="Q89" s="19" t="s">
        <v>389</v>
      </c>
      <c r="R89" s="38" t="s">
        <v>959</v>
      </c>
    </row>
    <row r="90" spans="1:18" ht="32">
      <c r="A90" s="15" t="s">
        <v>406</v>
      </c>
      <c r="B90" s="8" t="s">
        <v>407</v>
      </c>
      <c r="C90" s="34" t="s">
        <v>173</v>
      </c>
      <c r="D90" s="17" t="s">
        <v>386</v>
      </c>
      <c r="E90" s="33" t="s">
        <v>428</v>
      </c>
      <c r="F90" s="18"/>
      <c r="G90" s="17">
        <f t="shared" si="7"/>
        <v>3</v>
      </c>
      <c r="H90" s="19">
        <v>2022</v>
      </c>
      <c r="I90" s="19">
        <v>2025</v>
      </c>
      <c r="J90" s="19" t="str">
        <f t="shared" si="8"/>
        <v>Existing</v>
      </c>
      <c r="K90" s="18"/>
      <c r="L90" s="18" t="s">
        <v>315</v>
      </c>
      <c r="M90" s="20" t="s">
        <v>431</v>
      </c>
      <c r="N90" s="18"/>
      <c r="O90" s="18"/>
      <c r="P90" s="18"/>
      <c r="Q90" s="19" t="s">
        <v>389</v>
      </c>
      <c r="R90" s="38" t="s">
        <v>959</v>
      </c>
    </row>
    <row r="91" spans="1:18" ht="15">
      <c r="A91" s="15" t="s">
        <v>406</v>
      </c>
      <c r="B91" s="8" t="s">
        <v>407</v>
      </c>
      <c r="C91" s="34" t="s">
        <v>210</v>
      </c>
      <c r="D91" s="17" t="s">
        <v>386</v>
      </c>
      <c r="E91" s="18" t="s">
        <v>429</v>
      </c>
      <c r="F91" s="18"/>
      <c r="G91" s="17">
        <f t="shared" si="7"/>
        <v>3</v>
      </c>
      <c r="H91" s="19">
        <v>2022</v>
      </c>
      <c r="I91" s="19">
        <v>2025</v>
      </c>
      <c r="J91" s="19" t="str">
        <f t="shared" si="8"/>
        <v>Existing</v>
      </c>
      <c r="K91" s="18"/>
      <c r="L91" s="18" t="s">
        <v>254</v>
      </c>
      <c r="M91" s="22">
        <v>13000</v>
      </c>
      <c r="N91" s="18"/>
      <c r="O91" s="18"/>
      <c r="P91" s="18"/>
      <c r="Q91" s="19" t="s">
        <v>389</v>
      </c>
      <c r="R91" s="19" t="s">
        <v>390</v>
      </c>
    </row>
    <row r="92" spans="1:18" ht="15">
      <c r="A92" s="15" t="s">
        <v>406</v>
      </c>
      <c r="B92" s="8" t="s">
        <v>407</v>
      </c>
      <c r="C92" s="34" t="s">
        <v>234</v>
      </c>
      <c r="D92" s="17" t="s">
        <v>386</v>
      </c>
      <c r="E92" s="33" t="s">
        <v>430</v>
      </c>
      <c r="F92" s="18"/>
      <c r="G92" s="17">
        <f t="shared" si="7"/>
        <v>3</v>
      </c>
      <c r="H92" s="19">
        <v>2022</v>
      </c>
      <c r="I92" s="19">
        <v>2025</v>
      </c>
      <c r="J92" s="19" t="str">
        <f t="shared" si="8"/>
        <v>Existing</v>
      </c>
      <c r="K92" s="18"/>
      <c r="L92" s="18" t="s">
        <v>254</v>
      </c>
      <c r="M92" s="22">
        <v>12500</v>
      </c>
      <c r="N92" s="18"/>
      <c r="O92" s="18"/>
      <c r="P92" s="18"/>
      <c r="Q92" s="19" t="s">
        <v>389</v>
      </c>
      <c r="R92" s="38" t="s">
        <v>390</v>
      </c>
    </row>
    <row r="93" spans="1:18" ht="15">
      <c r="A93" s="15" t="s">
        <v>406</v>
      </c>
      <c r="B93" s="8" t="s">
        <v>407</v>
      </c>
      <c r="C93" s="34" t="s">
        <v>87</v>
      </c>
      <c r="D93" s="17" t="s">
        <v>386</v>
      </c>
      <c r="E93" s="33" t="s">
        <v>432</v>
      </c>
      <c r="F93" s="18"/>
      <c r="G93" s="17">
        <f t="shared" si="7"/>
        <v>3</v>
      </c>
      <c r="H93" s="19">
        <v>2022</v>
      </c>
      <c r="I93" s="19">
        <v>2025</v>
      </c>
      <c r="J93" s="19" t="str">
        <f t="shared" si="8"/>
        <v>Existing</v>
      </c>
      <c r="K93" s="18"/>
      <c r="L93" s="18" t="s">
        <v>245</v>
      </c>
      <c r="M93" s="22">
        <v>14500</v>
      </c>
      <c r="N93" s="18"/>
      <c r="O93" s="18"/>
      <c r="P93" s="18"/>
      <c r="Q93" s="19" t="s">
        <v>389</v>
      </c>
      <c r="R93" s="38" t="s">
        <v>390</v>
      </c>
    </row>
    <row r="94" spans="1:18" ht="15">
      <c r="A94" s="15" t="s">
        <v>433</v>
      </c>
      <c r="B94" s="10" t="s">
        <v>437</v>
      </c>
      <c r="C94" s="34" t="s">
        <v>214</v>
      </c>
      <c r="D94" s="17" t="s">
        <v>386</v>
      </c>
      <c r="E94" s="58" t="s">
        <v>435</v>
      </c>
      <c r="F94" s="18"/>
      <c r="G94" s="17">
        <f t="shared" si="7"/>
        <v>3</v>
      </c>
      <c r="H94" s="19">
        <v>2020</v>
      </c>
      <c r="I94" s="19">
        <v>2023</v>
      </c>
      <c r="J94" s="19" t="str">
        <f t="shared" si="8"/>
        <v>Retention</v>
      </c>
      <c r="K94" s="18" t="s">
        <v>253</v>
      </c>
      <c r="L94" s="18" t="s">
        <v>254</v>
      </c>
      <c r="M94" s="22">
        <v>18000</v>
      </c>
      <c r="N94" s="18"/>
      <c r="O94" s="18"/>
      <c r="P94" s="18"/>
      <c r="Q94" s="19" t="s">
        <v>285</v>
      </c>
      <c r="R94" s="17" t="s">
        <v>295</v>
      </c>
    </row>
    <row r="95" spans="1:18" ht="15">
      <c r="A95" s="15" t="s">
        <v>433</v>
      </c>
      <c r="B95" s="10" t="s">
        <v>437</v>
      </c>
      <c r="C95" s="34" t="s">
        <v>438</v>
      </c>
      <c r="D95" s="17" t="s">
        <v>386</v>
      </c>
      <c r="E95" s="58" t="s">
        <v>439</v>
      </c>
      <c r="F95" s="18"/>
      <c r="G95" s="17">
        <f t="shared" si="7"/>
        <v>3</v>
      </c>
      <c r="H95" s="19">
        <v>2020</v>
      </c>
      <c r="I95" s="19">
        <v>2023</v>
      </c>
      <c r="J95" s="19" t="str">
        <f t="shared" si="8"/>
        <v>Retention</v>
      </c>
      <c r="K95" s="18" t="s">
        <v>253</v>
      </c>
      <c r="L95" s="18" t="s">
        <v>245</v>
      </c>
      <c r="M95" s="22">
        <v>18000</v>
      </c>
      <c r="N95" s="18"/>
      <c r="O95" s="18"/>
      <c r="P95" s="18"/>
      <c r="Q95" s="19" t="s">
        <v>285</v>
      </c>
      <c r="R95" s="17" t="s">
        <v>295</v>
      </c>
    </row>
    <row r="96" spans="1:18" ht="15">
      <c r="A96" s="15" t="s">
        <v>433</v>
      </c>
      <c r="B96" s="10" t="s">
        <v>437</v>
      </c>
      <c r="C96" s="34" t="s">
        <v>440</v>
      </c>
      <c r="D96" s="17" t="s">
        <v>386</v>
      </c>
      <c r="E96" s="58" t="s">
        <v>441</v>
      </c>
      <c r="F96" s="18"/>
      <c r="G96" s="17">
        <f t="shared" si="7"/>
        <v>3</v>
      </c>
      <c r="H96" s="19">
        <v>2020</v>
      </c>
      <c r="I96" s="19">
        <v>2023</v>
      </c>
      <c r="J96" s="19" t="str">
        <f t="shared" si="8"/>
        <v>Retention</v>
      </c>
      <c r="K96" s="18" t="s">
        <v>248</v>
      </c>
      <c r="L96" s="18" t="s">
        <v>315</v>
      </c>
      <c r="M96" s="22">
        <v>20500</v>
      </c>
      <c r="N96" s="18"/>
      <c r="O96" s="18"/>
      <c r="P96" s="18"/>
      <c r="Q96" s="19" t="s">
        <v>285</v>
      </c>
      <c r="R96" s="17" t="s">
        <v>295</v>
      </c>
    </row>
    <row r="97" spans="1:18" ht="15">
      <c r="A97" s="15" t="s">
        <v>433</v>
      </c>
      <c r="B97" s="10" t="s">
        <v>437</v>
      </c>
      <c r="C97" s="34" t="s">
        <v>442</v>
      </c>
      <c r="D97" s="17" t="s">
        <v>386</v>
      </c>
      <c r="E97" s="58" t="s">
        <v>443</v>
      </c>
      <c r="F97" s="18"/>
      <c r="G97" s="17">
        <f t="shared" si="7"/>
        <v>3</v>
      </c>
      <c r="H97" s="19">
        <v>2020</v>
      </c>
      <c r="I97" s="19">
        <v>2023</v>
      </c>
      <c r="J97" s="19" t="str">
        <f t="shared" si="8"/>
        <v>Retention</v>
      </c>
      <c r="K97" s="18"/>
      <c r="L97" s="18" t="s">
        <v>254</v>
      </c>
      <c r="M97" s="22">
        <v>14500</v>
      </c>
      <c r="N97" s="18"/>
      <c r="O97" s="18"/>
      <c r="P97" s="18"/>
      <c r="Q97" s="19" t="s">
        <v>285</v>
      </c>
      <c r="R97" s="17" t="s">
        <v>295</v>
      </c>
    </row>
    <row r="98" spans="1:18" ht="15">
      <c r="A98" s="15" t="s">
        <v>433</v>
      </c>
      <c r="B98" s="10" t="s">
        <v>437</v>
      </c>
      <c r="C98" s="34" t="s">
        <v>64</v>
      </c>
      <c r="D98" s="17" t="s">
        <v>386</v>
      </c>
      <c r="E98" s="58" t="s">
        <v>444</v>
      </c>
      <c r="F98" s="18"/>
      <c r="G98" s="17">
        <f t="shared" si="7"/>
        <v>3</v>
      </c>
      <c r="H98" s="19">
        <v>2020</v>
      </c>
      <c r="I98" s="19">
        <v>2023</v>
      </c>
      <c r="J98" s="19" t="str">
        <f t="shared" si="8"/>
        <v>Retention</v>
      </c>
      <c r="K98" s="18" t="s">
        <v>253</v>
      </c>
      <c r="L98" s="18" t="s">
        <v>245</v>
      </c>
      <c r="M98" s="22">
        <v>7500</v>
      </c>
      <c r="N98" s="18"/>
      <c r="O98" s="18"/>
      <c r="P98" s="18"/>
      <c r="Q98" s="19" t="s">
        <v>285</v>
      </c>
      <c r="R98" s="17" t="s">
        <v>295</v>
      </c>
    </row>
    <row r="99" spans="1:18" ht="15">
      <c r="A99" s="15" t="s">
        <v>433</v>
      </c>
      <c r="B99" s="10" t="s">
        <v>437</v>
      </c>
      <c r="C99" s="34" t="s">
        <v>163</v>
      </c>
      <c r="D99" s="17" t="s">
        <v>386</v>
      </c>
      <c r="E99" s="58" t="s">
        <v>445</v>
      </c>
      <c r="F99" s="18"/>
      <c r="G99" s="17">
        <f t="shared" si="7"/>
        <v>3</v>
      </c>
      <c r="H99" s="19">
        <v>2020</v>
      </c>
      <c r="I99" s="19">
        <v>2023</v>
      </c>
      <c r="J99" s="19" t="str">
        <f t="shared" si="8"/>
        <v>Retention</v>
      </c>
      <c r="K99" s="18" t="s">
        <v>253</v>
      </c>
      <c r="L99" s="18" t="s">
        <v>315</v>
      </c>
      <c r="M99" s="22">
        <v>22500</v>
      </c>
      <c r="N99" s="18"/>
      <c r="O99" s="18"/>
      <c r="P99" s="18"/>
      <c r="Q99" s="19" t="s">
        <v>285</v>
      </c>
      <c r="R99" s="17" t="s">
        <v>295</v>
      </c>
    </row>
    <row r="100" spans="1:18" ht="15">
      <c r="A100" s="15" t="s">
        <v>433</v>
      </c>
      <c r="B100" s="10" t="s">
        <v>437</v>
      </c>
      <c r="C100" s="34" t="s">
        <v>113</v>
      </c>
      <c r="D100" s="17" t="s">
        <v>386</v>
      </c>
      <c r="E100" s="58" t="s">
        <v>446</v>
      </c>
      <c r="F100" s="18"/>
      <c r="G100" s="17">
        <f t="shared" si="7"/>
        <v>3</v>
      </c>
      <c r="H100" s="19">
        <v>2020</v>
      </c>
      <c r="I100" s="19">
        <v>2023</v>
      </c>
      <c r="J100" s="19" t="str">
        <f t="shared" si="8"/>
        <v>Retention</v>
      </c>
      <c r="K100" s="18" t="s">
        <v>248</v>
      </c>
      <c r="L100" s="18" t="s">
        <v>315</v>
      </c>
      <c r="M100" s="22">
        <v>22500</v>
      </c>
      <c r="N100" s="18"/>
      <c r="O100" s="18"/>
      <c r="P100" s="18"/>
      <c r="Q100" s="19" t="s">
        <v>285</v>
      </c>
      <c r="R100" s="17" t="s">
        <v>295</v>
      </c>
    </row>
    <row r="101" spans="1:18" ht="15">
      <c r="A101" s="15" t="s">
        <v>433</v>
      </c>
      <c r="B101" s="10" t="s">
        <v>437</v>
      </c>
      <c r="C101" s="34" t="s">
        <v>447</v>
      </c>
      <c r="D101" s="17" t="s">
        <v>386</v>
      </c>
      <c r="E101" s="58" t="s">
        <v>448</v>
      </c>
      <c r="F101" s="18"/>
      <c r="G101" s="17">
        <f t="shared" si="7"/>
        <v>3</v>
      </c>
      <c r="H101" s="19">
        <v>2020</v>
      </c>
      <c r="I101" s="19">
        <v>2023</v>
      </c>
      <c r="J101" s="19" t="str">
        <f t="shared" si="8"/>
        <v>Retention</v>
      </c>
      <c r="K101" s="18"/>
      <c r="L101" s="18" t="s">
        <v>245</v>
      </c>
      <c r="M101" s="22"/>
      <c r="N101" s="18"/>
      <c r="O101" s="18"/>
      <c r="P101" s="18"/>
      <c r="Q101" s="19" t="s">
        <v>285</v>
      </c>
      <c r="R101" s="17" t="s">
        <v>295</v>
      </c>
    </row>
    <row r="102" spans="1:18" ht="15">
      <c r="A102" s="15" t="s">
        <v>433</v>
      </c>
      <c r="B102" s="10" t="s">
        <v>437</v>
      </c>
      <c r="C102" s="34" t="s">
        <v>161</v>
      </c>
      <c r="D102" s="17" t="s">
        <v>386</v>
      </c>
      <c r="E102" s="58" t="s">
        <v>449</v>
      </c>
      <c r="F102" s="18"/>
      <c r="G102" s="17">
        <f t="shared" si="7"/>
        <v>3</v>
      </c>
      <c r="H102" s="19">
        <v>2020</v>
      </c>
      <c r="I102" s="19">
        <v>2023</v>
      </c>
      <c r="J102" s="19" t="str">
        <f t="shared" si="8"/>
        <v>Retention</v>
      </c>
      <c r="K102" s="18" t="s">
        <v>253</v>
      </c>
      <c r="L102" s="18" t="s">
        <v>315</v>
      </c>
      <c r="M102" s="44"/>
      <c r="N102" s="18"/>
      <c r="O102" s="18"/>
      <c r="P102" s="18"/>
      <c r="Q102" s="19" t="s">
        <v>285</v>
      </c>
      <c r="R102" s="17" t="s">
        <v>295</v>
      </c>
    </row>
    <row r="103" spans="1:18" ht="15">
      <c r="A103" s="15" t="s">
        <v>433</v>
      </c>
      <c r="B103" s="10" t="s">
        <v>437</v>
      </c>
      <c r="C103" s="34" t="s">
        <v>112</v>
      </c>
      <c r="D103" s="17" t="s">
        <v>386</v>
      </c>
      <c r="E103" s="58" t="s">
        <v>450</v>
      </c>
      <c r="F103" s="18"/>
      <c r="G103" s="17">
        <f t="shared" si="7"/>
        <v>3</v>
      </c>
      <c r="H103" s="19">
        <v>2020</v>
      </c>
      <c r="I103" s="19">
        <v>2023</v>
      </c>
      <c r="J103" s="19" t="str">
        <f t="shared" si="8"/>
        <v>Retention</v>
      </c>
      <c r="K103" s="18" t="s">
        <v>253</v>
      </c>
      <c r="L103" s="18" t="s">
        <v>315</v>
      </c>
      <c r="M103" s="22">
        <v>11000</v>
      </c>
      <c r="N103" s="18"/>
      <c r="O103" s="18"/>
      <c r="P103" s="18"/>
      <c r="Q103" s="19" t="s">
        <v>285</v>
      </c>
      <c r="R103" s="17" t="s">
        <v>295</v>
      </c>
    </row>
    <row r="104" spans="1:18" ht="15">
      <c r="A104" s="15" t="s">
        <v>433</v>
      </c>
      <c r="B104" s="10" t="s">
        <v>437</v>
      </c>
      <c r="C104" s="34" t="s">
        <v>213</v>
      </c>
      <c r="D104" s="17" t="s">
        <v>386</v>
      </c>
      <c r="E104" s="58" t="s">
        <v>451</v>
      </c>
      <c r="F104" s="18"/>
      <c r="G104" s="17">
        <f t="shared" si="7"/>
        <v>3</v>
      </c>
      <c r="H104" s="19">
        <v>2020</v>
      </c>
      <c r="I104" s="19">
        <v>2023</v>
      </c>
      <c r="J104" s="19" t="str">
        <f t="shared" si="8"/>
        <v>Retention</v>
      </c>
      <c r="K104" s="18" t="s">
        <v>253</v>
      </c>
      <c r="L104" s="18" t="s">
        <v>254</v>
      </c>
      <c r="M104" s="22">
        <v>11000</v>
      </c>
      <c r="N104" s="18"/>
      <c r="O104" s="18"/>
      <c r="P104" s="18"/>
      <c r="Q104" s="19" t="s">
        <v>285</v>
      </c>
      <c r="R104" s="17" t="s">
        <v>295</v>
      </c>
    </row>
    <row r="105" spans="1:18" ht="15">
      <c r="A105" s="15" t="s">
        <v>433</v>
      </c>
      <c r="B105" s="10" t="s">
        <v>437</v>
      </c>
      <c r="C105" s="34" t="s">
        <v>453</v>
      </c>
      <c r="D105" s="17" t="s">
        <v>386</v>
      </c>
      <c r="E105" s="58" t="s">
        <v>454</v>
      </c>
      <c r="F105" s="18"/>
      <c r="G105" s="17">
        <f t="shared" si="7"/>
        <v>3</v>
      </c>
      <c r="H105" s="19">
        <v>2020</v>
      </c>
      <c r="I105" s="19">
        <v>2023</v>
      </c>
      <c r="J105" s="19" t="str">
        <f t="shared" si="8"/>
        <v>Retention</v>
      </c>
      <c r="K105" s="18" t="s">
        <v>253</v>
      </c>
      <c r="L105" s="18" t="s">
        <v>245</v>
      </c>
      <c r="M105" s="22">
        <v>12000</v>
      </c>
      <c r="N105" s="18"/>
      <c r="O105" s="18"/>
      <c r="P105" s="18"/>
      <c r="Q105" s="19" t="s">
        <v>285</v>
      </c>
      <c r="R105" s="17" t="s">
        <v>295</v>
      </c>
    </row>
    <row r="106" spans="1:18" ht="15">
      <c r="A106" s="15" t="s">
        <v>433</v>
      </c>
      <c r="B106" s="10" t="s">
        <v>437</v>
      </c>
      <c r="C106" s="34" t="s">
        <v>211</v>
      </c>
      <c r="D106" s="17" t="s">
        <v>386</v>
      </c>
      <c r="E106" s="58" t="s">
        <v>455</v>
      </c>
      <c r="F106" s="18"/>
      <c r="G106" s="17">
        <f t="shared" si="7"/>
        <v>3</v>
      </c>
      <c r="H106" s="19">
        <v>2020</v>
      </c>
      <c r="I106" s="19">
        <v>2023</v>
      </c>
      <c r="J106" s="19" t="str">
        <f t="shared" si="8"/>
        <v>Retention</v>
      </c>
      <c r="K106" s="18" t="s">
        <v>253</v>
      </c>
      <c r="L106" s="18" t="s">
        <v>254</v>
      </c>
      <c r="M106" s="22">
        <v>8500</v>
      </c>
      <c r="N106" s="18"/>
      <c r="O106" s="18"/>
      <c r="P106" s="18"/>
      <c r="Q106" s="19" t="s">
        <v>285</v>
      </c>
      <c r="R106" s="17" t="s">
        <v>295</v>
      </c>
    </row>
    <row r="107" spans="1:18" ht="15">
      <c r="A107" s="15" t="s">
        <v>433</v>
      </c>
      <c r="B107" s="10" t="s">
        <v>437</v>
      </c>
      <c r="C107" s="34" t="s">
        <v>63</v>
      </c>
      <c r="D107" s="17" t="s">
        <v>386</v>
      </c>
      <c r="E107" s="58" t="s">
        <v>456</v>
      </c>
      <c r="F107" s="18"/>
      <c r="G107" s="17">
        <f t="shared" si="7"/>
        <v>3</v>
      </c>
      <c r="H107" s="19">
        <v>2020</v>
      </c>
      <c r="I107" s="19">
        <v>2023</v>
      </c>
      <c r="J107" s="19" t="str">
        <f t="shared" si="8"/>
        <v>Retention</v>
      </c>
      <c r="K107" s="18" t="s">
        <v>253</v>
      </c>
      <c r="L107" s="18" t="s">
        <v>245</v>
      </c>
      <c r="M107" s="22">
        <v>8500</v>
      </c>
      <c r="N107" s="18"/>
      <c r="O107" s="18"/>
      <c r="P107" s="18"/>
      <c r="Q107" s="19" t="s">
        <v>285</v>
      </c>
      <c r="R107" s="17" t="s">
        <v>295</v>
      </c>
    </row>
    <row r="108" spans="1:18" ht="15">
      <c r="A108" s="15" t="s">
        <v>433</v>
      </c>
      <c r="B108" s="10" t="s">
        <v>437</v>
      </c>
      <c r="C108" s="34" t="s">
        <v>162</v>
      </c>
      <c r="D108" s="17" t="s">
        <v>386</v>
      </c>
      <c r="E108" s="58" t="s">
        <v>457</v>
      </c>
      <c r="F108" s="18"/>
      <c r="G108" s="17">
        <f t="shared" si="7"/>
        <v>3</v>
      </c>
      <c r="H108" s="19">
        <v>2020</v>
      </c>
      <c r="I108" s="19">
        <v>2023</v>
      </c>
      <c r="J108" s="19" t="str">
        <f t="shared" si="8"/>
        <v>Retention</v>
      </c>
      <c r="K108" s="18" t="s">
        <v>253</v>
      </c>
      <c r="L108" s="18" t="s">
        <v>245</v>
      </c>
      <c r="M108" s="22">
        <v>8500</v>
      </c>
      <c r="N108" s="18"/>
      <c r="O108" s="18"/>
      <c r="P108" s="18"/>
      <c r="Q108" s="19" t="s">
        <v>285</v>
      </c>
      <c r="R108" s="17" t="s">
        <v>295</v>
      </c>
    </row>
    <row r="109" spans="1:18" ht="15">
      <c r="A109" s="15" t="s">
        <v>433</v>
      </c>
      <c r="B109" s="10" t="s">
        <v>437</v>
      </c>
      <c r="C109" s="34" t="s">
        <v>212</v>
      </c>
      <c r="D109" s="17" t="s">
        <v>386</v>
      </c>
      <c r="E109" s="58" t="s">
        <v>458</v>
      </c>
      <c r="F109" s="18"/>
      <c r="G109" s="17">
        <f t="shared" si="7"/>
        <v>3</v>
      </c>
      <c r="H109" s="19">
        <v>2020</v>
      </c>
      <c r="I109" s="19">
        <v>2023</v>
      </c>
      <c r="J109" s="19" t="str">
        <f t="shared" si="8"/>
        <v>Retention</v>
      </c>
      <c r="K109" s="18" t="s">
        <v>248</v>
      </c>
      <c r="L109" s="18" t="s">
        <v>254</v>
      </c>
      <c r="M109" s="22">
        <v>8500</v>
      </c>
      <c r="N109" s="18"/>
      <c r="O109" s="18"/>
      <c r="P109" s="18"/>
      <c r="Q109" s="19" t="s">
        <v>285</v>
      </c>
      <c r="R109" s="17" t="s">
        <v>295</v>
      </c>
    </row>
    <row r="110" spans="1:18" ht="15">
      <c r="A110" s="15" t="s">
        <v>433</v>
      </c>
      <c r="B110" s="10" t="s">
        <v>437</v>
      </c>
      <c r="C110" s="34" t="s">
        <v>459</v>
      </c>
      <c r="D110" s="17" t="s">
        <v>386</v>
      </c>
      <c r="E110" s="58" t="s">
        <v>460</v>
      </c>
      <c r="F110" s="18"/>
      <c r="G110" s="17">
        <f t="shared" si="7"/>
        <v>3</v>
      </c>
      <c r="H110" s="19">
        <v>2020</v>
      </c>
      <c r="I110" s="19">
        <v>2023</v>
      </c>
      <c r="J110" s="19" t="str">
        <f t="shared" si="8"/>
        <v>Retention</v>
      </c>
      <c r="K110" s="18" t="s">
        <v>248</v>
      </c>
      <c r="L110" s="18" t="s">
        <v>245</v>
      </c>
      <c r="M110" s="22">
        <v>14500</v>
      </c>
      <c r="N110" s="18"/>
      <c r="O110" s="18"/>
      <c r="P110" s="18"/>
      <c r="Q110" s="19" t="s">
        <v>285</v>
      </c>
      <c r="R110" s="17" t="s">
        <v>295</v>
      </c>
    </row>
    <row r="111" spans="1:18" ht="15">
      <c r="A111" s="15" t="s">
        <v>433</v>
      </c>
      <c r="B111" s="10" t="s">
        <v>437</v>
      </c>
      <c r="C111" s="34" t="s">
        <v>216</v>
      </c>
      <c r="D111" s="17" t="s">
        <v>386</v>
      </c>
      <c r="E111" s="58" t="s">
        <v>461</v>
      </c>
      <c r="F111" s="18"/>
      <c r="G111" s="17">
        <f t="shared" si="7"/>
        <v>3</v>
      </c>
      <c r="H111" s="19">
        <v>2020</v>
      </c>
      <c r="I111" s="19">
        <v>2023</v>
      </c>
      <c r="J111" s="19" t="str">
        <f t="shared" si="8"/>
        <v>Retention</v>
      </c>
      <c r="K111" s="18" t="s">
        <v>248</v>
      </c>
      <c r="L111" s="18" t="s">
        <v>254</v>
      </c>
      <c r="M111" s="22">
        <v>14500</v>
      </c>
      <c r="N111" s="18"/>
      <c r="O111" s="18"/>
      <c r="P111" s="18"/>
      <c r="Q111" s="19" t="s">
        <v>285</v>
      </c>
      <c r="R111" s="17" t="s">
        <v>295</v>
      </c>
    </row>
    <row r="112" spans="1:18" ht="15">
      <c r="A112" s="15" t="s">
        <v>433</v>
      </c>
      <c r="B112" s="10" t="s">
        <v>437</v>
      </c>
      <c r="C112" s="34" t="s">
        <v>66</v>
      </c>
      <c r="D112" s="17" t="s">
        <v>386</v>
      </c>
      <c r="E112" s="58" t="s">
        <v>463</v>
      </c>
      <c r="F112" s="18"/>
      <c r="G112" s="17">
        <f t="shared" si="7"/>
        <v>3</v>
      </c>
      <c r="H112" s="19">
        <v>2020</v>
      </c>
      <c r="I112" s="19">
        <v>2023</v>
      </c>
      <c r="J112" s="19" t="str">
        <f t="shared" si="8"/>
        <v>Retention</v>
      </c>
      <c r="K112" s="18" t="s">
        <v>248</v>
      </c>
      <c r="L112" s="18" t="s">
        <v>245</v>
      </c>
      <c r="M112" s="22">
        <v>8500</v>
      </c>
      <c r="N112" s="18"/>
      <c r="O112" s="18"/>
      <c r="P112" s="18"/>
      <c r="Q112" s="19" t="s">
        <v>285</v>
      </c>
      <c r="R112" s="17" t="s">
        <v>295</v>
      </c>
    </row>
    <row r="113" spans="1:18" ht="15">
      <c r="A113" s="15" t="s">
        <v>433</v>
      </c>
      <c r="B113" s="10" t="s">
        <v>437</v>
      </c>
      <c r="C113" s="34" t="s">
        <v>465</v>
      </c>
      <c r="D113" s="17" t="s">
        <v>386</v>
      </c>
      <c r="E113" s="58" t="s">
        <v>466</v>
      </c>
      <c r="F113" s="18"/>
      <c r="G113" s="17">
        <f t="shared" si="7"/>
        <v>3</v>
      </c>
      <c r="H113" s="19">
        <v>2020</v>
      </c>
      <c r="I113" s="19">
        <v>2023</v>
      </c>
      <c r="J113" s="19" t="str">
        <f t="shared" si="8"/>
        <v>Retention</v>
      </c>
      <c r="K113" s="18" t="s">
        <v>248</v>
      </c>
      <c r="L113" s="18" t="s">
        <v>315</v>
      </c>
      <c r="M113" s="22">
        <v>8500</v>
      </c>
      <c r="N113" s="18"/>
      <c r="O113" s="18"/>
      <c r="P113" s="18"/>
      <c r="Q113" s="19" t="s">
        <v>285</v>
      </c>
      <c r="R113" s="17" t="s">
        <v>295</v>
      </c>
    </row>
    <row r="114" spans="1:18" ht="15">
      <c r="A114" s="15" t="s">
        <v>433</v>
      </c>
      <c r="B114" s="10" t="s">
        <v>437</v>
      </c>
      <c r="C114" s="34" t="s">
        <v>467</v>
      </c>
      <c r="D114" s="17" t="s">
        <v>386</v>
      </c>
      <c r="E114" s="58" t="s">
        <v>468</v>
      </c>
      <c r="F114" s="18"/>
      <c r="G114" s="17">
        <f t="shared" si="7"/>
        <v>3</v>
      </c>
      <c r="H114" s="19">
        <v>2020</v>
      </c>
      <c r="I114" s="19">
        <v>2023</v>
      </c>
      <c r="J114" s="19" t="str">
        <f t="shared" si="8"/>
        <v>Retention</v>
      </c>
      <c r="K114" s="18" t="s">
        <v>248</v>
      </c>
      <c r="L114" s="18" t="s">
        <v>315</v>
      </c>
      <c r="M114" s="22">
        <v>45000</v>
      </c>
      <c r="N114" s="18"/>
      <c r="O114" s="18"/>
      <c r="P114" s="18"/>
      <c r="Q114" s="19" t="s">
        <v>285</v>
      </c>
      <c r="R114" s="17" t="s">
        <v>295</v>
      </c>
    </row>
    <row r="115" spans="1:18" ht="15">
      <c r="A115" s="15" t="s">
        <v>433</v>
      </c>
      <c r="B115" s="10" t="s">
        <v>437</v>
      </c>
      <c r="C115" s="34" t="s">
        <v>65</v>
      </c>
      <c r="D115" s="17" t="s">
        <v>386</v>
      </c>
      <c r="E115" s="58" t="s">
        <v>469</v>
      </c>
      <c r="F115" s="18"/>
      <c r="G115" s="17">
        <f t="shared" si="7"/>
        <v>3</v>
      </c>
      <c r="H115" s="19">
        <v>2020</v>
      </c>
      <c r="I115" s="19">
        <v>2023</v>
      </c>
      <c r="J115" s="19" t="str">
        <f t="shared" si="8"/>
        <v>Retention</v>
      </c>
      <c r="K115" s="18" t="s">
        <v>248</v>
      </c>
      <c r="L115" s="18" t="s">
        <v>245</v>
      </c>
      <c r="M115" s="411">
        <v>14000000</v>
      </c>
      <c r="N115" s="18"/>
      <c r="O115" s="18"/>
      <c r="P115" s="18"/>
      <c r="Q115" s="19" t="s">
        <v>285</v>
      </c>
      <c r="R115" s="17" t="s">
        <v>295</v>
      </c>
    </row>
    <row r="116" spans="1:18" ht="16">
      <c r="A116" s="15" t="s">
        <v>433</v>
      </c>
      <c r="B116" s="10" t="s">
        <v>437</v>
      </c>
      <c r="C116" s="34" t="s">
        <v>164</v>
      </c>
      <c r="D116" s="17" t="s">
        <v>386</v>
      </c>
      <c r="E116" s="59" t="s">
        <v>470</v>
      </c>
      <c r="F116" s="18"/>
      <c r="G116" s="17">
        <f t="shared" si="7"/>
        <v>3</v>
      </c>
      <c r="H116" s="19">
        <v>2020</v>
      </c>
      <c r="I116" s="19">
        <v>2023</v>
      </c>
      <c r="J116" s="19" t="str">
        <f t="shared" si="8"/>
        <v>Retention</v>
      </c>
      <c r="K116" s="18" t="s">
        <v>248</v>
      </c>
      <c r="L116" s="18" t="s">
        <v>245</v>
      </c>
      <c r="M116" s="410"/>
      <c r="N116" s="18"/>
      <c r="O116" s="18"/>
      <c r="P116" s="18"/>
      <c r="Q116" s="19" t="s">
        <v>285</v>
      </c>
      <c r="R116" s="17" t="s">
        <v>295</v>
      </c>
    </row>
    <row r="117" spans="1:18" ht="16">
      <c r="A117" s="60" t="s">
        <v>471</v>
      </c>
      <c r="B117" s="8" t="s">
        <v>472</v>
      </c>
      <c r="C117" s="18" t="s">
        <v>31</v>
      </c>
      <c r="D117" s="17" t="s">
        <v>386</v>
      </c>
      <c r="E117" s="18" t="s">
        <v>473</v>
      </c>
      <c r="F117" s="18"/>
      <c r="G117" s="17">
        <f t="shared" si="7"/>
        <v>3</v>
      </c>
      <c r="H117" s="19">
        <v>2022</v>
      </c>
      <c r="I117" s="19">
        <v>2025</v>
      </c>
      <c r="J117" s="19" t="str">
        <f t="shared" si="8"/>
        <v>Existing</v>
      </c>
      <c r="K117" s="18"/>
      <c r="L117" s="18" t="s">
        <v>297</v>
      </c>
      <c r="M117" s="411">
        <v>37500000</v>
      </c>
      <c r="N117" s="18"/>
      <c r="O117" s="18"/>
      <c r="P117" s="18"/>
      <c r="Q117" s="19"/>
      <c r="R117" s="19" t="s">
        <v>958</v>
      </c>
    </row>
    <row r="118" spans="1:18" ht="15">
      <c r="A118" s="15" t="s">
        <v>475</v>
      </c>
      <c r="B118" s="17"/>
      <c r="C118" s="34" t="s">
        <v>221</v>
      </c>
      <c r="D118" s="17" t="s">
        <v>386</v>
      </c>
      <c r="E118" s="33" t="s">
        <v>476</v>
      </c>
      <c r="F118" s="18"/>
      <c r="G118" s="17">
        <f t="shared" si="7"/>
        <v>3</v>
      </c>
      <c r="H118" s="19">
        <v>2022</v>
      </c>
      <c r="I118" s="19">
        <v>2025</v>
      </c>
      <c r="J118" s="19" t="str">
        <f t="shared" si="8"/>
        <v>Existing</v>
      </c>
      <c r="K118" s="18" t="s">
        <v>253</v>
      </c>
      <c r="L118" s="18" t="s">
        <v>254</v>
      </c>
      <c r="M118" s="409"/>
      <c r="N118" s="18"/>
      <c r="O118" s="18"/>
      <c r="P118" s="18"/>
      <c r="Q118" s="19" t="s">
        <v>477</v>
      </c>
      <c r="R118" s="38" t="s">
        <v>390</v>
      </c>
    </row>
    <row r="119" spans="1:18" ht="15">
      <c r="A119" s="15" t="s">
        <v>475</v>
      </c>
      <c r="B119" s="17"/>
      <c r="C119" s="34" t="s">
        <v>71</v>
      </c>
      <c r="D119" s="17" t="s">
        <v>386</v>
      </c>
      <c r="E119" s="33" t="s">
        <v>476</v>
      </c>
      <c r="F119" s="18"/>
      <c r="G119" s="17">
        <f t="shared" si="7"/>
        <v>3</v>
      </c>
      <c r="H119" s="19">
        <v>2022</v>
      </c>
      <c r="I119" s="19">
        <v>2025</v>
      </c>
      <c r="J119" s="19" t="str">
        <f t="shared" si="8"/>
        <v>Existing</v>
      </c>
      <c r="K119" s="18" t="s">
        <v>253</v>
      </c>
      <c r="L119" s="18" t="s">
        <v>297</v>
      </c>
      <c r="M119" s="409"/>
      <c r="N119" s="18"/>
      <c r="O119" s="18"/>
      <c r="P119" s="18"/>
      <c r="Q119" s="19" t="s">
        <v>477</v>
      </c>
      <c r="R119" s="38" t="s">
        <v>390</v>
      </c>
    </row>
    <row r="120" spans="1:18" ht="15">
      <c r="A120" s="15" t="s">
        <v>478</v>
      </c>
      <c r="B120" s="8" t="s">
        <v>479</v>
      </c>
      <c r="C120" s="34" t="s">
        <v>205</v>
      </c>
      <c r="D120" s="17" t="s">
        <v>386</v>
      </c>
      <c r="E120" s="33"/>
      <c r="F120" s="18"/>
      <c r="G120" s="17">
        <f t="shared" si="7"/>
        <v>3</v>
      </c>
      <c r="H120" s="19">
        <v>2022</v>
      </c>
      <c r="I120" s="19">
        <v>2025</v>
      </c>
      <c r="J120" s="19" t="str">
        <f t="shared" si="8"/>
        <v>Existing</v>
      </c>
      <c r="K120" s="18" t="s">
        <v>253</v>
      </c>
      <c r="L120" s="18" t="s">
        <v>254</v>
      </c>
      <c r="M120" s="409"/>
      <c r="N120" s="18"/>
      <c r="O120" s="18"/>
      <c r="P120" s="18"/>
      <c r="Q120" s="19" t="s">
        <v>362</v>
      </c>
      <c r="R120" s="38" t="s">
        <v>960</v>
      </c>
    </row>
    <row r="121" spans="1:18" ht="15">
      <c r="A121" s="15" t="s">
        <v>478</v>
      </c>
      <c r="B121" s="8" t="s">
        <v>479</v>
      </c>
      <c r="C121" s="34" t="s">
        <v>54</v>
      </c>
      <c r="D121" s="17" t="s">
        <v>386</v>
      </c>
      <c r="E121" s="33" t="s">
        <v>481</v>
      </c>
      <c r="F121" s="18"/>
      <c r="G121" s="17">
        <f t="shared" si="7"/>
        <v>3</v>
      </c>
      <c r="H121" s="19">
        <v>2022</v>
      </c>
      <c r="I121" s="19">
        <v>2025</v>
      </c>
      <c r="J121" s="19" t="str">
        <f t="shared" si="8"/>
        <v>Existing</v>
      </c>
      <c r="K121" s="18" t="s">
        <v>253</v>
      </c>
      <c r="L121" s="18" t="s">
        <v>304</v>
      </c>
      <c r="M121" s="409"/>
      <c r="N121" s="18"/>
      <c r="O121" s="18"/>
      <c r="P121" s="18"/>
      <c r="Q121" s="19" t="s">
        <v>362</v>
      </c>
      <c r="R121" s="38" t="s">
        <v>960</v>
      </c>
    </row>
    <row r="122" spans="1:18" ht="15">
      <c r="A122" s="15" t="s">
        <v>478</v>
      </c>
      <c r="B122" s="8" t="s">
        <v>479</v>
      </c>
      <c r="C122" s="34" t="s">
        <v>204</v>
      </c>
      <c r="D122" s="17" t="s">
        <v>386</v>
      </c>
      <c r="E122" s="33" t="s">
        <v>482</v>
      </c>
      <c r="F122" s="18"/>
      <c r="G122" s="17">
        <f t="shared" si="7"/>
        <v>3</v>
      </c>
      <c r="H122" s="19">
        <v>2022</v>
      </c>
      <c r="I122" s="19">
        <v>2025</v>
      </c>
      <c r="J122" s="19" t="str">
        <f t="shared" si="8"/>
        <v>Existing</v>
      </c>
      <c r="K122" s="18" t="s">
        <v>253</v>
      </c>
      <c r="L122" s="18" t="s">
        <v>254</v>
      </c>
      <c r="M122" s="410"/>
      <c r="N122" s="18"/>
      <c r="O122" s="18"/>
      <c r="P122" s="18"/>
      <c r="Q122" s="19" t="s">
        <v>362</v>
      </c>
      <c r="R122" s="38" t="s">
        <v>960</v>
      </c>
    </row>
    <row r="123" spans="1:18" ht="15">
      <c r="A123" s="15" t="s">
        <v>478</v>
      </c>
      <c r="B123" s="8" t="s">
        <v>479</v>
      </c>
      <c r="C123" s="34" t="s">
        <v>53</v>
      </c>
      <c r="D123" s="17" t="s">
        <v>386</v>
      </c>
      <c r="E123" s="33" t="s">
        <v>483</v>
      </c>
      <c r="F123" s="18"/>
      <c r="G123" s="17">
        <f t="shared" si="7"/>
        <v>3</v>
      </c>
      <c r="H123" s="19">
        <v>2022</v>
      </c>
      <c r="I123" s="19">
        <v>2025</v>
      </c>
      <c r="J123" s="19" t="str">
        <f t="shared" si="8"/>
        <v>Existing</v>
      </c>
      <c r="K123" s="18" t="s">
        <v>253</v>
      </c>
      <c r="L123" s="18" t="s">
        <v>297</v>
      </c>
      <c r="M123" s="22">
        <v>30000</v>
      </c>
      <c r="N123" s="18"/>
      <c r="O123" s="18"/>
      <c r="P123" s="18"/>
      <c r="Q123" s="19" t="s">
        <v>362</v>
      </c>
      <c r="R123" s="38" t="s">
        <v>960</v>
      </c>
    </row>
    <row r="124" spans="1:18" ht="15">
      <c r="A124" s="15" t="s">
        <v>478</v>
      </c>
      <c r="B124" s="8" t="s">
        <v>479</v>
      </c>
      <c r="C124" s="34" t="s">
        <v>159</v>
      </c>
      <c r="D124" s="17" t="s">
        <v>386</v>
      </c>
      <c r="E124" s="33" t="s">
        <v>484</v>
      </c>
      <c r="F124" s="18"/>
      <c r="G124" s="17">
        <f t="shared" si="7"/>
        <v>3</v>
      </c>
      <c r="H124" s="19">
        <v>2022</v>
      </c>
      <c r="I124" s="19">
        <v>2025</v>
      </c>
      <c r="J124" s="19" t="str">
        <f t="shared" si="8"/>
        <v>Existing</v>
      </c>
      <c r="K124" s="18" t="s">
        <v>253</v>
      </c>
      <c r="L124" s="18" t="s">
        <v>315</v>
      </c>
      <c r="M124" s="22">
        <v>30000</v>
      </c>
      <c r="N124" s="18"/>
      <c r="O124" s="18"/>
      <c r="P124" s="18"/>
      <c r="Q124" s="19" t="s">
        <v>362</v>
      </c>
      <c r="R124" s="38" t="s">
        <v>960</v>
      </c>
    </row>
    <row r="125" spans="1:18" ht="15">
      <c r="A125" s="15" t="s">
        <v>478</v>
      </c>
      <c r="B125" s="8" t="s">
        <v>479</v>
      </c>
      <c r="C125" s="34" t="s">
        <v>111</v>
      </c>
      <c r="D125" s="17" t="s">
        <v>386</v>
      </c>
      <c r="E125" s="33" t="s">
        <v>485</v>
      </c>
      <c r="F125" s="18"/>
      <c r="G125" s="17">
        <f t="shared" si="7"/>
        <v>3</v>
      </c>
      <c r="H125" s="19">
        <v>2022</v>
      </c>
      <c r="I125" s="19">
        <v>2025</v>
      </c>
      <c r="J125" s="19" t="str">
        <f t="shared" si="8"/>
        <v>Existing</v>
      </c>
      <c r="K125" s="18" t="s">
        <v>253</v>
      </c>
      <c r="L125" s="18" t="s">
        <v>315</v>
      </c>
      <c r="M125" s="22">
        <v>50000</v>
      </c>
      <c r="N125" s="18"/>
      <c r="O125" s="18"/>
      <c r="P125" s="18"/>
      <c r="Q125" s="19" t="s">
        <v>362</v>
      </c>
      <c r="R125" s="38" t="s">
        <v>960</v>
      </c>
    </row>
    <row r="126" spans="1:18" ht="16">
      <c r="A126" s="62" t="s">
        <v>486</v>
      </c>
      <c r="B126" s="17"/>
      <c r="C126" s="34" t="s">
        <v>487</v>
      </c>
      <c r="D126" s="17" t="s">
        <v>386</v>
      </c>
      <c r="E126" s="33" t="s">
        <v>488</v>
      </c>
      <c r="F126" s="18"/>
      <c r="G126" s="17">
        <f t="shared" si="7"/>
        <v>1</v>
      </c>
      <c r="H126" s="19">
        <v>2022</v>
      </c>
      <c r="I126" s="19">
        <v>2023</v>
      </c>
      <c r="J126" s="19" t="str">
        <f t="shared" si="8"/>
        <v>Retention</v>
      </c>
      <c r="K126" s="18" t="s">
        <v>253</v>
      </c>
      <c r="L126" s="18" t="s">
        <v>254</v>
      </c>
      <c r="M126" s="22">
        <v>25000</v>
      </c>
      <c r="N126" s="18"/>
      <c r="O126" s="18"/>
      <c r="P126" s="18"/>
      <c r="Q126" s="19" t="s">
        <v>362</v>
      </c>
      <c r="R126" s="38" t="s">
        <v>390</v>
      </c>
    </row>
    <row r="127" spans="1:18" ht="16">
      <c r="A127" s="62" t="s">
        <v>486</v>
      </c>
      <c r="B127" s="17"/>
      <c r="C127" s="34" t="s">
        <v>489</v>
      </c>
      <c r="D127" s="17" t="s">
        <v>386</v>
      </c>
      <c r="E127" s="33" t="s">
        <v>490</v>
      </c>
      <c r="F127" s="18"/>
      <c r="G127" s="17">
        <f t="shared" si="7"/>
        <v>3</v>
      </c>
      <c r="H127" s="19">
        <v>2021</v>
      </c>
      <c r="I127" s="19">
        <v>2024</v>
      </c>
      <c r="J127" s="19" t="str">
        <f t="shared" si="8"/>
        <v>Existing</v>
      </c>
      <c r="K127" s="18" t="s">
        <v>253</v>
      </c>
      <c r="L127" s="18" t="s">
        <v>245</v>
      </c>
      <c r="M127" s="22">
        <v>21000</v>
      </c>
      <c r="N127" s="18"/>
      <c r="O127" s="18"/>
      <c r="P127" s="18"/>
      <c r="Q127" s="19" t="s">
        <v>362</v>
      </c>
      <c r="R127" s="38" t="s">
        <v>390</v>
      </c>
    </row>
    <row r="128" spans="1:18" ht="16">
      <c r="A128" s="62" t="s">
        <v>491</v>
      </c>
      <c r="B128" s="17"/>
      <c r="C128" s="34" t="s">
        <v>492</v>
      </c>
      <c r="D128" s="17" t="s">
        <v>386</v>
      </c>
      <c r="E128" s="33" t="s">
        <v>493</v>
      </c>
      <c r="F128" s="18"/>
      <c r="G128" s="17">
        <f t="shared" si="7"/>
        <v>1</v>
      </c>
      <c r="H128" s="19">
        <v>2022</v>
      </c>
      <c r="I128" s="19">
        <v>2023</v>
      </c>
      <c r="J128" s="19" t="str">
        <f t="shared" si="8"/>
        <v>Retention</v>
      </c>
      <c r="K128" s="18" t="s">
        <v>253</v>
      </c>
      <c r="L128" s="18" t="s">
        <v>254</v>
      </c>
      <c r="M128" s="22">
        <v>30000</v>
      </c>
      <c r="N128" s="18"/>
      <c r="O128" s="18"/>
      <c r="P128" s="18"/>
      <c r="Q128" s="19" t="s">
        <v>362</v>
      </c>
      <c r="R128" s="38" t="s">
        <v>390</v>
      </c>
    </row>
    <row r="129" spans="1:20" ht="16">
      <c r="A129" s="62" t="s">
        <v>491</v>
      </c>
      <c r="B129" s="17"/>
      <c r="C129" s="34" t="s">
        <v>494</v>
      </c>
      <c r="D129" s="17" t="s">
        <v>386</v>
      </c>
      <c r="E129" s="33" t="s">
        <v>961</v>
      </c>
      <c r="F129" s="18"/>
      <c r="G129" s="17">
        <f t="shared" si="7"/>
        <v>1</v>
      </c>
      <c r="H129" s="19">
        <v>2022</v>
      </c>
      <c r="I129" s="19">
        <v>2023</v>
      </c>
      <c r="J129" s="19" t="str">
        <f t="shared" si="8"/>
        <v>Retention</v>
      </c>
      <c r="K129" s="18"/>
      <c r="L129" s="18" t="s">
        <v>245</v>
      </c>
      <c r="M129" s="22">
        <v>30000</v>
      </c>
      <c r="N129" s="18"/>
      <c r="O129" s="18"/>
      <c r="P129" s="18"/>
      <c r="Q129" s="19" t="s">
        <v>362</v>
      </c>
      <c r="R129" s="38" t="s">
        <v>390</v>
      </c>
    </row>
    <row r="130" spans="1:20" ht="16">
      <c r="A130" s="62" t="s">
        <v>491</v>
      </c>
      <c r="B130" s="17"/>
      <c r="C130" s="34" t="s">
        <v>15</v>
      </c>
      <c r="D130" s="17" t="s">
        <v>386</v>
      </c>
      <c r="E130" s="33" t="s">
        <v>962</v>
      </c>
      <c r="F130" s="18"/>
      <c r="G130" s="17">
        <f t="shared" si="7"/>
        <v>1</v>
      </c>
      <c r="H130" s="19">
        <v>2022</v>
      </c>
      <c r="I130" s="19">
        <v>2023</v>
      </c>
      <c r="J130" s="19" t="str">
        <f t="shared" si="8"/>
        <v>Retention</v>
      </c>
      <c r="K130" s="18" t="s">
        <v>253</v>
      </c>
      <c r="L130" s="18" t="s">
        <v>315</v>
      </c>
      <c r="M130" s="22">
        <v>34000</v>
      </c>
      <c r="N130" s="18"/>
      <c r="O130" s="18"/>
      <c r="P130" s="18"/>
      <c r="Q130" s="19" t="s">
        <v>362</v>
      </c>
      <c r="R130" s="38" t="s">
        <v>390</v>
      </c>
    </row>
    <row r="131" spans="1:20" ht="15">
      <c r="A131" s="15" t="s">
        <v>495</v>
      </c>
      <c r="B131" s="10" t="s">
        <v>496</v>
      </c>
      <c r="C131" s="34" t="s">
        <v>193</v>
      </c>
      <c r="D131" s="17" t="s">
        <v>386</v>
      </c>
      <c r="E131" s="58" t="s">
        <v>497</v>
      </c>
      <c r="F131" s="18"/>
      <c r="G131" s="17">
        <f t="shared" si="7"/>
        <v>4</v>
      </c>
      <c r="H131" s="19">
        <v>2019</v>
      </c>
      <c r="I131" s="19">
        <v>2023</v>
      </c>
      <c r="J131" s="19" t="str">
        <f t="shared" si="8"/>
        <v>Retention</v>
      </c>
      <c r="K131" s="18"/>
      <c r="L131" s="18" t="s">
        <v>254</v>
      </c>
      <c r="M131" s="22">
        <v>7000</v>
      </c>
      <c r="N131" s="18"/>
      <c r="O131" s="18"/>
      <c r="P131" s="18"/>
      <c r="Q131" s="19" t="s">
        <v>285</v>
      </c>
      <c r="R131" s="38" t="s">
        <v>570</v>
      </c>
    </row>
    <row r="132" spans="1:20" ht="15">
      <c r="A132" s="15" t="s">
        <v>495</v>
      </c>
      <c r="B132" s="10" t="s">
        <v>496</v>
      </c>
      <c r="C132" s="34" t="s">
        <v>33</v>
      </c>
      <c r="D132" s="17" t="s">
        <v>386</v>
      </c>
      <c r="E132" s="63" t="s">
        <v>499</v>
      </c>
      <c r="F132" s="18"/>
      <c r="G132" s="17">
        <f t="shared" si="7"/>
        <v>4</v>
      </c>
      <c r="H132" s="19">
        <v>2019</v>
      </c>
      <c r="I132" s="19">
        <v>2023</v>
      </c>
      <c r="J132" s="19" t="str">
        <f t="shared" si="8"/>
        <v>Retention</v>
      </c>
      <c r="K132" s="18"/>
      <c r="L132" s="18" t="s">
        <v>297</v>
      </c>
      <c r="M132" s="22">
        <v>7000</v>
      </c>
      <c r="N132" s="18"/>
      <c r="O132" s="18"/>
      <c r="P132" s="18"/>
      <c r="Q132" s="19" t="s">
        <v>285</v>
      </c>
      <c r="R132" s="38" t="s">
        <v>570</v>
      </c>
    </row>
    <row r="133" spans="1:20" ht="15">
      <c r="A133" s="15" t="s">
        <v>500</v>
      </c>
      <c r="B133" s="10" t="s">
        <v>496</v>
      </c>
      <c r="C133" s="34" t="s">
        <v>144</v>
      </c>
      <c r="D133" s="17" t="s">
        <v>386</v>
      </c>
      <c r="E133" s="64" t="s">
        <v>501</v>
      </c>
      <c r="F133" s="18"/>
      <c r="G133" s="17">
        <f t="shared" si="7"/>
        <v>4</v>
      </c>
      <c r="H133" s="19">
        <v>2019</v>
      </c>
      <c r="I133" s="19">
        <v>2023</v>
      </c>
      <c r="J133" s="19" t="str">
        <f t="shared" si="8"/>
        <v>Retention</v>
      </c>
      <c r="K133" s="18"/>
      <c r="L133" s="18" t="s">
        <v>315</v>
      </c>
      <c r="M133" s="22">
        <v>24000</v>
      </c>
      <c r="N133" s="18"/>
      <c r="O133" s="18"/>
      <c r="P133" s="18"/>
      <c r="Q133" s="19" t="s">
        <v>285</v>
      </c>
      <c r="R133" s="38" t="s">
        <v>570</v>
      </c>
    </row>
    <row r="134" spans="1:20" ht="15">
      <c r="A134" s="15" t="s">
        <v>502</v>
      </c>
      <c r="B134" s="10" t="s">
        <v>503</v>
      </c>
      <c r="C134" s="34" t="s">
        <v>504</v>
      </c>
      <c r="D134" s="17" t="s">
        <v>386</v>
      </c>
      <c r="E134" s="58" t="s">
        <v>505</v>
      </c>
      <c r="F134" s="18"/>
      <c r="G134" s="17">
        <f t="shared" si="7"/>
        <v>3</v>
      </c>
      <c r="H134" s="19">
        <v>2021</v>
      </c>
      <c r="I134" s="19">
        <v>2024</v>
      </c>
      <c r="J134" s="19" t="str">
        <f t="shared" si="8"/>
        <v>Existing</v>
      </c>
      <c r="K134" s="18" t="s">
        <v>248</v>
      </c>
      <c r="L134" s="18" t="s">
        <v>254</v>
      </c>
      <c r="M134" s="22">
        <v>24000</v>
      </c>
      <c r="N134" s="18"/>
      <c r="O134" s="18"/>
      <c r="P134" s="18"/>
      <c r="Q134" s="19" t="s">
        <v>285</v>
      </c>
      <c r="R134" s="38" t="s">
        <v>570</v>
      </c>
    </row>
    <row r="135" spans="1:20" ht="15">
      <c r="A135" s="15" t="s">
        <v>506</v>
      </c>
      <c r="B135" s="10" t="s">
        <v>503</v>
      </c>
      <c r="C135" s="34" t="s">
        <v>507</v>
      </c>
      <c r="D135" s="17" t="s">
        <v>386</v>
      </c>
      <c r="E135" s="58" t="s">
        <v>508</v>
      </c>
      <c r="F135" s="18"/>
      <c r="G135" s="17">
        <f t="shared" si="7"/>
        <v>3</v>
      </c>
      <c r="H135" s="19">
        <v>2021</v>
      </c>
      <c r="I135" s="19">
        <v>2024</v>
      </c>
      <c r="J135" s="19" t="str">
        <f t="shared" si="8"/>
        <v>Existing</v>
      </c>
      <c r="K135" s="18" t="s">
        <v>248</v>
      </c>
      <c r="L135" s="18" t="s">
        <v>297</v>
      </c>
      <c r="M135" s="411">
        <v>14000000</v>
      </c>
      <c r="N135" s="18"/>
      <c r="O135" s="18"/>
      <c r="P135" s="18"/>
      <c r="Q135" s="19" t="s">
        <v>285</v>
      </c>
      <c r="R135" s="38" t="s">
        <v>570</v>
      </c>
    </row>
    <row r="136" spans="1:20" ht="15">
      <c r="A136" s="15" t="s">
        <v>502</v>
      </c>
      <c r="B136" s="10" t="s">
        <v>503</v>
      </c>
      <c r="C136" s="34" t="s">
        <v>509</v>
      </c>
      <c r="D136" s="17" t="s">
        <v>386</v>
      </c>
      <c r="E136" s="58" t="s">
        <v>510</v>
      </c>
      <c r="F136" s="18"/>
      <c r="G136" s="17">
        <f t="shared" si="7"/>
        <v>3</v>
      </c>
      <c r="H136" s="19">
        <v>2021</v>
      </c>
      <c r="I136" s="19">
        <v>2024</v>
      </c>
      <c r="J136" s="19" t="str">
        <f t="shared" si="8"/>
        <v>Existing</v>
      </c>
      <c r="K136" s="18" t="s">
        <v>248</v>
      </c>
      <c r="L136" s="18" t="s">
        <v>315</v>
      </c>
      <c r="M136" s="409"/>
      <c r="N136" s="18"/>
      <c r="O136" s="18"/>
      <c r="P136" s="18"/>
      <c r="Q136" s="19" t="s">
        <v>285</v>
      </c>
      <c r="R136" s="38" t="s">
        <v>570</v>
      </c>
    </row>
    <row r="137" spans="1:20" ht="15">
      <c r="A137" s="15" t="s">
        <v>502</v>
      </c>
      <c r="B137" s="10" t="s">
        <v>503</v>
      </c>
      <c r="C137" s="34" t="s">
        <v>511</v>
      </c>
      <c r="D137" s="17" t="s">
        <v>386</v>
      </c>
      <c r="E137" s="58" t="s">
        <v>512</v>
      </c>
      <c r="F137" s="146"/>
      <c r="G137" s="110">
        <f t="shared" si="7"/>
        <v>3</v>
      </c>
      <c r="H137" s="147">
        <v>2021</v>
      </c>
      <c r="I137" s="147">
        <v>2024</v>
      </c>
      <c r="J137" s="147" t="str">
        <f t="shared" si="8"/>
        <v>Existing</v>
      </c>
      <c r="K137" s="146" t="s">
        <v>248</v>
      </c>
      <c r="L137" s="146" t="s">
        <v>315</v>
      </c>
      <c r="M137" s="409"/>
      <c r="N137" s="146"/>
      <c r="O137" s="146"/>
      <c r="P137" s="146"/>
      <c r="Q137" s="147" t="s">
        <v>285</v>
      </c>
      <c r="R137" s="38" t="s">
        <v>570</v>
      </c>
    </row>
    <row r="138" spans="1:20" ht="15">
      <c r="A138" s="15" t="s">
        <v>513</v>
      </c>
      <c r="B138" s="15" t="s">
        <v>514</v>
      </c>
      <c r="C138" s="34" t="s">
        <v>515</v>
      </c>
      <c r="D138" s="17" t="s">
        <v>516</v>
      </c>
      <c r="E138" s="18" t="s">
        <v>517</v>
      </c>
      <c r="F138" s="152"/>
      <c r="G138" s="153">
        <f t="shared" si="7"/>
        <v>3</v>
      </c>
      <c r="H138" s="154">
        <v>2021</v>
      </c>
      <c r="I138" s="154">
        <v>2024</v>
      </c>
      <c r="J138" s="154" t="str">
        <f t="shared" si="8"/>
        <v>Existing</v>
      </c>
      <c r="K138" s="152"/>
      <c r="L138" s="152" t="s">
        <v>254</v>
      </c>
      <c r="M138" s="410"/>
      <c r="N138" s="152"/>
      <c r="O138" s="152"/>
      <c r="P138" s="152"/>
      <c r="Q138" s="154" t="s">
        <v>477</v>
      </c>
      <c r="R138" s="19" t="s">
        <v>425</v>
      </c>
      <c r="S138" s="156"/>
      <c r="T138" s="156"/>
    </row>
    <row r="139" spans="1:20" ht="15">
      <c r="A139" s="15" t="s">
        <v>513</v>
      </c>
      <c r="B139" s="15" t="s">
        <v>514</v>
      </c>
      <c r="C139" s="34" t="s">
        <v>518</v>
      </c>
      <c r="D139" s="17" t="s">
        <v>516</v>
      </c>
      <c r="E139" s="33" t="s">
        <v>519</v>
      </c>
      <c r="F139" s="18"/>
      <c r="G139" s="17">
        <f t="shared" si="7"/>
        <v>3</v>
      </c>
      <c r="H139" s="19">
        <v>2021</v>
      </c>
      <c r="I139" s="19">
        <v>2024</v>
      </c>
      <c r="J139" s="19" t="str">
        <f t="shared" si="8"/>
        <v>Existing</v>
      </c>
      <c r="K139" s="18"/>
      <c r="L139" s="18" t="s">
        <v>297</v>
      </c>
      <c r="M139" s="411">
        <v>6000000</v>
      </c>
      <c r="N139" s="18"/>
      <c r="O139" s="18"/>
      <c r="P139" s="18"/>
      <c r="Q139" s="19" t="s">
        <v>477</v>
      </c>
      <c r="R139" s="38" t="s">
        <v>425</v>
      </c>
    </row>
    <row r="140" spans="1:20" ht="15">
      <c r="A140" s="15" t="s">
        <v>513</v>
      </c>
      <c r="B140" s="15" t="s">
        <v>514</v>
      </c>
      <c r="C140" s="34" t="s">
        <v>520</v>
      </c>
      <c r="D140" s="17" t="s">
        <v>516</v>
      </c>
      <c r="E140" s="33" t="s">
        <v>521</v>
      </c>
      <c r="F140" s="18"/>
      <c r="G140" s="17">
        <f t="shared" si="7"/>
        <v>3</v>
      </c>
      <c r="H140" s="19">
        <v>2021</v>
      </c>
      <c r="I140" s="19">
        <v>2024</v>
      </c>
      <c r="J140" s="19" t="str">
        <f t="shared" si="8"/>
        <v>Existing</v>
      </c>
      <c r="K140" s="18"/>
      <c r="L140" s="18" t="s">
        <v>245</v>
      </c>
      <c r="M140" s="410"/>
      <c r="N140" s="18"/>
      <c r="O140" s="18"/>
      <c r="P140" s="18"/>
      <c r="Q140" s="19" t="s">
        <v>477</v>
      </c>
      <c r="R140" s="38" t="s">
        <v>425</v>
      </c>
    </row>
    <row r="141" spans="1:20" ht="15">
      <c r="A141" s="15" t="s">
        <v>513</v>
      </c>
      <c r="B141" s="15" t="s">
        <v>514</v>
      </c>
      <c r="C141" s="34" t="s">
        <v>522</v>
      </c>
      <c r="D141" s="17"/>
      <c r="E141" s="33" t="s">
        <v>523</v>
      </c>
      <c r="F141" s="18"/>
      <c r="G141" s="17"/>
      <c r="H141" s="19">
        <v>2021</v>
      </c>
      <c r="I141" s="19">
        <v>2024</v>
      </c>
      <c r="J141" s="14" t="str">
        <f t="shared" si="8"/>
        <v>Existing</v>
      </c>
      <c r="K141" s="18"/>
      <c r="L141" s="18"/>
      <c r="M141" s="69"/>
      <c r="N141" s="18"/>
      <c r="O141" s="18"/>
      <c r="P141" s="18"/>
      <c r="Q141" s="19" t="s">
        <v>477</v>
      </c>
      <c r="R141" s="38" t="s">
        <v>425</v>
      </c>
    </row>
    <row r="142" spans="1:20" ht="15">
      <c r="A142" s="15" t="s">
        <v>513</v>
      </c>
      <c r="B142" s="15" t="s">
        <v>514</v>
      </c>
      <c r="C142" s="34" t="s">
        <v>524</v>
      </c>
      <c r="D142" s="17" t="s">
        <v>516</v>
      </c>
      <c r="E142" s="33" t="s">
        <v>525</v>
      </c>
      <c r="F142" s="18"/>
      <c r="G142" s="17">
        <f t="shared" ref="G142:G196" si="9">I142-H142</f>
        <v>3</v>
      </c>
      <c r="H142" s="19">
        <v>2021</v>
      </c>
      <c r="I142" s="19">
        <v>2024</v>
      </c>
      <c r="J142" s="19" t="str">
        <f t="shared" si="8"/>
        <v>Existing</v>
      </c>
      <c r="K142" s="18"/>
      <c r="L142" s="18" t="s">
        <v>315</v>
      </c>
      <c r="M142" s="69">
        <v>12500</v>
      </c>
      <c r="N142" s="18"/>
      <c r="O142" s="18"/>
      <c r="P142" s="18"/>
      <c r="Q142" s="19" t="s">
        <v>477</v>
      </c>
      <c r="R142" s="38" t="s">
        <v>425</v>
      </c>
    </row>
    <row r="143" spans="1:20" ht="15">
      <c r="A143" s="15" t="s">
        <v>513</v>
      </c>
      <c r="B143" s="15" t="s">
        <v>514</v>
      </c>
      <c r="C143" s="34" t="s">
        <v>526</v>
      </c>
      <c r="D143" s="17" t="s">
        <v>516</v>
      </c>
      <c r="E143" s="33" t="s">
        <v>527</v>
      </c>
      <c r="F143" s="18"/>
      <c r="G143" s="17">
        <f t="shared" si="9"/>
        <v>3</v>
      </c>
      <c r="H143" s="19">
        <v>2021</v>
      </c>
      <c r="I143" s="19">
        <v>2024</v>
      </c>
      <c r="J143" s="19" t="str">
        <f t="shared" si="8"/>
        <v>Existing</v>
      </c>
      <c r="K143" s="18"/>
      <c r="L143" s="18" t="s">
        <v>245</v>
      </c>
      <c r="M143" s="157">
        <v>15000</v>
      </c>
      <c r="N143" s="18"/>
      <c r="O143" s="18"/>
      <c r="P143" s="18"/>
      <c r="Q143" s="19" t="s">
        <v>477</v>
      </c>
      <c r="R143" s="38" t="s">
        <v>425</v>
      </c>
    </row>
    <row r="144" spans="1:20" ht="15">
      <c r="A144" s="15" t="s">
        <v>513</v>
      </c>
      <c r="B144" s="15" t="s">
        <v>514</v>
      </c>
      <c r="C144" s="34" t="s">
        <v>528</v>
      </c>
      <c r="D144" s="17" t="s">
        <v>516</v>
      </c>
      <c r="E144" s="33" t="s">
        <v>529</v>
      </c>
      <c r="F144" s="18"/>
      <c r="G144" s="17">
        <f t="shared" si="9"/>
        <v>3</v>
      </c>
      <c r="H144" s="19">
        <v>2021</v>
      </c>
      <c r="I144" s="19">
        <v>2024</v>
      </c>
      <c r="J144" s="19" t="str">
        <f t="shared" si="8"/>
        <v>Existing</v>
      </c>
      <c r="K144" s="18" t="s">
        <v>248</v>
      </c>
      <c r="L144" s="18" t="s">
        <v>315</v>
      </c>
      <c r="M144" s="157">
        <v>15000</v>
      </c>
      <c r="N144" s="18"/>
      <c r="O144" s="18"/>
      <c r="P144" s="18"/>
      <c r="Q144" s="19" t="s">
        <v>477</v>
      </c>
      <c r="R144" s="38" t="s">
        <v>425</v>
      </c>
    </row>
    <row r="145" spans="1:18" ht="15">
      <c r="A145" s="15" t="s">
        <v>530</v>
      </c>
      <c r="B145" s="17"/>
      <c r="C145" s="34" t="s">
        <v>40</v>
      </c>
      <c r="D145" s="17" t="s">
        <v>516</v>
      </c>
      <c r="E145" s="33" t="s">
        <v>531</v>
      </c>
      <c r="F145" s="18"/>
      <c r="G145" s="17">
        <f t="shared" si="9"/>
        <v>2</v>
      </c>
      <c r="H145" s="19">
        <v>2022</v>
      </c>
      <c r="I145" s="19">
        <v>2024</v>
      </c>
      <c r="J145" s="19" t="str">
        <f t="shared" si="8"/>
        <v>Existing</v>
      </c>
      <c r="K145" s="18" t="s">
        <v>248</v>
      </c>
      <c r="L145" s="18" t="s">
        <v>297</v>
      </c>
      <c r="M145" s="157">
        <v>15000</v>
      </c>
      <c r="N145" s="18"/>
      <c r="O145" s="18"/>
      <c r="P145" s="18"/>
      <c r="Q145" s="19" t="s">
        <v>477</v>
      </c>
      <c r="R145" s="38" t="s">
        <v>425</v>
      </c>
    </row>
    <row r="146" spans="1:18" ht="15">
      <c r="A146" s="67" t="s">
        <v>532</v>
      </c>
      <c r="B146" s="10" t="s">
        <v>533</v>
      </c>
      <c r="C146" s="29" t="s">
        <v>37</v>
      </c>
      <c r="D146" s="17" t="s">
        <v>516</v>
      </c>
      <c r="E146" s="18" t="s">
        <v>534</v>
      </c>
      <c r="F146" s="18"/>
      <c r="G146" s="17">
        <f t="shared" si="9"/>
        <v>3</v>
      </c>
      <c r="H146" s="68">
        <v>2020</v>
      </c>
      <c r="I146" s="68">
        <v>2023</v>
      </c>
      <c r="J146" s="19" t="str">
        <f t="shared" si="8"/>
        <v>Retention</v>
      </c>
      <c r="K146" s="18" t="s">
        <v>253</v>
      </c>
      <c r="L146" s="18" t="s">
        <v>245</v>
      </c>
      <c r="M146" s="69">
        <v>30000</v>
      </c>
      <c r="N146" s="18"/>
      <c r="O146" s="18"/>
      <c r="P146" s="18"/>
      <c r="Q146" s="19" t="s">
        <v>322</v>
      </c>
      <c r="R146" s="19" t="s">
        <v>286</v>
      </c>
    </row>
    <row r="147" spans="1:18" ht="15">
      <c r="A147" s="67" t="s">
        <v>532</v>
      </c>
      <c r="B147" s="10" t="s">
        <v>533</v>
      </c>
      <c r="C147" s="29" t="s">
        <v>148</v>
      </c>
      <c r="D147" s="17" t="s">
        <v>516</v>
      </c>
      <c r="E147" s="33" t="s">
        <v>535</v>
      </c>
      <c r="F147" s="18"/>
      <c r="G147" s="17">
        <f t="shared" si="9"/>
        <v>3</v>
      </c>
      <c r="H147" s="68">
        <v>2020</v>
      </c>
      <c r="I147" s="68">
        <v>2023</v>
      </c>
      <c r="J147" s="19" t="str">
        <f t="shared" si="8"/>
        <v>Retention</v>
      </c>
      <c r="K147" s="18" t="s">
        <v>253</v>
      </c>
      <c r="L147" s="18" t="s">
        <v>245</v>
      </c>
      <c r="M147" s="69">
        <v>30000</v>
      </c>
      <c r="N147" s="18"/>
      <c r="O147" s="18"/>
      <c r="P147" s="18"/>
      <c r="Q147" s="19" t="s">
        <v>322</v>
      </c>
      <c r="R147" s="38" t="s">
        <v>286</v>
      </c>
    </row>
    <row r="148" spans="1:18" ht="15">
      <c r="A148" s="67" t="s">
        <v>532</v>
      </c>
      <c r="B148" s="10" t="s">
        <v>533</v>
      </c>
      <c r="C148" s="29" t="s">
        <v>104</v>
      </c>
      <c r="D148" s="17" t="s">
        <v>516</v>
      </c>
      <c r="E148" s="33" t="s">
        <v>536</v>
      </c>
      <c r="F148" s="18"/>
      <c r="G148" s="17">
        <f t="shared" si="9"/>
        <v>3</v>
      </c>
      <c r="H148" s="68">
        <v>2020</v>
      </c>
      <c r="I148" s="68">
        <v>2023</v>
      </c>
      <c r="J148" s="19" t="str">
        <f t="shared" si="8"/>
        <v>Retention</v>
      </c>
      <c r="K148" s="18" t="s">
        <v>253</v>
      </c>
      <c r="L148" s="18" t="s">
        <v>245</v>
      </c>
      <c r="M148" s="69">
        <v>30000</v>
      </c>
      <c r="N148" s="18"/>
      <c r="O148" s="18"/>
      <c r="P148" s="18"/>
      <c r="Q148" s="19" t="s">
        <v>322</v>
      </c>
      <c r="R148" s="38" t="s">
        <v>286</v>
      </c>
    </row>
    <row r="149" spans="1:18" ht="15">
      <c r="A149" s="15" t="s">
        <v>537</v>
      </c>
      <c r="B149" s="8" t="s">
        <v>538</v>
      </c>
      <c r="C149" s="34" t="s">
        <v>198</v>
      </c>
      <c r="D149" s="17" t="s">
        <v>516</v>
      </c>
      <c r="E149" s="33" t="s">
        <v>539</v>
      </c>
      <c r="F149" s="18"/>
      <c r="G149" s="17">
        <f t="shared" si="9"/>
        <v>3</v>
      </c>
      <c r="H149" s="19">
        <v>2022</v>
      </c>
      <c r="I149" s="19">
        <v>2025</v>
      </c>
      <c r="J149" s="19" t="str">
        <f t="shared" si="8"/>
        <v>Existing</v>
      </c>
      <c r="K149" s="18"/>
      <c r="L149" s="18" t="s">
        <v>254</v>
      </c>
      <c r="M149" s="69">
        <v>30000</v>
      </c>
      <c r="N149" s="18"/>
      <c r="O149" s="18"/>
      <c r="P149" s="18"/>
      <c r="Q149" s="19" t="s">
        <v>306</v>
      </c>
      <c r="R149" s="38" t="s">
        <v>540</v>
      </c>
    </row>
    <row r="150" spans="1:18" ht="15">
      <c r="A150" s="15" t="s">
        <v>537</v>
      </c>
      <c r="B150" s="8" t="s">
        <v>538</v>
      </c>
      <c r="C150" s="34" t="s">
        <v>42</v>
      </c>
      <c r="D150" s="17" t="s">
        <v>516</v>
      </c>
      <c r="E150" s="33" t="s">
        <v>541</v>
      </c>
      <c r="F150" s="18"/>
      <c r="G150" s="17">
        <f t="shared" si="9"/>
        <v>3</v>
      </c>
      <c r="H150" s="19">
        <v>2022</v>
      </c>
      <c r="I150" s="19">
        <v>2025</v>
      </c>
      <c r="J150" s="19" t="str">
        <f t="shared" si="8"/>
        <v>Existing</v>
      </c>
      <c r="K150" s="18"/>
      <c r="L150" s="18" t="s">
        <v>297</v>
      </c>
      <c r="M150" s="69">
        <v>30000</v>
      </c>
      <c r="N150" s="18"/>
      <c r="O150" s="18"/>
      <c r="P150" s="18"/>
      <c r="Q150" s="19" t="s">
        <v>306</v>
      </c>
      <c r="R150" s="38" t="s">
        <v>540</v>
      </c>
    </row>
    <row r="151" spans="1:18" ht="15">
      <c r="A151" s="15" t="s">
        <v>537</v>
      </c>
      <c r="B151" s="8" t="s">
        <v>538</v>
      </c>
      <c r="C151" s="34" t="s">
        <v>152</v>
      </c>
      <c r="D151" s="17" t="s">
        <v>516</v>
      </c>
      <c r="E151" s="33" t="s">
        <v>542</v>
      </c>
      <c r="F151" s="18"/>
      <c r="G151" s="17">
        <f t="shared" si="9"/>
        <v>3</v>
      </c>
      <c r="H151" s="19">
        <v>2022</v>
      </c>
      <c r="I151" s="19">
        <v>2025</v>
      </c>
      <c r="J151" s="19" t="str">
        <f t="shared" si="8"/>
        <v>Existing</v>
      </c>
      <c r="K151" s="18"/>
      <c r="L151" s="18" t="s">
        <v>315</v>
      </c>
      <c r="M151" s="69">
        <v>30000</v>
      </c>
      <c r="N151" s="18"/>
      <c r="O151" s="18"/>
      <c r="P151" s="18"/>
      <c r="Q151" s="19" t="s">
        <v>306</v>
      </c>
      <c r="R151" s="38" t="s">
        <v>540</v>
      </c>
    </row>
    <row r="152" spans="1:18" ht="15">
      <c r="A152" s="15" t="s">
        <v>537</v>
      </c>
      <c r="B152" s="8" t="s">
        <v>538</v>
      </c>
      <c r="C152" s="34" t="s">
        <v>106</v>
      </c>
      <c r="D152" s="17" t="s">
        <v>516</v>
      </c>
      <c r="E152" s="33" t="s">
        <v>543</v>
      </c>
      <c r="F152" s="18"/>
      <c r="G152" s="17">
        <f t="shared" si="9"/>
        <v>3</v>
      </c>
      <c r="H152" s="19">
        <v>2022</v>
      </c>
      <c r="I152" s="19">
        <v>2025</v>
      </c>
      <c r="J152" s="19" t="str">
        <f t="shared" si="8"/>
        <v>Existing</v>
      </c>
      <c r="K152" s="18"/>
      <c r="L152" s="18" t="s">
        <v>315</v>
      </c>
      <c r="M152" s="69">
        <v>30000</v>
      </c>
      <c r="N152" s="18"/>
      <c r="O152" s="18"/>
      <c r="P152" s="18"/>
      <c r="Q152" s="19" t="s">
        <v>306</v>
      </c>
      <c r="R152" s="38" t="s">
        <v>540</v>
      </c>
    </row>
    <row r="153" spans="1:18" ht="15">
      <c r="A153" s="15" t="s">
        <v>537</v>
      </c>
      <c r="B153" s="8" t="s">
        <v>538</v>
      </c>
      <c r="C153" s="34" t="s">
        <v>197</v>
      </c>
      <c r="D153" s="17" t="s">
        <v>516</v>
      </c>
      <c r="E153" s="33" t="s">
        <v>544</v>
      </c>
      <c r="F153" s="18"/>
      <c r="G153" s="17">
        <f t="shared" si="9"/>
        <v>3</v>
      </c>
      <c r="H153" s="19">
        <v>2022</v>
      </c>
      <c r="I153" s="19">
        <v>2025</v>
      </c>
      <c r="J153" s="19" t="str">
        <f t="shared" si="8"/>
        <v>Existing</v>
      </c>
      <c r="K153" s="18"/>
      <c r="L153" s="18" t="s">
        <v>254</v>
      </c>
      <c r="M153" s="69">
        <v>30000</v>
      </c>
      <c r="N153" s="18"/>
      <c r="O153" s="18"/>
      <c r="P153" s="18"/>
      <c r="Q153" s="19" t="s">
        <v>306</v>
      </c>
      <c r="R153" s="38" t="s">
        <v>540</v>
      </c>
    </row>
    <row r="154" spans="1:18" ht="15">
      <c r="A154" s="15" t="s">
        <v>537</v>
      </c>
      <c r="B154" s="8" t="s">
        <v>538</v>
      </c>
      <c r="C154" s="34" t="s">
        <v>41</v>
      </c>
      <c r="D154" s="17" t="s">
        <v>516</v>
      </c>
      <c r="E154" s="33" t="s">
        <v>545</v>
      </c>
      <c r="F154" s="18"/>
      <c r="G154" s="17">
        <f t="shared" si="9"/>
        <v>3</v>
      </c>
      <c r="H154" s="19">
        <v>2022</v>
      </c>
      <c r="I154" s="19">
        <v>2025</v>
      </c>
      <c r="J154" s="19" t="str">
        <f t="shared" si="8"/>
        <v>Existing</v>
      </c>
      <c r="K154" s="18"/>
      <c r="L154" s="18" t="s">
        <v>297</v>
      </c>
      <c r="M154" s="69">
        <v>30000</v>
      </c>
      <c r="N154" s="18"/>
      <c r="O154" s="18"/>
      <c r="P154" s="18"/>
      <c r="Q154" s="19" t="s">
        <v>306</v>
      </c>
      <c r="R154" s="38" t="s">
        <v>540</v>
      </c>
    </row>
    <row r="155" spans="1:18" ht="15">
      <c r="A155" s="15" t="s">
        <v>537</v>
      </c>
      <c r="B155" s="8" t="s">
        <v>538</v>
      </c>
      <c r="C155" s="34" t="s">
        <v>151</v>
      </c>
      <c r="D155" s="17" t="s">
        <v>516</v>
      </c>
      <c r="E155" s="33" t="s">
        <v>546</v>
      </c>
      <c r="F155" s="18"/>
      <c r="G155" s="17">
        <f t="shared" si="9"/>
        <v>3</v>
      </c>
      <c r="H155" s="19">
        <v>2022</v>
      </c>
      <c r="I155" s="19">
        <v>2025</v>
      </c>
      <c r="J155" s="19" t="str">
        <f t="shared" si="8"/>
        <v>Existing</v>
      </c>
      <c r="K155" s="18"/>
      <c r="L155" s="18" t="s">
        <v>315</v>
      </c>
      <c r="M155" s="408">
        <v>10000000</v>
      </c>
      <c r="N155" s="18"/>
      <c r="O155" s="18"/>
      <c r="P155" s="18"/>
      <c r="Q155" s="19" t="s">
        <v>306</v>
      </c>
      <c r="R155" s="38" t="s">
        <v>540</v>
      </c>
    </row>
    <row r="156" spans="1:18" ht="15">
      <c r="A156" s="15" t="s">
        <v>537</v>
      </c>
      <c r="B156" s="8" t="s">
        <v>538</v>
      </c>
      <c r="C156" s="34" t="s">
        <v>105</v>
      </c>
      <c r="D156" s="17" t="s">
        <v>516</v>
      </c>
      <c r="E156" s="33" t="s">
        <v>547</v>
      </c>
      <c r="F156" s="18"/>
      <c r="G156" s="17">
        <f t="shared" si="9"/>
        <v>3</v>
      </c>
      <c r="H156" s="19">
        <v>2022</v>
      </c>
      <c r="I156" s="19">
        <v>2025</v>
      </c>
      <c r="J156" s="19" t="str">
        <f t="shared" si="8"/>
        <v>Existing</v>
      </c>
      <c r="K156" s="18"/>
      <c r="L156" s="18" t="s">
        <v>315</v>
      </c>
      <c r="M156" s="409"/>
      <c r="N156" s="18"/>
      <c r="O156" s="18"/>
      <c r="P156" s="18"/>
      <c r="Q156" s="19" t="s">
        <v>306</v>
      </c>
      <c r="R156" s="38" t="s">
        <v>540</v>
      </c>
    </row>
    <row r="157" spans="1:18" ht="15">
      <c r="A157" s="15" t="s">
        <v>537</v>
      </c>
      <c r="B157" s="8" t="s">
        <v>538</v>
      </c>
      <c r="C157" s="34" t="s">
        <v>43</v>
      </c>
      <c r="D157" s="17" t="s">
        <v>516</v>
      </c>
      <c r="E157" s="33" t="s">
        <v>548</v>
      </c>
      <c r="F157" s="18"/>
      <c r="G157" s="17">
        <f t="shared" si="9"/>
        <v>3</v>
      </c>
      <c r="H157" s="19">
        <v>2022</v>
      </c>
      <c r="I157" s="19">
        <v>2025</v>
      </c>
      <c r="J157" s="19" t="str">
        <f t="shared" si="8"/>
        <v>Existing</v>
      </c>
      <c r="K157" s="18"/>
      <c r="L157" s="18" t="s">
        <v>297</v>
      </c>
      <c r="M157" s="409"/>
      <c r="N157" s="18"/>
      <c r="O157" s="18"/>
      <c r="P157" s="18"/>
      <c r="Q157" s="19" t="s">
        <v>306</v>
      </c>
      <c r="R157" s="38" t="s">
        <v>540</v>
      </c>
    </row>
    <row r="158" spans="1:18" ht="15">
      <c r="A158" s="15" t="s">
        <v>549</v>
      </c>
      <c r="B158" s="10" t="s">
        <v>550</v>
      </c>
      <c r="C158" s="34" t="s">
        <v>209</v>
      </c>
      <c r="D158" s="17" t="s">
        <v>516</v>
      </c>
      <c r="E158" s="33" t="s">
        <v>551</v>
      </c>
      <c r="F158" s="18"/>
      <c r="G158" s="17">
        <f t="shared" si="9"/>
        <v>3</v>
      </c>
      <c r="H158" s="19">
        <v>2022</v>
      </c>
      <c r="I158" s="19">
        <v>2025</v>
      </c>
      <c r="J158" s="19" t="str">
        <f t="shared" si="8"/>
        <v>Existing</v>
      </c>
      <c r="K158" s="18"/>
      <c r="L158" s="18" t="s">
        <v>254</v>
      </c>
      <c r="M158" s="410"/>
      <c r="N158" s="18"/>
      <c r="O158" s="18"/>
      <c r="P158" s="18"/>
      <c r="Q158" s="19" t="s">
        <v>322</v>
      </c>
      <c r="R158" s="38" t="s">
        <v>540</v>
      </c>
    </row>
    <row r="159" spans="1:18" ht="15">
      <c r="A159" s="15" t="s">
        <v>549</v>
      </c>
      <c r="B159" s="10" t="s">
        <v>550</v>
      </c>
      <c r="C159" s="34" t="s">
        <v>62</v>
      </c>
      <c r="D159" s="17" t="s">
        <v>516</v>
      </c>
      <c r="E159" s="33" t="s">
        <v>553</v>
      </c>
      <c r="F159" s="18"/>
      <c r="G159" s="17">
        <f t="shared" si="9"/>
        <v>3</v>
      </c>
      <c r="H159" s="19">
        <v>2022</v>
      </c>
      <c r="I159" s="19">
        <v>2025</v>
      </c>
      <c r="J159" s="19" t="str">
        <f t="shared" si="8"/>
        <v>Existing</v>
      </c>
      <c r="K159" s="18"/>
      <c r="L159" s="18"/>
      <c r="M159" s="29"/>
      <c r="N159" s="18"/>
      <c r="O159" s="18"/>
      <c r="P159" s="18"/>
      <c r="Q159" s="19" t="s">
        <v>322</v>
      </c>
      <c r="R159" s="38" t="s">
        <v>409</v>
      </c>
    </row>
    <row r="160" spans="1:18" ht="15">
      <c r="A160" s="15" t="s">
        <v>549</v>
      </c>
      <c r="B160" s="10" t="s">
        <v>550</v>
      </c>
      <c r="C160" s="34" t="s">
        <v>16</v>
      </c>
      <c r="D160" s="17" t="s">
        <v>516</v>
      </c>
      <c r="E160" s="33" t="s">
        <v>554</v>
      </c>
      <c r="F160" s="18"/>
      <c r="G160" s="17">
        <f t="shared" si="9"/>
        <v>3</v>
      </c>
      <c r="H160" s="19">
        <v>2022</v>
      </c>
      <c r="I160" s="19">
        <v>2025</v>
      </c>
      <c r="J160" s="19" t="str">
        <f t="shared" si="8"/>
        <v>Existing</v>
      </c>
      <c r="K160" s="18"/>
      <c r="L160" s="18" t="s">
        <v>315</v>
      </c>
      <c r="M160" s="29"/>
      <c r="N160" s="18"/>
      <c r="O160" s="18"/>
      <c r="P160" s="18"/>
      <c r="Q160" s="19" t="s">
        <v>322</v>
      </c>
      <c r="R160" s="38" t="s">
        <v>409</v>
      </c>
    </row>
    <row r="161" spans="1:18" ht="15">
      <c r="A161" s="15" t="s">
        <v>549</v>
      </c>
      <c r="B161" s="10" t="s">
        <v>550</v>
      </c>
      <c r="C161" s="34" t="s">
        <v>13</v>
      </c>
      <c r="D161" s="17" t="s">
        <v>516</v>
      </c>
      <c r="E161" s="33" t="s">
        <v>554</v>
      </c>
      <c r="F161" s="18"/>
      <c r="G161" s="17">
        <f t="shared" si="9"/>
        <v>3</v>
      </c>
      <c r="H161" s="19">
        <v>2022</v>
      </c>
      <c r="I161" s="19">
        <v>2025</v>
      </c>
      <c r="J161" s="19" t="str">
        <f t="shared" si="8"/>
        <v>Existing</v>
      </c>
      <c r="K161" s="18"/>
      <c r="L161" s="18" t="s">
        <v>315</v>
      </c>
      <c r="M161" s="29"/>
      <c r="N161" s="18"/>
      <c r="O161" s="18"/>
      <c r="P161" s="18"/>
      <c r="Q161" s="19" t="s">
        <v>322</v>
      </c>
      <c r="R161" s="38" t="s">
        <v>409</v>
      </c>
    </row>
    <row r="162" spans="1:18" ht="15">
      <c r="A162" s="67" t="s">
        <v>556</v>
      </c>
      <c r="B162" s="10" t="s">
        <v>557</v>
      </c>
      <c r="C162" s="29" t="s">
        <v>199</v>
      </c>
      <c r="D162" s="17" t="s">
        <v>516</v>
      </c>
      <c r="E162" s="33" t="s">
        <v>558</v>
      </c>
      <c r="F162" s="18"/>
      <c r="G162" s="17">
        <f t="shared" si="9"/>
        <v>2</v>
      </c>
      <c r="H162" s="68">
        <v>2019</v>
      </c>
      <c r="I162" s="68">
        <v>2021</v>
      </c>
      <c r="J162" s="19" t="str">
        <f t="shared" si="8"/>
        <v>Existing</v>
      </c>
      <c r="K162" s="18"/>
      <c r="L162" s="18"/>
      <c r="M162" s="29"/>
      <c r="N162" s="18"/>
      <c r="O162" s="18"/>
      <c r="P162" s="18"/>
      <c r="Q162" s="19" t="s">
        <v>322</v>
      </c>
      <c r="R162" s="38" t="s">
        <v>409</v>
      </c>
    </row>
    <row r="163" spans="1:18" ht="15">
      <c r="A163" s="67" t="s">
        <v>556</v>
      </c>
      <c r="B163" s="10" t="s">
        <v>557</v>
      </c>
      <c r="C163" s="29" t="s">
        <v>45</v>
      </c>
      <c r="D163" s="17" t="s">
        <v>516</v>
      </c>
      <c r="E163" s="33" t="s">
        <v>559</v>
      </c>
      <c r="F163" s="18"/>
      <c r="G163" s="17">
        <f t="shared" si="9"/>
        <v>2</v>
      </c>
      <c r="H163" s="68">
        <v>2019</v>
      </c>
      <c r="I163" s="68">
        <v>2021</v>
      </c>
      <c r="J163" s="19" t="str">
        <f t="shared" si="8"/>
        <v>Existing</v>
      </c>
      <c r="K163" s="18"/>
      <c r="L163" s="18" t="s">
        <v>245</v>
      </c>
      <c r="M163" s="69">
        <v>35000</v>
      </c>
      <c r="N163" s="18"/>
      <c r="O163" s="18"/>
      <c r="P163" s="18"/>
      <c r="Q163" s="19" t="s">
        <v>322</v>
      </c>
      <c r="R163" s="38" t="s">
        <v>959</v>
      </c>
    </row>
    <row r="164" spans="1:18" ht="15">
      <c r="A164" s="67" t="s">
        <v>556</v>
      </c>
      <c r="B164" s="10" t="s">
        <v>557</v>
      </c>
      <c r="C164" s="29" t="s">
        <v>155</v>
      </c>
      <c r="D164" s="17" t="s">
        <v>516</v>
      </c>
      <c r="E164" s="33" t="s">
        <v>560</v>
      </c>
      <c r="F164" s="18"/>
      <c r="G164" s="17">
        <f t="shared" si="9"/>
        <v>2</v>
      </c>
      <c r="H164" s="68">
        <v>2019</v>
      </c>
      <c r="I164" s="68">
        <v>2021</v>
      </c>
      <c r="J164" s="19" t="str">
        <f t="shared" si="8"/>
        <v>Existing</v>
      </c>
      <c r="K164" s="18"/>
      <c r="L164" s="18" t="s">
        <v>245</v>
      </c>
      <c r="M164" s="408">
        <v>15392000</v>
      </c>
      <c r="N164" s="18"/>
      <c r="O164" s="18"/>
      <c r="P164" s="18"/>
      <c r="Q164" s="19" t="s">
        <v>322</v>
      </c>
      <c r="R164" s="38" t="s">
        <v>959</v>
      </c>
    </row>
    <row r="165" spans="1:18" ht="15">
      <c r="A165" s="67" t="s">
        <v>556</v>
      </c>
      <c r="B165" s="10" t="s">
        <v>557</v>
      </c>
      <c r="C165" s="29" t="s">
        <v>107</v>
      </c>
      <c r="D165" s="17" t="s">
        <v>516</v>
      </c>
      <c r="E165" s="33" t="s">
        <v>561</v>
      </c>
      <c r="F165" s="18"/>
      <c r="G165" s="17">
        <f t="shared" si="9"/>
        <v>2</v>
      </c>
      <c r="H165" s="68">
        <v>2019</v>
      </c>
      <c r="I165" s="68">
        <v>2021</v>
      </c>
      <c r="J165" s="19" t="str">
        <f t="shared" si="8"/>
        <v>Existing</v>
      </c>
      <c r="K165" s="18"/>
      <c r="L165" s="18" t="s">
        <v>245</v>
      </c>
      <c r="M165" s="409"/>
      <c r="N165" s="18"/>
      <c r="O165" s="18"/>
      <c r="P165" s="18"/>
      <c r="Q165" s="19" t="s">
        <v>322</v>
      </c>
      <c r="R165" s="38" t="s">
        <v>959</v>
      </c>
    </row>
    <row r="166" spans="1:18" ht="15">
      <c r="A166" s="15" t="s">
        <v>562</v>
      </c>
      <c r="B166" s="41" t="s">
        <v>963</v>
      </c>
      <c r="C166" s="34" t="s">
        <v>563</v>
      </c>
      <c r="D166" s="17" t="s">
        <v>516</v>
      </c>
      <c r="E166" s="63" t="s">
        <v>564</v>
      </c>
      <c r="F166" s="18"/>
      <c r="G166" s="17">
        <f t="shared" si="9"/>
        <v>1</v>
      </c>
      <c r="H166" s="19">
        <v>2022</v>
      </c>
      <c r="I166" s="19">
        <v>2023</v>
      </c>
      <c r="J166" s="19" t="str">
        <f t="shared" si="8"/>
        <v>Retention</v>
      </c>
      <c r="K166" s="18"/>
      <c r="L166" s="18"/>
      <c r="M166" s="410"/>
      <c r="N166" s="18"/>
      <c r="O166" s="18"/>
      <c r="P166" s="18"/>
      <c r="Q166" s="19" t="s">
        <v>322</v>
      </c>
      <c r="R166" s="38" t="s">
        <v>959</v>
      </c>
    </row>
    <row r="167" spans="1:18" ht="15">
      <c r="A167" s="15" t="s">
        <v>566</v>
      </c>
      <c r="B167" s="17"/>
      <c r="C167" s="34" t="s">
        <v>567</v>
      </c>
      <c r="D167" s="17" t="s">
        <v>516</v>
      </c>
      <c r="E167" s="33" t="s">
        <v>568</v>
      </c>
      <c r="F167" s="18"/>
      <c r="G167" s="17">
        <f t="shared" si="9"/>
        <v>3</v>
      </c>
      <c r="H167" s="19">
        <v>2020</v>
      </c>
      <c r="I167" s="19">
        <v>2023</v>
      </c>
      <c r="J167" s="19" t="str">
        <f t="shared" si="8"/>
        <v>Retention</v>
      </c>
      <c r="K167" s="18" t="s">
        <v>283</v>
      </c>
      <c r="L167" s="18" t="s">
        <v>254</v>
      </c>
      <c r="M167" s="69">
        <v>2500000</v>
      </c>
      <c r="N167" s="18"/>
      <c r="O167" s="18"/>
      <c r="P167" s="18"/>
      <c r="Q167" s="19" t="s">
        <v>569</v>
      </c>
      <c r="R167" s="38" t="s">
        <v>964</v>
      </c>
    </row>
    <row r="168" spans="1:18" ht="15">
      <c r="A168" s="15" t="s">
        <v>566</v>
      </c>
      <c r="B168" s="17"/>
      <c r="C168" s="34" t="s">
        <v>571</v>
      </c>
      <c r="D168" s="17" t="s">
        <v>516</v>
      </c>
      <c r="E168" s="33" t="s">
        <v>572</v>
      </c>
      <c r="F168" s="18"/>
      <c r="G168" s="17">
        <f t="shared" si="9"/>
        <v>3</v>
      </c>
      <c r="H168" s="19">
        <v>2020</v>
      </c>
      <c r="I168" s="19">
        <v>2023</v>
      </c>
      <c r="J168" s="19" t="str">
        <f t="shared" si="8"/>
        <v>Retention</v>
      </c>
      <c r="K168" s="18" t="s">
        <v>283</v>
      </c>
      <c r="L168" s="18" t="s">
        <v>245</v>
      </c>
      <c r="M168" s="408">
        <v>15000000</v>
      </c>
      <c r="N168" s="18"/>
      <c r="O168" s="18"/>
      <c r="P168" s="18"/>
      <c r="Q168" s="19" t="s">
        <v>569</v>
      </c>
      <c r="R168" s="38" t="s">
        <v>570</v>
      </c>
    </row>
    <row r="169" spans="1:18" ht="15">
      <c r="A169" s="15" t="s">
        <v>566</v>
      </c>
      <c r="B169" s="17"/>
      <c r="C169" s="34" t="s">
        <v>573</v>
      </c>
      <c r="D169" s="17" t="s">
        <v>516</v>
      </c>
      <c r="E169" s="33" t="s">
        <v>574</v>
      </c>
      <c r="F169" s="18"/>
      <c r="G169" s="17">
        <f t="shared" si="9"/>
        <v>3</v>
      </c>
      <c r="H169" s="19">
        <v>2020</v>
      </c>
      <c r="I169" s="19">
        <v>2023</v>
      </c>
      <c r="J169" s="19" t="str">
        <f t="shared" si="8"/>
        <v>Retention</v>
      </c>
      <c r="K169" s="18" t="s">
        <v>283</v>
      </c>
      <c r="L169" s="18" t="s">
        <v>245</v>
      </c>
      <c r="M169" s="409"/>
      <c r="N169" s="18"/>
      <c r="O169" s="18"/>
      <c r="P169" s="18"/>
      <c r="Q169" s="19" t="s">
        <v>569</v>
      </c>
      <c r="R169" s="38" t="s">
        <v>570</v>
      </c>
    </row>
    <row r="170" spans="1:18" ht="15">
      <c r="A170" s="15" t="s">
        <v>566</v>
      </c>
      <c r="B170" s="17"/>
      <c r="C170" s="34" t="s">
        <v>575</v>
      </c>
      <c r="D170" s="17" t="s">
        <v>516</v>
      </c>
      <c r="E170" s="33" t="s">
        <v>576</v>
      </c>
      <c r="F170" s="18"/>
      <c r="G170" s="17">
        <f t="shared" si="9"/>
        <v>3</v>
      </c>
      <c r="H170" s="19">
        <v>2020</v>
      </c>
      <c r="I170" s="19">
        <v>2023</v>
      </c>
      <c r="J170" s="19" t="str">
        <f t="shared" si="8"/>
        <v>Retention</v>
      </c>
      <c r="K170" s="18" t="s">
        <v>283</v>
      </c>
      <c r="L170" s="18" t="s">
        <v>245</v>
      </c>
      <c r="M170" s="409"/>
      <c r="N170" s="18"/>
      <c r="O170" s="18"/>
      <c r="P170" s="18"/>
      <c r="Q170" s="19" t="s">
        <v>569</v>
      </c>
      <c r="R170" s="38" t="s">
        <v>570</v>
      </c>
    </row>
    <row r="171" spans="1:18" ht="15">
      <c r="A171" s="70" t="s">
        <v>577</v>
      </c>
      <c r="B171" s="8" t="s">
        <v>578</v>
      </c>
      <c r="C171" s="34" t="s">
        <v>222</v>
      </c>
      <c r="D171" s="17" t="s">
        <v>516</v>
      </c>
      <c r="E171" s="33" t="s">
        <v>579</v>
      </c>
      <c r="F171" s="18"/>
      <c r="G171" s="17">
        <f t="shared" si="9"/>
        <v>3</v>
      </c>
      <c r="H171" s="19">
        <v>2022</v>
      </c>
      <c r="I171" s="19">
        <v>2025</v>
      </c>
      <c r="J171" s="19" t="str">
        <f t="shared" si="8"/>
        <v>Existing</v>
      </c>
      <c r="K171" s="18"/>
      <c r="L171" s="18" t="s">
        <v>254</v>
      </c>
      <c r="M171" s="410"/>
      <c r="N171" s="18"/>
      <c r="O171" s="18"/>
      <c r="P171" s="18"/>
      <c r="Q171" s="19"/>
      <c r="R171" s="38" t="s">
        <v>964</v>
      </c>
    </row>
    <row r="172" spans="1:18" ht="15">
      <c r="A172" s="70" t="s">
        <v>577</v>
      </c>
      <c r="B172" s="8" t="s">
        <v>578</v>
      </c>
      <c r="C172" s="34" t="s">
        <v>72</v>
      </c>
      <c r="D172" s="17" t="s">
        <v>516</v>
      </c>
      <c r="E172" s="33" t="s">
        <v>580</v>
      </c>
      <c r="F172" s="18"/>
      <c r="G172" s="17">
        <f t="shared" si="9"/>
        <v>3</v>
      </c>
      <c r="H172" s="19">
        <v>2022</v>
      </c>
      <c r="I172" s="19">
        <v>2025</v>
      </c>
      <c r="J172" s="19" t="str">
        <f t="shared" si="8"/>
        <v>Existing</v>
      </c>
      <c r="K172" s="18"/>
      <c r="L172" s="18" t="s">
        <v>297</v>
      </c>
      <c r="M172" s="69">
        <v>2000000</v>
      </c>
      <c r="N172" s="18"/>
      <c r="O172" s="18"/>
      <c r="P172" s="18"/>
      <c r="Q172" s="19"/>
      <c r="R172" s="38" t="s">
        <v>964</v>
      </c>
    </row>
    <row r="173" spans="1:18" ht="15">
      <c r="A173" s="70" t="s">
        <v>577</v>
      </c>
      <c r="B173" s="8" t="s">
        <v>578</v>
      </c>
      <c r="C173" s="34" t="s">
        <v>168</v>
      </c>
      <c r="D173" s="17" t="s">
        <v>516</v>
      </c>
      <c r="E173" s="33" t="s">
        <v>580</v>
      </c>
      <c r="F173" s="18"/>
      <c r="G173" s="17">
        <f t="shared" si="9"/>
        <v>3</v>
      </c>
      <c r="H173" s="19">
        <v>2022</v>
      </c>
      <c r="I173" s="19">
        <v>2025</v>
      </c>
      <c r="J173" s="19" t="str">
        <f t="shared" si="8"/>
        <v>Existing</v>
      </c>
      <c r="K173" s="18"/>
      <c r="L173" s="18" t="s">
        <v>245</v>
      </c>
      <c r="M173" s="69">
        <v>8050000</v>
      </c>
      <c r="N173" s="18"/>
      <c r="O173" s="18"/>
      <c r="P173" s="18"/>
      <c r="Q173" s="19"/>
      <c r="R173" s="38" t="s">
        <v>964</v>
      </c>
    </row>
    <row r="174" spans="1:18" ht="15">
      <c r="A174" s="70" t="s">
        <v>577</v>
      </c>
      <c r="B174" s="8" t="s">
        <v>578</v>
      </c>
      <c r="C174" s="34" t="s">
        <v>116</v>
      </c>
      <c r="D174" s="17" t="s">
        <v>516</v>
      </c>
      <c r="E174" s="33" t="s">
        <v>581</v>
      </c>
      <c r="F174" s="18"/>
      <c r="G174" s="17">
        <f t="shared" si="9"/>
        <v>3</v>
      </c>
      <c r="H174" s="19">
        <v>2022</v>
      </c>
      <c r="I174" s="19">
        <v>2025</v>
      </c>
      <c r="J174" s="19" t="str">
        <f t="shared" si="8"/>
        <v>Existing</v>
      </c>
      <c r="K174" s="18"/>
      <c r="L174" s="18" t="s">
        <v>315</v>
      </c>
      <c r="M174" s="69">
        <v>11500</v>
      </c>
      <c r="N174" s="18"/>
      <c r="O174" s="18"/>
      <c r="P174" s="18"/>
      <c r="Q174" s="19"/>
      <c r="R174" s="38" t="s">
        <v>964</v>
      </c>
    </row>
    <row r="175" spans="1:18" ht="15">
      <c r="A175" s="71" t="s">
        <v>582</v>
      </c>
      <c r="B175" s="17"/>
      <c r="C175" s="34" t="s">
        <v>225</v>
      </c>
      <c r="D175" s="17" t="s">
        <v>516</v>
      </c>
      <c r="E175" s="33" t="s">
        <v>965</v>
      </c>
      <c r="F175" s="18"/>
      <c r="G175" s="17">
        <f t="shared" si="9"/>
        <v>3</v>
      </c>
      <c r="H175" s="19">
        <v>2020</v>
      </c>
      <c r="I175" s="19">
        <v>2023</v>
      </c>
      <c r="J175" s="19" t="str">
        <f t="shared" si="8"/>
        <v>Retention</v>
      </c>
      <c r="K175" s="18" t="s">
        <v>248</v>
      </c>
      <c r="L175" s="18" t="s">
        <v>254</v>
      </c>
      <c r="M175" s="69">
        <v>13000</v>
      </c>
      <c r="N175" s="18"/>
      <c r="O175" s="18"/>
      <c r="P175" s="18"/>
      <c r="Q175" s="19" t="s">
        <v>294</v>
      </c>
      <c r="R175" s="38" t="s">
        <v>540</v>
      </c>
    </row>
    <row r="176" spans="1:18" ht="32">
      <c r="A176" s="72" t="s">
        <v>584</v>
      </c>
      <c r="B176" s="8" t="s">
        <v>585</v>
      </c>
      <c r="C176" s="18" t="s">
        <v>218</v>
      </c>
      <c r="D176" s="17" t="s">
        <v>516</v>
      </c>
      <c r="E176" s="33" t="s">
        <v>586</v>
      </c>
      <c r="F176" s="18"/>
      <c r="G176" s="17">
        <f t="shared" si="9"/>
        <v>3</v>
      </c>
      <c r="H176" s="19">
        <v>2022</v>
      </c>
      <c r="I176" s="19">
        <v>2025</v>
      </c>
      <c r="J176" s="19" t="str">
        <f t="shared" si="8"/>
        <v>Existing</v>
      </c>
      <c r="K176" s="18"/>
      <c r="L176" s="18" t="s">
        <v>254</v>
      </c>
      <c r="M176" s="69">
        <v>12000</v>
      </c>
      <c r="N176" s="18"/>
      <c r="O176" s="18"/>
      <c r="P176" s="18"/>
      <c r="Q176" s="19" t="s">
        <v>294</v>
      </c>
      <c r="R176" s="38" t="s">
        <v>959</v>
      </c>
    </row>
    <row r="177" spans="1:18" ht="32">
      <c r="A177" s="72" t="s">
        <v>584</v>
      </c>
      <c r="B177" s="10" t="s">
        <v>587</v>
      </c>
      <c r="C177" s="34" t="s">
        <v>588</v>
      </c>
      <c r="D177" s="17" t="s">
        <v>516</v>
      </c>
      <c r="E177" s="33" t="s">
        <v>589</v>
      </c>
      <c r="F177" s="18"/>
      <c r="G177" s="17">
        <f t="shared" si="9"/>
        <v>3</v>
      </c>
      <c r="H177" s="19">
        <v>2021</v>
      </c>
      <c r="I177" s="19">
        <v>2024</v>
      </c>
      <c r="J177" s="19" t="str">
        <f t="shared" si="8"/>
        <v>Existing</v>
      </c>
      <c r="K177" s="18" t="s">
        <v>248</v>
      </c>
      <c r="L177" s="18" t="s">
        <v>297</v>
      </c>
      <c r="M177" s="69">
        <v>9000</v>
      </c>
      <c r="N177" s="18"/>
      <c r="O177" s="18"/>
      <c r="P177" s="18"/>
      <c r="Q177" s="19" t="s">
        <v>294</v>
      </c>
      <c r="R177" s="38" t="s">
        <v>959</v>
      </c>
    </row>
    <row r="178" spans="1:18" ht="32">
      <c r="A178" s="72" t="s">
        <v>584</v>
      </c>
      <c r="B178" s="10" t="s">
        <v>587</v>
      </c>
      <c r="C178" s="34" t="s">
        <v>590</v>
      </c>
      <c r="D178" s="17" t="s">
        <v>516</v>
      </c>
      <c r="E178" s="33" t="s">
        <v>591</v>
      </c>
      <c r="F178" s="18"/>
      <c r="G178" s="17">
        <f t="shared" si="9"/>
        <v>3</v>
      </c>
      <c r="H178" s="19">
        <v>2021</v>
      </c>
      <c r="I178" s="19">
        <v>2024</v>
      </c>
      <c r="J178" s="19" t="str">
        <f t="shared" si="8"/>
        <v>Existing</v>
      </c>
      <c r="K178" s="18" t="s">
        <v>248</v>
      </c>
      <c r="L178" s="18" t="s">
        <v>245</v>
      </c>
      <c r="M178" s="69">
        <v>9000</v>
      </c>
      <c r="N178" s="18"/>
      <c r="O178" s="18"/>
      <c r="P178" s="18"/>
      <c r="Q178" s="19" t="s">
        <v>294</v>
      </c>
      <c r="R178" s="38" t="s">
        <v>966</v>
      </c>
    </row>
    <row r="179" spans="1:18" ht="15">
      <c r="A179" s="73" t="s">
        <v>592</v>
      </c>
      <c r="B179" s="17"/>
      <c r="C179" s="34" t="s">
        <v>48</v>
      </c>
      <c r="D179" s="17" t="s">
        <v>516</v>
      </c>
      <c r="E179" s="33" t="s">
        <v>593</v>
      </c>
      <c r="F179" s="18"/>
      <c r="G179" s="17">
        <f t="shared" si="9"/>
        <v>3</v>
      </c>
      <c r="H179" s="19">
        <v>2022</v>
      </c>
      <c r="I179" s="19">
        <v>2025</v>
      </c>
      <c r="J179" s="19" t="str">
        <f t="shared" si="8"/>
        <v>Existing</v>
      </c>
      <c r="K179" s="18" t="s">
        <v>248</v>
      </c>
      <c r="L179" s="18" t="s">
        <v>297</v>
      </c>
      <c r="M179" s="69">
        <v>33000</v>
      </c>
      <c r="N179" s="18"/>
      <c r="O179" s="18"/>
      <c r="P179" s="18"/>
      <c r="Q179" s="19" t="s">
        <v>294</v>
      </c>
      <c r="R179" s="38" t="s">
        <v>390</v>
      </c>
    </row>
    <row r="180" spans="1:18" ht="16">
      <c r="A180" s="60" t="s">
        <v>594</v>
      </c>
      <c r="B180" s="10" t="s">
        <v>967</v>
      </c>
      <c r="C180" s="34" t="s">
        <v>191</v>
      </c>
      <c r="D180" s="17" t="s">
        <v>516</v>
      </c>
      <c r="E180" s="33" t="s">
        <v>595</v>
      </c>
      <c r="F180" s="18"/>
      <c r="G180" s="17">
        <f t="shared" si="9"/>
        <v>3</v>
      </c>
      <c r="H180" s="19">
        <v>2021</v>
      </c>
      <c r="I180" s="19">
        <v>2024</v>
      </c>
      <c r="J180" s="19" t="str">
        <f t="shared" si="8"/>
        <v>Existing</v>
      </c>
      <c r="K180" s="18" t="s">
        <v>253</v>
      </c>
      <c r="L180" s="18" t="s">
        <v>254</v>
      </c>
      <c r="M180" s="69">
        <v>33000</v>
      </c>
      <c r="N180" s="18"/>
      <c r="O180" s="18"/>
      <c r="P180" s="18"/>
      <c r="Q180" s="19" t="s">
        <v>968</v>
      </c>
      <c r="R180" s="38" t="s">
        <v>570</v>
      </c>
    </row>
    <row r="181" spans="1:18" ht="16">
      <c r="A181" s="60" t="s">
        <v>594</v>
      </c>
      <c r="B181" s="10" t="s">
        <v>967</v>
      </c>
      <c r="C181" s="34" t="s">
        <v>30</v>
      </c>
      <c r="D181" s="17" t="s">
        <v>516</v>
      </c>
      <c r="E181" s="33" t="s">
        <v>597</v>
      </c>
      <c r="F181" s="18"/>
      <c r="G181" s="17">
        <f t="shared" si="9"/>
        <v>3</v>
      </c>
      <c r="H181" s="19">
        <v>2021</v>
      </c>
      <c r="I181" s="19">
        <v>2024</v>
      </c>
      <c r="J181" s="19" t="str">
        <f t="shared" si="8"/>
        <v>Existing</v>
      </c>
      <c r="K181" s="18" t="s">
        <v>253</v>
      </c>
      <c r="L181" s="18" t="s">
        <v>320</v>
      </c>
      <c r="M181" s="69">
        <v>33000</v>
      </c>
      <c r="N181" s="18"/>
      <c r="O181" s="18"/>
      <c r="P181" s="18"/>
      <c r="Q181" s="19" t="s">
        <v>968</v>
      </c>
      <c r="R181" s="38" t="s">
        <v>570</v>
      </c>
    </row>
    <row r="182" spans="1:18" ht="16">
      <c r="A182" s="60" t="s">
        <v>594</v>
      </c>
      <c r="B182" s="10" t="s">
        <v>967</v>
      </c>
      <c r="C182" s="34" t="s">
        <v>142</v>
      </c>
      <c r="D182" s="17" t="s">
        <v>516</v>
      </c>
      <c r="E182" s="33" t="s">
        <v>598</v>
      </c>
      <c r="F182" s="18"/>
      <c r="G182" s="17">
        <f t="shared" si="9"/>
        <v>3</v>
      </c>
      <c r="H182" s="19">
        <v>2021</v>
      </c>
      <c r="I182" s="19">
        <v>2024</v>
      </c>
      <c r="J182" s="19" t="str">
        <f t="shared" si="8"/>
        <v>Existing</v>
      </c>
      <c r="K182" s="18" t="s">
        <v>253</v>
      </c>
      <c r="L182" s="18" t="s">
        <v>315</v>
      </c>
      <c r="M182" s="69">
        <v>9000</v>
      </c>
      <c r="N182" s="18"/>
      <c r="O182" s="18"/>
      <c r="P182" s="18"/>
      <c r="Q182" s="19" t="s">
        <v>968</v>
      </c>
      <c r="R182" s="38" t="s">
        <v>570</v>
      </c>
    </row>
    <row r="183" spans="1:18" ht="16">
      <c r="A183" s="60" t="s">
        <v>594</v>
      </c>
      <c r="B183" s="10" t="s">
        <v>967</v>
      </c>
      <c r="C183" s="34" t="s">
        <v>101</v>
      </c>
      <c r="D183" s="17" t="s">
        <v>516</v>
      </c>
      <c r="E183" s="33" t="s">
        <v>600</v>
      </c>
      <c r="F183" s="18"/>
      <c r="G183" s="17">
        <f t="shared" si="9"/>
        <v>3</v>
      </c>
      <c r="H183" s="19">
        <v>2021</v>
      </c>
      <c r="I183" s="19">
        <v>2024</v>
      </c>
      <c r="J183" s="19" t="str">
        <f t="shared" si="8"/>
        <v>Existing</v>
      </c>
      <c r="K183" s="18" t="s">
        <v>253</v>
      </c>
      <c r="L183" s="18" t="s">
        <v>315</v>
      </c>
      <c r="M183" s="69">
        <v>9400000</v>
      </c>
      <c r="N183" s="18"/>
      <c r="O183" s="18"/>
      <c r="P183" s="18"/>
      <c r="Q183" s="19" t="s">
        <v>968</v>
      </c>
      <c r="R183" s="38" t="s">
        <v>570</v>
      </c>
    </row>
    <row r="184" spans="1:18" ht="16">
      <c r="A184" s="60" t="s">
        <v>594</v>
      </c>
      <c r="B184" s="10" t="s">
        <v>967</v>
      </c>
      <c r="C184" s="34" t="s">
        <v>129</v>
      </c>
      <c r="D184" s="17" t="s">
        <v>516</v>
      </c>
      <c r="E184" s="33" t="s">
        <v>601</v>
      </c>
      <c r="F184" s="18"/>
      <c r="G184" s="17">
        <f t="shared" si="9"/>
        <v>3</v>
      </c>
      <c r="H184" s="19">
        <v>2021</v>
      </c>
      <c r="I184" s="19">
        <v>2024</v>
      </c>
      <c r="J184" s="19" t="str">
        <f t="shared" si="8"/>
        <v>Existing</v>
      </c>
      <c r="K184" s="18" t="s">
        <v>253</v>
      </c>
      <c r="L184" s="18" t="s">
        <v>315</v>
      </c>
      <c r="M184" s="69">
        <v>1125000</v>
      </c>
      <c r="N184" s="18"/>
      <c r="O184" s="18"/>
      <c r="P184" s="18"/>
      <c r="Q184" s="19" t="s">
        <v>968</v>
      </c>
      <c r="R184" s="38" t="s">
        <v>570</v>
      </c>
    </row>
    <row r="185" spans="1:18" ht="16">
      <c r="A185" s="74" t="s">
        <v>602</v>
      </c>
      <c r="B185" s="8" t="s">
        <v>603</v>
      </c>
      <c r="C185" s="18" t="s">
        <v>32</v>
      </c>
      <c r="D185" s="17" t="s">
        <v>516</v>
      </c>
      <c r="E185" s="18" t="s">
        <v>604</v>
      </c>
      <c r="F185" s="18"/>
      <c r="G185" s="17">
        <f t="shared" si="9"/>
        <v>3</v>
      </c>
      <c r="H185" s="19">
        <v>2022</v>
      </c>
      <c r="I185" s="19">
        <v>2025</v>
      </c>
      <c r="J185" s="19" t="str">
        <f t="shared" si="8"/>
        <v>Existing</v>
      </c>
      <c r="K185" s="18" t="s">
        <v>253</v>
      </c>
      <c r="L185" s="18" t="s">
        <v>320</v>
      </c>
      <c r="M185" s="69">
        <v>15000</v>
      </c>
      <c r="N185" s="18"/>
      <c r="O185" s="18"/>
      <c r="P185" s="18"/>
      <c r="Q185" s="19" t="s">
        <v>968</v>
      </c>
      <c r="R185" s="19" t="s">
        <v>964</v>
      </c>
    </row>
    <row r="186" spans="1:18" ht="16">
      <c r="A186" s="72" t="s">
        <v>605</v>
      </c>
      <c r="B186" s="10" t="s">
        <v>606</v>
      </c>
      <c r="C186" s="18" t="s">
        <v>235</v>
      </c>
      <c r="D186" s="17" t="s">
        <v>516</v>
      </c>
      <c r="E186" s="33" t="s">
        <v>607</v>
      </c>
      <c r="F186" s="18"/>
      <c r="G186" s="17">
        <f t="shared" si="9"/>
        <v>3</v>
      </c>
      <c r="H186" s="19">
        <v>2022</v>
      </c>
      <c r="I186" s="19">
        <v>2025</v>
      </c>
      <c r="J186" s="19" t="str">
        <f t="shared" si="8"/>
        <v>Existing</v>
      </c>
      <c r="K186" s="18"/>
      <c r="L186" s="18" t="s">
        <v>254</v>
      </c>
      <c r="M186" s="69">
        <v>35000</v>
      </c>
      <c r="N186" s="18"/>
      <c r="O186" s="18"/>
      <c r="P186" s="18"/>
      <c r="Q186" s="19" t="s">
        <v>968</v>
      </c>
      <c r="R186" s="38"/>
    </row>
    <row r="187" spans="1:18" ht="16">
      <c r="A187" s="75" t="s">
        <v>608</v>
      </c>
      <c r="B187" s="9" t="s">
        <v>609</v>
      </c>
      <c r="C187" s="34" t="s">
        <v>220</v>
      </c>
      <c r="D187" s="17" t="s">
        <v>516</v>
      </c>
      <c r="E187" s="33" t="s">
        <v>610</v>
      </c>
      <c r="F187" s="18"/>
      <c r="G187" s="17">
        <f t="shared" si="9"/>
        <v>3</v>
      </c>
      <c r="H187" s="19">
        <v>2022</v>
      </c>
      <c r="I187" s="19">
        <v>2025</v>
      </c>
      <c r="J187" s="19" t="str">
        <f t="shared" si="8"/>
        <v>Existing</v>
      </c>
      <c r="K187" s="18" t="s">
        <v>248</v>
      </c>
      <c r="L187" s="18" t="s">
        <v>254</v>
      </c>
      <c r="M187" s="69">
        <v>8000</v>
      </c>
      <c r="N187" s="18"/>
      <c r="O187" s="18"/>
      <c r="P187" s="18"/>
      <c r="Q187" s="19"/>
      <c r="R187" s="38"/>
    </row>
    <row r="188" spans="1:18" ht="16">
      <c r="A188" s="75" t="s">
        <v>608</v>
      </c>
      <c r="B188" s="9" t="s">
        <v>609</v>
      </c>
      <c r="C188" s="34" t="s">
        <v>69</v>
      </c>
      <c r="D188" s="17" t="s">
        <v>516</v>
      </c>
      <c r="E188" s="33" t="s">
        <v>612</v>
      </c>
      <c r="F188" s="18"/>
      <c r="G188" s="17">
        <f t="shared" si="9"/>
        <v>3</v>
      </c>
      <c r="H188" s="19">
        <v>2022</v>
      </c>
      <c r="I188" s="19">
        <v>2025</v>
      </c>
      <c r="J188" s="19" t="str">
        <f t="shared" si="8"/>
        <v>Existing</v>
      </c>
      <c r="K188" s="18" t="s">
        <v>248</v>
      </c>
      <c r="L188" s="18" t="s">
        <v>320</v>
      </c>
      <c r="M188" s="69">
        <v>8000</v>
      </c>
      <c r="N188" s="18"/>
      <c r="O188" s="18"/>
      <c r="P188" s="18"/>
      <c r="Q188" s="19"/>
      <c r="R188" s="38"/>
    </row>
    <row r="189" spans="1:18" ht="16">
      <c r="A189" s="74" t="s">
        <v>613</v>
      </c>
      <c r="B189" s="8" t="s">
        <v>614</v>
      </c>
      <c r="C189" s="34" t="s">
        <v>969</v>
      </c>
      <c r="D189" s="17" t="s">
        <v>516</v>
      </c>
      <c r="E189" s="33" t="s">
        <v>615</v>
      </c>
      <c r="F189" s="18"/>
      <c r="G189" s="17">
        <f t="shared" si="9"/>
        <v>3</v>
      </c>
      <c r="H189" s="19">
        <v>2022</v>
      </c>
      <c r="I189" s="19">
        <v>2025</v>
      </c>
      <c r="J189" s="19" t="str">
        <f t="shared" si="8"/>
        <v>Existing</v>
      </c>
      <c r="K189" s="18" t="s">
        <v>248</v>
      </c>
      <c r="L189" s="18" t="s">
        <v>304</v>
      </c>
      <c r="M189" s="69">
        <v>8000</v>
      </c>
      <c r="N189" s="18"/>
      <c r="O189" s="18"/>
      <c r="P189" s="18"/>
      <c r="Q189" s="19" t="s">
        <v>306</v>
      </c>
      <c r="R189" s="38" t="s">
        <v>960</v>
      </c>
    </row>
    <row r="190" spans="1:18" ht="32">
      <c r="A190" s="74" t="s">
        <v>616</v>
      </c>
      <c r="B190" s="10" t="s">
        <v>617</v>
      </c>
      <c r="C190" s="34" t="s">
        <v>618</v>
      </c>
      <c r="D190" s="17" t="s">
        <v>516</v>
      </c>
      <c r="E190" s="33" t="s">
        <v>619</v>
      </c>
      <c r="F190" s="18"/>
      <c r="G190" s="17">
        <f t="shared" si="9"/>
        <v>3</v>
      </c>
      <c r="H190" s="19">
        <v>2021</v>
      </c>
      <c r="I190" s="19">
        <v>2024</v>
      </c>
      <c r="J190" s="19" t="str">
        <f t="shared" si="8"/>
        <v>Existing</v>
      </c>
      <c r="K190" s="18"/>
      <c r="L190" s="18" t="s">
        <v>254</v>
      </c>
      <c r="M190" s="69">
        <v>22000</v>
      </c>
      <c r="N190" s="18"/>
      <c r="O190" s="18"/>
      <c r="P190" s="18"/>
      <c r="Q190" s="19" t="s">
        <v>306</v>
      </c>
      <c r="R190" s="38"/>
    </row>
    <row r="191" spans="1:18" ht="15">
      <c r="A191" s="15" t="s">
        <v>620</v>
      </c>
      <c r="B191" s="10" t="s">
        <v>621</v>
      </c>
      <c r="C191" s="34" t="s">
        <v>622</v>
      </c>
      <c r="D191" s="17" t="s">
        <v>516</v>
      </c>
      <c r="E191" s="33" t="s">
        <v>623</v>
      </c>
      <c r="F191" s="18"/>
      <c r="G191" s="17">
        <f t="shared" si="9"/>
        <v>3</v>
      </c>
      <c r="H191" s="19">
        <v>2021</v>
      </c>
      <c r="I191" s="19">
        <v>2024</v>
      </c>
      <c r="J191" s="19" t="str">
        <f t="shared" si="8"/>
        <v>Existing</v>
      </c>
      <c r="K191" s="18" t="s">
        <v>248</v>
      </c>
      <c r="L191" s="18" t="s">
        <v>320</v>
      </c>
      <c r="M191" s="69">
        <v>22000</v>
      </c>
      <c r="N191" s="18"/>
      <c r="O191" s="18"/>
      <c r="P191" s="18"/>
      <c r="Q191" s="19"/>
      <c r="R191" s="38" t="s">
        <v>960</v>
      </c>
    </row>
    <row r="192" spans="1:18" ht="15">
      <c r="A192" s="15" t="s">
        <v>620</v>
      </c>
      <c r="B192" s="10" t="s">
        <v>621</v>
      </c>
      <c r="C192" s="34" t="s">
        <v>624</v>
      </c>
      <c r="D192" s="17" t="s">
        <v>516</v>
      </c>
      <c r="E192" s="33" t="s">
        <v>625</v>
      </c>
      <c r="F192" s="18"/>
      <c r="G192" s="17">
        <f t="shared" si="9"/>
        <v>3</v>
      </c>
      <c r="H192" s="19">
        <v>2021</v>
      </c>
      <c r="I192" s="19">
        <v>2024</v>
      </c>
      <c r="J192" s="19" t="str">
        <f t="shared" si="8"/>
        <v>Existing</v>
      </c>
      <c r="K192" s="18" t="s">
        <v>248</v>
      </c>
      <c r="L192" s="18" t="s">
        <v>320</v>
      </c>
      <c r="M192" s="69">
        <v>25500</v>
      </c>
      <c r="N192" s="18"/>
      <c r="O192" s="18"/>
      <c r="P192" s="18"/>
      <c r="Q192" s="19"/>
      <c r="R192" s="38" t="s">
        <v>960</v>
      </c>
    </row>
    <row r="193" spans="1:20" ht="16">
      <c r="A193" s="60" t="s">
        <v>626</v>
      </c>
      <c r="B193" s="10" t="s">
        <v>627</v>
      </c>
      <c r="C193" s="34" t="s">
        <v>26</v>
      </c>
      <c r="D193" s="17" t="s">
        <v>516</v>
      </c>
      <c r="E193" s="33" t="s">
        <v>628</v>
      </c>
      <c r="F193" s="18"/>
      <c r="G193" s="17">
        <f t="shared" si="9"/>
        <v>3</v>
      </c>
      <c r="H193" s="19">
        <v>2022</v>
      </c>
      <c r="I193" s="19">
        <v>2025</v>
      </c>
      <c r="J193" s="19" t="str">
        <f t="shared" si="8"/>
        <v>Existing</v>
      </c>
      <c r="K193" s="18" t="s">
        <v>253</v>
      </c>
      <c r="L193" s="18" t="s">
        <v>297</v>
      </c>
      <c r="M193" s="69">
        <v>25500</v>
      </c>
      <c r="N193" s="18"/>
      <c r="O193" s="18"/>
      <c r="P193" s="18" t="s">
        <v>299</v>
      </c>
      <c r="Q193" s="19"/>
      <c r="R193" s="38"/>
    </row>
    <row r="194" spans="1:20" ht="16">
      <c r="A194" s="60" t="s">
        <v>626</v>
      </c>
      <c r="B194" s="10" t="s">
        <v>627</v>
      </c>
      <c r="C194" s="34" t="s">
        <v>139</v>
      </c>
      <c r="D194" s="17" t="s">
        <v>516</v>
      </c>
      <c r="E194" s="33" t="s">
        <v>629</v>
      </c>
      <c r="F194" s="18"/>
      <c r="G194" s="17">
        <f t="shared" si="9"/>
        <v>3</v>
      </c>
      <c r="H194" s="19">
        <v>2022</v>
      </c>
      <c r="I194" s="19">
        <v>2025</v>
      </c>
      <c r="J194" s="19" t="str">
        <f t="shared" si="8"/>
        <v>Existing</v>
      </c>
      <c r="K194" s="18" t="s">
        <v>253</v>
      </c>
      <c r="L194" s="18" t="s">
        <v>245</v>
      </c>
      <c r="M194" s="69">
        <v>25000</v>
      </c>
      <c r="N194" s="18"/>
      <c r="O194" s="18"/>
      <c r="P194" s="18" t="s">
        <v>299</v>
      </c>
      <c r="Q194" s="19"/>
      <c r="R194" s="38"/>
    </row>
    <row r="195" spans="1:20" ht="15">
      <c r="A195" s="76" t="s">
        <v>630</v>
      </c>
      <c r="B195" s="17"/>
      <c r="C195" s="34" t="s">
        <v>631</v>
      </c>
      <c r="D195" s="17" t="s">
        <v>516</v>
      </c>
      <c r="E195" s="33" t="s">
        <v>632</v>
      </c>
      <c r="F195" s="18"/>
      <c r="G195" s="17">
        <f t="shared" si="9"/>
        <v>2</v>
      </c>
      <c r="H195" s="19">
        <v>2022</v>
      </c>
      <c r="I195" s="19">
        <v>2024</v>
      </c>
      <c r="J195" s="19" t="str">
        <f t="shared" si="8"/>
        <v>Existing</v>
      </c>
      <c r="K195" s="18"/>
      <c r="L195" s="18" t="s">
        <v>297</v>
      </c>
      <c r="M195" s="69">
        <v>23000</v>
      </c>
      <c r="N195" s="18"/>
      <c r="O195" s="18"/>
      <c r="P195" s="18"/>
      <c r="Q195" s="19" t="s">
        <v>306</v>
      </c>
      <c r="R195" s="38" t="s">
        <v>540</v>
      </c>
    </row>
    <row r="196" spans="1:20" ht="15">
      <c r="A196" s="76" t="s">
        <v>630</v>
      </c>
      <c r="B196" s="17"/>
      <c r="C196" s="34" t="s">
        <v>633</v>
      </c>
      <c r="D196" s="17" t="s">
        <v>516</v>
      </c>
      <c r="E196" s="33" t="s">
        <v>634</v>
      </c>
      <c r="F196" s="18"/>
      <c r="G196" s="17">
        <f t="shared" si="9"/>
        <v>2</v>
      </c>
      <c r="H196" s="19">
        <v>2022</v>
      </c>
      <c r="I196" s="19">
        <v>2024</v>
      </c>
      <c r="J196" s="19" t="str">
        <f t="shared" si="8"/>
        <v>Existing</v>
      </c>
      <c r="K196" s="18"/>
      <c r="L196" s="18" t="s">
        <v>315</v>
      </c>
      <c r="M196" s="69">
        <v>7000</v>
      </c>
      <c r="N196" s="18"/>
      <c r="O196" s="18"/>
      <c r="P196" s="18"/>
      <c r="Q196" s="19" t="s">
        <v>306</v>
      </c>
      <c r="R196" s="38" t="s">
        <v>540</v>
      </c>
    </row>
    <row r="197" spans="1:20" ht="15">
      <c r="A197" s="76" t="s">
        <v>635</v>
      </c>
      <c r="B197" s="41" t="s">
        <v>636</v>
      </c>
      <c r="C197" s="34" t="s">
        <v>637</v>
      </c>
      <c r="D197" s="17" t="s">
        <v>516</v>
      </c>
      <c r="E197" s="18" t="s">
        <v>638</v>
      </c>
      <c r="F197" s="18"/>
      <c r="G197" s="17"/>
      <c r="H197" s="19">
        <v>2018</v>
      </c>
      <c r="I197" s="19">
        <v>2023</v>
      </c>
      <c r="J197" s="19"/>
      <c r="K197" s="18"/>
      <c r="L197" s="18" t="s">
        <v>297</v>
      </c>
      <c r="M197" s="69"/>
      <c r="N197" s="18"/>
      <c r="O197" s="18"/>
      <c r="P197" s="18"/>
      <c r="Q197" s="19"/>
      <c r="R197" s="38" t="s">
        <v>970</v>
      </c>
    </row>
    <row r="198" spans="1:20" ht="15">
      <c r="A198" s="45" t="s">
        <v>635</v>
      </c>
      <c r="B198" s="158" t="s">
        <v>636</v>
      </c>
      <c r="C198" s="47" t="s">
        <v>637</v>
      </c>
      <c r="D198" s="48"/>
      <c r="E198" s="10"/>
      <c r="F198" s="47"/>
      <c r="G198" s="48">
        <f>I198-H198</f>
        <v>5</v>
      </c>
      <c r="H198" s="55">
        <v>2018</v>
      </c>
      <c r="I198" s="55">
        <v>2023</v>
      </c>
      <c r="J198" s="55" t="str">
        <f>IF(I198=2023,"Retention", "Existing")</f>
        <v>Retention</v>
      </c>
      <c r="K198" s="47" t="s">
        <v>248</v>
      </c>
      <c r="L198" s="47"/>
      <c r="M198" s="159">
        <v>10000</v>
      </c>
      <c r="N198" s="47"/>
      <c r="O198" s="47"/>
      <c r="P198" s="47"/>
      <c r="Q198" s="55" t="s">
        <v>306</v>
      </c>
      <c r="R198" s="38"/>
      <c r="S198" s="54"/>
      <c r="T198" s="54"/>
    </row>
    <row r="199" spans="1:20" ht="15">
      <c r="A199" s="76" t="s">
        <v>635</v>
      </c>
      <c r="B199" s="41" t="s">
        <v>636</v>
      </c>
      <c r="C199" s="34" t="s">
        <v>639</v>
      </c>
      <c r="D199" s="17" t="s">
        <v>516</v>
      </c>
      <c r="E199" s="18" t="s">
        <v>640</v>
      </c>
      <c r="F199" s="18"/>
      <c r="G199" s="17"/>
      <c r="H199" s="19">
        <v>2018</v>
      </c>
      <c r="I199" s="19">
        <v>2023</v>
      </c>
      <c r="J199" s="19"/>
      <c r="K199" s="18"/>
      <c r="L199" s="18" t="s">
        <v>315</v>
      </c>
      <c r="M199" s="69"/>
      <c r="N199" s="18"/>
      <c r="O199" s="18"/>
      <c r="P199" s="18"/>
      <c r="Q199" s="19"/>
      <c r="R199" s="38" t="s">
        <v>970</v>
      </c>
    </row>
    <row r="200" spans="1:20" ht="15">
      <c r="A200" s="45" t="s">
        <v>635</v>
      </c>
      <c r="B200" s="158" t="s">
        <v>636</v>
      </c>
      <c r="C200" s="47" t="s">
        <v>639</v>
      </c>
      <c r="D200" s="48"/>
      <c r="E200" s="18"/>
      <c r="F200" s="47"/>
      <c r="G200" s="48">
        <f t="shared" ref="G200:G205" si="10">I200-H200</f>
        <v>5</v>
      </c>
      <c r="H200" s="55">
        <v>2018</v>
      </c>
      <c r="I200" s="55">
        <v>2023</v>
      </c>
      <c r="J200" s="55" t="str">
        <f t="shared" ref="J200:J205" si="11">IF(I200=2023,"Retention", "Existing")</f>
        <v>Retention</v>
      </c>
      <c r="K200" s="47" t="s">
        <v>248</v>
      </c>
      <c r="L200" s="47"/>
      <c r="M200" s="159">
        <v>10000</v>
      </c>
      <c r="N200" s="47"/>
      <c r="O200" s="47"/>
      <c r="P200" s="47"/>
      <c r="Q200" s="55" t="s">
        <v>306</v>
      </c>
      <c r="R200" s="5"/>
      <c r="S200" s="54"/>
      <c r="T200" s="54"/>
    </row>
    <row r="201" spans="1:20" ht="16">
      <c r="A201" s="60" t="s">
        <v>641</v>
      </c>
      <c r="B201" s="41" t="s">
        <v>636</v>
      </c>
      <c r="C201" s="34" t="s">
        <v>642</v>
      </c>
      <c r="D201" s="17" t="s">
        <v>516</v>
      </c>
      <c r="E201" s="18" t="s">
        <v>643</v>
      </c>
      <c r="F201" s="18"/>
      <c r="G201" s="17">
        <f t="shared" si="10"/>
        <v>3</v>
      </c>
      <c r="H201" s="19">
        <v>2021</v>
      </c>
      <c r="I201" s="19">
        <v>2024</v>
      </c>
      <c r="J201" s="19" t="str">
        <f t="shared" si="11"/>
        <v>Existing</v>
      </c>
      <c r="K201" s="18" t="s">
        <v>248</v>
      </c>
      <c r="L201" s="18" t="s">
        <v>297</v>
      </c>
      <c r="M201" s="29"/>
      <c r="N201" s="18"/>
      <c r="O201" s="18"/>
      <c r="P201" s="18"/>
      <c r="Q201" s="19" t="s">
        <v>306</v>
      </c>
      <c r="R201" s="19" t="s">
        <v>970</v>
      </c>
    </row>
    <row r="202" spans="1:20" ht="16">
      <c r="A202" s="60" t="s">
        <v>641</v>
      </c>
      <c r="B202" s="41" t="s">
        <v>636</v>
      </c>
      <c r="C202" s="34" t="s">
        <v>644</v>
      </c>
      <c r="D202" s="17" t="s">
        <v>516</v>
      </c>
      <c r="E202" s="33" t="s">
        <v>645</v>
      </c>
      <c r="F202" s="18"/>
      <c r="G202" s="17">
        <f t="shared" si="10"/>
        <v>3</v>
      </c>
      <c r="H202" s="19">
        <v>2021</v>
      </c>
      <c r="I202" s="19">
        <v>2024</v>
      </c>
      <c r="J202" s="19" t="str">
        <f t="shared" si="11"/>
        <v>Existing</v>
      </c>
      <c r="K202" s="18" t="s">
        <v>248</v>
      </c>
      <c r="L202" s="18" t="s">
        <v>315</v>
      </c>
      <c r="M202" s="69">
        <v>25000</v>
      </c>
      <c r="N202" s="18"/>
      <c r="O202" s="18"/>
      <c r="P202" s="18"/>
      <c r="Q202" s="19" t="s">
        <v>306</v>
      </c>
      <c r="R202" s="38" t="s">
        <v>970</v>
      </c>
    </row>
    <row r="203" spans="1:20" ht="16">
      <c r="A203" s="60" t="s">
        <v>641</v>
      </c>
      <c r="B203" s="41" t="s">
        <v>636</v>
      </c>
      <c r="C203" s="34" t="s">
        <v>646</v>
      </c>
      <c r="D203" s="17" t="s">
        <v>516</v>
      </c>
      <c r="E203" s="33" t="s">
        <v>647</v>
      </c>
      <c r="F203" s="18"/>
      <c r="G203" s="17">
        <f t="shared" si="10"/>
        <v>3</v>
      </c>
      <c r="H203" s="19">
        <v>2021</v>
      </c>
      <c r="I203" s="19">
        <v>2024</v>
      </c>
      <c r="J203" s="19" t="str">
        <f t="shared" si="11"/>
        <v>Existing</v>
      </c>
      <c r="K203" s="18" t="s">
        <v>248</v>
      </c>
      <c r="L203" s="18" t="s">
        <v>315</v>
      </c>
      <c r="M203" s="69">
        <v>25000</v>
      </c>
      <c r="N203" s="18"/>
      <c r="O203" s="18"/>
      <c r="P203" s="18"/>
      <c r="Q203" s="19" t="s">
        <v>306</v>
      </c>
      <c r="R203" s="38" t="s">
        <v>970</v>
      </c>
    </row>
    <row r="204" spans="1:20" ht="16">
      <c r="A204" s="77" t="s">
        <v>649</v>
      </c>
      <c r="B204" s="10" t="s">
        <v>650</v>
      </c>
      <c r="C204" s="29" t="s">
        <v>651</v>
      </c>
      <c r="D204" s="17" t="s">
        <v>516</v>
      </c>
      <c r="E204" s="24" t="s">
        <v>652</v>
      </c>
      <c r="F204" s="18"/>
      <c r="G204" s="17">
        <f t="shared" si="10"/>
        <v>0</v>
      </c>
      <c r="H204" s="29"/>
      <c r="I204" s="29"/>
      <c r="J204" s="19" t="str">
        <f t="shared" si="11"/>
        <v>Existing</v>
      </c>
      <c r="K204" s="18"/>
      <c r="L204" s="18" t="s">
        <v>245</v>
      </c>
      <c r="M204" s="69">
        <v>30000</v>
      </c>
      <c r="N204" s="18"/>
      <c r="O204" s="18"/>
      <c r="P204" s="18"/>
      <c r="Q204" s="19"/>
      <c r="R204" s="38" t="s">
        <v>390</v>
      </c>
    </row>
    <row r="205" spans="1:20" ht="15">
      <c r="A205" s="15" t="s">
        <v>654</v>
      </c>
      <c r="B205" s="10" t="s">
        <v>655</v>
      </c>
      <c r="C205" s="34" t="s">
        <v>237</v>
      </c>
      <c r="D205" s="17" t="s">
        <v>516</v>
      </c>
      <c r="E205" s="33" t="s">
        <v>656</v>
      </c>
      <c r="F205" s="18"/>
      <c r="G205" s="17">
        <f t="shared" si="10"/>
        <v>6</v>
      </c>
      <c r="H205" s="19">
        <v>2018</v>
      </c>
      <c r="I205" s="19">
        <v>2024</v>
      </c>
      <c r="J205" s="19" t="str">
        <f t="shared" si="11"/>
        <v>Existing</v>
      </c>
      <c r="K205" s="18"/>
      <c r="L205" s="18" t="s">
        <v>254</v>
      </c>
      <c r="M205" s="69">
        <v>30000</v>
      </c>
      <c r="N205" s="18"/>
      <c r="O205" s="18"/>
      <c r="P205" s="18"/>
      <c r="Q205" s="19" t="s">
        <v>306</v>
      </c>
      <c r="R205" s="38" t="s">
        <v>958</v>
      </c>
    </row>
    <row r="206" spans="1:20" ht="15">
      <c r="A206" s="45" t="s">
        <v>654</v>
      </c>
      <c r="B206" s="46" t="s">
        <v>655</v>
      </c>
      <c r="C206" s="47" t="s">
        <v>237</v>
      </c>
      <c r="D206" s="48"/>
      <c r="E206" s="18"/>
      <c r="F206" s="47"/>
      <c r="G206" s="48"/>
      <c r="H206" s="55"/>
      <c r="I206" s="55"/>
      <c r="J206" s="55"/>
      <c r="K206" s="47"/>
      <c r="L206" s="47"/>
      <c r="M206" s="159"/>
      <c r="N206" s="47"/>
      <c r="O206" s="47"/>
      <c r="P206" s="47"/>
      <c r="Q206" s="55"/>
      <c r="R206" s="48"/>
      <c r="S206" s="54"/>
      <c r="T206" s="54"/>
    </row>
    <row r="207" spans="1:20" ht="15">
      <c r="A207" s="15" t="s">
        <v>654</v>
      </c>
      <c r="B207" s="10" t="s">
        <v>655</v>
      </c>
      <c r="C207" s="34" t="s">
        <v>236</v>
      </c>
      <c r="D207" s="17" t="s">
        <v>516</v>
      </c>
      <c r="E207" s="18" t="s">
        <v>657</v>
      </c>
      <c r="F207" s="18"/>
      <c r="G207" s="17">
        <f>I207-H207</f>
        <v>6</v>
      </c>
      <c r="H207" s="19">
        <v>2018</v>
      </c>
      <c r="I207" s="19">
        <v>2024</v>
      </c>
      <c r="J207" s="19" t="str">
        <f>IF(I207=2023,"Retention", "Existing")</f>
        <v>Existing</v>
      </c>
      <c r="K207" s="18"/>
      <c r="L207" s="18" t="s">
        <v>297</v>
      </c>
      <c r="M207" s="69">
        <v>26500</v>
      </c>
      <c r="N207" s="18"/>
      <c r="O207" s="18"/>
      <c r="P207" s="18"/>
      <c r="Q207" s="19" t="s">
        <v>306</v>
      </c>
      <c r="R207" s="19" t="s">
        <v>958</v>
      </c>
    </row>
    <row r="208" spans="1:20" ht="15">
      <c r="A208" s="45" t="s">
        <v>654</v>
      </c>
      <c r="B208" s="46" t="s">
        <v>655</v>
      </c>
      <c r="C208" s="47" t="s">
        <v>236</v>
      </c>
      <c r="D208" s="48"/>
      <c r="E208" s="18"/>
      <c r="F208" s="47"/>
      <c r="G208" s="48"/>
      <c r="H208" s="55"/>
      <c r="I208" s="55"/>
      <c r="J208" s="55"/>
      <c r="K208" s="47"/>
      <c r="L208" s="47"/>
      <c r="M208" s="159"/>
      <c r="N208" s="47"/>
      <c r="O208" s="47"/>
      <c r="P208" s="47"/>
      <c r="Q208" s="55"/>
      <c r="R208" s="48"/>
      <c r="S208" s="54"/>
      <c r="T208" s="54"/>
    </row>
    <row r="209" spans="1:20" ht="15">
      <c r="A209" s="15" t="s">
        <v>654</v>
      </c>
      <c r="B209" s="10" t="s">
        <v>655</v>
      </c>
      <c r="C209" s="34" t="s">
        <v>182</v>
      </c>
      <c r="D209" s="17" t="s">
        <v>516</v>
      </c>
      <c r="E209" s="18" t="s">
        <v>659</v>
      </c>
      <c r="F209" s="18"/>
      <c r="G209" s="17">
        <f>I209-H209</f>
        <v>5</v>
      </c>
      <c r="H209" s="19">
        <v>2020</v>
      </c>
      <c r="I209" s="19">
        <v>2025</v>
      </c>
      <c r="J209" s="19" t="str">
        <f>IF(I209=2023,"Retention", "Existing")</f>
        <v>Existing</v>
      </c>
      <c r="K209" s="18" t="s">
        <v>248</v>
      </c>
      <c r="L209" s="18"/>
      <c r="M209" s="69">
        <v>26500</v>
      </c>
      <c r="N209" s="18"/>
      <c r="O209" s="18"/>
      <c r="P209" s="18"/>
      <c r="Q209" s="19" t="s">
        <v>306</v>
      </c>
      <c r="R209" s="19" t="s">
        <v>958</v>
      </c>
    </row>
    <row r="210" spans="1:20" ht="15">
      <c r="A210" s="45" t="s">
        <v>654</v>
      </c>
      <c r="B210" s="46" t="s">
        <v>655</v>
      </c>
      <c r="C210" s="47" t="s">
        <v>182</v>
      </c>
      <c r="D210" s="48"/>
      <c r="E210" s="10"/>
      <c r="F210" s="47"/>
      <c r="G210" s="48"/>
      <c r="H210" s="55"/>
      <c r="I210" s="55"/>
      <c r="J210" s="55"/>
      <c r="K210" s="47"/>
      <c r="L210" s="47"/>
      <c r="M210" s="159"/>
      <c r="N210" s="47"/>
      <c r="O210" s="47"/>
      <c r="P210" s="47"/>
      <c r="Q210" s="55"/>
      <c r="R210" s="48"/>
      <c r="S210" s="54"/>
      <c r="T210" s="54"/>
    </row>
    <row r="211" spans="1:20" ht="15">
      <c r="A211" s="15" t="s">
        <v>654</v>
      </c>
      <c r="B211" s="10" t="s">
        <v>655</v>
      </c>
      <c r="C211" s="34" t="s">
        <v>120</v>
      </c>
      <c r="D211" s="17" t="s">
        <v>516</v>
      </c>
      <c r="E211" s="18" t="s">
        <v>660</v>
      </c>
      <c r="F211" s="18"/>
      <c r="G211" s="17">
        <f>I211-H211</f>
        <v>5</v>
      </c>
      <c r="H211" s="19">
        <v>2020</v>
      </c>
      <c r="I211" s="19">
        <v>2025</v>
      </c>
      <c r="J211" s="19" t="str">
        <f>IF(I211=2023,"Retention", "Existing")</f>
        <v>Existing</v>
      </c>
      <c r="K211" s="18" t="s">
        <v>248</v>
      </c>
      <c r="L211" s="18"/>
      <c r="M211" s="69">
        <v>50000</v>
      </c>
      <c r="N211" s="18"/>
      <c r="O211" s="18"/>
      <c r="P211" s="18"/>
      <c r="Q211" s="19" t="s">
        <v>306</v>
      </c>
      <c r="R211" s="19" t="s">
        <v>958</v>
      </c>
    </row>
    <row r="212" spans="1:20" ht="15">
      <c r="A212" s="45" t="s">
        <v>654</v>
      </c>
      <c r="B212" s="46" t="s">
        <v>655</v>
      </c>
      <c r="C212" s="47" t="s">
        <v>120</v>
      </c>
      <c r="D212" s="48"/>
      <c r="E212" s="18"/>
      <c r="F212" s="47"/>
      <c r="G212" s="48"/>
      <c r="H212" s="55"/>
      <c r="I212" s="55"/>
      <c r="J212" s="55"/>
      <c r="K212" s="47"/>
      <c r="L212" s="47"/>
      <c r="M212" s="159"/>
      <c r="N212" s="47"/>
      <c r="O212" s="47"/>
      <c r="P212" s="47"/>
      <c r="Q212" s="55"/>
      <c r="R212" s="48"/>
      <c r="S212" s="54"/>
      <c r="T212" s="54"/>
    </row>
    <row r="213" spans="1:20" ht="15">
      <c r="A213" s="15" t="s">
        <v>662</v>
      </c>
      <c r="B213" s="78" t="s">
        <v>663</v>
      </c>
      <c r="C213" s="34" t="s">
        <v>39</v>
      </c>
      <c r="D213" s="17" t="s">
        <v>516</v>
      </c>
      <c r="E213" s="18" t="s">
        <v>664</v>
      </c>
      <c r="F213" s="18"/>
      <c r="G213" s="17">
        <f>I213-H213</f>
        <v>5</v>
      </c>
      <c r="H213" s="19">
        <v>2020</v>
      </c>
      <c r="I213" s="19">
        <v>2025</v>
      </c>
      <c r="J213" s="19" t="str">
        <f>IF(I213=2023,"Retention", "Existing")</f>
        <v>Existing</v>
      </c>
      <c r="K213" s="18" t="s">
        <v>248</v>
      </c>
      <c r="L213" s="18" t="s">
        <v>297</v>
      </c>
      <c r="M213" s="69">
        <v>50000</v>
      </c>
      <c r="N213" s="18"/>
      <c r="O213" s="18"/>
      <c r="P213" s="18"/>
      <c r="Q213" s="19" t="s">
        <v>306</v>
      </c>
      <c r="R213" s="17" t="s">
        <v>971</v>
      </c>
    </row>
    <row r="214" spans="1:20" ht="15">
      <c r="A214" s="45" t="s">
        <v>662</v>
      </c>
      <c r="B214" s="79" t="s">
        <v>663</v>
      </c>
      <c r="C214" s="47" t="s">
        <v>39</v>
      </c>
      <c r="D214" s="48"/>
      <c r="E214" s="10"/>
      <c r="F214" s="47"/>
      <c r="G214" s="48"/>
      <c r="H214" s="55"/>
      <c r="I214" s="55"/>
      <c r="J214" s="55"/>
      <c r="K214" s="47"/>
      <c r="L214" s="47"/>
      <c r="M214" s="159"/>
      <c r="N214" s="47"/>
      <c r="O214" s="47"/>
      <c r="P214" s="47"/>
      <c r="Q214" s="55"/>
      <c r="R214" s="48"/>
      <c r="S214" s="54"/>
      <c r="T214" s="54"/>
    </row>
    <row r="215" spans="1:20" ht="15">
      <c r="A215" s="15" t="s">
        <v>662</v>
      </c>
      <c r="B215" s="78" t="s">
        <v>663</v>
      </c>
      <c r="C215" s="34" t="s">
        <v>149</v>
      </c>
      <c r="D215" s="17" t="s">
        <v>516</v>
      </c>
      <c r="E215" s="18" t="s">
        <v>665</v>
      </c>
      <c r="F215" s="18"/>
      <c r="G215" s="17">
        <f>I215-H215</f>
        <v>5</v>
      </c>
      <c r="H215" s="19">
        <v>2020</v>
      </c>
      <c r="I215" s="19">
        <v>2025</v>
      </c>
      <c r="J215" s="19" t="str">
        <f>IF(I215=2023,"Retention", "Existing")</f>
        <v>Existing</v>
      </c>
      <c r="K215" s="18" t="s">
        <v>248</v>
      </c>
      <c r="L215" s="18" t="s">
        <v>315</v>
      </c>
      <c r="M215" s="69">
        <v>50000</v>
      </c>
      <c r="N215" s="18"/>
      <c r="O215" s="18"/>
      <c r="P215" s="18"/>
      <c r="Q215" s="19" t="s">
        <v>306</v>
      </c>
      <c r="R215" s="17" t="s">
        <v>971</v>
      </c>
    </row>
    <row r="216" spans="1:20" ht="15">
      <c r="A216" s="45" t="s">
        <v>662</v>
      </c>
      <c r="B216" s="79" t="s">
        <v>663</v>
      </c>
      <c r="C216" s="47" t="s">
        <v>149</v>
      </c>
      <c r="D216" s="48"/>
      <c r="E216" s="18"/>
      <c r="F216" s="47"/>
      <c r="G216" s="48"/>
      <c r="H216" s="55"/>
      <c r="I216" s="55"/>
      <c r="J216" s="55"/>
      <c r="K216" s="47"/>
      <c r="L216" s="47"/>
      <c r="M216" s="159"/>
      <c r="N216" s="47"/>
      <c r="O216" s="47"/>
      <c r="P216" s="47"/>
      <c r="Q216" s="55"/>
      <c r="R216" s="48"/>
      <c r="S216" s="54"/>
      <c r="T216" s="54"/>
    </row>
    <row r="217" spans="1:20" ht="15">
      <c r="A217" s="76" t="s">
        <v>666</v>
      </c>
      <c r="B217" s="8" t="s">
        <v>667</v>
      </c>
      <c r="C217" s="34" t="s">
        <v>189</v>
      </c>
      <c r="D217" s="17" t="s">
        <v>516</v>
      </c>
      <c r="E217" s="18" t="s">
        <v>668</v>
      </c>
      <c r="F217" s="18"/>
      <c r="G217" s="17">
        <f t="shared" ref="G217:G247" si="12">I217-H217</f>
        <v>3</v>
      </c>
      <c r="H217" s="19">
        <v>2022</v>
      </c>
      <c r="I217" s="19">
        <v>2025</v>
      </c>
      <c r="J217" s="19" t="str">
        <f t="shared" ref="J217:J247" si="13">IF(I217=2023,"Retention", "Existing")</f>
        <v>Existing</v>
      </c>
      <c r="K217" s="18"/>
      <c r="L217" s="18" t="s">
        <v>254</v>
      </c>
      <c r="M217" s="69">
        <v>30000</v>
      </c>
      <c r="N217" s="18"/>
      <c r="O217" s="18"/>
      <c r="P217" s="18"/>
      <c r="Q217" s="19" t="s">
        <v>306</v>
      </c>
      <c r="R217" s="19" t="s">
        <v>958</v>
      </c>
    </row>
    <row r="218" spans="1:20" ht="15">
      <c r="A218" s="76" t="s">
        <v>666</v>
      </c>
      <c r="B218" s="8" t="s">
        <v>667</v>
      </c>
      <c r="C218" s="34" t="s">
        <v>28</v>
      </c>
      <c r="D218" s="17" t="s">
        <v>516</v>
      </c>
      <c r="E218" s="33" t="s">
        <v>669</v>
      </c>
      <c r="F218" s="18"/>
      <c r="G218" s="17">
        <f t="shared" si="12"/>
        <v>3</v>
      </c>
      <c r="H218" s="19">
        <v>2022</v>
      </c>
      <c r="I218" s="19">
        <v>2025</v>
      </c>
      <c r="J218" s="19" t="str">
        <f t="shared" si="13"/>
        <v>Existing</v>
      </c>
      <c r="K218" s="18"/>
      <c r="L218" s="18" t="s">
        <v>297</v>
      </c>
      <c r="M218" s="69">
        <v>30000</v>
      </c>
      <c r="N218" s="18"/>
      <c r="O218" s="18"/>
      <c r="P218" s="18"/>
      <c r="Q218" s="19" t="s">
        <v>306</v>
      </c>
      <c r="R218" s="38" t="s">
        <v>958</v>
      </c>
    </row>
    <row r="219" spans="1:20" ht="15">
      <c r="A219" s="76" t="s">
        <v>666</v>
      </c>
      <c r="B219" s="8" t="s">
        <v>667</v>
      </c>
      <c r="C219" s="34" t="s">
        <v>141</v>
      </c>
      <c r="D219" s="17" t="s">
        <v>516</v>
      </c>
      <c r="E219" s="33" t="s">
        <v>670</v>
      </c>
      <c r="F219" s="18"/>
      <c r="G219" s="17">
        <f t="shared" si="12"/>
        <v>3</v>
      </c>
      <c r="H219" s="19">
        <v>2022</v>
      </c>
      <c r="I219" s="19">
        <v>2025</v>
      </c>
      <c r="J219" s="19" t="str">
        <f t="shared" si="13"/>
        <v>Existing</v>
      </c>
      <c r="K219" s="18"/>
      <c r="L219" s="18" t="s">
        <v>245</v>
      </c>
      <c r="M219" s="69">
        <v>30000</v>
      </c>
      <c r="N219" s="18"/>
      <c r="O219" s="18"/>
      <c r="P219" s="18"/>
      <c r="Q219" s="19" t="s">
        <v>306</v>
      </c>
      <c r="R219" s="38" t="s">
        <v>958</v>
      </c>
    </row>
    <row r="220" spans="1:20" ht="15">
      <c r="A220" s="76" t="s">
        <v>671</v>
      </c>
      <c r="B220" s="18" t="s">
        <v>672</v>
      </c>
      <c r="C220" s="34" t="s">
        <v>187</v>
      </c>
      <c r="D220" s="17" t="s">
        <v>516</v>
      </c>
      <c r="E220" s="10"/>
      <c r="F220" s="18"/>
      <c r="G220" s="17">
        <f t="shared" si="12"/>
        <v>3</v>
      </c>
      <c r="H220" s="19">
        <v>2022</v>
      </c>
      <c r="I220" s="19">
        <v>2025</v>
      </c>
      <c r="J220" s="19" t="str">
        <f t="shared" si="13"/>
        <v>Existing</v>
      </c>
      <c r="K220" s="18" t="s">
        <v>248</v>
      </c>
      <c r="L220" s="18" t="s">
        <v>254</v>
      </c>
      <c r="M220" s="69">
        <v>30000</v>
      </c>
      <c r="N220" s="18"/>
      <c r="O220" s="18"/>
      <c r="P220" s="18" t="s">
        <v>299</v>
      </c>
      <c r="Q220" s="19" t="s">
        <v>306</v>
      </c>
      <c r="R220" s="38" t="s">
        <v>286</v>
      </c>
    </row>
    <row r="221" spans="1:20" ht="15">
      <c r="A221" s="76" t="s">
        <v>671</v>
      </c>
      <c r="B221" s="18" t="s">
        <v>672</v>
      </c>
      <c r="C221" s="34" t="s">
        <v>25</v>
      </c>
      <c r="D221" s="17" t="s">
        <v>516</v>
      </c>
      <c r="E221" s="10"/>
      <c r="F221" s="18"/>
      <c r="G221" s="17">
        <f t="shared" si="12"/>
        <v>3</v>
      </c>
      <c r="H221" s="19">
        <v>2022</v>
      </c>
      <c r="I221" s="19">
        <v>2025</v>
      </c>
      <c r="J221" s="19" t="str">
        <f t="shared" si="13"/>
        <v>Existing</v>
      </c>
      <c r="K221" s="18" t="s">
        <v>248</v>
      </c>
      <c r="L221" s="18" t="s">
        <v>297</v>
      </c>
      <c r="M221" s="44"/>
      <c r="N221" s="18"/>
      <c r="O221" s="18"/>
      <c r="P221" s="18" t="s">
        <v>299</v>
      </c>
      <c r="Q221" s="19" t="s">
        <v>306</v>
      </c>
      <c r="R221" s="38" t="s">
        <v>286</v>
      </c>
    </row>
    <row r="222" spans="1:20" ht="15">
      <c r="A222" s="76" t="s">
        <v>671</v>
      </c>
      <c r="B222" s="18" t="s">
        <v>672</v>
      </c>
      <c r="C222" s="34" t="s">
        <v>138</v>
      </c>
      <c r="D222" s="17" t="s">
        <v>516</v>
      </c>
      <c r="E222" s="10"/>
      <c r="F222" s="18"/>
      <c r="G222" s="17">
        <f t="shared" si="12"/>
        <v>3</v>
      </c>
      <c r="H222" s="19">
        <v>2022</v>
      </c>
      <c r="I222" s="19">
        <v>2025</v>
      </c>
      <c r="J222" s="19" t="str">
        <f t="shared" si="13"/>
        <v>Existing</v>
      </c>
      <c r="K222" s="18" t="s">
        <v>248</v>
      </c>
      <c r="L222" s="18" t="s">
        <v>315</v>
      </c>
      <c r="M222" s="69">
        <v>4800000</v>
      </c>
      <c r="N222" s="18"/>
      <c r="O222" s="18"/>
      <c r="P222" s="18" t="s">
        <v>299</v>
      </c>
      <c r="Q222" s="19" t="s">
        <v>306</v>
      </c>
      <c r="R222" s="38" t="s">
        <v>286</v>
      </c>
    </row>
    <row r="223" spans="1:20" ht="15">
      <c r="A223" s="76" t="s">
        <v>671</v>
      </c>
      <c r="B223" s="18" t="s">
        <v>672</v>
      </c>
      <c r="C223" s="34" t="s">
        <v>100</v>
      </c>
      <c r="D223" s="17" t="s">
        <v>516</v>
      </c>
      <c r="E223" s="10"/>
      <c r="F223" s="18"/>
      <c r="G223" s="17">
        <f t="shared" si="12"/>
        <v>3</v>
      </c>
      <c r="H223" s="19">
        <v>2022</v>
      </c>
      <c r="I223" s="19">
        <v>2025</v>
      </c>
      <c r="J223" s="19" t="str">
        <f t="shared" si="13"/>
        <v>Existing</v>
      </c>
      <c r="K223" s="18" t="s">
        <v>248</v>
      </c>
      <c r="L223" s="18" t="s">
        <v>315</v>
      </c>
      <c r="M223" s="69">
        <v>12000</v>
      </c>
      <c r="N223" s="18"/>
      <c r="O223" s="18"/>
      <c r="P223" s="18" t="s">
        <v>299</v>
      </c>
      <c r="Q223" s="19" t="s">
        <v>306</v>
      </c>
      <c r="R223" s="38" t="s">
        <v>286</v>
      </c>
    </row>
    <row r="224" spans="1:20" ht="15">
      <c r="A224" s="73" t="s">
        <v>673</v>
      </c>
      <c r="B224" s="17"/>
      <c r="C224" s="34" t="s">
        <v>217</v>
      </c>
      <c r="D224" s="17" t="s">
        <v>516</v>
      </c>
      <c r="E224" s="18" t="s">
        <v>674</v>
      </c>
      <c r="F224" s="18"/>
      <c r="G224" s="17">
        <f t="shared" si="12"/>
        <v>3</v>
      </c>
      <c r="H224" s="19">
        <v>2022</v>
      </c>
      <c r="I224" s="19">
        <v>2025</v>
      </c>
      <c r="J224" s="19" t="str">
        <f t="shared" si="13"/>
        <v>Existing</v>
      </c>
      <c r="K224" s="18"/>
      <c r="L224" s="18" t="s">
        <v>254</v>
      </c>
      <c r="M224" s="69">
        <v>12000</v>
      </c>
      <c r="N224" s="18"/>
      <c r="O224" s="18"/>
      <c r="P224" s="18"/>
      <c r="Q224" s="19"/>
      <c r="R224" s="17"/>
    </row>
    <row r="225" spans="1:18" ht="15">
      <c r="A225" s="73" t="s">
        <v>673</v>
      </c>
      <c r="B225" s="17"/>
      <c r="C225" s="34" t="s">
        <v>68</v>
      </c>
      <c r="D225" s="17" t="s">
        <v>516</v>
      </c>
      <c r="E225" s="18" t="s">
        <v>675</v>
      </c>
      <c r="F225" s="18"/>
      <c r="G225" s="17">
        <f t="shared" si="12"/>
        <v>3</v>
      </c>
      <c r="H225" s="19">
        <v>2022</v>
      </c>
      <c r="I225" s="19">
        <v>2025</v>
      </c>
      <c r="J225" s="19" t="str">
        <f t="shared" si="13"/>
        <v>Existing</v>
      </c>
      <c r="K225" s="18"/>
      <c r="L225" s="18" t="s">
        <v>297</v>
      </c>
      <c r="M225" s="69">
        <v>20000</v>
      </c>
      <c r="N225" s="18"/>
      <c r="O225" s="18"/>
      <c r="P225" s="18"/>
      <c r="Q225" s="19"/>
      <c r="R225" s="17" t="s">
        <v>540</v>
      </c>
    </row>
    <row r="226" spans="1:18" ht="15">
      <c r="A226" s="160" t="s">
        <v>676</v>
      </c>
      <c r="B226" s="81" t="s">
        <v>972</v>
      </c>
      <c r="C226" s="34" t="s">
        <v>34</v>
      </c>
      <c r="D226" s="17" t="s">
        <v>516</v>
      </c>
      <c r="E226" s="18" t="s">
        <v>677</v>
      </c>
      <c r="F226" s="18"/>
      <c r="G226" s="17">
        <f t="shared" si="12"/>
        <v>3</v>
      </c>
      <c r="H226" s="19">
        <v>2022</v>
      </c>
      <c r="I226" s="19">
        <v>2025</v>
      </c>
      <c r="J226" s="19" t="str">
        <f t="shared" si="13"/>
        <v>Existing</v>
      </c>
      <c r="K226" s="18"/>
      <c r="L226" s="18"/>
      <c r="M226" s="69">
        <v>17000</v>
      </c>
      <c r="N226" s="18"/>
      <c r="O226" s="18"/>
      <c r="P226" s="18"/>
      <c r="Q226" s="19" t="s">
        <v>306</v>
      </c>
      <c r="R226" s="17"/>
    </row>
    <row r="227" spans="1:18" ht="15">
      <c r="A227" s="160" t="s">
        <v>676</v>
      </c>
      <c r="B227" s="81" t="s">
        <v>973</v>
      </c>
      <c r="C227" s="34" t="s">
        <v>145</v>
      </c>
      <c r="D227" s="17" t="s">
        <v>516</v>
      </c>
      <c r="E227" s="18" t="s">
        <v>678</v>
      </c>
      <c r="F227" s="18"/>
      <c r="G227" s="17">
        <f t="shared" si="12"/>
        <v>3</v>
      </c>
      <c r="H227" s="19">
        <v>2022</v>
      </c>
      <c r="I227" s="19">
        <v>2025</v>
      </c>
      <c r="J227" s="19" t="str">
        <f t="shared" si="13"/>
        <v>Existing</v>
      </c>
      <c r="K227" s="18"/>
      <c r="L227" s="18"/>
      <c r="M227" s="408">
        <v>10000000</v>
      </c>
      <c r="N227" s="18"/>
      <c r="O227" s="18"/>
      <c r="P227" s="18"/>
      <c r="Q227" s="19" t="s">
        <v>306</v>
      </c>
      <c r="R227" s="17"/>
    </row>
    <row r="228" spans="1:18" ht="15">
      <c r="A228" s="15"/>
      <c r="B228" s="17"/>
      <c r="C228" s="34" t="s">
        <v>61</v>
      </c>
      <c r="D228" s="17" t="s">
        <v>516</v>
      </c>
      <c r="E228" s="18" t="s">
        <v>679</v>
      </c>
      <c r="F228" s="18"/>
      <c r="G228" s="17">
        <f t="shared" si="12"/>
        <v>3</v>
      </c>
      <c r="H228" s="19">
        <v>2022</v>
      </c>
      <c r="I228" s="19">
        <v>2025</v>
      </c>
      <c r="J228" s="19" t="str">
        <f t="shared" si="13"/>
        <v>Existing</v>
      </c>
      <c r="K228" s="18" t="s">
        <v>253</v>
      </c>
      <c r="L228" s="18" t="s">
        <v>297</v>
      </c>
      <c r="M228" s="409"/>
      <c r="N228" s="18"/>
      <c r="O228" s="18"/>
      <c r="P228" s="18"/>
      <c r="Q228" s="19" t="s">
        <v>306</v>
      </c>
      <c r="R228" s="17" t="s">
        <v>958</v>
      </c>
    </row>
    <row r="229" spans="1:18" ht="16">
      <c r="A229" s="60" t="s">
        <v>680</v>
      </c>
      <c r="B229" s="36" t="s">
        <v>681</v>
      </c>
      <c r="C229" s="34" t="s">
        <v>23</v>
      </c>
      <c r="D229" s="17" t="s">
        <v>516</v>
      </c>
      <c r="E229" s="33" t="s">
        <v>682</v>
      </c>
      <c r="F229" s="18"/>
      <c r="G229" s="17">
        <f t="shared" si="12"/>
        <v>2</v>
      </c>
      <c r="H229" s="19">
        <v>2021</v>
      </c>
      <c r="I229" s="19">
        <v>2023</v>
      </c>
      <c r="J229" s="19" t="str">
        <f t="shared" si="13"/>
        <v>Retention</v>
      </c>
      <c r="K229" s="18" t="s">
        <v>248</v>
      </c>
      <c r="L229" s="18" t="s">
        <v>297</v>
      </c>
      <c r="M229" s="409"/>
      <c r="N229" s="18"/>
      <c r="O229" s="18"/>
      <c r="P229" s="18" t="s">
        <v>293</v>
      </c>
      <c r="Q229" s="19" t="s">
        <v>362</v>
      </c>
      <c r="R229" s="17" t="s">
        <v>390</v>
      </c>
    </row>
    <row r="230" spans="1:18" ht="15">
      <c r="A230" s="76" t="s">
        <v>684</v>
      </c>
      <c r="B230" s="9" t="s">
        <v>685</v>
      </c>
      <c r="C230" s="34" t="s">
        <v>686</v>
      </c>
      <c r="D230" s="17" t="s">
        <v>516</v>
      </c>
      <c r="E230" s="18" t="s">
        <v>687</v>
      </c>
      <c r="F230" s="18"/>
      <c r="G230" s="17">
        <f t="shared" si="12"/>
        <v>1</v>
      </c>
      <c r="H230" s="19">
        <v>2022</v>
      </c>
      <c r="I230" s="19">
        <v>2023</v>
      </c>
      <c r="J230" s="19" t="str">
        <f t="shared" si="13"/>
        <v>Retention</v>
      </c>
      <c r="K230" s="18" t="s">
        <v>253</v>
      </c>
      <c r="L230" s="18" t="s">
        <v>254</v>
      </c>
      <c r="M230" s="409"/>
      <c r="N230" s="18"/>
      <c r="O230" s="18"/>
      <c r="P230" s="18"/>
      <c r="Q230" s="19" t="s">
        <v>362</v>
      </c>
      <c r="R230" s="17" t="s">
        <v>390</v>
      </c>
    </row>
    <row r="231" spans="1:18" ht="15">
      <c r="A231" s="76" t="s">
        <v>684</v>
      </c>
      <c r="B231" s="9" t="s">
        <v>685</v>
      </c>
      <c r="C231" s="34" t="s">
        <v>688</v>
      </c>
      <c r="D231" s="17" t="s">
        <v>516</v>
      </c>
      <c r="E231" s="33" t="s">
        <v>689</v>
      </c>
      <c r="F231" s="18"/>
      <c r="G231" s="17">
        <f t="shared" si="12"/>
        <v>1</v>
      </c>
      <c r="H231" s="19">
        <v>2022</v>
      </c>
      <c r="I231" s="19">
        <v>2023</v>
      </c>
      <c r="J231" s="19" t="str">
        <f t="shared" si="13"/>
        <v>Retention</v>
      </c>
      <c r="K231" s="18" t="s">
        <v>253</v>
      </c>
      <c r="L231" s="18" t="s">
        <v>245</v>
      </c>
      <c r="M231" s="410"/>
      <c r="N231" s="18"/>
      <c r="O231" s="18"/>
      <c r="P231" s="18"/>
      <c r="Q231" s="19" t="s">
        <v>362</v>
      </c>
      <c r="R231" s="17" t="s">
        <v>390</v>
      </c>
    </row>
    <row r="232" spans="1:18" ht="15">
      <c r="A232" s="76" t="s">
        <v>684</v>
      </c>
      <c r="B232" s="9" t="s">
        <v>685</v>
      </c>
      <c r="C232" s="34" t="s">
        <v>690</v>
      </c>
      <c r="D232" s="17" t="s">
        <v>516</v>
      </c>
      <c r="E232" s="33" t="s">
        <v>691</v>
      </c>
      <c r="F232" s="18"/>
      <c r="G232" s="17">
        <f t="shared" si="12"/>
        <v>1</v>
      </c>
      <c r="H232" s="19">
        <v>2022</v>
      </c>
      <c r="I232" s="19">
        <v>2023</v>
      </c>
      <c r="J232" s="19" t="str">
        <f t="shared" si="13"/>
        <v>Retention</v>
      </c>
      <c r="K232" s="18" t="s">
        <v>253</v>
      </c>
      <c r="L232" s="18"/>
      <c r="M232" s="44"/>
      <c r="N232" s="18"/>
      <c r="O232" s="18"/>
      <c r="P232" s="18"/>
      <c r="Q232" s="19" t="s">
        <v>362</v>
      </c>
      <c r="R232" s="17" t="s">
        <v>390</v>
      </c>
    </row>
    <row r="233" spans="1:18" ht="15">
      <c r="A233" s="76" t="s">
        <v>684</v>
      </c>
      <c r="B233" s="9" t="s">
        <v>685</v>
      </c>
      <c r="C233" s="34" t="s">
        <v>692</v>
      </c>
      <c r="D233" s="17" t="s">
        <v>516</v>
      </c>
      <c r="E233" s="33" t="s">
        <v>693</v>
      </c>
      <c r="F233" s="18"/>
      <c r="G233" s="17">
        <f t="shared" si="12"/>
        <v>1</v>
      </c>
      <c r="H233" s="19">
        <v>2022</v>
      </c>
      <c r="I233" s="19">
        <v>2023</v>
      </c>
      <c r="J233" s="19" t="str">
        <f t="shared" si="13"/>
        <v>Retention</v>
      </c>
      <c r="K233" s="18" t="s">
        <v>253</v>
      </c>
      <c r="L233" s="18" t="s">
        <v>254</v>
      </c>
      <c r="M233" s="69">
        <v>12000</v>
      </c>
      <c r="N233" s="18"/>
      <c r="O233" s="18"/>
      <c r="P233" s="18"/>
      <c r="Q233" s="19" t="s">
        <v>362</v>
      </c>
      <c r="R233" s="17" t="s">
        <v>390</v>
      </c>
    </row>
    <row r="234" spans="1:18" ht="25.5" customHeight="1">
      <c r="A234" s="76" t="s">
        <v>684</v>
      </c>
      <c r="B234" s="9" t="s">
        <v>685</v>
      </c>
      <c r="C234" s="34" t="s">
        <v>694</v>
      </c>
      <c r="D234" s="17" t="s">
        <v>516</v>
      </c>
      <c r="E234" s="33" t="s">
        <v>695</v>
      </c>
      <c r="F234" s="18"/>
      <c r="G234" s="17">
        <f t="shared" si="12"/>
        <v>1</v>
      </c>
      <c r="H234" s="19">
        <v>2022</v>
      </c>
      <c r="I234" s="19">
        <v>2023</v>
      </c>
      <c r="J234" s="19" t="str">
        <f t="shared" si="13"/>
        <v>Retention</v>
      </c>
      <c r="K234" s="18" t="s">
        <v>253</v>
      </c>
      <c r="L234" s="18" t="s">
        <v>320</v>
      </c>
      <c r="M234" s="69">
        <v>12000</v>
      </c>
      <c r="N234" s="18"/>
      <c r="O234" s="18"/>
      <c r="P234" s="18"/>
      <c r="Q234" s="19" t="s">
        <v>362</v>
      </c>
      <c r="R234" s="17" t="s">
        <v>390</v>
      </c>
    </row>
    <row r="235" spans="1:18" ht="23.25" customHeight="1">
      <c r="A235" s="76" t="s">
        <v>684</v>
      </c>
      <c r="B235" s="9" t="s">
        <v>685</v>
      </c>
      <c r="C235" s="34" t="s">
        <v>696</v>
      </c>
      <c r="D235" s="17" t="s">
        <v>516</v>
      </c>
      <c r="E235" s="33" t="s">
        <v>697</v>
      </c>
      <c r="F235" s="18"/>
      <c r="G235" s="17">
        <f t="shared" si="12"/>
        <v>1</v>
      </c>
      <c r="H235" s="19">
        <v>2022</v>
      </c>
      <c r="I235" s="19">
        <v>2023</v>
      </c>
      <c r="J235" s="19" t="str">
        <f t="shared" si="13"/>
        <v>Retention</v>
      </c>
      <c r="K235" s="18" t="s">
        <v>253</v>
      </c>
      <c r="L235" s="18" t="s">
        <v>245</v>
      </c>
      <c r="M235" s="69">
        <v>12000</v>
      </c>
      <c r="N235" s="18"/>
      <c r="O235" s="18"/>
      <c r="P235" s="18"/>
      <c r="Q235" s="19" t="s">
        <v>362</v>
      </c>
      <c r="R235" s="17" t="s">
        <v>390</v>
      </c>
    </row>
    <row r="236" spans="1:18" ht="15">
      <c r="A236" s="76" t="s">
        <v>698</v>
      </c>
      <c r="B236" s="36" t="s">
        <v>699</v>
      </c>
      <c r="C236" s="34" t="s">
        <v>700</v>
      </c>
      <c r="D236" s="17" t="s">
        <v>516</v>
      </c>
      <c r="E236" s="18" t="s">
        <v>701</v>
      </c>
      <c r="F236" s="18"/>
      <c r="G236" s="17">
        <f t="shared" si="12"/>
        <v>3</v>
      </c>
      <c r="H236" s="19">
        <v>2021</v>
      </c>
      <c r="I236" s="19">
        <v>2024</v>
      </c>
      <c r="J236" s="19" t="str">
        <f t="shared" si="13"/>
        <v>Existing</v>
      </c>
      <c r="K236" s="18" t="s">
        <v>248</v>
      </c>
      <c r="L236" s="18" t="s">
        <v>254</v>
      </c>
      <c r="M236" s="69">
        <v>4045000</v>
      </c>
      <c r="N236" s="18"/>
      <c r="O236" s="18"/>
      <c r="P236" s="18"/>
      <c r="Q236" s="19" t="s">
        <v>362</v>
      </c>
      <c r="R236" s="18" t="s">
        <v>390</v>
      </c>
    </row>
    <row r="237" spans="1:18" ht="15">
      <c r="A237" s="76" t="s">
        <v>698</v>
      </c>
      <c r="B237" s="36" t="s">
        <v>699</v>
      </c>
      <c r="C237" s="34" t="s">
        <v>702</v>
      </c>
      <c r="D237" s="17" t="s">
        <v>516</v>
      </c>
      <c r="E237" s="33" t="s">
        <v>703</v>
      </c>
      <c r="F237" s="18"/>
      <c r="G237" s="17">
        <f t="shared" si="12"/>
        <v>3</v>
      </c>
      <c r="H237" s="19">
        <v>2021</v>
      </c>
      <c r="I237" s="19">
        <v>2024</v>
      </c>
      <c r="J237" s="19" t="str">
        <f t="shared" si="13"/>
        <v>Existing</v>
      </c>
      <c r="K237" s="18" t="s">
        <v>248</v>
      </c>
      <c r="L237" s="18" t="s">
        <v>320</v>
      </c>
      <c r="M237" s="29"/>
      <c r="N237" s="18"/>
      <c r="O237" s="18"/>
      <c r="P237" s="18"/>
      <c r="Q237" s="19" t="s">
        <v>362</v>
      </c>
      <c r="R237" s="33" t="s">
        <v>390</v>
      </c>
    </row>
    <row r="238" spans="1:18" ht="15">
      <c r="A238" s="76" t="s">
        <v>698</v>
      </c>
      <c r="B238" s="36" t="s">
        <v>699</v>
      </c>
      <c r="C238" s="34" t="s">
        <v>704</v>
      </c>
      <c r="D238" s="17" t="s">
        <v>516</v>
      </c>
      <c r="E238" s="33" t="s">
        <v>705</v>
      </c>
      <c r="F238" s="18"/>
      <c r="G238" s="17">
        <f t="shared" si="12"/>
        <v>3</v>
      </c>
      <c r="H238" s="19">
        <v>2021</v>
      </c>
      <c r="I238" s="19">
        <v>2024</v>
      </c>
      <c r="J238" s="19" t="str">
        <f t="shared" si="13"/>
        <v>Existing</v>
      </c>
      <c r="K238" s="18" t="s">
        <v>248</v>
      </c>
      <c r="L238" s="18" t="s">
        <v>245</v>
      </c>
      <c r="M238" s="69">
        <v>15000</v>
      </c>
      <c r="N238" s="18"/>
      <c r="O238" s="18"/>
      <c r="P238" s="18"/>
      <c r="Q238" s="19" t="s">
        <v>362</v>
      </c>
      <c r="R238" s="33" t="s">
        <v>390</v>
      </c>
    </row>
    <row r="239" spans="1:18" ht="15">
      <c r="A239" s="73" t="s">
        <v>706</v>
      </c>
      <c r="B239" s="81" t="s">
        <v>974</v>
      </c>
      <c r="C239" s="34" t="s">
        <v>47</v>
      </c>
      <c r="D239" s="17" t="s">
        <v>516</v>
      </c>
      <c r="E239" s="33" t="s">
        <v>707</v>
      </c>
      <c r="F239" s="18"/>
      <c r="G239" s="17">
        <f t="shared" si="12"/>
        <v>3</v>
      </c>
      <c r="H239" s="19">
        <v>2022</v>
      </c>
      <c r="I239" s="19">
        <v>2025</v>
      </c>
      <c r="J239" s="19" t="str">
        <f t="shared" si="13"/>
        <v>Existing</v>
      </c>
      <c r="K239" s="18" t="s">
        <v>248</v>
      </c>
      <c r="L239" s="18" t="s">
        <v>304</v>
      </c>
      <c r="M239" s="69">
        <v>10000</v>
      </c>
      <c r="N239" s="18"/>
      <c r="O239" s="18"/>
      <c r="P239" s="18"/>
      <c r="Q239" s="19" t="s">
        <v>362</v>
      </c>
      <c r="R239" s="33" t="s">
        <v>390</v>
      </c>
    </row>
    <row r="240" spans="1:18" ht="15">
      <c r="A240" s="10" t="s">
        <v>649</v>
      </c>
      <c r="B240" s="10" t="s">
        <v>650</v>
      </c>
      <c r="C240" s="10" t="s">
        <v>708</v>
      </c>
      <c r="D240" s="17" t="s">
        <v>516</v>
      </c>
      <c r="E240" s="91" t="s">
        <v>975</v>
      </c>
      <c r="F240" s="18"/>
      <c r="G240" s="17">
        <f t="shared" si="12"/>
        <v>0</v>
      </c>
      <c r="H240" s="29"/>
      <c r="I240" s="29"/>
      <c r="J240" s="19" t="str">
        <f t="shared" si="13"/>
        <v>Existing</v>
      </c>
      <c r="K240" s="18"/>
      <c r="L240" s="18" t="s">
        <v>297</v>
      </c>
      <c r="M240" s="69">
        <v>10000</v>
      </c>
      <c r="N240" s="18"/>
      <c r="O240" s="18"/>
      <c r="P240" s="18"/>
      <c r="Q240" s="19" t="s">
        <v>362</v>
      </c>
      <c r="R240" s="33" t="s">
        <v>390</v>
      </c>
    </row>
    <row r="241" spans="1:18" ht="15">
      <c r="A241" s="76" t="s">
        <v>649</v>
      </c>
      <c r="B241" s="17"/>
      <c r="C241" s="34" t="s">
        <v>711</v>
      </c>
      <c r="D241" s="17" t="s">
        <v>516</v>
      </c>
      <c r="E241" s="10" t="s">
        <v>712</v>
      </c>
      <c r="F241" s="18"/>
      <c r="G241" s="17">
        <f t="shared" si="12"/>
        <v>1</v>
      </c>
      <c r="H241" s="19">
        <v>2022</v>
      </c>
      <c r="I241" s="19">
        <v>2023</v>
      </c>
      <c r="J241" s="19" t="str">
        <f t="shared" si="13"/>
        <v>Retention</v>
      </c>
      <c r="K241" s="18"/>
      <c r="L241" s="18" t="s">
        <v>315</v>
      </c>
      <c r="M241" s="69">
        <v>15000</v>
      </c>
      <c r="N241" s="18"/>
      <c r="O241" s="18"/>
      <c r="P241" s="18"/>
      <c r="Q241" s="19" t="s">
        <v>362</v>
      </c>
      <c r="R241" s="18" t="s">
        <v>390</v>
      </c>
    </row>
    <row r="242" spans="1:18" ht="16">
      <c r="A242" s="60" t="s">
        <v>713</v>
      </c>
      <c r="B242" s="8" t="s">
        <v>714</v>
      </c>
      <c r="C242" s="34" t="s">
        <v>233</v>
      </c>
      <c r="D242" s="17" t="s">
        <v>516</v>
      </c>
      <c r="E242" s="18" t="s">
        <v>715</v>
      </c>
      <c r="F242" s="18"/>
      <c r="G242" s="17">
        <f t="shared" si="12"/>
        <v>3</v>
      </c>
      <c r="H242" s="19">
        <v>2022</v>
      </c>
      <c r="I242" s="19">
        <v>2025</v>
      </c>
      <c r="J242" s="19" t="str">
        <f t="shared" si="13"/>
        <v>Existing</v>
      </c>
      <c r="K242" s="18" t="s">
        <v>248</v>
      </c>
      <c r="L242" s="18" t="s">
        <v>254</v>
      </c>
      <c r="M242" s="69">
        <v>15000</v>
      </c>
      <c r="N242" s="18"/>
      <c r="O242" s="18"/>
      <c r="P242" s="18"/>
      <c r="Q242" s="19" t="s">
        <v>362</v>
      </c>
      <c r="R242" s="17" t="s">
        <v>540</v>
      </c>
    </row>
    <row r="243" spans="1:18" ht="16">
      <c r="A243" s="60" t="s">
        <v>713</v>
      </c>
      <c r="B243" s="8" t="s">
        <v>714</v>
      </c>
      <c r="C243" s="34" t="s">
        <v>86</v>
      </c>
      <c r="D243" s="17" t="s">
        <v>516</v>
      </c>
      <c r="E243" s="18" t="s">
        <v>716</v>
      </c>
      <c r="F243" s="18"/>
      <c r="G243" s="17">
        <f t="shared" si="12"/>
        <v>3</v>
      </c>
      <c r="H243" s="19">
        <v>2022</v>
      </c>
      <c r="I243" s="19">
        <v>2025</v>
      </c>
      <c r="J243" s="19" t="str">
        <f t="shared" si="13"/>
        <v>Existing</v>
      </c>
      <c r="K243" s="18" t="s">
        <v>248</v>
      </c>
      <c r="L243" s="18" t="s">
        <v>245</v>
      </c>
      <c r="M243" s="69">
        <v>15000</v>
      </c>
      <c r="N243" s="18"/>
      <c r="O243" s="18"/>
      <c r="P243" s="18"/>
      <c r="Q243" s="19" t="s">
        <v>362</v>
      </c>
      <c r="R243" s="17" t="s">
        <v>540</v>
      </c>
    </row>
    <row r="244" spans="1:18" ht="15">
      <c r="A244" s="76" t="s">
        <v>717</v>
      </c>
      <c r="B244" s="41" t="s">
        <v>718</v>
      </c>
      <c r="C244" s="34" t="s">
        <v>85</v>
      </c>
      <c r="D244" s="17" t="s">
        <v>516</v>
      </c>
      <c r="E244" s="10" t="s">
        <v>719</v>
      </c>
      <c r="F244" s="18"/>
      <c r="G244" s="17">
        <f t="shared" si="12"/>
        <v>3</v>
      </c>
      <c r="H244" s="19">
        <v>2022</v>
      </c>
      <c r="I244" s="19">
        <v>2025</v>
      </c>
      <c r="J244" s="19" t="str">
        <f t="shared" si="13"/>
        <v>Existing</v>
      </c>
      <c r="K244" s="18" t="s">
        <v>248</v>
      </c>
      <c r="L244" s="18" t="s">
        <v>304</v>
      </c>
      <c r="M244" s="18"/>
      <c r="N244" s="18"/>
      <c r="O244" s="18"/>
      <c r="P244" s="18"/>
      <c r="Q244" s="19" t="s">
        <v>285</v>
      </c>
      <c r="R244" s="17" t="s">
        <v>354</v>
      </c>
    </row>
    <row r="245" spans="1:18" ht="15">
      <c r="A245" s="76" t="s">
        <v>717</v>
      </c>
      <c r="B245" s="41" t="s">
        <v>718</v>
      </c>
      <c r="C245" s="34" t="s">
        <v>180</v>
      </c>
      <c r="D245" s="17" t="s">
        <v>516</v>
      </c>
      <c r="E245" s="33" t="s">
        <v>720</v>
      </c>
      <c r="F245" s="18"/>
      <c r="G245" s="17">
        <f t="shared" si="12"/>
        <v>3</v>
      </c>
      <c r="H245" s="19">
        <v>2022</v>
      </c>
      <c r="I245" s="19">
        <v>2025</v>
      </c>
      <c r="J245" s="19" t="str">
        <f t="shared" si="13"/>
        <v>Existing</v>
      </c>
      <c r="K245" s="18" t="s">
        <v>248</v>
      </c>
      <c r="L245" s="18" t="s">
        <v>309</v>
      </c>
      <c r="M245" s="18"/>
      <c r="N245" s="18"/>
      <c r="O245" s="18"/>
      <c r="P245" s="18"/>
      <c r="Q245" s="19" t="s">
        <v>285</v>
      </c>
      <c r="R245" s="17" t="s">
        <v>354</v>
      </c>
    </row>
    <row r="246" spans="1:18" ht="15">
      <c r="A246" s="76" t="s">
        <v>717</v>
      </c>
      <c r="B246" s="41" t="s">
        <v>718</v>
      </c>
      <c r="C246" s="34" t="s">
        <v>125</v>
      </c>
      <c r="D246" s="17" t="s">
        <v>516</v>
      </c>
      <c r="E246" s="33" t="s">
        <v>720</v>
      </c>
      <c r="F246" s="18"/>
      <c r="G246" s="17">
        <f t="shared" si="12"/>
        <v>3</v>
      </c>
      <c r="H246" s="19">
        <v>2022</v>
      </c>
      <c r="I246" s="19">
        <v>2025</v>
      </c>
      <c r="J246" s="19" t="str">
        <f t="shared" si="13"/>
        <v>Existing</v>
      </c>
      <c r="K246" s="18" t="s">
        <v>248</v>
      </c>
      <c r="L246" s="18" t="s">
        <v>309</v>
      </c>
      <c r="M246" s="18"/>
      <c r="N246" s="18"/>
      <c r="O246" s="18"/>
      <c r="P246" s="18"/>
      <c r="Q246" s="19" t="s">
        <v>285</v>
      </c>
      <c r="R246" s="17" t="s">
        <v>354</v>
      </c>
    </row>
    <row r="247" spans="1:18" ht="28">
      <c r="A247" s="84" t="s">
        <v>721</v>
      </c>
      <c r="B247" s="85" t="s">
        <v>722</v>
      </c>
      <c r="C247" s="84" t="s">
        <v>11</v>
      </c>
      <c r="D247" s="17" t="s">
        <v>516</v>
      </c>
      <c r="E247" s="10" t="s">
        <v>723</v>
      </c>
      <c r="F247" s="18"/>
      <c r="G247" s="17">
        <f t="shared" si="12"/>
        <v>0</v>
      </c>
      <c r="H247" s="18"/>
      <c r="I247" s="18"/>
      <c r="J247" s="19" t="str">
        <f t="shared" si="13"/>
        <v>Existing</v>
      </c>
      <c r="K247" s="18"/>
      <c r="L247" s="18" t="s">
        <v>297</v>
      </c>
      <c r="M247" s="18"/>
      <c r="N247" s="18"/>
      <c r="O247" s="18"/>
      <c r="P247" s="18"/>
      <c r="Q247" s="19"/>
      <c r="R247" s="17"/>
    </row>
    <row r="248" spans="1:18" ht="28">
      <c r="A248" s="86" t="s">
        <v>721</v>
      </c>
      <c r="B248" s="87" t="s">
        <v>722</v>
      </c>
      <c r="C248" s="86" t="s">
        <v>90</v>
      </c>
      <c r="D248" s="17"/>
      <c r="E248" s="10" t="s">
        <v>725</v>
      </c>
      <c r="F248" s="18"/>
      <c r="G248" s="17"/>
      <c r="H248" s="18"/>
      <c r="I248" s="18"/>
      <c r="J248" s="19"/>
      <c r="K248" s="18"/>
      <c r="L248" s="18"/>
      <c r="M248" s="18"/>
      <c r="N248" s="18"/>
      <c r="O248" s="18"/>
      <c r="P248" s="18"/>
      <c r="Q248" s="19"/>
      <c r="R248" s="17"/>
    </row>
    <row r="249" spans="1:18" ht="32">
      <c r="A249" s="88" t="s">
        <v>726</v>
      </c>
      <c r="B249" s="10"/>
      <c r="C249" s="89" t="s">
        <v>89</v>
      </c>
      <c r="D249" s="17"/>
      <c r="E249" s="18"/>
      <c r="F249" s="18"/>
      <c r="G249" s="17"/>
      <c r="H249" s="18"/>
      <c r="I249" s="18"/>
      <c r="J249" s="19"/>
      <c r="K249" s="18"/>
      <c r="L249" s="18"/>
      <c r="M249" s="18"/>
      <c r="N249" s="18"/>
      <c r="O249" s="18"/>
      <c r="P249" s="18"/>
      <c r="Q249" s="19"/>
      <c r="R249" s="17"/>
    </row>
    <row r="250" spans="1:18" ht="15">
      <c r="A250" s="15" t="s">
        <v>727</v>
      </c>
      <c r="B250" s="17"/>
      <c r="C250" s="34" t="s">
        <v>188</v>
      </c>
      <c r="D250" s="17" t="s">
        <v>516</v>
      </c>
      <c r="E250" s="18" t="s">
        <v>728</v>
      </c>
      <c r="F250" s="18"/>
      <c r="G250" s="17">
        <f t="shared" ref="G250:G257" si="14">I250-H250</f>
        <v>0</v>
      </c>
      <c r="H250" s="18"/>
      <c r="I250" s="18"/>
      <c r="J250" s="19" t="str">
        <f t="shared" ref="J250:J257" si="15">IF(I250=2023,"Retention", "Existing")</f>
        <v>Existing</v>
      </c>
      <c r="K250" s="18"/>
      <c r="L250" s="18" t="s">
        <v>254</v>
      </c>
      <c r="M250" s="18"/>
      <c r="N250" s="18"/>
      <c r="O250" s="18"/>
      <c r="P250" s="18"/>
      <c r="Q250" s="19" t="s">
        <v>389</v>
      </c>
      <c r="R250" s="17"/>
    </row>
    <row r="251" spans="1:18" ht="15">
      <c r="A251" s="15" t="s">
        <v>727</v>
      </c>
      <c r="B251" s="17"/>
      <c r="C251" s="34" t="s">
        <v>27</v>
      </c>
      <c r="D251" s="17" t="s">
        <v>516</v>
      </c>
      <c r="E251" s="18" t="s">
        <v>728</v>
      </c>
      <c r="F251" s="18"/>
      <c r="G251" s="17">
        <f t="shared" si="14"/>
        <v>0</v>
      </c>
      <c r="H251" s="18"/>
      <c r="I251" s="18"/>
      <c r="J251" s="19" t="str">
        <f t="shared" si="15"/>
        <v>Existing</v>
      </c>
      <c r="K251" s="18"/>
      <c r="L251" s="18" t="s">
        <v>297</v>
      </c>
      <c r="M251" s="18"/>
      <c r="N251" s="18"/>
      <c r="O251" s="18"/>
      <c r="P251" s="18"/>
      <c r="Q251" s="19" t="s">
        <v>389</v>
      </c>
      <c r="R251" s="17"/>
    </row>
    <row r="252" spans="1:18" ht="15">
      <c r="A252" s="15" t="s">
        <v>727</v>
      </c>
      <c r="B252" s="17"/>
      <c r="C252" s="34" t="s">
        <v>140</v>
      </c>
      <c r="D252" s="17" t="s">
        <v>516</v>
      </c>
      <c r="E252" s="18" t="s">
        <v>728</v>
      </c>
      <c r="F252" s="18"/>
      <c r="G252" s="17">
        <f t="shared" si="14"/>
        <v>0</v>
      </c>
      <c r="H252" s="18"/>
      <c r="I252" s="18"/>
      <c r="J252" s="19" t="str">
        <f t="shared" si="15"/>
        <v>Existing</v>
      </c>
      <c r="K252" s="18"/>
      <c r="L252" s="18" t="s">
        <v>315</v>
      </c>
      <c r="M252" s="69">
        <v>10000</v>
      </c>
      <c r="N252" s="18"/>
      <c r="O252" s="18"/>
      <c r="P252" s="18"/>
      <c r="Q252" s="19" t="s">
        <v>389</v>
      </c>
      <c r="R252" s="17"/>
    </row>
    <row r="253" spans="1:18" ht="15">
      <c r="A253" s="15"/>
      <c r="B253" s="17"/>
      <c r="C253" s="34" t="s">
        <v>79</v>
      </c>
      <c r="D253" s="17" t="s">
        <v>516</v>
      </c>
      <c r="E253" s="18" t="s">
        <v>976</v>
      </c>
      <c r="F253" s="18"/>
      <c r="G253" s="17">
        <f t="shared" si="14"/>
        <v>0</v>
      </c>
      <c r="H253" s="18"/>
      <c r="I253" s="18"/>
      <c r="J253" s="19" t="str">
        <f t="shared" si="15"/>
        <v>Existing</v>
      </c>
      <c r="K253" s="18"/>
      <c r="L253" s="18" t="s">
        <v>297</v>
      </c>
      <c r="M253" s="69">
        <v>9000</v>
      </c>
      <c r="N253" s="18"/>
      <c r="O253" s="18"/>
      <c r="P253" s="18"/>
      <c r="Q253" s="19" t="s">
        <v>389</v>
      </c>
      <c r="R253" s="17"/>
    </row>
    <row r="254" spans="1:18" ht="15">
      <c r="A254" s="15"/>
      <c r="B254" s="17"/>
      <c r="C254" s="34" t="s">
        <v>174</v>
      </c>
      <c r="D254" s="17" t="s">
        <v>516</v>
      </c>
      <c r="E254" s="18" t="s">
        <v>977</v>
      </c>
      <c r="F254" s="18"/>
      <c r="G254" s="17">
        <f t="shared" si="14"/>
        <v>0</v>
      </c>
      <c r="H254" s="18"/>
      <c r="I254" s="18"/>
      <c r="J254" s="19" t="str">
        <f t="shared" si="15"/>
        <v>Existing</v>
      </c>
      <c r="K254" s="18"/>
      <c r="L254" s="18" t="s">
        <v>245</v>
      </c>
      <c r="M254" s="69">
        <v>31000</v>
      </c>
      <c r="N254" s="18"/>
      <c r="O254" s="18"/>
      <c r="P254" s="18"/>
      <c r="Q254" s="19" t="s">
        <v>389</v>
      </c>
      <c r="R254" s="17"/>
    </row>
    <row r="255" spans="1:18" ht="16">
      <c r="A255" s="60" t="s">
        <v>731</v>
      </c>
      <c r="B255" s="10" t="s">
        <v>732</v>
      </c>
      <c r="C255" s="34" t="s">
        <v>733</v>
      </c>
      <c r="D255" s="17" t="s">
        <v>516</v>
      </c>
      <c r="E255" s="18" t="s">
        <v>734</v>
      </c>
      <c r="F255" s="18"/>
      <c r="G255" s="17">
        <f t="shared" si="14"/>
        <v>1</v>
      </c>
      <c r="H255" s="19">
        <v>2022</v>
      </c>
      <c r="I255" s="19">
        <v>2023</v>
      </c>
      <c r="J255" s="19" t="str">
        <f t="shared" si="15"/>
        <v>Retention</v>
      </c>
      <c r="K255" s="18" t="s">
        <v>248</v>
      </c>
      <c r="L255" s="18" t="s">
        <v>297</v>
      </c>
      <c r="M255" s="69">
        <v>35000</v>
      </c>
      <c r="N255" s="18"/>
      <c r="O255" s="18"/>
      <c r="P255" s="18"/>
      <c r="Q255" s="19" t="s">
        <v>389</v>
      </c>
      <c r="R255" s="17"/>
    </row>
    <row r="256" spans="1:18" ht="15">
      <c r="A256" s="73" t="s">
        <v>735</v>
      </c>
      <c r="B256" s="10" t="s">
        <v>736</v>
      </c>
      <c r="C256" s="34" t="s">
        <v>737</v>
      </c>
      <c r="D256" s="17" t="s">
        <v>516</v>
      </c>
      <c r="E256" s="18" t="s">
        <v>738</v>
      </c>
      <c r="F256" s="18"/>
      <c r="G256" s="17">
        <f t="shared" si="14"/>
        <v>3</v>
      </c>
      <c r="H256" s="19">
        <v>2021</v>
      </c>
      <c r="I256" s="19">
        <v>2024</v>
      </c>
      <c r="J256" s="19" t="str">
        <f t="shared" si="15"/>
        <v>Existing</v>
      </c>
      <c r="K256" s="18" t="s">
        <v>248</v>
      </c>
      <c r="L256" s="18" t="s">
        <v>245</v>
      </c>
      <c r="M256" s="69">
        <v>8000000</v>
      </c>
      <c r="N256" s="18"/>
      <c r="O256" s="18"/>
      <c r="P256" s="18"/>
      <c r="Q256" s="19" t="s">
        <v>739</v>
      </c>
      <c r="R256" s="17"/>
    </row>
    <row r="257" spans="1:20" ht="15">
      <c r="A257" s="73" t="s">
        <v>740</v>
      </c>
      <c r="B257" s="10" t="s">
        <v>741</v>
      </c>
      <c r="C257" s="34" t="s">
        <v>742</v>
      </c>
      <c r="D257" s="17" t="s">
        <v>516</v>
      </c>
      <c r="E257" s="91" t="s">
        <v>743</v>
      </c>
      <c r="F257" s="18"/>
      <c r="G257" s="17">
        <f t="shared" si="14"/>
        <v>2</v>
      </c>
      <c r="H257" s="19">
        <v>2022</v>
      </c>
      <c r="I257" s="19">
        <v>2024</v>
      </c>
      <c r="J257" s="19" t="str">
        <f t="shared" si="15"/>
        <v>Existing</v>
      </c>
      <c r="K257" s="18" t="s">
        <v>248</v>
      </c>
      <c r="L257" s="18" t="s">
        <v>245</v>
      </c>
      <c r="M257" s="69">
        <v>5040000</v>
      </c>
      <c r="N257" s="18"/>
      <c r="O257" s="18"/>
      <c r="P257" s="18"/>
      <c r="Q257" s="19" t="s">
        <v>389</v>
      </c>
      <c r="R257" s="17"/>
    </row>
    <row r="258" spans="1:20" ht="15">
      <c r="A258" s="79" t="s">
        <v>740</v>
      </c>
      <c r="B258" s="46" t="s">
        <v>741</v>
      </c>
      <c r="C258" s="47" t="s">
        <v>742</v>
      </c>
      <c r="D258" s="48"/>
      <c r="E258" s="18"/>
      <c r="F258" s="47"/>
      <c r="G258" s="48"/>
      <c r="H258" s="55"/>
      <c r="I258" s="55"/>
      <c r="J258" s="55"/>
      <c r="K258" s="47"/>
      <c r="L258" s="47"/>
      <c r="M258" s="159"/>
      <c r="N258" s="47"/>
      <c r="O258" s="47"/>
      <c r="P258" s="47"/>
      <c r="Q258" s="55"/>
      <c r="R258" s="48"/>
      <c r="S258" s="54"/>
      <c r="T258" s="54"/>
    </row>
    <row r="259" spans="1:20" ht="15">
      <c r="A259" s="15"/>
      <c r="B259" s="17"/>
      <c r="C259" s="34" t="s">
        <v>58</v>
      </c>
      <c r="D259" s="17" t="s">
        <v>516</v>
      </c>
      <c r="E259" s="92" t="s">
        <v>745</v>
      </c>
      <c r="F259" s="18"/>
      <c r="G259" s="17">
        <f t="shared" ref="G259:G277" si="16">I259-H259</f>
        <v>3</v>
      </c>
      <c r="H259" s="19">
        <v>2022</v>
      </c>
      <c r="I259" s="19">
        <v>2025</v>
      </c>
      <c r="J259" s="19" t="str">
        <f t="shared" ref="J259:J277" si="17">IF(I259=2023,"Retention", "Existing")</f>
        <v>Existing</v>
      </c>
      <c r="K259" s="18" t="s">
        <v>253</v>
      </c>
      <c r="L259" s="18" t="s">
        <v>297</v>
      </c>
      <c r="M259" s="69">
        <v>21000</v>
      </c>
      <c r="N259" s="18"/>
      <c r="O259" s="18"/>
      <c r="P259" s="18"/>
      <c r="Q259" s="19" t="s">
        <v>389</v>
      </c>
      <c r="R259" s="17"/>
    </row>
    <row r="260" spans="1:20" ht="16">
      <c r="A260" s="60" t="s">
        <v>746</v>
      </c>
      <c r="B260" s="17"/>
      <c r="C260" s="34" t="s">
        <v>12</v>
      </c>
      <c r="D260" s="17" t="s">
        <v>516</v>
      </c>
      <c r="E260" s="10" t="s">
        <v>978</v>
      </c>
      <c r="F260" s="18"/>
      <c r="G260" s="17">
        <f t="shared" si="16"/>
        <v>3</v>
      </c>
      <c r="H260" s="19">
        <v>2020</v>
      </c>
      <c r="I260" s="19">
        <v>2023</v>
      </c>
      <c r="J260" s="19" t="str">
        <f t="shared" si="17"/>
        <v>Retention</v>
      </c>
      <c r="K260" s="18" t="s">
        <v>253</v>
      </c>
      <c r="L260" s="18" t="s">
        <v>245</v>
      </c>
      <c r="M260" s="408">
        <v>6800000</v>
      </c>
      <c r="N260" s="18"/>
      <c r="O260" s="18"/>
      <c r="P260" s="18"/>
      <c r="Q260" s="19" t="s">
        <v>342</v>
      </c>
      <c r="R260" s="17" t="s">
        <v>343</v>
      </c>
    </row>
    <row r="261" spans="1:20" ht="15">
      <c r="A261" s="15"/>
      <c r="B261" s="17"/>
      <c r="C261" s="34" t="s">
        <v>93</v>
      </c>
      <c r="D261" s="17" t="s">
        <v>516</v>
      </c>
      <c r="E261" s="92" t="s">
        <v>747</v>
      </c>
      <c r="F261" s="18"/>
      <c r="G261" s="17">
        <f t="shared" si="16"/>
        <v>3</v>
      </c>
      <c r="H261" s="19">
        <v>2022</v>
      </c>
      <c r="I261" s="19">
        <v>2025</v>
      </c>
      <c r="J261" s="19" t="str">
        <f t="shared" si="17"/>
        <v>Existing</v>
      </c>
      <c r="K261" s="18"/>
      <c r="L261" s="18" t="s">
        <v>245</v>
      </c>
      <c r="M261" s="409"/>
      <c r="N261" s="18"/>
      <c r="O261" s="18"/>
      <c r="P261" s="18"/>
      <c r="Q261" s="19" t="s">
        <v>342</v>
      </c>
      <c r="R261" s="17" t="s">
        <v>343</v>
      </c>
    </row>
    <row r="262" spans="1:20" ht="15">
      <c r="A262" s="73" t="s">
        <v>748</v>
      </c>
      <c r="B262" s="36" t="s">
        <v>749</v>
      </c>
      <c r="C262" s="34" t="s">
        <v>979</v>
      </c>
      <c r="D262" s="17" t="s">
        <v>516</v>
      </c>
      <c r="E262" s="93" t="s">
        <v>751</v>
      </c>
      <c r="F262" s="18"/>
      <c r="G262" s="17">
        <f t="shared" si="16"/>
        <v>3</v>
      </c>
      <c r="H262" s="19">
        <v>2021</v>
      </c>
      <c r="I262" s="19">
        <v>2024</v>
      </c>
      <c r="J262" s="19" t="str">
        <f t="shared" si="17"/>
        <v>Existing</v>
      </c>
      <c r="K262" s="18" t="s">
        <v>253</v>
      </c>
      <c r="L262" s="18"/>
      <c r="M262" s="410"/>
      <c r="N262" s="18"/>
      <c r="O262" s="18"/>
      <c r="P262" s="18"/>
      <c r="Q262" s="19" t="s">
        <v>752</v>
      </c>
      <c r="R262" s="17" t="s">
        <v>343</v>
      </c>
    </row>
    <row r="263" spans="1:20" ht="32">
      <c r="A263" s="60" t="s">
        <v>753</v>
      </c>
      <c r="B263" s="8" t="s">
        <v>754</v>
      </c>
      <c r="C263" s="34" t="s">
        <v>200</v>
      </c>
      <c r="D263" s="17"/>
      <c r="E263" s="10" t="s">
        <v>755</v>
      </c>
      <c r="F263" s="18"/>
      <c r="G263" s="17">
        <f t="shared" si="16"/>
        <v>3</v>
      </c>
      <c r="H263" s="19">
        <v>2022</v>
      </c>
      <c r="I263" s="19">
        <v>2025</v>
      </c>
      <c r="J263" s="19" t="str">
        <f t="shared" si="17"/>
        <v>Existing</v>
      </c>
      <c r="K263" s="18" t="s">
        <v>248</v>
      </c>
      <c r="L263" s="18" t="s">
        <v>254</v>
      </c>
      <c r="M263" s="69">
        <v>4000000</v>
      </c>
      <c r="N263" s="18"/>
      <c r="O263" s="18"/>
      <c r="P263" s="18"/>
      <c r="Q263" s="19" t="s">
        <v>342</v>
      </c>
      <c r="R263" s="17" t="s">
        <v>343</v>
      </c>
    </row>
    <row r="264" spans="1:20" ht="32">
      <c r="A264" s="60" t="s">
        <v>753</v>
      </c>
      <c r="B264" s="8" t="s">
        <v>754</v>
      </c>
      <c r="C264" s="34" t="s">
        <v>49</v>
      </c>
      <c r="D264" s="17" t="s">
        <v>516</v>
      </c>
      <c r="E264" s="18" t="s">
        <v>756</v>
      </c>
      <c r="F264" s="18"/>
      <c r="G264" s="17">
        <f t="shared" si="16"/>
        <v>3</v>
      </c>
      <c r="H264" s="19">
        <v>2022</v>
      </c>
      <c r="I264" s="19">
        <v>2025</v>
      </c>
      <c r="J264" s="19" t="str">
        <f t="shared" si="17"/>
        <v>Existing</v>
      </c>
      <c r="K264" s="18" t="s">
        <v>248</v>
      </c>
      <c r="L264" s="18" t="s">
        <v>245</v>
      </c>
      <c r="M264" s="69">
        <v>30000</v>
      </c>
      <c r="N264" s="18"/>
      <c r="O264" s="18"/>
      <c r="P264" s="18"/>
      <c r="Q264" s="19" t="s">
        <v>342</v>
      </c>
      <c r="R264" s="17" t="s">
        <v>343</v>
      </c>
    </row>
    <row r="265" spans="1:20" ht="32">
      <c r="A265" s="60" t="s">
        <v>753</v>
      </c>
      <c r="B265" s="8" t="s">
        <v>754</v>
      </c>
      <c r="C265" s="34" t="s">
        <v>156</v>
      </c>
      <c r="D265" s="17" t="s">
        <v>516</v>
      </c>
      <c r="E265" s="33" t="s">
        <v>757</v>
      </c>
      <c r="F265" s="18"/>
      <c r="G265" s="17">
        <f t="shared" si="16"/>
        <v>3</v>
      </c>
      <c r="H265" s="19">
        <v>2022</v>
      </c>
      <c r="I265" s="19">
        <v>2025</v>
      </c>
      <c r="J265" s="19" t="str">
        <f t="shared" si="17"/>
        <v>Existing</v>
      </c>
      <c r="K265" s="18" t="s">
        <v>248</v>
      </c>
      <c r="L265" s="18" t="s">
        <v>245</v>
      </c>
      <c r="M265" s="69">
        <v>30000</v>
      </c>
      <c r="N265" s="18"/>
      <c r="O265" s="18"/>
      <c r="P265" s="18"/>
      <c r="Q265" s="19" t="s">
        <v>342</v>
      </c>
      <c r="R265" s="17" t="s">
        <v>343</v>
      </c>
    </row>
    <row r="266" spans="1:20" ht="32">
      <c r="A266" s="60" t="s">
        <v>753</v>
      </c>
      <c r="B266" s="8" t="s">
        <v>754</v>
      </c>
      <c r="C266" s="34" t="s">
        <v>108</v>
      </c>
      <c r="D266" s="17" t="s">
        <v>516</v>
      </c>
      <c r="E266" s="33" t="s">
        <v>758</v>
      </c>
      <c r="F266" s="18"/>
      <c r="G266" s="17">
        <f t="shared" si="16"/>
        <v>3</v>
      </c>
      <c r="H266" s="19">
        <v>2022</v>
      </c>
      <c r="I266" s="19">
        <v>2025</v>
      </c>
      <c r="J266" s="19" t="str">
        <f t="shared" si="17"/>
        <v>Existing</v>
      </c>
      <c r="K266" s="18" t="s">
        <v>248</v>
      </c>
      <c r="L266" s="18" t="s">
        <v>245</v>
      </c>
      <c r="M266" s="69">
        <v>30000</v>
      </c>
      <c r="N266" s="18"/>
      <c r="O266" s="18"/>
      <c r="P266" s="18"/>
      <c r="Q266" s="19" t="s">
        <v>342</v>
      </c>
      <c r="R266" s="17" t="s">
        <v>343</v>
      </c>
    </row>
    <row r="267" spans="1:20" ht="15">
      <c r="A267" s="78"/>
      <c r="B267" s="17"/>
      <c r="C267" s="34" t="s">
        <v>119</v>
      </c>
      <c r="D267" s="17" t="s">
        <v>516</v>
      </c>
      <c r="E267" s="10" t="s">
        <v>759</v>
      </c>
      <c r="F267" s="18"/>
      <c r="G267" s="17">
        <f t="shared" si="16"/>
        <v>3</v>
      </c>
      <c r="H267" s="19">
        <v>2022</v>
      </c>
      <c r="I267" s="19">
        <v>2025</v>
      </c>
      <c r="J267" s="19" t="str">
        <f t="shared" si="17"/>
        <v>Existing</v>
      </c>
      <c r="K267" s="18"/>
      <c r="L267" s="18"/>
      <c r="M267" s="408">
        <v>83000000</v>
      </c>
      <c r="N267" s="18"/>
      <c r="O267" s="18"/>
      <c r="P267" s="18"/>
      <c r="Q267" s="19" t="s">
        <v>342</v>
      </c>
      <c r="R267" s="17" t="s">
        <v>343</v>
      </c>
    </row>
    <row r="268" spans="1:20" ht="29">
      <c r="A268" s="76" t="s">
        <v>760</v>
      </c>
      <c r="B268" s="17"/>
      <c r="C268" s="34" t="s">
        <v>7</v>
      </c>
      <c r="D268" s="17" t="s">
        <v>516</v>
      </c>
      <c r="E268" s="94" t="s">
        <v>980</v>
      </c>
      <c r="F268" s="18"/>
      <c r="G268" s="17">
        <f t="shared" si="16"/>
        <v>3</v>
      </c>
      <c r="H268" s="19">
        <v>2020</v>
      </c>
      <c r="I268" s="19">
        <v>2023</v>
      </c>
      <c r="J268" s="19" t="str">
        <f t="shared" si="17"/>
        <v>Retention</v>
      </c>
      <c r="K268" s="18" t="s">
        <v>253</v>
      </c>
      <c r="L268" s="18" t="s">
        <v>245</v>
      </c>
      <c r="M268" s="409"/>
      <c r="N268" s="18"/>
      <c r="O268" s="18"/>
      <c r="P268" s="18"/>
      <c r="Q268" s="19" t="s">
        <v>752</v>
      </c>
      <c r="R268" s="17" t="s">
        <v>343</v>
      </c>
    </row>
    <row r="269" spans="1:20" ht="29">
      <c r="A269" s="76" t="s">
        <v>760</v>
      </c>
      <c r="B269" s="17"/>
      <c r="C269" s="34" t="s">
        <v>14</v>
      </c>
      <c r="D269" s="17" t="s">
        <v>516</v>
      </c>
      <c r="E269" s="94" t="s">
        <v>981</v>
      </c>
      <c r="F269" s="18"/>
      <c r="G269" s="17">
        <f t="shared" si="16"/>
        <v>3</v>
      </c>
      <c r="H269" s="19">
        <v>2020</v>
      </c>
      <c r="I269" s="19">
        <v>2023</v>
      </c>
      <c r="J269" s="19" t="str">
        <f t="shared" si="17"/>
        <v>Retention</v>
      </c>
      <c r="K269" s="18" t="s">
        <v>253</v>
      </c>
      <c r="L269" s="18" t="s">
        <v>245</v>
      </c>
      <c r="M269" s="409"/>
      <c r="N269" s="18"/>
      <c r="O269" s="18"/>
      <c r="P269" s="18"/>
      <c r="Q269" s="19" t="s">
        <v>752</v>
      </c>
      <c r="R269" s="17" t="s">
        <v>343</v>
      </c>
    </row>
    <row r="270" spans="1:20" ht="29">
      <c r="A270" s="76" t="s">
        <v>760</v>
      </c>
      <c r="B270" s="17"/>
      <c r="C270" s="34" t="s">
        <v>761</v>
      </c>
      <c r="D270" s="17" t="s">
        <v>516</v>
      </c>
      <c r="E270" s="94" t="s">
        <v>982</v>
      </c>
      <c r="F270" s="18"/>
      <c r="G270" s="17">
        <f t="shared" si="16"/>
        <v>3</v>
      </c>
      <c r="H270" s="19">
        <v>2020</v>
      </c>
      <c r="I270" s="19">
        <v>2023</v>
      </c>
      <c r="J270" s="19" t="str">
        <f t="shared" si="17"/>
        <v>Retention</v>
      </c>
      <c r="K270" s="18" t="s">
        <v>253</v>
      </c>
      <c r="L270" s="18" t="s">
        <v>245</v>
      </c>
      <c r="M270" s="410"/>
      <c r="N270" s="18"/>
      <c r="O270" s="18"/>
      <c r="P270" s="18"/>
      <c r="Q270" s="19" t="s">
        <v>752</v>
      </c>
      <c r="R270" s="17" t="s">
        <v>343</v>
      </c>
    </row>
    <row r="271" spans="1:20" ht="15">
      <c r="A271" s="76" t="s">
        <v>762</v>
      </c>
      <c r="B271" s="8" t="s">
        <v>763</v>
      </c>
      <c r="C271" s="34" t="s">
        <v>764</v>
      </c>
      <c r="D271" s="17" t="s">
        <v>516</v>
      </c>
      <c r="E271" s="18" t="s">
        <v>765</v>
      </c>
      <c r="F271" s="18"/>
      <c r="G271" s="17">
        <f t="shared" si="16"/>
        <v>1</v>
      </c>
      <c r="H271" s="19">
        <v>2022</v>
      </c>
      <c r="I271" s="19">
        <v>2023</v>
      </c>
      <c r="J271" s="19" t="str">
        <f t="shared" si="17"/>
        <v>Retention</v>
      </c>
      <c r="K271" s="18" t="s">
        <v>253</v>
      </c>
      <c r="L271" s="18" t="s">
        <v>254</v>
      </c>
      <c r="M271" s="69">
        <v>5400000</v>
      </c>
      <c r="N271" s="18"/>
      <c r="O271" s="18"/>
      <c r="P271" s="18"/>
      <c r="Q271" s="19" t="s">
        <v>752</v>
      </c>
      <c r="R271" s="17" t="s">
        <v>343</v>
      </c>
    </row>
    <row r="272" spans="1:20" ht="15">
      <c r="A272" s="76" t="s">
        <v>762</v>
      </c>
      <c r="B272" s="8" t="s">
        <v>763</v>
      </c>
      <c r="C272" s="34" t="s">
        <v>9</v>
      </c>
      <c r="D272" s="17" t="s">
        <v>516</v>
      </c>
      <c r="E272" s="18" t="s">
        <v>766</v>
      </c>
      <c r="F272" s="18"/>
      <c r="G272" s="17">
        <f t="shared" si="16"/>
        <v>1</v>
      </c>
      <c r="H272" s="19">
        <v>2022</v>
      </c>
      <c r="I272" s="19">
        <v>2023</v>
      </c>
      <c r="J272" s="19" t="str">
        <f t="shared" si="17"/>
        <v>Retention</v>
      </c>
      <c r="K272" s="18" t="s">
        <v>253</v>
      </c>
      <c r="L272" s="18" t="s">
        <v>245</v>
      </c>
      <c r="M272" s="69">
        <v>1600000</v>
      </c>
      <c r="N272" s="18"/>
      <c r="O272" s="18"/>
      <c r="P272" s="18"/>
      <c r="Q272" s="19" t="s">
        <v>752</v>
      </c>
      <c r="R272" s="17" t="s">
        <v>343</v>
      </c>
    </row>
    <row r="273" spans="1:20" ht="15">
      <c r="A273" s="76" t="s">
        <v>762</v>
      </c>
      <c r="B273" s="8" t="s">
        <v>763</v>
      </c>
      <c r="C273" s="34" t="s">
        <v>767</v>
      </c>
      <c r="D273" s="17" t="s">
        <v>516</v>
      </c>
      <c r="E273" s="33" t="s">
        <v>768</v>
      </c>
      <c r="F273" s="18"/>
      <c r="G273" s="17">
        <f t="shared" si="16"/>
        <v>1</v>
      </c>
      <c r="H273" s="19">
        <v>2022</v>
      </c>
      <c r="I273" s="19">
        <v>2023</v>
      </c>
      <c r="J273" s="19" t="str">
        <f t="shared" si="17"/>
        <v>Retention</v>
      </c>
      <c r="K273" s="18"/>
      <c r="L273" s="18" t="s">
        <v>245</v>
      </c>
      <c r="M273" s="18"/>
      <c r="N273" s="18"/>
      <c r="O273" s="18"/>
      <c r="P273" s="18"/>
      <c r="Q273" s="19" t="s">
        <v>752</v>
      </c>
      <c r="R273" s="17" t="s">
        <v>343</v>
      </c>
    </row>
    <row r="274" spans="1:20" ht="15">
      <c r="A274" s="76" t="s">
        <v>762</v>
      </c>
      <c r="B274" s="8" t="s">
        <v>763</v>
      </c>
      <c r="C274" s="34" t="s">
        <v>769</v>
      </c>
      <c r="D274" s="17" t="s">
        <v>516</v>
      </c>
      <c r="E274" s="33" t="s">
        <v>770</v>
      </c>
      <c r="F274" s="18"/>
      <c r="G274" s="17">
        <f t="shared" si="16"/>
        <v>1</v>
      </c>
      <c r="H274" s="19">
        <v>2022</v>
      </c>
      <c r="I274" s="19">
        <v>2023</v>
      </c>
      <c r="J274" s="19" t="str">
        <f t="shared" si="17"/>
        <v>Retention</v>
      </c>
      <c r="K274" s="18"/>
      <c r="L274" s="18" t="s">
        <v>245</v>
      </c>
      <c r="M274" s="18"/>
      <c r="N274" s="18"/>
      <c r="O274" s="18"/>
      <c r="P274" s="18"/>
      <c r="Q274" s="19" t="s">
        <v>752</v>
      </c>
      <c r="R274" s="17" t="s">
        <v>343</v>
      </c>
    </row>
    <row r="275" spans="1:20" ht="15">
      <c r="A275" s="76" t="s">
        <v>771</v>
      </c>
      <c r="B275" s="8" t="s">
        <v>772</v>
      </c>
      <c r="C275" s="34" t="s">
        <v>44</v>
      </c>
      <c r="D275" s="17" t="s">
        <v>516</v>
      </c>
      <c r="E275" s="18" t="s">
        <v>773</v>
      </c>
      <c r="F275" s="18"/>
      <c r="G275" s="17">
        <f t="shared" si="16"/>
        <v>3</v>
      </c>
      <c r="H275" s="19">
        <v>2022</v>
      </c>
      <c r="I275" s="19">
        <v>2025</v>
      </c>
      <c r="J275" s="19" t="str">
        <f t="shared" si="17"/>
        <v>Existing</v>
      </c>
      <c r="K275" s="18" t="s">
        <v>253</v>
      </c>
      <c r="L275" s="18" t="s">
        <v>245</v>
      </c>
      <c r="M275" s="69">
        <v>18000</v>
      </c>
      <c r="N275" s="18"/>
      <c r="O275" s="18"/>
      <c r="P275" s="18"/>
      <c r="Q275" s="19" t="s">
        <v>752</v>
      </c>
      <c r="R275" s="17" t="s">
        <v>343</v>
      </c>
    </row>
    <row r="276" spans="1:20" ht="15">
      <c r="A276" s="76" t="s">
        <v>771</v>
      </c>
      <c r="B276" s="8" t="s">
        <v>772</v>
      </c>
      <c r="C276" s="34" t="s">
        <v>153</v>
      </c>
      <c r="D276" s="17" t="s">
        <v>516</v>
      </c>
      <c r="E276" s="33" t="s">
        <v>774</v>
      </c>
      <c r="F276" s="18"/>
      <c r="G276" s="17">
        <f t="shared" si="16"/>
        <v>3</v>
      </c>
      <c r="H276" s="19">
        <v>2022</v>
      </c>
      <c r="I276" s="19">
        <v>2025</v>
      </c>
      <c r="J276" s="19" t="str">
        <f t="shared" si="17"/>
        <v>Existing</v>
      </c>
      <c r="K276" s="18" t="s">
        <v>253</v>
      </c>
      <c r="L276" s="18" t="s">
        <v>245</v>
      </c>
      <c r="M276" s="408">
        <v>16500000</v>
      </c>
      <c r="N276" s="18"/>
      <c r="O276" s="18"/>
      <c r="P276" s="18"/>
      <c r="Q276" s="19" t="s">
        <v>752</v>
      </c>
      <c r="R276" s="17" t="s">
        <v>343</v>
      </c>
    </row>
    <row r="277" spans="1:20" ht="15">
      <c r="A277" s="76" t="s">
        <v>775</v>
      </c>
      <c r="B277" s="10" t="s">
        <v>776</v>
      </c>
      <c r="C277" s="34" t="s">
        <v>777</v>
      </c>
      <c r="D277" s="17" t="s">
        <v>516</v>
      </c>
      <c r="E277" s="18" t="s">
        <v>778</v>
      </c>
      <c r="F277" s="18"/>
      <c r="G277" s="17">
        <f t="shared" si="16"/>
        <v>5</v>
      </c>
      <c r="H277" s="19">
        <v>2018</v>
      </c>
      <c r="I277" s="19">
        <v>2023</v>
      </c>
      <c r="J277" s="19" t="str">
        <f t="shared" si="17"/>
        <v>Retention</v>
      </c>
      <c r="K277" s="18"/>
      <c r="L277" s="18" t="s">
        <v>254</v>
      </c>
      <c r="M277" s="410"/>
      <c r="N277" s="18"/>
      <c r="O277" s="18"/>
      <c r="P277" s="18"/>
      <c r="Q277" s="19" t="s">
        <v>752</v>
      </c>
      <c r="R277" s="17" t="s">
        <v>343</v>
      </c>
    </row>
    <row r="278" spans="1:20" ht="15">
      <c r="A278" s="45" t="s">
        <v>775</v>
      </c>
      <c r="B278" s="46" t="s">
        <v>776</v>
      </c>
      <c r="C278" s="47" t="s">
        <v>777</v>
      </c>
      <c r="D278" s="48"/>
      <c r="F278" s="47"/>
      <c r="G278" s="48"/>
      <c r="H278" s="55"/>
      <c r="I278" s="55"/>
      <c r="J278" s="55"/>
      <c r="K278" s="47"/>
      <c r="L278" s="47" t="s">
        <v>254</v>
      </c>
      <c r="M278" s="159"/>
      <c r="N278" s="47"/>
      <c r="O278" s="47"/>
      <c r="P278" s="47"/>
      <c r="Q278" s="55"/>
      <c r="R278" s="48"/>
      <c r="S278" s="54"/>
      <c r="T278" s="54"/>
    </row>
    <row r="279" spans="1:20" ht="15">
      <c r="A279" s="76" t="s">
        <v>775</v>
      </c>
      <c r="B279" s="10" t="s">
        <v>776</v>
      </c>
      <c r="C279" s="34" t="s">
        <v>779</v>
      </c>
      <c r="D279" s="17" t="s">
        <v>516</v>
      </c>
      <c r="E279" s="33" t="s">
        <v>780</v>
      </c>
      <c r="F279" s="18"/>
      <c r="G279" s="17">
        <f>I279-H279</f>
        <v>5</v>
      </c>
      <c r="H279" s="19">
        <v>2018</v>
      </c>
      <c r="I279" s="19">
        <v>2023</v>
      </c>
      <c r="J279" s="19" t="str">
        <f>IF(I279=2023,"Retention", "Existing")</f>
        <v>Retention</v>
      </c>
      <c r="K279" s="18"/>
      <c r="L279" s="18"/>
      <c r="M279" s="18"/>
      <c r="N279" s="18"/>
      <c r="O279" s="18"/>
      <c r="P279" s="18"/>
      <c r="Q279" s="19" t="s">
        <v>752</v>
      </c>
      <c r="R279" s="17" t="s">
        <v>343</v>
      </c>
    </row>
    <row r="280" spans="1:20" ht="15">
      <c r="A280" s="45" t="s">
        <v>775</v>
      </c>
      <c r="B280" s="46" t="s">
        <v>776</v>
      </c>
      <c r="C280" s="47" t="s">
        <v>779</v>
      </c>
      <c r="D280" s="48"/>
      <c r="E280" s="18"/>
      <c r="F280" s="47"/>
      <c r="G280" s="48"/>
      <c r="H280" s="55"/>
      <c r="I280" s="55"/>
      <c r="J280" s="55"/>
      <c r="K280" s="47"/>
      <c r="L280" s="47" t="s">
        <v>245</v>
      </c>
      <c r="M280" s="47"/>
      <c r="N280" s="47"/>
      <c r="O280" s="47"/>
      <c r="P280" s="47"/>
      <c r="Q280" s="55"/>
      <c r="R280" s="48"/>
      <c r="S280" s="54"/>
      <c r="T280" s="54"/>
    </row>
    <row r="281" spans="1:20" ht="15">
      <c r="A281" s="15"/>
      <c r="B281" s="17"/>
      <c r="C281" s="34" t="s">
        <v>983</v>
      </c>
      <c r="D281" s="17" t="s">
        <v>516</v>
      </c>
      <c r="E281" s="10" t="s">
        <v>783</v>
      </c>
      <c r="F281" s="18"/>
      <c r="G281" s="17">
        <f t="shared" ref="G281:G284" si="18">I281-H281</f>
        <v>1</v>
      </c>
      <c r="H281" s="19">
        <v>2022</v>
      </c>
      <c r="I281" s="19">
        <v>2023</v>
      </c>
      <c r="J281" s="19" t="str">
        <f t="shared" ref="J281:J284" si="19">IF(I281=2023,"Retention", "Existing")</f>
        <v>Retention</v>
      </c>
      <c r="K281" s="18" t="s">
        <v>253</v>
      </c>
      <c r="L281" s="18" t="s">
        <v>245</v>
      </c>
      <c r="M281" s="18"/>
      <c r="N281" s="18"/>
      <c r="O281" s="18"/>
      <c r="P281" s="18"/>
      <c r="Q281" s="19" t="s">
        <v>342</v>
      </c>
      <c r="R281" s="17" t="s">
        <v>343</v>
      </c>
    </row>
    <row r="282" spans="1:20" ht="15">
      <c r="A282" s="15"/>
      <c r="B282" s="17"/>
      <c r="C282" s="18" t="s">
        <v>146</v>
      </c>
      <c r="D282" s="17" t="s">
        <v>516</v>
      </c>
      <c r="E282" s="10" t="s">
        <v>784</v>
      </c>
      <c r="F282" s="18"/>
      <c r="G282" s="17">
        <f t="shared" si="18"/>
        <v>2</v>
      </c>
      <c r="H282" s="19">
        <v>2023</v>
      </c>
      <c r="I282" s="19">
        <v>2025</v>
      </c>
      <c r="J282" s="19" t="str">
        <f t="shared" si="19"/>
        <v>Existing</v>
      </c>
      <c r="K282" s="18"/>
      <c r="L282" s="18"/>
      <c r="M282" s="18"/>
      <c r="N282" s="18"/>
      <c r="O282" s="18"/>
      <c r="P282" s="18"/>
      <c r="Q282" s="19" t="s">
        <v>294</v>
      </c>
      <c r="R282" s="17"/>
    </row>
    <row r="283" spans="1:20" ht="15">
      <c r="A283" s="15"/>
      <c r="B283" s="17"/>
      <c r="C283" s="18" t="s">
        <v>102</v>
      </c>
      <c r="D283" s="17" t="s">
        <v>516</v>
      </c>
      <c r="E283" s="10" t="s">
        <v>784</v>
      </c>
      <c r="F283" s="18"/>
      <c r="G283" s="17">
        <f t="shared" si="18"/>
        <v>2</v>
      </c>
      <c r="H283" s="19">
        <v>2023</v>
      </c>
      <c r="I283" s="19">
        <v>2025</v>
      </c>
      <c r="J283" s="19" t="str">
        <f t="shared" si="19"/>
        <v>Existing</v>
      </c>
      <c r="K283" s="18"/>
      <c r="L283" s="18"/>
      <c r="M283" s="18"/>
      <c r="N283" s="18"/>
      <c r="O283" s="18"/>
      <c r="P283" s="18"/>
      <c r="Q283" s="19" t="s">
        <v>294</v>
      </c>
      <c r="R283" s="17"/>
    </row>
    <row r="284" spans="1:20" ht="15">
      <c r="A284" s="15" t="s">
        <v>785</v>
      </c>
      <c r="B284" s="17"/>
      <c r="C284" s="18" t="s">
        <v>786</v>
      </c>
      <c r="D284" s="17" t="s">
        <v>516</v>
      </c>
      <c r="E284" s="10" t="s">
        <v>787</v>
      </c>
      <c r="F284" s="18"/>
      <c r="G284" s="17">
        <f t="shared" si="18"/>
        <v>1</v>
      </c>
      <c r="H284" s="19">
        <v>2022</v>
      </c>
      <c r="I284" s="19">
        <v>2023</v>
      </c>
      <c r="J284" s="19" t="str">
        <f t="shared" si="19"/>
        <v>Retention</v>
      </c>
      <c r="K284" s="18" t="s">
        <v>248</v>
      </c>
      <c r="L284" s="18"/>
      <c r="M284" s="18"/>
      <c r="N284" s="18"/>
      <c r="O284" s="18"/>
      <c r="P284" s="18"/>
      <c r="Q284" s="19" t="s">
        <v>294</v>
      </c>
      <c r="R284" s="17"/>
    </row>
    <row r="285" spans="1:20" ht="15">
      <c r="A285" s="95"/>
      <c r="B285" s="10"/>
      <c r="C285" s="96" t="s">
        <v>183</v>
      </c>
      <c r="D285" s="97"/>
      <c r="E285" s="92" t="s">
        <v>788</v>
      </c>
      <c r="F285" s="98"/>
      <c r="G285" s="97"/>
      <c r="H285" s="97"/>
      <c r="I285" s="97"/>
      <c r="J285" s="99"/>
      <c r="K285" s="98"/>
      <c r="L285" s="98"/>
      <c r="M285" s="98"/>
      <c r="N285" s="98"/>
      <c r="O285" s="98"/>
      <c r="P285" s="98"/>
      <c r="Q285" s="99"/>
      <c r="R285" s="97"/>
    </row>
    <row r="286" spans="1:20" ht="32">
      <c r="A286" s="100" t="s">
        <v>792</v>
      </c>
      <c r="B286" s="10" t="s">
        <v>793</v>
      </c>
      <c r="C286" s="101" t="s">
        <v>794</v>
      </c>
      <c r="D286" s="97"/>
      <c r="E286" s="91" t="s">
        <v>795</v>
      </c>
      <c r="F286" s="98"/>
      <c r="G286" s="97"/>
      <c r="H286" s="97"/>
      <c r="I286" s="97"/>
      <c r="J286" s="99"/>
      <c r="K286" s="98"/>
      <c r="L286" s="98"/>
      <c r="M286" s="98"/>
      <c r="N286" s="98"/>
      <c r="O286" s="98"/>
      <c r="P286" s="98"/>
      <c r="Q286" s="99"/>
      <c r="R286" s="97"/>
    </row>
    <row r="287" spans="1:20" ht="15">
      <c r="A287" s="100"/>
      <c r="B287" s="10"/>
      <c r="C287" s="96" t="s">
        <v>797</v>
      </c>
      <c r="D287" s="97"/>
      <c r="E287" s="10" t="s">
        <v>798</v>
      </c>
      <c r="F287" s="98"/>
      <c r="G287" s="97"/>
      <c r="H287" s="97"/>
      <c r="I287" s="97"/>
      <c r="J287" s="99"/>
      <c r="K287" s="98"/>
      <c r="L287" s="98"/>
      <c r="M287" s="98"/>
      <c r="N287" s="98"/>
      <c r="O287" s="98"/>
      <c r="P287" s="98"/>
      <c r="Q287" s="99"/>
      <c r="R287" s="97"/>
    </row>
    <row r="288" spans="1:20" ht="15">
      <c r="A288" s="100"/>
      <c r="B288" s="10"/>
      <c r="C288" s="96" t="s">
        <v>800</v>
      </c>
      <c r="D288" s="97"/>
      <c r="E288" s="10" t="s">
        <v>801</v>
      </c>
      <c r="F288" s="98"/>
      <c r="G288" s="97"/>
      <c r="H288" s="97"/>
      <c r="I288" s="97"/>
      <c r="J288" s="99"/>
      <c r="K288" s="98"/>
      <c r="L288" s="98"/>
      <c r="M288" s="98"/>
      <c r="N288" s="98"/>
      <c r="O288" s="98"/>
      <c r="P288" s="98"/>
      <c r="Q288" s="99"/>
      <c r="R288" s="97"/>
    </row>
    <row r="289" spans="1:18" ht="15">
      <c r="A289" s="100" t="s">
        <v>802</v>
      </c>
      <c r="B289" s="10"/>
      <c r="C289" s="96" t="s">
        <v>803</v>
      </c>
      <c r="D289" s="97"/>
      <c r="E289" s="10" t="s">
        <v>804</v>
      </c>
      <c r="F289" s="98"/>
      <c r="G289" s="97"/>
      <c r="H289" s="97"/>
      <c r="I289" s="97"/>
      <c r="J289" s="99"/>
      <c r="K289" s="98"/>
      <c r="L289" s="98"/>
      <c r="M289" s="98"/>
      <c r="N289" s="98"/>
      <c r="O289" s="98"/>
      <c r="P289" s="98"/>
      <c r="Q289" s="99"/>
      <c r="R289" s="97"/>
    </row>
    <row r="290" spans="1:18" ht="32">
      <c r="A290" s="100" t="s">
        <v>802</v>
      </c>
      <c r="B290" s="10"/>
      <c r="C290" s="101" t="s">
        <v>805</v>
      </c>
      <c r="D290" s="97"/>
      <c r="E290" s="10" t="s">
        <v>806</v>
      </c>
      <c r="F290" s="98"/>
      <c r="G290" s="97"/>
      <c r="H290" s="97"/>
      <c r="I290" s="97"/>
      <c r="J290" s="99"/>
      <c r="K290" s="98"/>
      <c r="L290" s="98"/>
      <c r="M290" s="98"/>
      <c r="N290" s="98"/>
      <c r="O290" s="98"/>
      <c r="P290" s="98"/>
      <c r="Q290" s="99"/>
      <c r="R290" s="97"/>
    </row>
    <row r="291" spans="1:18" ht="15">
      <c r="A291" s="100"/>
      <c r="B291" s="10"/>
      <c r="C291" s="96" t="s">
        <v>92</v>
      </c>
      <c r="D291" s="97"/>
      <c r="E291" s="92" t="s">
        <v>747</v>
      </c>
      <c r="F291" s="98"/>
      <c r="G291" s="97"/>
      <c r="H291" s="97"/>
      <c r="I291" s="97"/>
      <c r="J291" s="99"/>
      <c r="K291" s="98"/>
      <c r="L291" s="98"/>
      <c r="M291" s="98"/>
      <c r="N291" s="98"/>
      <c r="O291" s="98"/>
      <c r="P291" s="98"/>
      <c r="Q291" s="99"/>
      <c r="R291" s="97"/>
    </row>
    <row r="292" spans="1:18" ht="15">
      <c r="A292" s="78"/>
      <c r="B292" s="10"/>
      <c r="C292" s="18" t="s">
        <v>60</v>
      </c>
      <c r="D292" s="97"/>
      <c r="E292" s="10" t="s">
        <v>807</v>
      </c>
      <c r="F292" s="98"/>
      <c r="G292" s="97"/>
      <c r="H292" s="97"/>
      <c r="I292" s="97"/>
      <c r="J292" s="99"/>
      <c r="K292" s="98"/>
      <c r="L292" s="98"/>
      <c r="M292" s="98"/>
      <c r="N292" s="98"/>
      <c r="O292" s="98"/>
      <c r="P292" s="98"/>
      <c r="Q292" s="99"/>
      <c r="R292" s="97"/>
    </row>
    <row r="293" spans="1:18" ht="15">
      <c r="A293" s="18"/>
      <c r="B293" s="10"/>
      <c r="C293" s="18" t="s">
        <v>251</v>
      </c>
      <c r="D293" s="97"/>
      <c r="E293" s="98"/>
      <c r="F293" s="98"/>
      <c r="G293" s="97"/>
      <c r="H293" s="97"/>
      <c r="I293" s="97"/>
      <c r="J293" s="99"/>
      <c r="K293" s="98"/>
      <c r="L293" s="98"/>
      <c r="M293" s="98"/>
      <c r="N293" s="98"/>
      <c r="O293" s="98"/>
      <c r="P293" s="98"/>
      <c r="Q293" s="99"/>
      <c r="R293" s="97"/>
    </row>
    <row r="294" spans="1:18" ht="13">
      <c r="A294" s="132"/>
      <c r="B294" s="118"/>
      <c r="C294" s="123"/>
      <c r="D294" s="118"/>
      <c r="E294" s="123"/>
      <c r="F294" s="123"/>
      <c r="G294" s="118"/>
      <c r="H294" s="118"/>
      <c r="I294" s="118"/>
      <c r="J294" s="119"/>
      <c r="K294" s="123"/>
      <c r="L294" s="123"/>
      <c r="M294" s="123"/>
      <c r="N294" s="123"/>
      <c r="O294" s="123"/>
      <c r="P294" s="123"/>
      <c r="Q294" s="119"/>
      <c r="R294" s="118"/>
    </row>
    <row r="295" spans="1:18" ht="13">
      <c r="A295" s="132"/>
      <c r="B295" s="118"/>
      <c r="C295" s="123"/>
      <c r="D295" s="118"/>
      <c r="E295" s="123"/>
      <c r="F295" s="123"/>
      <c r="G295" s="118"/>
      <c r="H295" s="118"/>
      <c r="I295" s="118"/>
      <c r="J295" s="119"/>
      <c r="K295" s="123"/>
      <c r="L295" s="123"/>
      <c r="M295" s="123"/>
      <c r="N295" s="123"/>
      <c r="O295" s="123"/>
      <c r="P295" s="123"/>
      <c r="Q295" s="119"/>
      <c r="R295" s="118"/>
    </row>
    <row r="296" spans="1:18" ht="13">
      <c r="A296" s="132"/>
      <c r="B296" s="118"/>
      <c r="C296" s="123"/>
      <c r="D296" s="118"/>
      <c r="E296" s="123"/>
      <c r="F296" s="123"/>
      <c r="G296" s="118"/>
      <c r="H296" s="118"/>
      <c r="I296" s="118"/>
      <c r="J296" s="119"/>
      <c r="K296" s="123"/>
      <c r="L296" s="123"/>
      <c r="M296" s="123"/>
      <c r="N296" s="123"/>
      <c r="O296" s="123"/>
      <c r="P296" s="123"/>
      <c r="Q296" s="119"/>
      <c r="R296" s="118"/>
    </row>
    <row r="297" spans="1:18" ht="13">
      <c r="A297" s="132"/>
      <c r="B297" s="118"/>
      <c r="C297" s="123"/>
      <c r="D297" s="118"/>
      <c r="E297" s="123"/>
      <c r="F297" s="123"/>
      <c r="G297" s="118"/>
      <c r="H297" s="118"/>
      <c r="I297" s="118"/>
      <c r="J297" s="119"/>
      <c r="K297" s="123"/>
      <c r="L297" s="123"/>
      <c r="M297" s="123"/>
      <c r="N297" s="123"/>
      <c r="O297" s="123"/>
      <c r="P297" s="123"/>
      <c r="Q297" s="119"/>
      <c r="R297" s="118"/>
    </row>
    <row r="298" spans="1:18" ht="13">
      <c r="A298" s="132"/>
      <c r="B298" s="118"/>
      <c r="C298" s="123"/>
      <c r="D298" s="118"/>
      <c r="E298" s="123"/>
      <c r="F298" s="123"/>
      <c r="G298" s="118"/>
      <c r="H298" s="118"/>
      <c r="I298" s="118"/>
      <c r="J298" s="119"/>
      <c r="K298" s="123"/>
      <c r="L298" s="123"/>
      <c r="M298" s="123"/>
      <c r="N298" s="123"/>
      <c r="O298" s="123"/>
      <c r="P298" s="123"/>
      <c r="Q298" s="119"/>
      <c r="R298" s="118"/>
    </row>
    <row r="299" spans="1:18" ht="13">
      <c r="A299" s="132"/>
      <c r="B299" s="118"/>
      <c r="C299" s="123"/>
      <c r="D299" s="118"/>
      <c r="E299" s="123"/>
      <c r="F299" s="123"/>
      <c r="G299" s="118"/>
      <c r="H299" s="118"/>
      <c r="I299" s="118"/>
      <c r="J299" s="119"/>
      <c r="K299" s="123"/>
      <c r="L299" s="123"/>
      <c r="M299" s="123"/>
      <c r="N299" s="123"/>
      <c r="O299" s="123"/>
      <c r="P299" s="123"/>
      <c r="Q299" s="119"/>
      <c r="R299" s="118"/>
    </row>
    <row r="300" spans="1:18" ht="13">
      <c r="A300" s="132"/>
      <c r="B300" s="118"/>
      <c r="C300" s="123"/>
      <c r="D300" s="118"/>
      <c r="E300" s="123"/>
      <c r="F300" s="123"/>
      <c r="G300" s="118"/>
      <c r="H300" s="118"/>
      <c r="I300" s="118"/>
      <c r="J300" s="119"/>
      <c r="K300" s="123"/>
      <c r="L300" s="123"/>
      <c r="M300" s="123"/>
      <c r="N300" s="123"/>
      <c r="O300" s="123"/>
      <c r="P300" s="123"/>
      <c r="Q300" s="119"/>
      <c r="R300" s="118"/>
    </row>
    <row r="301" spans="1:18" ht="13">
      <c r="A301" s="132"/>
      <c r="B301" s="118"/>
      <c r="C301" s="123"/>
      <c r="D301" s="118"/>
      <c r="E301" s="123"/>
      <c r="F301" s="123"/>
      <c r="G301" s="118"/>
      <c r="H301" s="118"/>
      <c r="I301" s="118"/>
      <c r="J301" s="119"/>
      <c r="K301" s="123"/>
      <c r="L301" s="123"/>
      <c r="M301" s="123"/>
      <c r="N301" s="123"/>
      <c r="O301" s="123"/>
      <c r="P301" s="123"/>
      <c r="Q301" s="119"/>
      <c r="R301" s="118"/>
    </row>
    <row r="302" spans="1:18" ht="13">
      <c r="A302" s="132"/>
      <c r="B302" s="118"/>
      <c r="C302" s="123"/>
      <c r="D302" s="118"/>
      <c r="E302" s="123"/>
      <c r="F302" s="123"/>
      <c r="G302" s="118"/>
      <c r="H302" s="118"/>
      <c r="I302" s="118"/>
      <c r="J302" s="119"/>
      <c r="K302" s="123"/>
      <c r="L302" s="123"/>
      <c r="M302" s="123"/>
      <c r="N302" s="123"/>
      <c r="O302" s="123"/>
      <c r="P302" s="123"/>
      <c r="Q302" s="119"/>
      <c r="R302" s="118"/>
    </row>
    <row r="303" spans="1:18" ht="13">
      <c r="A303" s="132"/>
      <c r="B303" s="118"/>
      <c r="C303" s="123"/>
      <c r="D303" s="118"/>
      <c r="E303" s="123"/>
      <c r="F303" s="123"/>
      <c r="G303" s="118"/>
      <c r="H303" s="118"/>
      <c r="I303" s="118"/>
      <c r="J303" s="119"/>
      <c r="K303" s="123"/>
      <c r="L303" s="123"/>
      <c r="M303" s="123"/>
      <c r="N303" s="123"/>
      <c r="O303" s="123"/>
      <c r="P303" s="123"/>
      <c r="Q303" s="119"/>
      <c r="R303" s="118"/>
    </row>
    <row r="304" spans="1:18" ht="13">
      <c r="A304" s="132"/>
      <c r="B304" s="118"/>
      <c r="C304" s="123"/>
      <c r="D304" s="118"/>
      <c r="E304" s="123"/>
      <c r="F304" s="123"/>
      <c r="G304" s="118"/>
      <c r="H304" s="118"/>
      <c r="I304" s="118"/>
      <c r="J304" s="119"/>
      <c r="K304" s="123"/>
      <c r="L304" s="123"/>
      <c r="M304" s="123"/>
      <c r="N304" s="123"/>
      <c r="O304" s="123"/>
      <c r="P304" s="123"/>
      <c r="Q304" s="119"/>
      <c r="R304" s="118"/>
    </row>
    <row r="305" spans="1:18" ht="13">
      <c r="A305" s="132"/>
      <c r="B305" s="118"/>
      <c r="C305" s="123"/>
      <c r="D305" s="118"/>
      <c r="E305" s="123"/>
      <c r="F305" s="123"/>
      <c r="G305" s="118"/>
      <c r="H305" s="118"/>
      <c r="I305" s="118"/>
      <c r="J305" s="119"/>
      <c r="K305" s="123"/>
      <c r="L305" s="123"/>
      <c r="M305" s="123"/>
      <c r="N305" s="123"/>
      <c r="O305" s="123"/>
      <c r="P305" s="123"/>
      <c r="Q305" s="119"/>
      <c r="R305" s="118"/>
    </row>
    <row r="306" spans="1:18" ht="13">
      <c r="A306" s="132"/>
      <c r="B306" s="118"/>
      <c r="C306" s="123"/>
      <c r="D306" s="118"/>
      <c r="E306" s="123"/>
      <c r="F306" s="123"/>
      <c r="G306" s="118"/>
      <c r="H306" s="118"/>
      <c r="I306" s="118"/>
      <c r="J306" s="119"/>
      <c r="K306" s="123"/>
      <c r="L306" s="123"/>
      <c r="M306" s="123"/>
      <c r="N306" s="123"/>
      <c r="O306" s="123"/>
      <c r="P306" s="123"/>
      <c r="Q306" s="119"/>
      <c r="R306" s="118"/>
    </row>
    <row r="307" spans="1:18" ht="13">
      <c r="A307" s="132"/>
      <c r="B307" s="118"/>
      <c r="C307" s="123"/>
      <c r="D307" s="118"/>
      <c r="E307" s="123"/>
      <c r="F307" s="123"/>
      <c r="G307" s="118"/>
      <c r="H307" s="118"/>
      <c r="I307" s="118"/>
      <c r="J307" s="119"/>
      <c r="K307" s="123"/>
      <c r="L307" s="123"/>
      <c r="M307" s="123"/>
      <c r="N307" s="123"/>
      <c r="O307" s="123"/>
      <c r="P307" s="123"/>
      <c r="Q307" s="119"/>
      <c r="R307" s="118"/>
    </row>
    <row r="308" spans="1:18" ht="13">
      <c r="A308" s="132"/>
      <c r="B308" s="118"/>
      <c r="C308" s="123"/>
      <c r="D308" s="118"/>
      <c r="E308" s="123"/>
      <c r="F308" s="123"/>
      <c r="G308" s="118"/>
      <c r="H308" s="118"/>
      <c r="I308" s="118"/>
      <c r="J308" s="119"/>
      <c r="K308" s="123"/>
      <c r="L308" s="123"/>
      <c r="M308" s="123"/>
      <c r="N308" s="123"/>
      <c r="O308" s="123"/>
      <c r="P308" s="123"/>
      <c r="Q308" s="119"/>
      <c r="R308" s="118"/>
    </row>
    <row r="309" spans="1:18" ht="13">
      <c r="A309" s="132"/>
      <c r="B309" s="118"/>
      <c r="C309" s="123"/>
      <c r="D309" s="118"/>
      <c r="E309" s="123"/>
      <c r="F309" s="123"/>
      <c r="G309" s="118"/>
      <c r="H309" s="118"/>
      <c r="I309" s="118"/>
      <c r="J309" s="119"/>
      <c r="K309" s="123"/>
      <c r="L309" s="123"/>
      <c r="M309" s="123"/>
      <c r="N309" s="123"/>
      <c r="O309" s="123"/>
      <c r="P309" s="123"/>
      <c r="Q309" s="119"/>
      <c r="R309" s="118"/>
    </row>
    <row r="310" spans="1:18" ht="13">
      <c r="A310" s="132"/>
      <c r="B310" s="118"/>
      <c r="C310" s="123"/>
      <c r="D310" s="118"/>
      <c r="E310" s="123"/>
      <c r="F310" s="123"/>
      <c r="G310" s="118"/>
      <c r="H310" s="118"/>
      <c r="I310" s="118"/>
      <c r="J310" s="119"/>
      <c r="K310" s="123"/>
      <c r="L310" s="123"/>
      <c r="M310" s="123"/>
      <c r="N310" s="123"/>
      <c r="O310" s="123"/>
      <c r="P310" s="123"/>
      <c r="Q310" s="119"/>
      <c r="R310" s="118"/>
    </row>
    <row r="311" spans="1:18" ht="13">
      <c r="A311" s="132"/>
      <c r="B311" s="118"/>
      <c r="C311" s="123"/>
      <c r="D311" s="118"/>
      <c r="E311" s="123"/>
      <c r="F311" s="123"/>
      <c r="G311" s="118"/>
      <c r="H311" s="118"/>
      <c r="I311" s="118"/>
      <c r="J311" s="119"/>
      <c r="K311" s="123"/>
      <c r="L311" s="123"/>
      <c r="M311" s="123"/>
      <c r="N311" s="123"/>
      <c r="O311" s="123"/>
      <c r="P311" s="123"/>
      <c r="Q311" s="119"/>
      <c r="R311" s="118"/>
    </row>
    <row r="312" spans="1:18" ht="13">
      <c r="A312" s="132"/>
      <c r="B312" s="118"/>
      <c r="C312" s="123"/>
      <c r="D312" s="118"/>
      <c r="E312" s="123"/>
      <c r="F312" s="123"/>
      <c r="G312" s="118"/>
      <c r="H312" s="118"/>
      <c r="I312" s="118"/>
      <c r="J312" s="119"/>
      <c r="K312" s="123"/>
      <c r="L312" s="123"/>
      <c r="M312" s="123"/>
      <c r="N312" s="123"/>
      <c r="O312" s="123"/>
      <c r="P312" s="123"/>
      <c r="Q312" s="119"/>
      <c r="R312" s="118"/>
    </row>
    <row r="313" spans="1:18" ht="13">
      <c r="A313" s="132"/>
      <c r="B313" s="118"/>
      <c r="C313" s="123"/>
      <c r="D313" s="118"/>
      <c r="E313" s="123"/>
      <c r="F313" s="123"/>
      <c r="G313" s="118"/>
      <c r="H313" s="118"/>
      <c r="I313" s="118"/>
      <c r="J313" s="119"/>
      <c r="K313" s="123"/>
      <c r="L313" s="123"/>
      <c r="M313" s="123"/>
      <c r="N313" s="123"/>
      <c r="O313" s="123"/>
      <c r="P313" s="123"/>
      <c r="Q313" s="119"/>
      <c r="R313" s="118"/>
    </row>
    <row r="314" spans="1:18" ht="13">
      <c r="A314" s="132"/>
      <c r="B314" s="118"/>
      <c r="C314" s="123"/>
      <c r="D314" s="118"/>
      <c r="E314" s="123"/>
      <c r="F314" s="123"/>
      <c r="G314" s="118"/>
      <c r="H314" s="118"/>
      <c r="I314" s="118"/>
      <c r="J314" s="119"/>
      <c r="K314" s="123"/>
      <c r="L314" s="123"/>
      <c r="M314" s="123"/>
      <c r="N314" s="123"/>
      <c r="O314" s="123"/>
      <c r="P314" s="123"/>
      <c r="Q314" s="119"/>
      <c r="R314" s="118"/>
    </row>
    <row r="315" spans="1:18" ht="13">
      <c r="A315" s="132"/>
      <c r="B315" s="118"/>
      <c r="C315" s="123"/>
      <c r="D315" s="118"/>
      <c r="E315" s="123"/>
      <c r="F315" s="123"/>
      <c r="G315" s="118"/>
      <c r="H315" s="118"/>
      <c r="I315" s="118"/>
      <c r="J315" s="119"/>
      <c r="K315" s="123"/>
      <c r="L315" s="123"/>
      <c r="M315" s="123"/>
      <c r="N315" s="123"/>
      <c r="O315" s="123"/>
      <c r="P315" s="123"/>
      <c r="Q315" s="119"/>
      <c r="R315" s="118"/>
    </row>
    <row r="316" spans="1:18" ht="13">
      <c r="A316" s="132"/>
      <c r="B316" s="118"/>
      <c r="C316" s="123"/>
      <c r="D316" s="118"/>
      <c r="E316" s="123"/>
      <c r="F316" s="123"/>
      <c r="G316" s="118"/>
      <c r="H316" s="118"/>
      <c r="I316" s="118"/>
      <c r="J316" s="119"/>
      <c r="K316" s="123"/>
      <c r="L316" s="123"/>
      <c r="M316" s="123"/>
      <c r="N316" s="123"/>
      <c r="O316" s="123"/>
      <c r="P316" s="123"/>
      <c r="Q316" s="119"/>
      <c r="R316" s="118"/>
    </row>
    <row r="317" spans="1:18" ht="13">
      <c r="A317" s="132"/>
      <c r="B317" s="118"/>
      <c r="C317" s="123"/>
      <c r="D317" s="118"/>
      <c r="E317" s="123"/>
      <c r="F317" s="123"/>
      <c r="G317" s="118"/>
      <c r="H317" s="118"/>
      <c r="I317" s="118"/>
      <c r="J317" s="119"/>
      <c r="K317" s="123"/>
      <c r="L317" s="123"/>
      <c r="M317" s="123"/>
      <c r="N317" s="123"/>
      <c r="O317" s="123"/>
      <c r="P317" s="123"/>
      <c r="Q317" s="119"/>
      <c r="R317" s="118"/>
    </row>
    <row r="318" spans="1:18" ht="13">
      <c r="A318" s="132"/>
      <c r="B318" s="118"/>
      <c r="C318" s="123"/>
      <c r="D318" s="118"/>
      <c r="E318" s="123"/>
      <c r="F318" s="123"/>
      <c r="G318" s="118"/>
      <c r="H318" s="118"/>
      <c r="I318" s="118"/>
      <c r="J318" s="119"/>
      <c r="K318" s="123"/>
      <c r="L318" s="123"/>
      <c r="M318" s="123"/>
      <c r="N318" s="123"/>
      <c r="O318" s="123"/>
      <c r="P318" s="123"/>
      <c r="Q318" s="119"/>
      <c r="R318" s="118"/>
    </row>
    <row r="319" spans="1:18" ht="13">
      <c r="A319" s="132"/>
      <c r="B319" s="118"/>
      <c r="C319" s="123"/>
      <c r="D319" s="118"/>
      <c r="E319" s="123"/>
      <c r="F319" s="123"/>
      <c r="G319" s="118"/>
      <c r="H319" s="118"/>
      <c r="I319" s="118"/>
      <c r="J319" s="119"/>
      <c r="K319" s="123"/>
      <c r="L319" s="123"/>
      <c r="M319" s="123"/>
      <c r="N319" s="123"/>
      <c r="O319" s="123"/>
      <c r="P319" s="123"/>
      <c r="Q319" s="119"/>
      <c r="R319" s="118"/>
    </row>
    <row r="320" spans="1:18" ht="13">
      <c r="A320" s="132"/>
      <c r="B320" s="118"/>
      <c r="C320" s="123"/>
      <c r="D320" s="118"/>
      <c r="E320" s="123"/>
      <c r="F320" s="123"/>
      <c r="G320" s="118"/>
      <c r="H320" s="118"/>
      <c r="I320" s="118"/>
      <c r="J320" s="119"/>
      <c r="K320" s="123"/>
      <c r="L320" s="123"/>
      <c r="M320" s="123"/>
      <c r="N320" s="123"/>
      <c r="O320" s="123"/>
      <c r="P320" s="123"/>
      <c r="Q320" s="119"/>
      <c r="R320" s="118"/>
    </row>
    <row r="321" spans="1:18" ht="13">
      <c r="A321" s="132"/>
      <c r="B321" s="118"/>
      <c r="C321" s="123"/>
      <c r="D321" s="118"/>
      <c r="E321" s="123"/>
      <c r="F321" s="123"/>
      <c r="G321" s="118"/>
      <c r="H321" s="118"/>
      <c r="I321" s="118"/>
      <c r="J321" s="119"/>
      <c r="K321" s="123"/>
      <c r="L321" s="123"/>
      <c r="M321" s="123"/>
      <c r="N321" s="123"/>
      <c r="O321" s="123"/>
      <c r="P321" s="123"/>
      <c r="Q321" s="119"/>
      <c r="R321" s="118"/>
    </row>
    <row r="322" spans="1:18" ht="13">
      <c r="A322" s="132"/>
      <c r="B322" s="118"/>
      <c r="C322" s="123"/>
      <c r="D322" s="118"/>
      <c r="E322" s="123"/>
      <c r="F322" s="123"/>
      <c r="G322" s="118"/>
      <c r="H322" s="118"/>
      <c r="I322" s="118"/>
      <c r="J322" s="119"/>
      <c r="K322" s="123"/>
      <c r="L322" s="123"/>
      <c r="M322" s="123"/>
      <c r="N322" s="123"/>
      <c r="O322" s="123"/>
      <c r="P322" s="123"/>
      <c r="Q322" s="119"/>
      <c r="R322" s="118"/>
    </row>
    <row r="323" spans="1:18" ht="13">
      <c r="A323" s="132"/>
      <c r="B323" s="118"/>
      <c r="C323" s="123"/>
      <c r="D323" s="118"/>
      <c r="E323" s="123"/>
      <c r="F323" s="123"/>
      <c r="G323" s="118"/>
      <c r="H323" s="118"/>
      <c r="I323" s="118"/>
      <c r="J323" s="119"/>
      <c r="K323" s="123"/>
      <c r="L323" s="123"/>
      <c r="M323" s="123"/>
      <c r="N323" s="123"/>
      <c r="O323" s="123"/>
      <c r="P323" s="123"/>
      <c r="Q323" s="119"/>
      <c r="R323" s="118"/>
    </row>
    <row r="324" spans="1:18" ht="13">
      <c r="A324" s="132"/>
      <c r="B324" s="118"/>
      <c r="C324" s="123"/>
      <c r="D324" s="118"/>
      <c r="E324" s="123"/>
      <c r="F324" s="123"/>
      <c r="G324" s="118"/>
      <c r="H324" s="118"/>
      <c r="I324" s="118"/>
      <c r="J324" s="119"/>
      <c r="K324" s="123"/>
      <c r="L324" s="123"/>
      <c r="M324" s="123"/>
      <c r="N324" s="123"/>
      <c r="O324" s="123"/>
      <c r="P324" s="123"/>
      <c r="Q324" s="119"/>
      <c r="R324" s="118"/>
    </row>
    <row r="325" spans="1:18" ht="13">
      <c r="A325" s="132"/>
      <c r="B325" s="118"/>
      <c r="C325" s="123"/>
      <c r="D325" s="118"/>
      <c r="E325" s="123"/>
      <c r="F325" s="123"/>
      <c r="G325" s="118"/>
      <c r="H325" s="118"/>
      <c r="I325" s="118"/>
      <c r="J325" s="119"/>
      <c r="K325" s="123"/>
      <c r="L325" s="123"/>
      <c r="M325" s="123"/>
      <c r="N325" s="123"/>
      <c r="O325" s="123"/>
      <c r="P325" s="123"/>
      <c r="Q325" s="119"/>
      <c r="R325" s="118"/>
    </row>
    <row r="326" spans="1:18" ht="13">
      <c r="A326" s="132"/>
      <c r="B326" s="118"/>
      <c r="C326" s="123"/>
      <c r="D326" s="118"/>
      <c r="E326" s="123"/>
      <c r="F326" s="123"/>
      <c r="G326" s="118"/>
      <c r="H326" s="118"/>
      <c r="I326" s="118"/>
      <c r="J326" s="119"/>
      <c r="K326" s="123"/>
      <c r="L326" s="123"/>
      <c r="M326" s="123"/>
      <c r="N326" s="123"/>
      <c r="O326" s="123"/>
      <c r="P326" s="123"/>
      <c r="Q326" s="119"/>
      <c r="R326" s="118"/>
    </row>
    <row r="327" spans="1:18" ht="13">
      <c r="A327" s="132"/>
      <c r="B327" s="118"/>
      <c r="C327" s="123"/>
      <c r="D327" s="118"/>
      <c r="E327" s="123"/>
      <c r="F327" s="123"/>
      <c r="G327" s="118"/>
      <c r="H327" s="118"/>
      <c r="I327" s="118"/>
      <c r="J327" s="119"/>
      <c r="K327" s="123"/>
      <c r="L327" s="123"/>
      <c r="M327" s="123"/>
      <c r="N327" s="123"/>
      <c r="O327" s="123"/>
      <c r="P327" s="123"/>
      <c r="Q327" s="119"/>
      <c r="R327" s="118"/>
    </row>
    <row r="328" spans="1:18" ht="13">
      <c r="A328" s="132"/>
      <c r="B328" s="118"/>
      <c r="C328" s="123"/>
      <c r="D328" s="118"/>
      <c r="E328" s="123"/>
      <c r="F328" s="123"/>
      <c r="G328" s="118"/>
      <c r="H328" s="118"/>
      <c r="I328" s="118"/>
      <c r="J328" s="119"/>
      <c r="K328" s="123"/>
      <c r="L328" s="123"/>
      <c r="M328" s="123"/>
      <c r="N328" s="123"/>
      <c r="O328" s="123"/>
      <c r="P328" s="123"/>
      <c r="Q328" s="119"/>
      <c r="R328" s="118"/>
    </row>
    <row r="329" spans="1:18" ht="13">
      <c r="A329" s="132"/>
      <c r="B329" s="118"/>
      <c r="C329" s="123"/>
      <c r="D329" s="118"/>
      <c r="E329" s="123"/>
      <c r="F329" s="123"/>
      <c r="G329" s="118"/>
      <c r="H329" s="118"/>
      <c r="I329" s="118"/>
      <c r="J329" s="119"/>
      <c r="K329" s="123"/>
      <c r="L329" s="123"/>
      <c r="M329" s="123"/>
      <c r="N329" s="123"/>
      <c r="O329" s="123"/>
      <c r="P329" s="123"/>
      <c r="Q329" s="119"/>
      <c r="R329" s="118"/>
    </row>
    <row r="330" spans="1:18" ht="13">
      <c r="A330" s="132"/>
      <c r="B330" s="118"/>
      <c r="C330" s="123"/>
      <c r="D330" s="118"/>
      <c r="E330" s="123"/>
      <c r="F330" s="123"/>
      <c r="G330" s="118"/>
      <c r="H330" s="118"/>
      <c r="I330" s="118"/>
      <c r="J330" s="119"/>
      <c r="K330" s="123"/>
      <c r="L330" s="123"/>
      <c r="M330" s="123"/>
      <c r="N330" s="123"/>
      <c r="O330" s="123"/>
      <c r="P330" s="123"/>
      <c r="Q330" s="119"/>
      <c r="R330" s="118"/>
    </row>
    <row r="331" spans="1:18" ht="13">
      <c r="A331" s="132"/>
      <c r="B331" s="118"/>
      <c r="C331" s="123"/>
      <c r="D331" s="118"/>
      <c r="E331" s="123"/>
      <c r="F331" s="123"/>
      <c r="G331" s="118"/>
      <c r="H331" s="118"/>
      <c r="I331" s="118"/>
      <c r="J331" s="119"/>
      <c r="K331" s="123"/>
      <c r="L331" s="123"/>
      <c r="M331" s="123"/>
      <c r="N331" s="123"/>
      <c r="O331" s="123"/>
      <c r="P331" s="123"/>
      <c r="Q331" s="119"/>
      <c r="R331" s="118"/>
    </row>
    <row r="332" spans="1:18" ht="13">
      <c r="A332" s="132"/>
      <c r="B332" s="118"/>
      <c r="C332" s="123"/>
      <c r="D332" s="118"/>
      <c r="E332" s="123"/>
      <c r="F332" s="123"/>
      <c r="G332" s="118"/>
      <c r="H332" s="118"/>
      <c r="I332" s="118"/>
      <c r="J332" s="119"/>
      <c r="K332" s="123"/>
      <c r="L332" s="123"/>
      <c r="M332" s="123"/>
      <c r="N332" s="123"/>
      <c r="O332" s="123"/>
      <c r="P332" s="123"/>
      <c r="Q332" s="119"/>
      <c r="R332" s="118"/>
    </row>
    <row r="333" spans="1:18" ht="13">
      <c r="A333" s="132"/>
      <c r="B333" s="118"/>
      <c r="C333" s="123"/>
      <c r="D333" s="118"/>
      <c r="E333" s="123"/>
      <c r="F333" s="123"/>
      <c r="G333" s="118"/>
      <c r="H333" s="118"/>
      <c r="I333" s="118"/>
      <c r="J333" s="119"/>
      <c r="K333" s="123"/>
      <c r="L333" s="123"/>
      <c r="M333" s="123"/>
      <c r="N333" s="123"/>
      <c r="O333" s="123"/>
      <c r="P333" s="123"/>
      <c r="Q333" s="119"/>
      <c r="R333" s="118"/>
    </row>
    <row r="334" spans="1:18" ht="13">
      <c r="A334" s="132"/>
      <c r="B334" s="118"/>
      <c r="C334" s="123"/>
      <c r="D334" s="118"/>
      <c r="E334" s="123"/>
      <c r="F334" s="123"/>
      <c r="G334" s="118"/>
      <c r="H334" s="118"/>
      <c r="I334" s="118"/>
      <c r="J334" s="119"/>
      <c r="K334" s="123"/>
      <c r="L334" s="123"/>
      <c r="M334" s="123"/>
      <c r="N334" s="123"/>
      <c r="O334" s="123"/>
      <c r="P334" s="123"/>
      <c r="Q334" s="119"/>
      <c r="R334" s="118"/>
    </row>
    <row r="335" spans="1:18" ht="13">
      <c r="A335" s="132"/>
      <c r="B335" s="118"/>
      <c r="C335" s="123"/>
      <c r="D335" s="118"/>
      <c r="E335" s="123"/>
      <c r="F335" s="123"/>
      <c r="G335" s="118"/>
      <c r="H335" s="118"/>
      <c r="I335" s="118"/>
      <c r="J335" s="119"/>
      <c r="K335" s="123"/>
      <c r="L335" s="123"/>
      <c r="M335" s="123"/>
      <c r="N335" s="123"/>
      <c r="O335" s="123"/>
      <c r="P335" s="123"/>
      <c r="Q335" s="119"/>
      <c r="R335" s="118"/>
    </row>
    <row r="336" spans="1:18" ht="13">
      <c r="A336" s="132"/>
      <c r="B336" s="118"/>
      <c r="C336" s="123"/>
      <c r="D336" s="118"/>
      <c r="E336" s="123"/>
      <c r="F336" s="123"/>
      <c r="G336" s="118"/>
      <c r="H336" s="118"/>
      <c r="I336" s="118"/>
      <c r="J336" s="119"/>
      <c r="K336" s="123"/>
      <c r="L336" s="123"/>
      <c r="M336" s="123"/>
      <c r="N336" s="123"/>
      <c r="O336" s="123"/>
      <c r="P336" s="123"/>
      <c r="Q336" s="119"/>
      <c r="R336" s="118"/>
    </row>
    <row r="337" spans="1:18" ht="13">
      <c r="A337" s="132"/>
      <c r="B337" s="118"/>
      <c r="C337" s="123"/>
      <c r="D337" s="118"/>
      <c r="E337" s="123"/>
      <c r="F337" s="123"/>
      <c r="G337" s="118"/>
      <c r="H337" s="118"/>
      <c r="I337" s="118"/>
      <c r="J337" s="119"/>
      <c r="K337" s="123"/>
      <c r="L337" s="123"/>
      <c r="M337" s="123"/>
      <c r="N337" s="123"/>
      <c r="O337" s="123"/>
      <c r="P337" s="123"/>
      <c r="Q337" s="119"/>
      <c r="R337" s="118"/>
    </row>
    <row r="338" spans="1:18" ht="13">
      <c r="A338" s="132"/>
      <c r="B338" s="118"/>
      <c r="C338" s="123"/>
      <c r="D338" s="118"/>
      <c r="E338" s="123"/>
      <c r="F338" s="123"/>
      <c r="G338" s="118"/>
      <c r="H338" s="118"/>
      <c r="I338" s="118"/>
      <c r="J338" s="119"/>
      <c r="K338" s="123"/>
      <c r="L338" s="123"/>
      <c r="M338" s="123"/>
      <c r="N338" s="123"/>
      <c r="O338" s="123"/>
      <c r="P338" s="123"/>
      <c r="Q338" s="119"/>
      <c r="R338" s="118"/>
    </row>
    <row r="339" spans="1:18" ht="13">
      <c r="A339" s="132"/>
      <c r="B339" s="118"/>
      <c r="C339" s="123"/>
      <c r="D339" s="118"/>
      <c r="E339" s="123"/>
      <c r="F339" s="123"/>
      <c r="G339" s="118"/>
      <c r="H339" s="118"/>
      <c r="I339" s="118"/>
      <c r="J339" s="119"/>
      <c r="K339" s="123"/>
      <c r="L339" s="123"/>
      <c r="M339" s="123"/>
      <c r="N339" s="123"/>
      <c r="O339" s="123"/>
      <c r="P339" s="123"/>
      <c r="Q339" s="119"/>
      <c r="R339" s="118"/>
    </row>
    <row r="340" spans="1:18" ht="13">
      <c r="A340" s="132"/>
      <c r="B340" s="118"/>
      <c r="C340" s="123"/>
      <c r="D340" s="118"/>
      <c r="E340" s="123"/>
      <c r="F340" s="123"/>
      <c r="G340" s="118"/>
      <c r="H340" s="118"/>
      <c r="I340" s="118"/>
      <c r="J340" s="119"/>
      <c r="K340" s="123"/>
      <c r="L340" s="123"/>
      <c r="M340" s="123"/>
      <c r="N340" s="123"/>
      <c r="O340" s="123"/>
      <c r="P340" s="123"/>
      <c r="Q340" s="119"/>
      <c r="R340" s="118"/>
    </row>
    <row r="341" spans="1:18" ht="13">
      <c r="A341" s="132"/>
      <c r="B341" s="118"/>
      <c r="C341" s="123"/>
      <c r="D341" s="118"/>
      <c r="E341" s="123"/>
      <c r="F341" s="123"/>
      <c r="G341" s="118"/>
      <c r="H341" s="118"/>
      <c r="I341" s="118"/>
      <c r="J341" s="119"/>
      <c r="K341" s="123"/>
      <c r="L341" s="123"/>
      <c r="M341" s="123"/>
      <c r="N341" s="123"/>
      <c r="O341" s="123"/>
      <c r="P341" s="123"/>
      <c r="Q341" s="119"/>
      <c r="R341" s="118"/>
    </row>
    <row r="342" spans="1:18" ht="13">
      <c r="A342" s="132"/>
      <c r="B342" s="118"/>
      <c r="C342" s="123"/>
      <c r="D342" s="118"/>
      <c r="E342" s="123"/>
      <c r="F342" s="123"/>
      <c r="G342" s="118"/>
      <c r="H342" s="118"/>
      <c r="I342" s="118"/>
      <c r="J342" s="119"/>
      <c r="K342" s="123"/>
      <c r="L342" s="123"/>
      <c r="M342" s="123"/>
      <c r="N342" s="123"/>
      <c r="O342" s="123"/>
      <c r="P342" s="123"/>
      <c r="Q342" s="119"/>
      <c r="R342" s="118"/>
    </row>
    <row r="343" spans="1:18" ht="13">
      <c r="A343" s="132"/>
      <c r="B343" s="118"/>
      <c r="C343" s="123"/>
      <c r="D343" s="118"/>
      <c r="E343" s="123"/>
      <c r="F343" s="123"/>
      <c r="G343" s="118"/>
      <c r="H343" s="118"/>
      <c r="I343" s="118"/>
      <c r="J343" s="119"/>
      <c r="K343" s="123"/>
      <c r="L343" s="123"/>
      <c r="M343" s="123"/>
      <c r="N343" s="123"/>
      <c r="O343" s="123"/>
      <c r="P343" s="123"/>
      <c r="Q343" s="119"/>
      <c r="R343" s="118"/>
    </row>
    <row r="344" spans="1:18" ht="13">
      <c r="A344" s="132"/>
      <c r="B344" s="118"/>
      <c r="C344" s="123"/>
      <c r="D344" s="118"/>
      <c r="E344" s="123"/>
      <c r="F344" s="123"/>
      <c r="G344" s="118"/>
      <c r="H344" s="118"/>
      <c r="I344" s="118"/>
      <c r="J344" s="119"/>
      <c r="K344" s="123"/>
      <c r="L344" s="123"/>
      <c r="M344" s="123"/>
      <c r="N344" s="123"/>
      <c r="O344" s="123"/>
      <c r="P344" s="123"/>
      <c r="Q344" s="119"/>
      <c r="R344" s="118"/>
    </row>
    <row r="345" spans="1:18" ht="13">
      <c r="A345" s="132"/>
      <c r="B345" s="118"/>
      <c r="C345" s="123"/>
      <c r="D345" s="118"/>
      <c r="E345" s="123"/>
      <c r="F345" s="123"/>
      <c r="G345" s="118"/>
      <c r="H345" s="118"/>
      <c r="I345" s="118"/>
      <c r="J345" s="119"/>
      <c r="K345" s="123"/>
      <c r="L345" s="123"/>
      <c r="M345" s="123"/>
      <c r="N345" s="123"/>
      <c r="O345" s="123"/>
      <c r="P345" s="123"/>
      <c r="Q345" s="119"/>
      <c r="R345" s="118"/>
    </row>
    <row r="346" spans="1:18" ht="13">
      <c r="A346" s="132"/>
      <c r="B346" s="118"/>
      <c r="C346" s="123"/>
      <c r="D346" s="118"/>
      <c r="E346" s="123"/>
      <c r="F346" s="123"/>
      <c r="G346" s="118"/>
      <c r="H346" s="118"/>
      <c r="I346" s="118"/>
      <c r="J346" s="119"/>
      <c r="K346" s="123"/>
      <c r="L346" s="123"/>
      <c r="M346" s="123"/>
      <c r="N346" s="123"/>
      <c r="O346" s="123"/>
      <c r="P346" s="123"/>
      <c r="Q346" s="119"/>
      <c r="R346" s="118"/>
    </row>
    <row r="347" spans="1:18" ht="13">
      <c r="A347" s="132"/>
      <c r="B347" s="118"/>
      <c r="C347" s="123"/>
      <c r="D347" s="118"/>
      <c r="E347" s="123"/>
      <c r="F347" s="123"/>
      <c r="G347" s="118"/>
      <c r="H347" s="118"/>
      <c r="I347" s="118"/>
      <c r="J347" s="119"/>
      <c r="K347" s="123"/>
      <c r="L347" s="123"/>
      <c r="M347" s="123"/>
      <c r="N347" s="123"/>
      <c r="O347" s="123"/>
      <c r="P347" s="123"/>
      <c r="Q347" s="119"/>
      <c r="R347" s="118"/>
    </row>
    <row r="348" spans="1:18" ht="13">
      <c r="A348" s="132"/>
      <c r="B348" s="118"/>
      <c r="C348" s="123"/>
      <c r="D348" s="118"/>
      <c r="E348" s="123"/>
      <c r="F348" s="123"/>
      <c r="G348" s="118"/>
      <c r="H348" s="118"/>
      <c r="I348" s="118"/>
      <c r="J348" s="119"/>
      <c r="K348" s="123"/>
      <c r="L348" s="123"/>
      <c r="M348" s="123"/>
      <c r="N348" s="123"/>
      <c r="O348" s="123"/>
      <c r="P348" s="123"/>
      <c r="Q348" s="119"/>
      <c r="R348" s="118"/>
    </row>
    <row r="349" spans="1:18" ht="13">
      <c r="A349" s="132"/>
      <c r="B349" s="118"/>
      <c r="C349" s="123"/>
      <c r="D349" s="118"/>
      <c r="E349" s="123"/>
      <c r="F349" s="123"/>
      <c r="G349" s="118"/>
      <c r="H349" s="118"/>
      <c r="I349" s="118"/>
      <c r="J349" s="119"/>
      <c r="K349" s="123"/>
      <c r="L349" s="123"/>
      <c r="M349" s="123"/>
      <c r="N349" s="123"/>
      <c r="O349" s="123"/>
      <c r="P349" s="123"/>
      <c r="Q349" s="119"/>
      <c r="R349" s="118"/>
    </row>
    <row r="350" spans="1:18" ht="13">
      <c r="A350" s="132"/>
      <c r="B350" s="118"/>
      <c r="C350" s="123"/>
      <c r="D350" s="118"/>
      <c r="E350" s="123"/>
      <c r="F350" s="123"/>
      <c r="G350" s="118"/>
      <c r="H350" s="118"/>
      <c r="I350" s="118"/>
      <c r="J350" s="119"/>
      <c r="K350" s="123"/>
      <c r="L350" s="123"/>
      <c r="M350" s="123"/>
      <c r="N350" s="123"/>
      <c r="O350" s="123"/>
      <c r="P350" s="123"/>
      <c r="Q350" s="119"/>
      <c r="R350" s="118"/>
    </row>
    <row r="351" spans="1:18" ht="13">
      <c r="A351" s="132"/>
      <c r="B351" s="118"/>
      <c r="C351" s="123"/>
      <c r="D351" s="118"/>
      <c r="E351" s="123"/>
      <c r="F351" s="123"/>
      <c r="G351" s="118"/>
      <c r="H351" s="118"/>
      <c r="I351" s="118"/>
      <c r="J351" s="119"/>
      <c r="K351" s="123"/>
      <c r="L351" s="123"/>
      <c r="M351" s="123"/>
      <c r="N351" s="123"/>
      <c r="O351" s="123"/>
      <c r="P351" s="123"/>
      <c r="Q351" s="119"/>
      <c r="R351" s="118"/>
    </row>
    <row r="352" spans="1:18" ht="13">
      <c r="A352" s="132"/>
      <c r="B352" s="118"/>
      <c r="C352" s="123"/>
      <c r="D352" s="118"/>
      <c r="E352" s="123"/>
      <c r="F352" s="123"/>
      <c r="G352" s="118"/>
      <c r="H352" s="118"/>
      <c r="I352" s="118"/>
      <c r="J352" s="119"/>
      <c r="K352" s="123"/>
      <c r="L352" s="123"/>
      <c r="M352" s="123"/>
      <c r="N352" s="123"/>
      <c r="O352" s="123"/>
      <c r="P352" s="123"/>
      <c r="Q352" s="119"/>
      <c r="R352" s="118"/>
    </row>
    <row r="353" spans="1:18" ht="13">
      <c r="A353" s="132"/>
      <c r="B353" s="118"/>
      <c r="C353" s="123"/>
      <c r="D353" s="118"/>
      <c r="E353" s="123"/>
      <c r="F353" s="123"/>
      <c r="G353" s="118"/>
      <c r="H353" s="118"/>
      <c r="I353" s="118"/>
      <c r="J353" s="119"/>
      <c r="K353" s="123"/>
      <c r="L353" s="123"/>
      <c r="M353" s="123"/>
      <c r="N353" s="123"/>
      <c r="O353" s="123"/>
      <c r="P353" s="123"/>
      <c r="Q353" s="119"/>
      <c r="R353" s="118"/>
    </row>
    <row r="354" spans="1:18" ht="13">
      <c r="A354" s="132"/>
      <c r="B354" s="118"/>
      <c r="C354" s="123"/>
      <c r="D354" s="118"/>
      <c r="E354" s="123"/>
      <c r="F354" s="123"/>
      <c r="G354" s="118"/>
      <c r="H354" s="118"/>
      <c r="I354" s="118"/>
      <c r="J354" s="119"/>
      <c r="K354" s="123"/>
      <c r="L354" s="123"/>
      <c r="M354" s="123"/>
      <c r="N354" s="123"/>
      <c r="O354" s="123"/>
      <c r="P354" s="123"/>
      <c r="Q354" s="119"/>
      <c r="R354" s="118"/>
    </row>
    <row r="355" spans="1:18" ht="13">
      <c r="A355" s="132"/>
      <c r="B355" s="118"/>
      <c r="C355" s="123"/>
      <c r="D355" s="118"/>
      <c r="E355" s="123"/>
      <c r="F355" s="123"/>
      <c r="G355" s="118"/>
      <c r="H355" s="118"/>
      <c r="I355" s="118"/>
      <c r="J355" s="119"/>
      <c r="K355" s="123"/>
      <c r="L355" s="123"/>
      <c r="M355" s="123"/>
      <c r="N355" s="123"/>
      <c r="O355" s="123"/>
      <c r="P355" s="123"/>
      <c r="Q355" s="119"/>
      <c r="R355" s="118"/>
    </row>
    <row r="356" spans="1:18" ht="13">
      <c r="A356" s="132"/>
      <c r="B356" s="118"/>
      <c r="C356" s="123"/>
      <c r="D356" s="118"/>
      <c r="E356" s="123"/>
      <c r="F356" s="123"/>
      <c r="G356" s="118"/>
      <c r="H356" s="118"/>
      <c r="I356" s="118"/>
      <c r="J356" s="119"/>
      <c r="K356" s="123"/>
      <c r="L356" s="123"/>
      <c r="M356" s="123"/>
      <c r="N356" s="123"/>
      <c r="O356" s="123"/>
      <c r="P356" s="123"/>
      <c r="Q356" s="119"/>
      <c r="R356" s="118"/>
    </row>
    <row r="357" spans="1:18" ht="13">
      <c r="A357" s="132"/>
      <c r="B357" s="118"/>
      <c r="C357" s="123"/>
      <c r="D357" s="118"/>
      <c r="E357" s="123"/>
      <c r="F357" s="123"/>
      <c r="G357" s="118"/>
      <c r="H357" s="118"/>
      <c r="I357" s="118"/>
      <c r="J357" s="119"/>
      <c r="K357" s="123"/>
      <c r="L357" s="123"/>
      <c r="M357" s="123"/>
      <c r="N357" s="123"/>
      <c r="O357" s="123"/>
      <c r="P357" s="123"/>
      <c r="Q357" s="119"/>
      <c r="R357" s="118"/>
    </row>
    <row r="358" spans="1:18" ht="13">
      <c r="A358" s="132"/>
      <c r="B358" s="118"/>
      <c r="C358" s="123"/>
      <c r="D358" s="118"/>
      <c r="E358" s="123"/>
      <c r="F358" s="123"/>
      <c r="G358" s="118"/>
      <c r="H358" s="118"/>
      <c r="I358" s="118"/>
      <c r="J358" s="119"/>
      <c r="K358" s="123"/>
      <c r="L358" s="123"/>
      <c r="M358" s="123"/>
      <c r="N358" s="123"/>
      <c r="O358" s="123"/>
      <c r="P358" s="123"/>
      <c r="Q358" s="119"/>
      <c r="R358" s="118"/>
    </row>
    <row r="359" spans="1:18" ht="13">
      <c r="A359" s="132"/>
      <c r="B359" s="118"/>
      <c r="C359" s="123"/>
      <c r="D359" s="118"/>
      <c r="E359" s="123"/>
      <c r="F359" s="123"/>
      <c r="G359" s="118"/>
      <c r="H359" s="118"/>
      <c r="I359" s="118"/>
      <c r="J359" s="119"/>
      <c r="K359" s="123"/>
      <c r="L359" s="123"/>
      <c r="M359" s="123"/>
      <c r="N359" s="123"/>
      <c r="O359" s="123"/>
      <c r="P359" s="123"/>
      <c r="Q359" s="119"/>
      <c r="R359" s="118"/>
    </row>
    <row r="360" spans="1:18" ht="13">
      <c r="A360" s="132"/>
      <c r="B360" s="118"/>
      <c r="C360" s="123"/>
      <c r="D360" s="118"/>
      <c r="E360" s="123"/>
      <c r="F360" s="123"/>
      <c r="G360" s="118"/>
      <c r="H360" s="118"/>
      <c r="I360" s="118"/>
      <c r="J360" s="119"/>
      <c r="K360" s="123"/>
      <c r="L360" s="123"/>
      <c r="M360" s="123"/>
      <c r="N360" s="123"/>
      <c r="O360" s="123"/>
      <c r="P360" s="123"/>
      <c r="Q360" s="119"/>
      <c r="R360" s="118"/>
    </row>
    <row r="361" spans="1:18" ht="13">
      <c r="A361" s="132"/>
      <c r="B361" s="118"/>
      <c r="C361" s="123"/>
      <c r="D361" s="118"/>
      <c r="E361" s="123"/>
      <c r="F361" s="123"/>
      <c r="G361" s="118"/>
      <c r="H361" s="118"/>
      <c r="I361" s="118"/>
      <c r="J361" s="119"/>
      <c r="K361" s="123"/>
      <c r="L361" s="123"/>
      <c r="M361" s="123"/>
      <c r="N361" s="123"/>
      <c r="O361" s="123"/>
      <c r="P361" s="123"/>
      <c r="Q361" s="119"/>
      <c r="R361" s="118"/>
    </row>
    <row r="362" spans="1:18" ht="13">
      <c r="A362" s="132"/>
      <c r="B362" s="118"/>
      <c r="C362" s="123"/>
      <c r="D362" s="118"/>
      <c r="E362" s="123"/>
      <c r="F362" s="123"/>
      <c r="G362" s="118"/>
      <c r="H362" s="118"/>
      <c r="I362" s="118"/>
      <c r="J362" s="119"/>
      <c r="K362" s="123"/>
      <c r="L362" s="123"/>
      <c r="M362" s="123"/>
      <c r="N362" s="123"/>
      <c r="O362" s="123"/>
      <c r="P362" s="123"/>
      <c r="Q362" s="119"/>
      <c r="R362" s="118"/>
    </row>
    <row r="363" spans="1:18" ht="13">
      <c r="A363" s="132"/>
      <c r="B363" s="118"/>
      <c r="C363" s="123"/>
      <c r="D363" s="118"/>
      <c r="E363" s="123"/>
      <c r="F363" s="123"/>
      <c r="G363" s="118"/>
      <c r="H363" s="118"/>
      <c r="I363" s="118"/>
      <c r="J363" s="119"/>
      <c r="K363" s="123"/>
      <c r="L363" s="123"/>
      <c r="M363" s="123"/>
      <c r="N363" s="123"/>
      <c r="O363" s="123"/>
      <c r="P363" s="123"/>
      <c r="Q363" s="119"/>
      <c r="R363" s="118"/>
    </row>
    <row r="364" spans="1:18" ht="13">
      <c r="A364" s="132"/>
      <c r="B364" s="118"/>
      <c r="C364" s="123"/>
      <c r="D364" s="118"/>
      <c r="E364" s="123"/>
      <c r="F364" s="123"/>
      <c r="G364" s="118"/>
      <c r="H364" s="118"/>
      <c r="I364" s="118"/>
      <c r="J364" s="119"/>
      <c r="K364" s="123"/>
      <c r="L364" s="123"/>
      <c r="M364" s="123"/>
      <c r="N364" s="123"/>
      <c r="O364" s="123"/>
      <c r="P364" s="123"/>
      <c r="Q364" s="119"/>
      <c r="R364" s="118"/>
    </row>
    <row r="365" spans="1:18" ht="13">
      <c r="A365" s="132"/>
      <c r="B365" s="118"/>
      <c r="C365" s="123"/>
      <c r="D365" s="118"/>
      <c r="E365" s="123"/>
      <c r="F365" s="123"/>
      <c r="G365" s="118"/>
      <c r="H365" s="118"/>
      <c r="I365" s="118"/>
      <c r="J365" s="119"/>
      <c r="K365" s="123"/>
      <c r="L365" s="123"/>
      <c r="M365" s="123"/>
      <c r="N365" s="123"/>
      <c r="O365" s="123"/>
      <c r="P365" s="123"/>
      <c r="Q365" s="119"/>
      <c r="R365" s="118"/>
    </row>
    <row r="366" spans="1:18" ht="13">
      <c r="A366" s="132"/>
      <c r="B366" s="118"/>
      <c r="C366" s="123"/>
      <c r="D366" s="118"/>
      <c r="E366" s="123"/>
      <c r="F366" s="123"/>
      <c r="G366" s="118"/>
      <c r="H366" s="118"/>
      <c r="I366" s="118"/>
      <c r="J366" s="119"/>
      <c r="K366" s="123"/>
      <c r="L366" s="123"/>
      <c r="M366" s="123"/>
      <c r="N366" s="123"/>
      <c r="O366" s="123"/>
      <c r="P366" s="123"/>
      <c r="Q366" s="119"/>
      <c r="R366" s="118"/>
    </row>
    <row r="367" spans="1:18" ht="13">
      <c r="A367" s="132"/>
      <c r="B367" s="118"/>
      <c r="C367" s="123"/>
      <c r="D367" s="118"/>
      <c r="E367" s="123"/>
      <c r="F367" s="123"/>
      <c r="G367" s="118"/>
      <c r="H367" s="118"/>
      <c r="I367" s="118"/>
      <c r="J367" s="119"/>
      <c r="K367" s="123"/>
      <c r="L367" s="123"/>
      <c r="M367" s="123"/>
      <c r="N367" s="123"/>
      <c r="O367" s="123"/>
      <c r="P367" s="123"/>
      <c r="Q367" s="119"/>
      <c r="R367" s="118"/>
    </row>
    <row r="368" spans="1:18" ht="13">
      <c r="A368" s="132"/>
      <c r="B368" s="118"/>
      <c r="C368" s="123"/>
      <c r="D368" s="118"/>
      <c r="E368" s="123"/>
      <c r="F368" s="123"/>
      <c r="G368" s="118"/>
      <c r="H368" s="118"/>
      <c r="I368" s="118"/>
      <c r="J368" s="119"/>
      <c r="K368" s="123"/>
      <c r="L368" s="123"/>
      <c r="M368" s="123"/>
      <c r="N368" s="123"/>
      <c r="O368" s="123"/>
      <c r="P368" s="123"/>
      <c r="Q368" s="119"/>
      <c r="R368" s="118"/>
    </row>
    <row r="369" spans="1:18" ht="13">
      <c r="A369" s="132"/>
      <c r="B369" s="118"/>
      <c r="C369" s="123"/>
      <c r="D369" s="118"/>
      <c r="E369" s="123"/>
      <c r="F369" s="123"/>
      <c r="G369" s="118"/>
      <c r="H369" s="118"/>
      <c r="I369" s="118"/>
      <c r="J369" s="119"/>
      <c r="K369" s="123"/>
      <c r="L369" s="123"/>
      <c r="M369" s="123"/>
      <c r="N369" s="123"/>
      <c r="O369" s="123"/>
      <c r="P369" s="123"/>
      <c r="Q369" s="119"/>
      <c r="R369" s="118"/>
    </row>
    <row r="370" spans="1:18" ht="13">
      <c r="A370" s="132"/>
      <c r="B370" s="118"/>
      <c r="C370" s="123"/>
      <c r="D370" s="118"/>
      <c r="E370" s="123"/>
      <c r="F370" s="123"/>
      <c r="G370" s="118"/>
      <c r="H370" s="118"/>
      <c r="I370" s="118"/>
      <c r="J370" s="119"/>
      <c r="K370" s="123"/>
      <c r="L370" s="123"/>
      <c r="M370" s="123"/>
      <c r="N370" s="123"/>
      <c r="O370" s="123"/>
      <c r="P370" s="123"/>
      <c r="Q370" s="119"/>
      <c r="R370" s="118"/>
    </row>
    <row r="371" spans="1:18" ht="13">
      <c r="A371" s="132"/>
      <c r="B371" s="118"/>
      <c r="C371" s="123"/>
      <c r="D371" s="118"/>
      <c r="E371" s="123"/>
      <c r="F371" s="123"/>
      <c r="G371" s="118"/>
      <c r="H371" s="118"/>
      <c r="I371" s="118"/>
      <c r="J371" s="119"/>
      <c r="K371" s="123"/>
      <c r="L371" s="123"/>
      <c r="M371" s="123"/>
      <c r="N371" s="123"/>
      <c r="O371" s="123"/>
      <c r="P371" s="123"/>
      <c r="Q371" s="119"/>
      <c r="R371" s="118"/>
    </row>
    <row r="372" spans="1:18" ht="13">
      <c r="A372" s="132"/>
      <c r="B372" s="118"/>
      <c r="C372" s="123"/>
      <c r="D372" s="118"/>
      <c r="E372" s="123"/>
      <c r="F372" s="123"/>
      <c r="G372" s="118"/>
      <c r="H372" s="118"/>
      <c r="I372" s="118"/>
      <c r="J372" s="119"/>
      <c r="K372" s="123"/>
      <c r="L372" s="123"/>
      <c r="M372" s="123"/>
      <c r="N372" s="123"/>
      <c r="O372" s="123"/>
      <c r="P372" s="123"/>
      <c r="Q372" s="119"/>
      <c r="R372" s="118"/>
    </row>
    <row r="373" spans="1:18" ht="13">
      <c r="A373" s="132"/>
      <c r="B373" s="118"/>
      <c r="C373" s="123"/>
      <c r="D373" s="118"/>
      <c r="E373" s="123"/>
      <c r="F373" s="123"/>
      <c r="G373" s="118"/>
      <c r="H373" s="118"/>
      <c r="I373" s="118"/>
      <c r="J373" s="119"/>
      <c r="K373" s="123"/>
      <c r="L373" s="123"/>
      <c r="M373" s="123"/>
      <c r="N373" s="123"/>
      <c r="O373" s="123"/>
      <c r="P373" s="123"/>
      <c r="Q373" s="119"/>
      <c r="R373" s="118"/>
    </row>
    <row r="374" spans="1:18" ht="13">
      <c r="A374" s="132"/>
      <c r="B374" s="118"/>
      <c r="C374" s="123"/>
      <c r="D374" s="118"/>
      <c r="E374" s="123"/>
      <c r="F374" s="123"/>
      <c r="G374" s="118"/>
      <c r="H374" s="118"/>
      <c r="I374" s="118"/>
      <c r="J374" s="119"/>
      <c r="K374" s="123"/>
      <c r="L374" s="123"/>
      <c r="M374" s="123"/>
      <c r="N374" s="123"/>
      <c r="O374" s="123"/>
      <c r="P374" s="123"/>
      <c r="Q374" s="119"/>
      <c r="R374" s="118"/>
    </row>
    <row r="375" spans="1:18" ht="13">
      <c r="A375" s="163"/>
      <c r="B375" s="164"/>
      <c r="C375" s="123"/>
      <c r="D375" s="118"/>
      <c r="E375" s="123"/>
      <c r="F375" s="123"/>
      <c r="G375" s="118"/>
      <c r="H375" s="118"/>
      <c r="I375" s="118"/>
      <c r="J375" s="119"/>
      <c r="K375" s="123"/>
      <c r="L375" s="123"/>
      <c r="M375" s="123"/>
      <c r="N375" s="123"/>
      <c r="O375" s="123"/>
      <c r="P375" s="123"/>
      <c r="Q375" s="119"/>
      <c r="R375" s="118"/>
    </row>
    <row r="376" spans="1:18" ht="13">
      <c r="A376" s="105"/>
      <c r="B376" s="97"/>
      <c r="C376" s="123"/>
      <c r="D376" s="118"/>
      <c r="E376" s="123"/>
      <c r="F376" s="123"/>
      <c r="G376" s="118"/>
      <c r="H376" s="118"/>
      <c r="I376" s="118"/>
      <c r="J376" s="119"/>
      <c r="K376" s="123"/>
      <c r="L376" s="123"/>
      <c r="M376" s="123"/>
      <c r="N376" s="123"/>
      <c r="O376" s="123"/>
      <c r="P376" s="123"/>
      <c r="Q376" s="119"/>
      <c r="R376" s="118"/>
    </row>
    <row r="377" spans="1:18" ht="13">
      <c r="A377" s="105"/>
      <c r="B377" s="97"/>
      <c r="C377" s="123"/>
      <c r="D377" s="118"/>
      <c r="E377" s="123"/>
      <c r="F377" s="123"/>
      <c r="G377" s="118"/>
      <c r="H377" s="118"/>
      <c r="I377" s="118"/>
      <c r="J377" s="119"/>
      <c r="K377" s="123"/>
      <c r="L377" s="123"/>
      <c r="M377" s="123"/>
      <c r="N377" s="123"/>
      <c r="O377" s="123"/>
      <c r="P377" s="123"/>
      <c r="Q377" s="119"/>
      <c r="R377" s="118"/>
    </row>
    <row r="378" spans="1:18" ht="13">
      <c r="A378" s="105"/>
      <c r="B378" s="97"/>
      <c r="C378" s="123"/>
      <c r="D378" s="118"/>
      <c r="E378" s="123"/>
      <c r="F378" s="123"/>
      <c r="G378" s="118"/>
      <c r="H378" s="118"/>
      <c r="I378" s="118"/>
      <c r="J378" s="119"/>
      <c r="K378" s="123"/>
      <c r="L378" s="123"/>
      <c r="M378" s="123"/>
      <c r="N378" s="123"/>
      <c r="O378" s="123"/>
      <c r="P378" s="123"/>
      <c r="Q378" s="119"/>
      <c r="R378" s="118"/>
    </row>
    <row r="379" spans="1:18" ht="13">
      <c r="A379" s="105"/>
      <c r="B379" s="97"/>
      <c r="C379" s="123"/>
      <c r="D379" s="118"/>
      <c r="E379" s="123"/>
      <c r="F379" s="123"/>
      <c r="G379" s="118"/>
      <c r="H379" s="118"/>
      <c r="I379" s="118"/>
      <c r="J379" s="119"/>
      <c r="K379" s="123"/>
      <c r="L379" s="123"/>
      <c r="M379" s="123"/>
      <c r="N379" s="123"/>
      <c r="O379" s="123"/>
      <c r="P379" s="123"/>
      <c r="Q379" s="119"/>
      <c r="R379" s="118"/>
    </row>
    <row r="380" spans="1:18" ht="13">
      <c r="A380" s="105"/>
      <c r="B380" s="97"/>
      <c r="C380" s="123"/>
      <c r="D380" s="118"/>
      <c r="E380" s="123"/>
      <c r="F380" s="123"/>
      <c r="G380" s="118"/>
      <c r="H380" s="118"/>
      <c r="I380" s="118"/>
      <c r="J380" s="119"/>
      <c r="K380" s="123"/>
      <c r="L380" s="123"/>
      <c r="M380" s="123"/>
      <c r="N380" s="123"/>
      <c r="O380" s="123"/>
      <c r="P380" s="123"/>
      <c r="Q380" s="119"/>
      <c r="R380" s="118"/>
    </row>
    <row r="381" spans="1:18" ht="13">
      <c r="A381" s="105"/>
      <c r="B381" s="97"/>
      <c r="C381" s="123"/>
      <c r="D381" s="118"/>
      <c r="E381" s="123"/>
      <c r="F381" s="123"/>
      <c r="G381" s="118"/>
      <c r="H381" s="118"/>
      <c r="I381" s="118"/>
      <c r="J381" s="119"/>
      <c r="K381" s="123"/>
      <c r="L381" s="123"/>
      <c r="M381" s="123"/>
      <c r="N381" s="123"/>
      <c r="O381" s="123"/>
      <c r="P381" s="123"/>
      <c r="Q381" s="119"/>
      <c r="R381" s="118"/>
    </row>
    <row r="382" spans="1:18" ht="13">
      <c r="A382" s="105"/>
      <c r="B382" s="97"/>
      <c r="C382" s="123"/>
      <c r="D382" s="118"/>
      <c r="E382" s="123"/>
      <c r="F382" s="123"/>
      <c r="G382" s="118"/>
      <c r="H382" s="118"/>
      <c r="I382" s="118"/>
      <c r="J382" s="119"/>
      <c r="K382" s="123"/>
      <c r="L382" s="123"/>
      <c r="M382" s="123"/>
      <c r="N382" s="123"/>
      <c r="O382" s="123"/>
      <c r="P382" s="123"/>
      <c r="Q382" s="119"/>
      <c r="R382" s="118"/>
    </row>
    <row r="383" spans="1:18" ht="13">
      <c r="A383" s="105"/>
      <c r="B383" s="97"/>
      <c r="C383" s="123"/>
      <c r="D383" s="118"/>
      <c r="E383" s="123"/>
      <c r="F383" s="123"/>
      <c r="G383" s="118"/>
      <c r="H383" s="118"/>
      <c r="I383" s="118"/>
      <c r="J383" s="119"/>
      <c r="K383" s="123"/>
      <c r="L383" s="123"/>
      <c r="M383" s="123"/>
      <c r="N383" s="123"/>
      <c r="O383" s="123"/>
      <c r="P383" s="123"/>
      <c r="Q383" s="119"/>
      <c r="R383" s="118"/>
    </row>
    <row r="384" spans="1:18" ht="13">
      <c r="A384" s="105"/>
      <c r="B384" s="97"/>
      <c r="C384" s="123"/>
      <c r="D384" s="118"/>
      <c r="E384" s="123"/>
      <c r="F384" s="123"/>
      <c r="G384" s="118"/>
      <c r="H384" s="118"/>
      <c r="I384" s="118"/>
      <c r="J384" s="119"/>
      <c r="K384" s="123"/>
      <c r="L384" s="123"/>
      <c r="M384" s="123"/>
      <c r="N384" s="123"/>
      <c r="O384" s="123"/>
      <c r="P384" s="123"/>
      <c r="Q384" s="119"/>
      <c r="R384" s="118"/>
    </row>
    <row r="385" spans="1:18" ht="13">
      <c r="A385" s="105"/>
      <c r="B385" s="97"/>
      <c r="C385" s="123"/>
      <c r="D385" s="118"/>
      <c r="E385" s="123"/>
      <c r="F385" s="123"/>
      <c r="G385" s="118"/>
      <c r="H385" s="118"/>
      <c r="I385" s="118"/>
      <c r="J385" s="119"/>
      <c r="K385" s="123"/>
      <c r="L385" s="123"/>
      <c r="M385" s="123"/>
      <c r="N385" s="123"/>
      <c r="O385" s="123"/>
      <c r="P385" s="123"/>
      <c r="Q385" s="119"/>
      <c r="R385" s="118"/>
    </row>
    <row r="386" spans="1:18" ht="13">
      <c r="A386" s="105"/>
      <c r="B386" s="97"/>
      <c r="C386" s="123"/>
      <c r="D386" s="118"/>
      <c r="E386" s="123"/>
      <c r="F386" s="123"/>
      <c r="G386" s="118"/>
      <c r="H386" s="118"/>
      <c r="I386" s="118"/>
      <c r="J386" s="119"/>
      <c r="K386" s="123"/>
      <c r="L386" s="123"/>
      <c r="M386" s="123"/>
      <c r="N386" s="123"/>
      <c r="O386" s="123"/>
      <c r="P386" s="123"/>
      <c r="Q386" s="119"/>
      <c r="R386" s="118"/>
    </row>
    <row r="387" spans="1:18" ht="13">
      <c r="A387" s="105"/>
      <c r="B387" s="97"/>
      <c r="C387" s="123"/>
      <c r="D387" s="118"/>
      <c r="E387" s="123"/>
      <c r="F387" s="123"/>
      <c r="G387" s="118"/>
      <c r="H387" s="118"/>
      <c r="I387" s="118"/>
      <c r="J387" s="119"/>
      <c r="K387" s="123"/>
      <c r="L387" s="123"/>
      <c r="M387" s="123"/>
      <c r="N387" s="123"/>
      <c r="O387" s="123"/>
      <c r="P387" s="123"/>
      <c r="Q387" s="119"/>
      <c r="R387" s="118"/>
    </row>
    <row r="388" spans="1:18" ht="13">
      <c r="A388" s="105"/>
      <c r="B388" s="97"/>
      <c r="C388" s="123"/>
      <c r="D388" s="118"/>
      <c r="E388" s="123"/>
      <c r="F388" s="123"/>
      <c r="G388" s="118"/>
      <c r="H388" s="118"/>
      <c r="I388" s="118"/>
      <c r="J388" s="119"/>
      <c r="K388" s="123"/>
      <c r="L388" s="123"/>
      <c r="M388" s="123"/>
      <c r="N388" s="123"/>
      <c r="O388" s="123"/>
      <c r="P388" s="123"/>
      <c r="Q388" s="119"/>
      <c r="R388" s="118"/>
    </row>
    <row r="389" spans="1:18" ht="13">
      <c r="A389" s="105"/>
      <c r="B389" s="97"/>
      <c r="C389" s="123"/>
      <c r="D389" s="118"/>
      <c r="E389" s="123"/>
      <c r="F389" s="123"/>
      <c r="G389" s="118"/>
      <c r="H389" s="118"/>
      <c r="I389" s="118"/>
      <c r="J389" s="119"/>
      <c r="K389" s="123"/>
      <c r="L389" s="123"/>
      <c r="M389" s="123"/>
      <c r="N389" s="123"/>
      <c r="O389" s="123"/>
      <c r="P389" s="123"/>
      <c r="Q389" s="119"/>
      <c r="R389" s="118"/>
    </row>
    <row r="390" spans="1:18" ht="13">
      <c r="A390" s="105"/>
      <c r="B390" s="97"/>
      <c r="C390" s="123"/>
      <c r="D390" s="118"/>
      <c r="E390" s="123"/>
      <c r="F390" s="123"/>
      <c r="G390" s="118"/>
      <c r="H390" s="118"/>
      <c r="I390" s="118"/>
      <c r="J390" s="119"/>
      <c r="K390" s="123"/>
      <c r="L390" s="123"/>
      <c r="M390" s="123"/>
      <c r="N390" s="123"/>
      <c r="O390" s="123"/>
      <c r="P390" s="123"/>
      <c r="Q390" s="119"/>
      <c r="R390" s="118"/>
    </row>
    <row r="391" spans="1:18" ht="13">
      <c r="A391" s="105"/>
      <c r="B391" s="97"/>
      <c r="C391" s="123"/>
      <c r="D391" s="118"/>
      <c r="E391" s="123"/>
      <c r="F391" s="123"/>
      <c r="G391" s="118"/>
      <c r="H391" s="118"/>
      <c r="I391" s="118"/>
      <c r="J391" s="119"/>
      <c r="K391" s="123"/>
      <c r="L391" s="123"/>
      <c r="M391" s="123"/>
      <c r="N391" s="123"/>
      <c r="O391" s="123"/>
      <c r="P391" s="123"/>
      <c r="Q391" s="119"/>
      <c r="R391" s="118"/>
    </row>
    <row r="392" spans="1:18" ht="13">
      <c r="A392" s="105"/>
      <c r="B392" s="97"/>
      <c r="C392" s="123"/>
      <c r="D392" s="118"/>
      <c r="E392" s="123"/>
      <c r="F392" s="123"/>
      <c r="G392" s="118"/>
      <c r="H392" s="118"/>
      <c r="I392" s="118"/>
      <c r="J392" s="119"/>
      <c r="K392" s="123"/>
      <c r="L392" s="123"/>
      <c r="M392" s="123"/>
      <c r="N392" s="123"/>
      <c r="O392" s="123"/>
      <c r="P392" s="123"/>
      <c r="Q392" s="119"/>
      <c r="R392" s="118"/>
    </row>
    <row r="393" spans="1:18" ht="13">
      <c r="A393" s="105"/>
      <c r="B393" s="97"/>
      <c r="C393" s="123"/>
      <c r="D393" s="118"/>
      <c r="E393" s="123"/>
      <c r="F393" s="123"/>
      <c r="G393" s="118"/>
      <c r="H393" s="118"/>
      <c r="I393" s="118"/>
      <c r="J393" s="119"/>
      <c r="K393" s="123"/>
      <c r="L393" s="123"/>
      <c r="M393" s="123"/>
      <c r="N393" s="123"/>
      <c r="O393" s="123"/>
      <c r="P393" s="123"/>
      <c r="Q393" s="119"/>
      <c r="R393" s="118"/>
    </row>
    <row r="394" spans="1:18" ht="13">
      <c r="A394" s="105"/>
      <c r="B394" s="97"/>
      <c r="C394" s="123"/>
      <c r="D394" s="118"/>
      <c r="E394" s="123"/>
      <c r="F394" s="123"/>
      <c r="G394" s="118"/>
      <c r="H394" s="118"/>
      <c r="I394" s="118"/>
      <c r="J394" s="119"/>
      <c r="K394" s="123"/>
      <c r="L394" s="123"/>
      <c r="M394" s="123"/>
      <c r="N394" s="123"/>
      <c r="O394" s="123"/>
      <c r="P394" s="123"/>
      <c r="Q394" s="119"/>
      <c r="R394" s="118"/>
    </row>
    <row r="395" spans="1:18" ht="13">
      <c r="A395" s="105"/>
      <c r="B395" s="97"/>
      <c r="C395" s="123"/>
      <c r="D395" s="118"/>
      <c r="E395" s="123"/>
      <c r="F395" s="123"/>
      <c r="G395" s="118"/>
      <c r="H395" s="118"/>
      <c r="I395" s="118"/>
      <c r="J395" s="119"/>
      <c r="K395" s="123"/>
      <c r="L395" s="123"/>
      <c r="M395" s="123"/>
      <c r="N395" s="123"/>
      <c r="O395" s="123"/>
      <c r="P395" s="123"/>
      <c r="Q395" s="119"/>
      <c r="R395" s="118"/>
    </row>
    <row r="396" spans="1:18" ht="13">
      <c r="A396" s="105"/>
      <c r="B396" s="97"/>
      <c r="C396" s="123"/>
      <c r="D396" s="118"/>
      <c r="E396" s="123"/>
      <c r="F396" s="123"/>
      <c r="G396" s="118"/>
      <c r="H396" s="118"/>
      <c r="I396" s="118"/>
      <c r="J396" s="119"/>
      <c r="K396" s="123"/>
      <c r="L396" s="123"/>
      <c r="M396" s="123"/>
      <c r="N396" s="123"/>
      <c r="O396" s="123"/>
      <c r="P396" s="123"/>
      <c r="Q396" s="119"/>
      <c r="R396" s="118"/>
    </row>
    <row r="397" spans="1:18" ht="13">
      <c r="A397" s="105"/>
      <c r="B397" s="97"/>
      <c r="C397" s="123"/>
      <c r="D397" s="118"/>
      <c r="E397" s="123"/>
      <c r="F397" s="123"/>
      <c r="G397" s="118"/>
      <c r="H397" s="118"/>
      <c r="I397" s="118"/>
      <c r="J397" s="119"/>
      <c r="K397" s="123"/>
      <c r="L397" s="123"/>
      <c r="M397" s="123"/>
      <c r="N397" s="123"/>
      <c r="O397" s="123"/>
      <c r="P397" s="123"/>
      <c r="Q397" s="119"/>
      <c r="R397" s="118"/>
    </row>
    <row r="398" spans="1:18" ht="13">
      <c r="A398" s="105"/>
      <c r="B398" s="97"/>
      <c r="C398" s="123"/>
      <c r="D398" s="118"/>
      <c r="E398" s="123"/>
      <c r="F398" s="123"/>
      <c r="G398" s="118"/>
      <c r="H398" s="118"/>
      <c r="I398" s="118"/>
      <c r="J398" s="119"/>
      <c r="K398" s="123"/>
      <c r="L398" s="123"/>
      <c r="M398" s="123"/>
      <c r="N398" s="123"/>
      <c r="O398" s="123"/>
      <c r="P398" s="123"/>
      <c r="Q398" s="119"/>
      <c r="R398" s="118"/>
    </row>
    <row r="399" spans="1:18" ht="13">
      <c r="A399" s="105"/>
      <c r="B399" s="97"/>
      <c r="C399" s="123"/>
      <c r="D399" s="118"/>
      <c r="E399" s="123"/>
      <c r="F399" s="123"/>
      <c r="G399" s="118"/>
      <c r="H399" s="118"/>
      <c r="I399" s="118"/>
      <c r="J399" s="119"/>
      <c r="K399" s="123"/>
      <c r="L399" s="123"/>
      <c r="M399" s="123"/>
      <c r="N399" s="123"/>
      <c r="O399" s="123"/>
      <c r="P399" s="123"/>
      <c r="Q399" s="119"/>
      <c r="R399" s="118"/>
    </row>
    <row r="400" spans="1:18" ht="13">
      <c r="A400" s="105"/>
      <c r="B400" s="97"/>
      <c r="C400" s="123"/>
      <c r="D400" s="118"/>
      <c r="E400" s="123"/>
      <c r="F400" s="123"/>
      <c r="G400" s="118"/>
      <c r="H400" s="118"/>
      <c r="I400" s="118"/>
      <c r="J400" s="119"/>
      <c r="K400" s="123"/>
      <c r="L400" s="123"/>
      <c r="M400" s="123"/>
      <c r="N400" s="123"/>
      <c r="O400" s="123"/>
      <c r="P400" s="123"/>
      <c r="Q400" s="119"/>
      <c r="R400" s="118"/>
    </row>
    <row r="401" spans="1:18" ht="13">
      <c r="A401" s="105"/>
      <c r="B401" s="97"/>
      <c r="C401" s="123"/>
      <c r="D401" s="118"/>
      <c r="E401" s="123"/>
      <c r="F401" s="123"/>
      <c r="G401" s="118"/>
      <c r="H401" s="118"/>
      <c r="I401" s="118"/>
      <c r="J401" s="119"/>
      <c r="K401" s="123"/>
      <c r="L401" s="123"/>
      <c r="M401" s="123"/>
      <c r="N401" s="123"/>
      <c r="O401" s="123"/>
      <c r="P401" s="123"/>
      <c r="Q401" s="119"/>
      <c r="R401" s="118"/>
    </row>
    <row r="402" spans="1:18" ht="13">
      <c r="A402" s="105"/>
      <c r="B402" s="97"/>
      <c r="C402" s="123"/>
      <c r="D402" s="118"/>
      <c r="E402" s="123"/>
      <c r="F402" s="123"/>
      <c r="G402" s="118"/>
      <c r="H402" s="118"/>
      <c r="I402" s="118"/>
      <c r="J402" s="119"/>
      <c r="K402" s="123"/>
      <c r="L402" s="123"/>
      <c r="M402" s="123"/>
      <c r="N402" s="123"/>
      <c r="O402" s="123"/>
      <c r="P402" s="123"/>
      <c r="Q402" s="119"/>
      <c r="R402" s="118"/>
    </row>
    <row r="403" spans="1:18" ht="13">
      <c r="A403" s="105"/>
      <c r="B403" s="97"/>
      <c r="C403" s="123"/>
      <c r="D403" s="118"/>
      <c r="E403" s="123"/>
      <c r="F403" s="123"/>
      <c r="G403" s="118"/>
      <c r="H403" s="118"/>
      <c r="I403" s="118"/>
      <c r="J403" s="119"/>
      <c r="K403" s="123"/>
      <c r="L403" s="123"/>
      <c r="M403" s="123"/>
      <c r="N403" s="123"/>
      <c r="O403" s="123"/>
      <c r="P403" s="123"/>
      <c r="Q403" s="119"/>
      <c r="R403" s="118"/>
    </row>
    <row r="404" spans="1:18" ht="13">
      <c r="A404" s="105"/>
      <c r="B404" s="97"/>
      <c r="C404" s="123"/>
      <c r="D404" s="118"/>
      <c r="E404" s="123"/>
      <c r="F404" s="123"/>
      <c r="G404" s="118"/>
      <c r="H404" s="118"/>
      <c r="I404" s="118"/>
      <c r="J404" s="119"/>
      <c r="K404" s="123"/>
      <c r="L404" s="123"/>
      <c r="M404" s="123"/>
      <c r="N404" s="123"/>
      <c r="O404" s="123"/>
      <c r="P404" s="123"/>
      <c r="Q404" s="119"/>
      <c r="R404" s="118"/>
    </row>
    <row r="405" spans="1:18" ht="13">
      <c r="A405" s="105"/>
      <c r="B405" s="97"/>
      <c r="C405" s="123"/>
      <c r="D405" s="118"/>
      <c r="E405" s="123"/>
      <c r="F405" s="123"/>
      <c r="G405" s="118"/>
      <c r="H405" s="118"/>
      <c r="I405" s="118"/>
      <c r="J405" s="119"/>
      <c r="K405" s="123"/>
      <c r="L405" s="123"/>
      <c r="M405" s="123"/>
      <c r="N405" s="123"/>
      <c r="O405" s="123"/>
      <c r="P405" s="123"/>
      <c r="Q405" s="119"/>
      <c r="R405" s="118"/>
    </row>
    <row r="406" spans="1:18" ht="13">
      <c r="A406" s="105"/>
      <c r="B406" s="97"/>
      <c r="C406" s="123"/>
      <c r="D406" s="118"/>
      <c r="E406" s="123"/>
      <c r="F406" s="123"/>
      <c r="G406" s="118"/>
      <c r="H406" s="118"/>
      <c r="I406" s="118"/>
      <c r="J406" s="119"/>
      <c r="K406" s="123"/>
      <c r="L406" s="123"/>
      <c r="M406" s="123"/>
      <c r="N406" s="123"/>
      <c r="O406" s="123"/>
      <c r="P406" s="123"/>
      <c r="Q406" s="119"/>
      <c r="R406" s="118"/>
    </row>
    <row r="407" spans="1:18" ht="13">
      <c r="A407" s="105"/>
      <c r="B407" s="97"/>
      <c r="C407" s="123"/>
      <c r="D407" s="118"/>
      <c r="E407" s="123"/>
      <c r="F407" s="123"/>
      <c r="G407" s="118"/>
      <c r="H407" s="118"/>
      <c r="I407" s="118"/>
      <c r="J407" s="119"/>
      <c r="K407" s="123"/>
      <c r="L407" s="123"/>
      <c r="M407" s="123"/>
      <c r="N407" s="123"/>
      <c r="O407" s="123"/>
      <c r="P407" s="123"/>
      <c r="Q407" s="119"/>
      <c r="R407" s="118"/>
    </row>
    <row r="408" spans="1:18" ht="13">
      <c r="A408" s="105"/>
      <c r="B408" s="97"/>
      <c r="C408" s="123"/>
      <c r="D408" s="118"/>
      <c r="E408" s="123"/>
      <c r="F408" s="123"/>
      <c r="G408" s="118"/>
      <c r="H408" s="118"/>
      <c r="I408" s="118"/>
      <c r="J408" s="119"/>
      <c r="K408" s="123"/>
      <c r="L408" s="123"/>
      <c r="M408" s="123"/>
      <c r="N408" s="123"/>
      <c r="O408" s="123"/>
      <c r="P408" s="123"/>
      <c r="Q408" s="119"/>
      <c r="R408" s="118"/>
    </row>
    <row r="409" spans="1:18" ht="13">
      <c r="A409" s="105"/>
      <c r="B409" s="97"/>
      <c r="C409" s="123"/>
      <c r="D409" s="118"/>
      <c r="E409" s="123"/>
      <c r="F409" s="123"/>
      <c r="G409" s="118"/>
      <c r="H409" s="118"/>
      <c r="I409" s="118"/>
      <c r="J409" s="119"/>
      <c r="K409" s="123"/>
      <c r="L409" s="123"/>
      <c r="M409" s="123"/>
      <c r="N409" s="123"/>
      <c r="O409" s="123"/>
      <c r="P409" s="123"/>
      <c r="Q409" s="119"/>
      <c r="R409" s="118"/>
    </row>
    <row r="410" spans="1:18" ht="13">
      <c r="A410" s="105"/>
      <c r="B410" s="97"/>
      <c r="C410" s="123"/>
      <c r="D410" s="118"/>
      <c r="E410" s="123"/>
      <c r="F410" s="123"/>
      <c r="G410" s="118"/>
      <c r="H410" s="118"/>
      <c r="I410" s="118"/>
      <c r="J410" s="119"/>
      <c r="K410" s="123"/>
      <c r="L410" s="123"/>
      <c r="M410" s="123"/>
      <c r="N410" s="123"/>
      <c r="O410" s="123"/>
      <c r="P410" s="123"/>
      <c r="Q410" s="119"/>
      <c r="R410" s="118"/>
    </row>
    <row r="411" spans="1:18" ht="13">
      <c r="A411" s="105"/>
      <c r="B411" s="97"/>
      <c r="C411" s="123"/>
      <c r="D411" s="118"/>
      <c r="E411" s="123"/>
      <c r="F411" s="123"/>
      <c r="G411" s="118"/>
      <c r="H411" s="118"/>
      <c r="I411" s="118"/>
      <c r="J411" s="119"/>
      <c r="K411" s="123"/>
      <c r="L411" s="123"/>
      <c r="M411" s="123"/>
      <c r="N411" s="123"/>
      <c r="O411" s="123"/>
      <c r="P411" s="123"/>
      <c r="Q411" s="119"/>
      <c r="R411" s="118"/>
    </row>
    <row r="412" spans="1:18" ht="13">
      <c r="A412" s="105"/>
      <c r="B412" s="97"/>
      <c r="C412" s="123"/>
      <c r="D412" s="118"/>
      <c r="E412" s="123"/>
      <c r="F412" s="123"/>
      <c r="G412" s="118"/>
      <c r="H412" s="118"/>
      <c r="I412" s="118"/>
      <c r="J412" s="119"/>
      <c r="K412" s="123"/>
      <c r="L412" s="123"/>
      <c r="M412" s="123"/>
      <c r="N412" s="123"/>
      <c r="O412" s="123"/>
      <c r="P412" s="123"/>
      <c r="Q412" s="119"/>
      <c r="R412" s="118"/>
    </row>
    <row r="413" spans="1:18" ht="13">
      <c r="A413" s="105"/>
      <c r="B413" s="97"/>
      <c r="C413" s="123"/>
      <c r="D413" s="118"/>
      <c r="E413" s="123"/>
      <c r="F413" s="123"/>
      <c r="G413" s="118"/>
      <c r="H413" s="118"/>
      <c r="I413" s="118"/>
      <c r="J413" s="119"/>
      <c r="K413" s="123"/>
      <c r="L413" s="123"/>
      <c r="M413" s="123"/>
      <c r="N413" s="123"/>
      <c r="O413" s="123"/>
      <c r="P413" s="123"/>
      <c r="Q413" s="119"/>
      <c r="R413" s="118"/>
    </row>
    <row r="414" spans="1:18" ht="13">
      <c r="A414" s="105"/>
      <c r="B414" s="97"/>
      <c r="C414" s="123"/>
      <c r="D414" s="118"/>
      <c r="E414" s="123"/>
      <c r="F414" s="123"/>
      <c r="G414" s="118"/>
      <c r="H414" s="118"/>
      <c r="I414" s="118"/>
      <c r="J414" s="119"/>
      <c r="K414" s="123"/>
      <c r="L414" s="123"/>
      <c r="M414" s="123"/>
      <c r="N414" s="123"/>
      <c r="O414" s="123"/>
      <c r="P414" s="123"/>
      <c r="Q414" s="119"/>
      <c r="R414" s="118"/>
    </row>
    <row r="415" spans="1:18" ht="13">
      <c r="A415" s="105"/>
      <c r="B415" s="97"/>
      <c r="C415" s="123"/>
      <c r="D415" s="118"/>
      <c r="E415" s="123"/>
      <c r="F415" s="123"/>
      <c r="G415" s="118"/>
      <c r="H415" s="118"/>
      <c r="I415" s="118"/>
      <c r="J415" s="119"/>
      <c r="K415" s="123"/>
      <c r="L415" s="123"/>
      <c r="M415" s="123"/>
      <c r="N415" s="123"/>
      <c r="O415" s="123"/>
      <c r="P415" s="123"/>
      <c r="Q415" s="119"/>
      <c r="R415" s="118"/>
    </row>
    <row r="416" spans="1:18" ht="13">
      <c r="A416" s="105"/>
      <c r="B416" s="97"/>
      <c r="C416" s="123"/>
      <c r="D416" s="118"/>
      <c r="E416" s="123"/>
      <c r="F416" s="123"/>
      <c r="G416" s="118"/>
      <c r="H416" s="118"/>
      <c r="I416" s="118"/>
      <c r="J416" s="119"/>
      <c r="K416" s="123"/>
      <c r="L416" s="123"/>
      <c r="M416" s="123"/>
      <c r="N416" s="123"/>
      <c r="O416" s="123"/>
      <c r="P416" s="123"/>
      <c r="Q416" s="119"/>
      <c r="R416" s="118"/>
    </row>
    <row r="417" spans="1:18" ht="13">
      <c r="A417" s="105"/>
      <c r="B417" s="97"/>
      <c r="C417" s="123"/>
      <c r="D417" s="118"/>
      <c r="E417" s="123"/>
      <c r="F417" s="123"/>
      <c r="G417" s="118"/>
      <c r="H417" s="118"/>
      <c r="I417" s="118"/>
      <c r="J417" s="119"/>
      <c r="K417" s="123"/>
      <c r="L417" s="123"/>
      <c r="M417" s="123"/>
      <c r="N417" s="123"/>
      <c r="O417" s="123"/>
      <c r="P417" s="123"/>
      <c r="Q417" s="119"/>
      <c r="R417" s="118"/>
    </row>
    <row r="418" spans="1:18" ht="13">
      <c r="A418" s="105"/>
      <c r="B418" s="97"/>
      <c r="C418" s="123"/>
      <c r="D418" s="118"/>
      <c r="E418" s="123"/>
      <c r="F418" s="123"/>
      <c r="G418" s="118"/>
      <c r="H418" s="118"/>
      <c r="I418" s="118"/>
      <c r="J418" s="119"/>
      <c r="K418" s="123"/>
      <c r="L418" s="123"/>
      <c r="M418" s="123"/>
      <c r="N418" s="123"/>
      <c r="O418" s="123"/>
      <c r="P418" s="123"/>
      <c r="Q418" s="119"/>
      <c r="R418" s="118"/>
    </row>
    <row r="419" spans="1:18" ht="13">
      <c r="A419" s="105"/>
      <c r="B419" s="97"/>
      <c r="C419" s="123"/>
      <c r="D419" s="118"/>
      <c r="E419" s="123"/>
      <c r="F419" s="123"/>
      <c r="G419" s="118"/>
      <c r="H419" s="118"/>
      <c r="I419" s="118"/>
      <c r="J419" s="119"/>
      <c r="K419" s="123"/>
      <c r="L419" s="123"/>
      <c r="M419" s="123"/>
      <c r="N419" s="123"/>
      <c r="O419" s="123"/>
      <c r="P419" s="123"/>
      <c r="Q419" s="119"/>
      <c r="R419" s="118"/>
    </row>
    <row r="420" spans="1:18" ht="13">
      <c r="A420" s="105"/>
      <c r="B420" s="97"/>
      <c r="C420" s="123"/>
      <c r="D420" s="118"/>
      <c r="E420" s="123"/>
      <c r="F420" s="123"/>
      <c r="G420" s="118"/>
      <c r="H420" s="118"/>
      <c r="I420" s="118"/>
      <c r="J420" s="119"/>
      <c r="K420" s="123"/>
      <c r="L420" s="123"/>
      <c r="M420" s="123"/>
      <c r="N420" s="123"/>
      <c r="O420" s="123"/>
      <c r="P420" s="123"/>
      <c r="Q420" s="119"/>
      <c r="R420" s="118"/>
    </row>
    <row r="421" spans="1:18" ht="13">
      <c r="A421" s="105"/>
      <c r="B421" s="97"/>
      <c r="C421" s="123"/>
      <c r="D421" s="118"/>
      <c r="E421" s="123"/>
      <c r="F421" s="123"/>
      <c r="G421" s="118"/>
      <c r="H421" s="118"/>
      <c r="I421" s="118"/>
      <c r="J421" s="119"/>
      <c r="K421" s="123"/>
      <c r="L421" s="123"/>
      <c r="M421" s="123"/>
      <c r="N421" s="123"/>
      <c r="O421" s="123"/>
      <c r="P421" s="123"/>
      <c r="Q421" s="119"/>
      <c r="R421" s="118"/>
    </row>
    <row r="422" spans="1:18" ht="13">
      <c r="A422" s="105"/>
      <c r="B422" s="97"/>
      <c r="C422" s="123"/>
      <c r="D422" s="118"/>
      <c r="E422" s="123"/>
      <c r="F422" s="123"/>
      <c r="G422" s="118"/>
      <c r="H422" s="118"/>
      <c r="I422" s="118"/>
      <c r="J422" s="119"/>
      <c r="K422" s="123"/>
      <c r="L422" s="123"/>
      <c r="M422" s="123"/>
      <c r="N422" s="123"/>
      <c r="O422" s="123"/>
      <c r="P422" s="123"/>
      <c r="Q422" s="119"/>
      <c r="R422" s="118"/>
    </row>
    <row r="423" spans="1:18" ht="13">
      <c r="A423" s="105"/>
      <c r="B423" s="97"/>
      <c r="C423" s="123"/>
      <c r="D423" s="118"/>
      <c r="E423" s="123"/>
      <c r="F423" s="123"/>
      <c r="G423" s="118"/>
      <c r="H423" s="118"/>
      <c r="I423" s="118"/>
      <c r="J423" s="119"/>
      <c r="K423" s="123"/>
      <c r="L423" s="123"/>
      <c r="M423" s="123"/>
      <c r="N423" s="123"/>
      <c r="O423" s="123"/>
      <c r="P423" s="123"/>
      <c r="Q423" s="119"/>
      <c r="R423" s="118"/>
    </row>
    <row r="424" spans="1:18" ht="13">
      <c r="A424" s="105"/>
      <c r="B424" s="97"/>
      <c r="C424" s="123"/>
      <c r="D424" s="118"/>
      <c r="E424" s="123"/>
      <c r="F424" s="123"/>
      <c r="G424" s="118"/>
      <c r="H424" s="118"/>
      <c r="I424" s="118"/>
      <c r="J424" s="119"/>
      <c r="K424" s="123"/>
      <c r="L424" s="123"/>
      <c r="M424" s="123"/>
      <c r="N424" s="123"/>
      <c r="O424" s="123"/>
      <c r="P424" s="123"/>
      <c r="Q424" s="119"/>
      <c r="R424" s="118"/>
    </row>
    <row r="425" spans="1:18" ht="13">
      <c r="A425" s="105"/>
      <c r="B425" s="97"/>
      <c r="C425" s="123"/>
      <c r="D425" s="118"/>
      <c r="E425" s="123"/>
      <c r="F425" s="123"/>
      <c r="G425" s="118"/>
      <c r="H425" s="118"/>
      <c r="I425" s="118"/>
      <c r="J425" s="119"/>
      <c r="K425" s="123"/>
      <c r="L425" s="123"/>
      <c r="M425" s="123"/>
      <c r="N425" s="123"/>
      <c r="O425" s="123"/>
      <c r="P425" s="123"/>
      <c r="Q425" s="119"/>
      <c r="R425" s="118"/>
    </row>
    <row r="426" spans="1:18" ht="13">
      <c r="A426" s="105"/>
      <c r="B426" s="97"/>
      <c r="C426" s="123"/>
      <c r="D426" s="118"/>
      <c r="E426" s="123"/>
      <c r="F426" s="123"/>
      <c r="G426" s="118"/>
      <c r="H426" s="118"/>
      <c r="I426" s="118"/>
      <c r="J426" s="119"/>
      <c r="K426" s="123"/>
      <c r="L426" s="123"/>
      <c r="M426" s="123"/>
      <c r="N426" s="123"/>
      <c r="O426" s="123"/>
      <c r="P426" s="123"/>
      <c r="Q426" s="119"/>
      <c r="R426" s="118"/>
    </row>
    <row r="427" spans="1:18" ht="13">
      <c r="A427" s="105"/>
      <c r="B427" s="97"/>
      <c r="C427" s="123"/>
      <c r="D427" s="118"/>
      <c r="E427" s="123"/>
      <c r="F427" s="123"/>
      <c r="G427" s="118"/>
      <c r="H427" s="118"/>
      <c r="I427" s="118"/>
      <c r="J427" s="119"/>
      <c r="K427" s="123"/>
      <c r="L427" s="123"/>
      <c r="M427" s="123"/>
      <c r="N427" s="123"/>
      <c r="O427" s="123"/>
      <c r="P427" s="123"/>
      <c r="Q427" s="119"/>
      <c r="R427" s="118"/>
    </row>
    <row r="428" spans="1:18" ht="13">
      <c r="A428" s="105"/>
      <c r="B428" s="97"/>
      <c r="C428" s="123"/>
      <c r="D428" s="118"/>
      <c r="E428" s="123"/>
      <c r="F428" s="123"/>
      <c r="G428" s="118"/>
      <c r="H428" s="118"/>
      <c r="I428" s="118"/>
      <c r="J428" s="119"/>
      <c r="K428" s="123"/>
      <c r="L428" s="123"/>
      <c r="M428" s="123"/>
      <c r="N428" s="123"/>
      <c r="O428" s="123"/>
      <c r="P428" s="123"/>
      <c r="Q428" s="119"/>
      <c r="R428" s="118"/>
    </row>
    <row r="429" spans="1:18" ht="13">
      <c r="A429" s="105"/>
      <c r="B429" s="97"/>
      <c r="C429" s="123"/>
      <c r="D429" s="118"/>
      <c r="E429" s="123"/>
      <c r="F429" s="123"/>
      <c r="G429" s="118"/>
      <c r="H429" s="118"/>
      <c r="I429" s="118"/>
      <c r="J429" s="119"/>
      <c r="K429" s="123"/>
      <c r="L429" s="123"/>
      <c r="M429" s="123"/>
      <c r="N429" s="123"/>
      <c r="O429" s="123"/>
      <c r="P429" s="123"/>
      <c r="Q429" s="119"/>
      <c r="R429" s="118"/>
    </row>
    <row r="430" spans="1:18" ht="13">
      <c r="A430" s="105"/>
      <c r="B430" s="97"/>
      <c r="C430" s="123"/>
      <c r="D430" s="118"/>
      <c r="E430" s="123"/>
      <c r="F430" s="123"/>
      <c r="G430" s="118"/>
      <c r="H430" s="118"/>
      <c r="I430" s="118"/>
      <c r="J430" s="119"/>
      <c r="K430" s="123"/>
      <c r="L430" s="123"/>
      <c r="M430" s="123"/>
      <c r="N430" s="123"/>
      <c r="O430" s="123"/>
      <c r="P430" s="123"/>
      <c r="Q430" s="119"/>
      <c r="R430" s="118"/>
    </row>
    <row r="431" spans="1:18" ht="13">
      <c r="A431" s="105"/>
      <c r="B431" s="97"/>
      <c r="C431" s="123"/>
      <c r="D431" s="118"/>
      <c r="E431" s="123"/>
      <c r="F431" s="123"/>
      <c r="G431" s="118"/>
      <c r="H431" s="118"/>
      <c r="I431" s="118"/>
      <c r="J431" s="119"/>
      <c r="K431" s="123"/>
      <c r="L431" s="123"/>
      <c r="M431" s="123"/>
      <c r="N431" s="123"/>
      <c r="O431" s="123"/>
      <c r="P431" s="123"/>
      <c r="Q431" s="119"/>
      <c r="R431" s="118"/>
    </row>
    <row r="432" spans="1:18" ht="13">
      <c r="A432" s="105"/>
      <c r="B432" s="97"/>
      <c r="C432" s="123"/>
      <c r="D432" s="118"/>
      <c r="E432" s="123"/>
      <c r="F432" s="123"/>
      <c r="G432" s="118"/>
      <c r="H432" s="118"/>
      <c r="I432" s="118"/>
      <c r="J432" s="119"/>
      <c r="K432" s="123"/>
      <c r="L432" s="123"/>
      <c r="M432" s="123"/>
      <c r="N432" s="123"/>
      <c r="O432" s="123"/>
      <c r="P432" s="123"/>
      <c r="Q432" s="119"/>
      <c r="R432" s="118"/>
    </row>
    <row r="433" spans="1:18" ht="13">
      <c r="A433" s="105"/>
      <c r="B433" s="97"/>
      <c r="C433" s="123"/>
      <c r="D433" s="118"/>
      <c r="E433" s="123"/>
      <c r="F433" s="123"/>
      <c r="G433" s="118"/>
      <c r="H433" s="118"/>
      <c r="I433" s="118"/>
      <c r="J433" s="119"/>
      <c r="K433" s="123"/>
      <c r="L433" s="123"/>
      <c r="M433" s="123"/>
      <c r="N433" s="123"/>
      <c r="O433" s="123"/>
      <c r="P433" s="123"/>
      <c r="Q433" s="119"/>
      <c r="R433" s="118"/>
    </row>
    <row r="434" spans="1:18" ht="13">
      <c r="A434" s="105"/>
      <c r="B434" s="97"/>
      <c r="C434" s="123"/>
      <c r="D434" s="118"/>
      <c r="E434" s="123"/>
      <c r="F434" s="123"/>
      <c r="G434" s="118"/>
      <c r="H434" s="118"/>
      <c r="I434" s="118"/>
      <c r="J434" s="119"/>
      <c r="K434" s="123"/>
      <c r="L434" s="123"/>
      <c r="M434" s="123"/>
      <c r="N434" s="123"/>
      <c r="O434" s="123"/>
      <c r="P434" s="123"/>
      <c r="Q434" s="119"/>
      <c r="R434" s="118"/>
    </row>
    <row r="435" spans="1:18" ht="13">
      <c r="A435" s="105"/>
      <c r="B435" s="97"/>
      <c r="C435" s="123"/>
      <c r="D435" s="118"/>
      <c r="E435" s="123"/>
      <c r="F435" s="123"/>
      <c r="G435" s="118"/>
      <c r="H435" s="118"/>
      <c r="I435" s="118"/>
      <c r="J435" s="119"/>
      <c r="K435" s="123"/>
      <c r="L435" s="123"/>
      <c r="M435" s="123"/>
      <c r="N435" s="123"/>
      <c r="O435" s="123"/>
      <c r="P435" s="123"/>
      <c r="Q435" s="119"/>
      <c r="R435" s="118"/>
    </row>
    <row r="436" spans="1:18" ht="13">
      <c r="A436" s="105"/>
      <c r="B436" s="97"/>
      <c r="C436" s="123"/>
      <c r="D436" s="118"/>
      <c r="E436" s="123"/>
      <c r="F436" s="123"/>
      <c r="G436" s="118"/>
      <c r="H436" s="118"/>
      <c r="I436" s="118"/>
      <c r="J436" s="119"/>
      <c r="K436" s="123"/>
      <c r="L436" s="123"/>
      <c r="M436" s="123"/>
      <c r="N436" s="123"/>
      <c r="O436" s="123"/>
      <c r="P436" s="123"/>
      <c r="Q436" s="119"/>
      <c r="R436" s="118"/>
    </row>
    <row r="437" spans="1:18" ht="13">
      <c r="A437" s="105"/>
      <c r="B437" s="97"/>
      <c r="C437" s="123"/>
      <c r="D437" s="118"/>
      <c r="E437" s="123"/>
      <c r="F437" s="123"/>
      <c r="G437" s="118"/>
      <c r="H437" s="118"/>
      <c r="I437" s="118"/>
      <c r="J437" s="119"/>
      <c r="K437" s="123"/>
      <c r="L437" s="123"/>
      <c r="M437" s="123"/>
      <c r="N437" s="123"/>
      <c r="O437" s="123"/>
      <c r="P437" s="123"/>
      <c r="Q437" s="119"/>
      <c r="R437" s="118"/>
    </row>
    <row r="438" spans="1:18" ht="13">
      <c r="A438" s="105"/>
      <c r="B438" s="97"/>
      <c r="C438" s="123"/>
      <c r="D438" s="118"/>
      <c r="E438" s="123"/>
      <c r="F438" s="123"/>
      <c r="G438" s="118"/>
      <c r="H438" s="118"/>
      <c r="I438" s="118"/>
      <c r="J438" s="119"/>
      <c r="K438" s="123"/>
      <c r="L438" s="123"/>
      <c r="M438" s="123"/>
      <c r="N438" s="123"/>
      <c r="O438" s="123"/>
      <c r="P438" s="123"/>
      <c r="Q438" s="119"/>
      <c r="R438" s="118"/>
    </row>
    <row r="439" spans="1:18" ht="13">
      <c r="A439" s="105"/>
      <c r="B439" s="97"/>
      <c r="C439" s="123"/>
      <c r="D439" s="118"/>
      <c r="E439" s="123"/>
      <c r="F439" s="123"/>
      <c r="G439" s="118"/>
      <c r="H439" s="118"/>
      <c r="I439" s="118"/>
      <c r="J439" s="119"/>
      <c r="K439" s="123"/>
      <c r="L439" s="123"/>
      <c r="M439" s="123"/>
      <c r="N439" s="123"/>
      <c r="O439" s="123"/>
      <c r="P439" s="123"/>
      <c r="Q439" s="119"/>
      <c r="R439" s="118"/>
    </row>
    <row r="440" spans="1:18" ht="13">
      <c r="A440" s="105"/>
      <c r="B440" s="97"/>
      <c r="C440" s="123"/>
      <c r="D440" s="118"/>
      <c r="E440" s="123"/>
      <c r="F440" s="123"/>
      <c r="G440" s="118"/>
      <c r="H440" s="118"/>
      <c r="I440" s="118"/>
      <c r="J440" s="119"/>
      <c r="K440" s="123"/>
      <c r="L440" s="123"/>
      <c r="M440" s="123"/>
      <c r="N440" s="123"/>
      <c r="O440" s="123"/>
      <c r="P440" s="123"/>
      <c r="Q440" s="119"/>
      <c r="R440" s="118"/>
    </row>
    <row r="441" spans="1:18" ht="13">
      <c r="A441" s="105"/>
      <c r="B441" s="97"/>
      <c r="C441" s="123"/>
      <c r="D441" s="118"/>
      <c r="E441" s="123"/>
      <c r="F441" s="123"/>
      <c r="G441" s="118"/>
      <c r="H441" s="118"/>
      <c r="I441" s="118"/>
      <c r="J441" s="119"/>
      <c r="K441" s="123"/>
      <c r="L441" s="123"/>
      <c r="M441" s="123"/>
      <c r="N441" s="123"/>
      <c r="O441" s="123"/>
      <c r="P441" s="123"/>
      <c r="Q441" s="119"/>
      <c r="R441" s="118"/>
    </row>
    <row r="442" spans="1:18" ht="13">
      <c r="A442" s="105"/>
      <c r="B442" s="97"/>
      <c r="C442" s="123"/>
      <c r="D442" s="118"/>
      <c r="E442" s="123"/>
      <c r="F442" s="123"/>
      <c r="G442" s="118"/>
      <c r="H442" s="118"/>
      <c r="I442" s="118"/>
      <c r="J442" s="119"/>
      <c r="K442" s="123"/>
      <c r="L442" s="123"/>
      <c r="M442" s="123"/>
      <c r="N442" s="123"/>
      <c r="O442" s="123"/>
      <c r="P442" s="123"/>
      <c r="Q442" s="119"/>
      <c r="R442" s="118"/>
    </row>
    <row r="443" spans="1:18" ht="13">
      <c r="A443" s="105"/>
      <c r="B443" s="97"/>
      <c r="C443" s="123"/>
      <c r="D443" s="118"/>
      <c r="E443" s="123"/>
      <c r="F443" s="123"/>
      <c r="G443" s="118"/>
      <c r="H443" s="118"/>
      <c r="I443" s="118"/>
      <c r="J443" s="119"/>
      <c r="K443" s="123"/>
      <c r="L443" s="123"/>
      <c r="M443" s="123"/>
      <c r="N443" s="123"/>
      <c r="O443" s="123"/>
      <c r="P443" s="123"/>
      <c r="Q443" s="119"/>
      <c r="R443" s="118"/>
    </row>
    <row r="444" spans="1:18" ht="13">
      <c r="A444" s="105"/>
      <c r="B444" s="97"/>
      <c r="C444" s="123"/>
      <c r="D444" s="118"/>
      <c r="E444" s="123"/>
      <c r="F444" s="123"/>
      <c r="G444" s="118"/>
      <c r="H444" s="118"/>
      <c r="I444" s="118"/>
      <c r="J444" s="119"/>
      <c r="K444" s="123"/>
      <c r="L444" s="123"/>
      <c r="M444" s="123"/>
      <c r="N444" s="123"/>
      <c r="O444" s="123"/>
      <c r="P444" s="123"/>
      <c r="Q444" s="119"/>
      <c r="R444" s="118"/>
    </row>
    <row r="445" spans="1:18" ht="13">
      <c r="A445" s="105"/>
      <c r="B445" s="97"/>
      <c r="C445" s="123"/>
      <c r="D445" s="118"/>
      <c r="E445" s="123"/>
      <c r="F445" s="123"/>
      <c r="G445" s="118"/>
      <c r="H445" s="118"/>
      <c r="I445" s="118"/>
      <c r="J445" s="119"/>
      <c r="K445" s="123"/>
      <c r="L445" s="123"/>
      <c r="M445" s="123"/>
      <c r="N445" s="123"/>
      <c r="O445" s="123"/>
      <c r="P445" s="123"/>
      <c r="Q445" s="119"/>
      <c r="R445" s="118"/>
    </row>
    <row r="446" spans="1:18" ht="13">
      <c r="A446" s="105"/>
      <c r="B446" s="97"/>
      <c r="C446" s="123"/>
      <c r="D446" s="118"/>
      <c r="E446" s="123"/>
      <c r="F446" s="123"/>
      <c r="G446" s="118"/>
      <c r="H446" s="118"/>
      <c r="I446" s="118"/>
      <c r="J446" s="119"/>
      <c r="K446" s="123"/>
      <c r="L446" s="123"/>
      <c r="M446" s="123"/>
      <c r="N446" s="123"/>
      <c r="O446" s="123"/>
      <c r="P446" s="123"/>
      <c r="Q446" s="119"/>
      <c r="R446" s="118"/>
    </row>
    <row r="447" spans="1:18" ht="13">
      <c r="A447" s="105"/>
      <c r="B447" s="97"/>
      <c r="C447" s="123"/>
      <c r="D447" s="118"/>
      <c r="E447" s="123"/>
      <c r="F447" s="123"/>
      <c r="G447" s="118"/>
      <c r="H447" s="118"/>
      <c r="I447" s="118"/>
      <c r="J447" s="119"/>
      <c r="K447" s="123"/>
      <c r="L447" s="123"/>
      <c r="M447" s="123"/>
      <c r="N447" s="123"/>
      <c r="O447" s="123"/>
      <c r="P447" s="123"/>
      <c r="Q447" s="119"/>
      <c r="R447" s="118"/>
    </row>
    <row r="448" spans="1:18" ht="13">
      <c r="A448" s="105"/>
      <c r="B448" s="97"/>
      <c r="C448" s="123"/>
      <c r="D448" s="118"/>
      <c r="E448" s="123"/>
      <c r="F448" s="123"/>
      <c r="G448" s="118"/>
      <c r="H448" s="118"/>
      <c r="I448" s="118"/>
      <c r="J448" s="119"/>
      <c r="K448" s="123"/>
      <c r="L448" s="123"/>
      <c r="M448" s="123"/>
      <c r="N448" s="123"/>
      <c r="O448" s="123"/>
      <c r="P448" s="123"/>
      <c r="Q448" s="119"/>
      <c r="R448" s="118"/>
    </row>
    <row r="449" spans="1:18" ht="13">
      <c r="A449" s="105"/>
      <c r="B449" s="97"/>
      <c r="C449" s="123"/>
      <c r="D449" s="118"/>
      <c r="E449" s="123"/>
      <c r="F449" s="123"/>
      <c r="G449" s="118"/>
      <c r="H449" s="118"/>
      <c r="I449" s="118"/>
      <c r="J449" s="119"/>
      <c r="K449" s="123"/>
      <c r="L449" s="123"/>
      <c r="M449" s="123"/>
      <c r="N449" s="123"/>
      <c r="O449" s="123"/>
      <c r="P449" s="123"/>
      <c r="Q449" s="119"/>
      <c r="R449" s="118"/>
    </row>
    <row r="450" spans="1:18" ht="13">
      <c r="A450" s="105"/>
      <c r="B450" s="97"/>
      <c r="C450" s="123"/>
      <c r="D450" s="118"/>
      <c r="E450" s="123"/>
      <c r="F450" s="123"/>
      <c r="G450" s="118"/>
      <c r="H450" s="118"/>
      <c r="I450" s="118"/>
      <c r="J450" s="119"/>
      <c r="K450" s="123"/>
      <c r="L450" s="123"/>
      <c r="M450" s="123"/>
      <c r="N450" s="123"/>
      <c r="O450" s="123"/>
      <c r="P450" s="123"/>
      <c r="Q450" s="119"/>
      <c r="R450" s="118"/>
    </row>
    <row r="451" spans="1:18" ht="13">
      <c r="A451" s="105"/>
      <c r="B451" s="97"/>
      <c r="C451" s="123"/>
      <c r="D451" s="118"/>
      <c r="E451" s="123"/>
      <c r="F451" s="123"/>
      <c r="G451" s="118"/>
      <c r="H451" s="118"/>
      <c r="I451" s="118"/>
      <c r="J451" s="119"/>
      <c r="K451" s="123"/>
      <c r="L451" s="123"/>
      <c r="M451" s="123"/>
      <c r="N451" s="123"/>
      <c r="O451" s="123"/>
      <c r="P451" s="123"/>
      <c r="Q451" s="119"/>
      <c r="R451" s="118"/>
    </row>
    <row r="452" spans="1:18" ht="13">
      <c r="A452" s="105"/>
      <c r="B452" s="97"/>
      <c r="C452" s="123"/>
      <c r="D452" s="118"/>
      <c r="E452" s="123"/>
      <c r="F452" s="123"/>
      <c r="G452" s="118"/>
      <c r="H452" s="118"/>
      <c r="I452" s="118"/>
      <c r="J452" s="119"/>
      <c r="K452" s="123"/>
      <c r="L452" s="123"/>
      <c r="M452" s="123"/>
      <c r="N452" s="123"/>
      <c r="O452" s="123"/>
      <c r="P452" s="123"/>
      <c r="Q452" s="119"/>
      <c r="R452" s="118"/>
    </row>
    <row r="453" spans="1:18" ht="13">
      <c r="A453" s="105"/>
      <c r="B453" s="97"/>
      <c r="C453" s="123"/>
      <c r="D453" s="118"/>
      <c r="E453" s="123"/>
      <c r="F453" s="123"/>
      <c r="G453" s="118"/>
      <c r="H453" s="118"/>
      <c r="I453" s="118"/>
      <c r="J453" s="119"/>
      <c r="K453" s="123"/>
      <c r="L453" s="123"/>
      <c r="M453" s="123"/>
      <c r="N453" s="123"/>
      <c r="O453" s="123"/>
      <c r="P453" s="123"/>
      <c r="Q453" s="119"/>
      <c r="R453" s="118"/>
    </row>
    <row r="454" spans="1:18" ht="13">
      <c r="A454" s="105"/>
      <c r="B454" s="97"/>
      <c r="C454" s="123"/>
      <c r="D454" s="118"/>
      <c r="E454" s="123"/>
      <c r="F454" s="123"/>
      <c r="G454" s="118"/>
      <c r="H454" s="118"/>
      <c r="I454" s="118"/>
      <c r="J454" s="119"/>
      <c r="K454" s="123"/>
      <c r="L454" s="123"/>
      <c r="M454" s="123"/>
      <c r="N454" s="123"/>
      <c r="O454" s="123"/>
      <c r="P454" s="123"/>
      <c r="Q454" s="119"/>
      <c r="R454" s="118"/>
    </row>
    <row r="455" spans="1:18" ht="13">
      <c r="A455" s="105"/>
      <c r="B455" s="97"/>
      <c r="C455" s="123"/>
      <c r="D455" s="118"/>
      <c r="E455" s="123"/>
      <c r="F455" s="123"/>
      <c r="G455" s="118"/>
      <c r="H455" s="118"/>
      <c r="I455" s="118"/>
      <c r="J455" s="119"/>
      <c r="K455" s="123"/>
      <c r="L455" s="123"/>
      <c r="M455" s="123"/>
      <c r="N455" s="123"/>
      <c r="O455" s="123"/>
      <c r="P455" s="123"/>
      <c r="Q455" s="119"/>
      <c r="R455" s="118"/>
    </row>
    <row r="456" spans="1:18" ht="13">
      <c r="A456" s="105"/>
      <c r="B456" s="97"/>
      <c r="C456" s="123"/>
      <c r="D456" s="118"/>
      <c r="E456" s="123"/>
      <c r="F456" s="123"/>
      <c r="G456" s="118"/>
      <c r="H456" s="118"/>
      <c r="I456" s="118"/>
      <c r="J456" s="119"/>
      <c r="K456" s="123"/>
      <c r="L456" s="123"/>
      <c r="M456" s="123"/>
      <c r="N456" s="123"/>
      <c r="O456" s="123"/>
      <c r="P456" s="123"/>
      <c r="Q456" s="119"/>
      <c r="R456" s="118"/>
    </row>
    <row r="457" spans="1:18" ht="13">
      <c r="A457" s="105"/>
      <c r="B457" s="97"/>
      <c r="C457" s="123"/>
      <c r="D457" s="118"/>
      <c r="E457" s="123"/>
      <c r="F457" s="123"/>
      <c r="G457" s="118"/>
      <c r="H457" s="118"/>
      <c r="I457" s="118"/>
      <c r="J457" s="119"/>
      <c r="K457" s="123"/>
      <c r="L457" s="123"/>
      <c r="M457" s="123"/>
      <c r="N457" s="123"/>
      <c r="O457" s="123"/>
      <c r="P457" s="123"/>
      <c r="Q457" s="119"/>
      <c r="R457" s="118"/>
    </row>
    <row r="458" spans="1:18" ht="13">
      <c r="A458" s="105"/>
      <c r="B458" s="97"/>
      <c r="C458" s="123"/>
      <c r="D458" s="118"/>
      <c r="E458" s="123"/>
      <c r="F458" s="123"/>
      <c r="G458" s="118"/>
      <c r="H458" s="118"/>
      <c r="I458" s="118"/>
      <c r="J458" s="119"/>
      <c r="K458" s="123"/>
      <c r="L458" s="123"/>
      <c r="M458" s="123"/>
      <c r="N458" s="123"/>
      <c r="O458" s="123"/>
      <c r="P458" s="123"/>
      <c r="Q458" s="119"/>
      <c r="R458" s="118"/>
    </row>
    <row r="459" spans="1:18" ht="13">
      <c r="A459" s="105"/>
      <c r="B459" s="97"/>
      <c r="C459" s="123"/>
      <c r="D459" s="118"/>
      <c r="E459" s="123"/>
      <c r="F459" s="123"/>
      <c r="G459" s="118"/>
      <c r="H459" s="118"/>
      <c r="I459" s="118"/>
      <c r="J459" s="119"/>
      <c r="K459" s="123"/>
      <c r="L459" s="123"/>
      <c r="M459" s="123"/>
      <c r="N459" s="123"/>
      <c r="O459" s="123"/>
      <c r="P459" s="123"/>
      <c r="Q459" s="119"/>
      <c r="R459" s="118"/>
    </row>
    <row r="460" spans="1:18" ht="13">
      <c r="A460" s="105"/>
      <c r="B460" s="97"/>
      <c r="C460" s="123"/>
      <c r="D460" s="118"/>
      <c r="E460" s="123"/>
      <c r="F460" s="123"/>
      <c r="G460" s="118"/>
      <c r="H460" s="118"/>
      <c r="I460" s="118"/>
      <c r="J460" s="119"/>
      <c r="K460" s="123"/>
      <c r="L460" s="123"/>
      <c r="M460" s="123"/>
      <c r="N460" s="123"/>
      <c r="O460" s="123"/>
      <c r="P460" s="123"/>
      <c r="Q460" s="119"/>
      <c r="R460" s="118"/>
    </row>
    <row r="461" spans="1:18" ht="13">
      <c r="A461" s="105"/>
      <c r="B461" s="97"/>
      <c r="C461" s="123"/>
      <c r="D461" s="118"/>
      <c r="E461" s="123"/>
      <c r="F461" s="123"/>
      <c r="G461" s="118"/>
      <c r="H461" s="118"/>
      <c r="I461" s="118"/>
      <c r="J461" s="119"/>
      <c r="K461" s="123"/>
      <c r="L461" s="123"/>
      <c r="M461" s="123"/>
      <c r="N461" s="123"/>
      <c r="O461" s="123"/>
      <c r="P461" s="123"/>
      <c r="Q461" s="119"/>
      <c r="R461" s="118"/>
    </row>
    <row r="462" spans="1:18" ht="13">
      <c r="A462" s="105"/>
      <c r="B462" s="97"/>
      <c r="C462" s="123"/>
      <c r="D462" s="118"/>
      <c r="E462" s="123"/>
      <c r="F462" s="123"/>
      <c r="G462" s="118"/>
      <c r="H462" s="118"/>
      <c r="I462" s="118"/>
      <c r="J462" s="119"/>
      <c r="K462" s="123"/>
      <c r="L462" s="123"/>
      <c r="M462" s="123"/>
      <c r="N462" s="123"/>
      <c r="O462" s="123"/>
      <c r="P462" s="123"/>
      <c r="Q462" s="119"/>
      <c r="R462" s="118"/>
    </row>
    <row r="463" spans="1:18" ht="13">
      <c r="A463" s="105"/>
      <c r="B463" s="97"/>
      <c r="C463" s="123"/>
      <c r="D463" s="118"/>
      <c r="E463" s="123"/>
      <c r="F463" s="123"/>
      <c r="G463" s="118"/>
      <c r="H463" s="118"/>
      <c r="I463" s="118"/>
      <c r="J463" s="119"/>
      <c r="K463" s="123"/>
      <c r="L463" s="123"/>
      <c r="M463" s="123"/>
      <c r="N463" s="123"/>
      <c r="O463" s="123"/>
      <c r="P463" s="123"/>
      <c r="Q463" s="119"/>
      <c r="R463" s="118"/>
    </row>
    <row r="464" spans="1:18" ht="13">
      <c r="A464" s="105"/>
      <c r="B464" s="97"/>
      <c r="C464" s="123"/>
      <c r="D464" s="118"/>
      <c r="E464" s="123"/>
      <c r="F464" s="123"/>
      <c r="G464" s="118"/>
      <c r="H464" s="118"/>
      <c r="I464" s="118"/>
      <c r="J464" s="119"/>
      <c r="K464" s="123"/>
      <c r="L464" s="123"/>
      <c r="M464" s="123"/>
      <c r="N464" s="123"/>
      <c r="O464" s="123"/>
      <c r="P464" s="123"/>
      <c r="Q464" s="119"/>
      <c r="R464" s="118"/>
    </row>
    <row r="465" spans="1:18" ht="13">
      <c r="A465" s="105"/>
      <c r="B465" s="97"/>
      <c r="C465" s="123"/>
      <c r="D465" s="118"/>
      <c r="E465" s="123"/>
      <c r="F465" s="123"/>
      <c r="G465" s="118"/>
      <c r="H465" s="118"/>
      <c r="I465" s="118"/>
      <c r="J465" s="119"/>
      <c r="K465" s="123"/>
      <c r="L465" s="123"/>
      <c r="M465" s="123"/>
      <c r="N465" s="123"/>
      <c r="O465" s="123"/>
      <c r="P465" s="123"/>
      <c r="Q465" s="119"/>
      <c r="R465" s="118"/>
    </row>
    <row r="466" spans="1:18" ht="13">
      <c r="A466" s="105"/>
      <c r="B466" s="97"/>
      <c r="C466" s="123"/>
      <c r="D466" s="118"/>
      <c r="E466" s="123"/>
      <c r="F466" s="123"/>
      <c r="G466" s="118"/>
      <c r="H466" s="118"/>
      <c r="I466" s="118"/>
      <c r="J466" s="119"/>
      <c r="K466" s="123"/>
      <c r="L466" s="123"/>
      <c r="M466" s="123"/>
      <c r="N466" s="123"/>
      <c r="O466" s="123"/>
      <c r="P466" s="123"/>
      <c r="Q466" s="119"/>
      <c r="R466" s="118"/>
    </row>
    <row r="467" spans="1:18" ht="13">
      <c r="A467" s="105"/>
      <c r="B467" s="97"/>
      <c r="C467" s="123"/>
      <c r="D467" s="118"/>
      <c r="E467" s="123"/>
      <c r="F467" s="123"/>
      <c r="G467" s="118"/>
      <c r="H467" s="118"/>
      <c r="I467" s="118"/>
      <c r="J467" s="119"/>
      <c r="K467" s="123"/>
      <c r="L467" s="123"/>
      <c r="M467" s="123"/>
      <c r="N467" s="123"/>
      <c r="O467" s="123"/>
      <c r="P467" s="123"/>
      <c r="Q467" s="119"/>
      <c r="R467" s="118"/>
    </row>
    <row r="468" spans="1:18" ht="13">
      <c r="A468" s="105"/>
      <c r="B468" s="97"/>
      <c r="C468" s="123"/>
      <c r="D468" s="118"/>
      <c r="E468" s="123"/>
      <c r="F468" s="123"/>
      <c r="G468" s="118"/>
      <c r="H468" s="118"/>
      <c r="I468" s="118"/>
      <c r="J468" s="119"/>
      <c r="K468" s="123"/>
      <c r="L468" s="123"/>
      <c r="M468" s="123"/>
      <c r="N468" s="123"/>
      <c r="O468" s="123"/>
      <c r="P468" s="123"/>
      <c r="Q468" s="119"/>
      <c r="R468" s="118"/>
    </row>
    <row r="469" spans="1:18" ht="13">
      <c r="A469" s="105"/>
      <c r="B469" s="97"/>
      <c r="C469" s="123"/>
      <c r="D469" s="118"/>
      <c r="E469" s="123"/>
      <c r="F469" s="123"/>
      <c r="G469" s="118"/>
      <c r="H469" s="118"/>
      <c r="I469" s="118"/>
      <c r="J469" s="119"/>
      <c r="K469" s="123"/>
      <c r="L469" s="123"/>
      <c r="M469" s="123"/>
      <c r="N469" s="123"/>
      <c r="O469" s="123"/>
      <c r="P469" s="123"/>
      <c r="Q469" s="119"/>
      <c r="R469" s="118"/>
    </row>
    <row r="470" spans="1:18" ht="13">
      <c r="A470" s="105"/>
      <c r="B470" s="97"/>
      <c r="C470" s="123"/>
      <c r="D470" s="118"/>
      <c r="E470" s="123"/>
      <c r="F470" s="123"/>
      <c r="G470" s="118"/>
      <c r="H470" s="118"/>
      <c r="I470" s="118"/>
      <c r="J470" s="119"/>
      <c r="K470" s="123"/>
      <c r="L470" s="123"/>
      <c r="M470" s="123"/>
      <c r="N470" s="123"/>
      <c r="O470" s="123"/>
      <c r="P470" s="123"/>
      <c r="Q470" s="119"/>
      <c r="R470" s="118"/>
    </row>
    <row r="471" spans="1:18" ht="13">
      <c r="A471" s="105"/>
      <c r="B471" s="97"/>
      <c r="C471" s="123"/>
      <c r="D471" s="118"/>
      <c r="E471" s="123"/>
      <c r="F471" s="123"/>
      <c r="G471" s="118"/>
      <c r="H471" s="118"/>
      <c r="I471" s="118"/>
      <c r="J471" s="119"/>
      <c r="K471" s="123"/>
      <c r="L471" s="123"/>
      <c r="M471" s="123"/>
      <c r="N471" s="123"/>
      <c r="O471" s="123"/>
      <c r="P471" s="123"/>
      <c r="Q471" s="119"/>
      <c r="R471" s="118"/>
    </row>
    <row r="472" spans="1:18" ht="13">
      <c r="A472" s="105"/>
      <c r="B472" s="97"/>
      <c r="C472" s="123"/>
      <c r="D472" s="118"/>
      <c r="E472" s="123"/>
      <c r="F472" s="123"/>
      <c r="G472" s="118"/>
      <c r="H472" s="118"/>
      <c r="I472" s="118"/>
      <c r="J472" s="119"/>
      <c r="K472" s="123"/>
      <c r="L472" s="123"/>
      <c r="M472" s="123"/>
      <c r="N472" s="123"/>
      <c r="O472" s="123"/>
      <c r="P472" s="123"/>
      <c r="Q472" s="119"/>
      <c r="R472" s="118"/>
    </row>
    <row r="473" spans="1:18" ht="13">
      <c r="A473" s="105"/>
      <c r="B473" s="97"/>
      <c r="C473" s="123"/>
      <c r="D473" s="118"/>
      <c r="E473" s="123"/>
      <c r="F473" s="123"/>
      <c r="G473" s="118"/>
      <c r="H473" s="118"/>
      <c r="I473" s="118"/>
      <c r="J473" s="119"/>
      <c r="K473" s="123"/>
      <c r="L473" s="123"/>
      <c r="M473" s="123"/>
      <c r="N473" s="123"/>
      <c r="O473" s="123"/>
      <c r="P473" s="123"/>
      <c r="Q473" s="119"/>
      <c r="R473" s="118"/>
    </row>
    <row r="474" spans="1:18" ht="13">
      <c r="A474" s="105"/>
      <c r="B474" s="97"/>
      <c r="C474" s="123"/>
      <c r="D474" s="118"/>
      <c r="E474" s="123"/>
      <c r="F474" s="123"/>
      <c r="G474" s="118"/>
      <c r="H474" s="118"/>
      <c r="I474" s="118"/>
      <c r="J474" s="119"/>
      <c r="K474" s="123"/>
      <c r="L474" s="123"/>
      <c r="M474" s="123"/>
      <c r="N474" s="123"/>
      <c r="O474" s="123"/>
      <c r="P474" s="123"/>
      <c r="Q474" s="119"/>
      <c r="R474" s="118"/>
    </row>
    <row r="475" spans="1:18" ht="13">
      <c r="A475" s="105"/>
      <c r="B475" s="97"/>
      <c r="C475" s="123"/>
      <c r="D475" s="118"/>
      <c r="E475" s="123"/>
      <c r="F475" s="123"/>
      <c r="G475" s="118"/>
      <c r="H475" s="118"/>
      <c r="I475" s="118"/>
      <c r="J475" s="119"/>
      <c r="K475" s="123"/>
      <c r="L475" s="123"/>
      <c r="M475" s="123"/>
      <c r="N475" s="123"/>
      <c r="O475" s="123"/>
      <c r="P475" s="123"/>
      <c r="Q475" s="119"/>
      <c r="R475" s="118"/>
    </row>
    <row r="476" spans="1:18" ht="13">
      <c r="A476" s="105"/>
      <c r="B476" s="97"/>
      <c r="C476" s="123"/>
      <c r="D476" s="118"/>
      <c r="E476" s="123"/>
      <c r="F476" s="123"/>
      <c r="G476" s="118"/>
      <c r="H476" s="118"/>
      <c r="I476" s="118"/>
      <c r="J476" s="119"/>
      <c r="K476" s="123"/>
      <c r="L476" s="123"/>
      <c r="M476" s="123"/>
      <c r="N476" s="123"/>
      <c r="O476" s="123"/>
      <c r="P476" s="123"/>
      <c r="Q476" s="119"/>
      <c r="R476" s="118"/>
    </row>
    <row r="477" spans="1:18" ht="13">
      <c r="A477" s="105"/>
      <c r="B477" s="97"/>
      <c r="C477" s="123"/>
      <c r="D477" s="118"/>
      <c r="E477" s="123"/>
      <c r="F477" s="123"/>
      <c r="G477" s="118"/>
      <c r="H477" s="118"/>
      <c r="I477" s="118"/>
      <c r="J477" s="119"/>
      <c r="K477" s="123"/>
      <c r="L477" s="123"/>
      <c r="M477" s="123"/>
      <c r="N477" s="123"/>
      <c r="O477" s="123"/>
      <c r="P477" s="123"/>
      <c r="Q477" s="119"/>
      <c r="R477" s="118"/>
    </row>
    <row r="478" spans="1:18" ht="13">
      <c r="A478" s="105"/>
      <c r="B478" s="97"/>
      <c r="C478" s="123"/>
      <c r="D478" s="118"/>
      <c r="E478" s="123"/>
      <c r="F478" s="123"/>
      <c r="G478" s="118"/>
      <c r="H478" s="118"/>
      <c r="I478" s="118"/>
      <c r="J478" s="119"/>
      <c r="K478" s="123"/>
      <c r="L478" s="123"/>
      <c r="M478" s="123"/>
      <c r="N478" s="123"/>
      <c r="O478" s="123"/>
      <c r="P478" s="123"/>
      <c r="Q478" s="119"/>
      <c r="R478" s="118"/>
    </row>
    <row r="479" spans="1:18" ht="13">
      <c r="A479" s="105"/>
      <c r="B479" s="97"/>
      <c r="C479" s="123"/>
      <c r="D479" s="118"/>
      <c r="E479" s="123"/>
      <c r="F479" s="123"/>
      <c r="G479" s="118"/>
      <c r="H479" s="118"/>
      <c r="I479" s="118"/>
      <c r="J479" s="119"/>
      <c r="K479" s="123"/>
      <c r="L479" s="123"/>
      <c r="M479" s="123"/>
      <c r="N479" s="123"/>
      <c r="O479" s="123"/>
      <c r="P479" s="123"/>
      <c r="Q479" s="119"/>
      <c r="R479" s="118"/>
    </row>
    <row r="480" spans="1:18" ht="13">
      <c r="A480" s="105"/>
      <c r="B480" s="97"/>
      <c r="C480" s="123"/>
      <c r="D480" s="118"/>
      <c r="E480" s="123"/>
      <c r="F480" s="123"/>
      <c r="G480" s="118"/>
      <c r="H480" s="118"/>
      <c r="I480" s="118"/>
      <c r="J480" s="119"/>
      <c r="K480" s="123"/>
      <c r="L480" s="123"/>
      <c r="M480" s="123"/>
      <c r="N480" s="123"/>
      <c r="O480" s="123"/>
      <c r="P480" s="123"/>
      <c r="Q480" s="119"/>
      <c r="R480" s="118"/>
    </row>
    <row r="481" spans="1:18" ht="13">
      <c r="A481" s="105"/>
      <c r="B481" s="97"/>
      <c r="C481" s="123"/>
      <c r="D481" s="118"/>
      <c r="E481" s="123"/>
      <c r="F481" s="123"/>
      <c r="G481" s="118"/>
      <c r="H481" s="118"/>
      <c r="I481" s="118"/>
      <c r="J481" s="119"/>
      <c r="K481" s="123"/>
      <c r="L481" s="123"/>
      <c r="M481" s="123"/>
      <c r="N481" s="123"/>
      <c r="O481" s="123"/>
      <c r="P481" s="123"/>
      <c r="Q481" s="119"/>
      <c r="R481" s="118"/>
    </row>
    <row r="482" spans="1:18" ht="13">
      <c r="A482" s="105"/>
      <c r="B482" s="97"/>
      <c r="C482" s="123"/>
      <c r="D482" s="118"/>
      <c r="E482" s="123"/>
      <c r="F482" s="123"/>
      <c r="G482" s="118"/>
      <c r="H482" s="118"/>
      <c r="I482" s="118"/>
      <c r="J482" s="119"/>
      <c r="K482" s="123"/>
      <c r="L482" s="123"/>
      <c r="M482" s="123"/>
      <c r="N482" s="123"/>
      <c r="O482" s="123"/>
      <c r="P482" s="123"/>
      <c r="Q482" s="119"/>
      <c r="R482" s="118"/>
    </row>
    <row r="483" spans="1:18" ht="13">
      <c r="A483" s="105"/>
      <c r="B483" s="97"/>
      <c r="C483" s="123"/>
      <c r="D483" s="118"/>
      <c r="E483" s="123"/>
      <c r="F483" s="123"/>
      <c r="G483" s="118"/>
      <c r="H483" s="118"/>
      <c r="I483" s="118"/>
      <c r="J483" s="119"/>
      <c r="K483" s="123"/>
      <c r="L483" s="123"/>
      <c r="M483" s="123"/>
      <c r="N483" s="123"/>
      <c r="O483" s="123"/>
      <c r="P483" s="123"/>
      <c r="Q483" s="119"/>
      <c r="R483" s="118"/>
    </row>
    <row r="484" spans="1:18" ht="13">
      <c r="A484" s="105"/>
      <c r="B484" s="97"/>
      <c r="C484" s="123"/>
      <c r="D484" s="118"/>
      <c r="E484" s="123"/>
      <c r="F484" s="123"/>
      <c r="G484" s="118"/>
      <c r="H484" s="118"/>
      <c r="I484" s="118"/>
      <c r="J484" s="119"/>
      <c r="K484" s="123"/>
      <c r="L484" s="123"/>
      <c r="M484" s="123"/>
      <c r="N484" s="123"/>
      <c r="O484" s="123"/>
      <c r="P484" s="123"/>
      <c r="Q484" s="119"/>
      <c r="R484" s="118"/>
    </row>
    <row r="485" spans="1:18" ht="13">
      <c r="A485" s="105"/>
      <c r="B485" s="97"/>
      <c r="C485" s="123"/>
      <c r="D485" s="118"/>
      <c r="E485" s="123"/>
      <c r="F485" s="123"/>
      <c r="G485" s="118"/>
      <c r="H485" s="118"/>
      <c r="I485" s="118"/>
      <c r="J485" s="119"/>
      <c r="K485" s="123"/>
      <c r="L485" s="123"/>
      <c r="M485" s="123"/>
      <c r="N485" s="123"/>
      <c r="O485" s="123"/>
      <c r="P485" s="123"/>
      <c r="Q485" s="119"/>
      <c r="R485" s="118"/>
    </row>
    <row r="486" spans="1:18" ht="13">
      <c r="A486" s="105"/>
      <c r="B486" s="97"/>
      <c r="C486" s="123"/>
      <c r="D486" s="118"/>
      <c r="E486" s="123"/>
      <c r="F486" s="123"/>
      <c r="G486" s="118"/>
      <c r="H486" s="118"/>
      <c r="I486" s="118"/>
      <c r="J486" s="119"/>
      <c r="K486" s="123"/>
      <c r="L486" s="123"/>
      <c r="M486" s="123"/>
      <c r="N486" s="123"/>
      <c r="O486" s="123"/>
      <c r="P486" s="123"/>
      <c r="Q486" s="119"/>
      <c r="R486" s="118"/>
    </row>
    <row r="487" spans="1:18" ht="13">
      <c r="A487" s="105"/>
      <c r="B487" s="97"/>
      <c r="C487" s="123"/>
      <c r="D487" s="118"/>
      <c r="E487" s="123"/>
      <c r="F487" s="123"/>
      <c r="G487" s="118"/>
      <c r="H487" s="118"/>
      <c r="I487" s="118"/>
      <c r="J487" s="119"/>
      <c r="K487" s="123"/>
      <c r="L487" s="123"/>
      <c r="M487" s="123"/>
      <c r="N487" s="123"/>
      <c r="O487" s="123"/>
      <c r="P487" s="123"/>
      <c r="Q487" s="119"/>
      <c r="R487" s="118"/>
    </row>
    <row r="488" spans="1:18" ht="13">
      <c r="A488" s="105"/>
      <c r="B488" s="97"/>
      <c r="C488" s="123"/>
      <c r="D488" s="118"/>
      <c r="E488" s="123"/>
      <c r="F488" s="123"/>
      <c r="G488" s="118"/>
      <c r="H488" s="118"/>
      <c r="I488" s="118"/>
      <c r="J488" s="119"/>
      <c r="K488" s="123"/>
      <c r="L488" s="123"/>
      <c r="M488" s="123"/>
      <c r="N488" s="123"/>
      <c r="O488" s="123"/>
      <c r="P488" s="123"/>
      <c r="Q488" s="119"/>
      <c r="R488" s="118"/>
    </row>
    <row r="489" spans="1:18" ht="13">
      <c r="A489" s="105"/>
      <c r="B489" s="97"/>
      <c r="C489" s="123"/>
      <c r="D489" s="118"/>
      <c r="E489" s="123"/>
      <c r="F489" s="123"/>
      <c r="G489" s="118"/>
      <c r="H489" s="118"/>
      <c r="I489" s="118"/>
      <c r="J489" s="119"/>
      <c r="K489" s="123"/>
      <c r="L489" s="123"/>
      <c r="M489" s="123"/>
      <c r="N489" s="123"/>
      <c r="O489" s="123"/>
      <c r="P489" s="123"/>
      <c r="Q489" s="119"/>
      <c r="R489" s="118"/>
    </row>
    <row r="490" spans="1:18" ht="13">
      <c r="A490" s="105"/>
      <c r="B490" s="97"/>
      <c r="C490" s="123"/>
      <c r="D490" s="118"/>
      <c r="E490" s="123"/>
      <c r="F490" s="123"/>
      <c r="G490" s="118"/>
      <c r="H490" s="118"/>
      <c r="I490" s="118"/>
      <c r="J490" s="119"/>
      <c r="K490" s="123"/>
      <c r="L490" s="123"/>
      <c r="M490" s="123"/>
      <c r="N490" s="123"/>
      <c r="O490" s="123"/>
      <c r="P490" s="123"/>
      <c r="Q490" s="119"/>
      <c r="R490" s="118"/>
    </row>
    <row r="491" spans="1:18" ht="13">
      <c r="A491" s="105"/>
      <c r="B491" s="97"/>
      <c r="C491" s="123"/>
      <c r="D491" s="118"/>
      <c r="E491" s="123"/>
      <c r="F491" s="123"/>
      <c r="G491" s="118"/>
      <c r="H491" s="118"/>
      <c r="I491" s="118"/>
      <c r="J491" s="119"/>
      <c r="K491" s="123"/>
      <c r="L491" s="123"/>
      <c r="M491" s="123"/>
      <c r="N491" s="123"/>
      <c r="O491" s="123"/>
      <c r="P491" s="123"/>
      <c r="Q491" s="119"/>
      <c r="R491" s="118"/>
    </row>
    <row r="492" spans="1:18" ht="13">
      <c r="A492" s="105"/>
      <c r="B492" s="97"/>
      <c r="C492" s="123"/>
      <c r="D492" s="118"/>
      <c r="E492" s="123"/>
      <c r="F492" s="123"/>
      <c r="G492" s="118"/>
      <c r="H492" s="118"/>
      <c r="I492" s="118"/>
      <c r="J492" s="119"/>
      <c r="K492" s="123"/>
      <c r="L492" s="123"/>
      <c r="M492" s="123"/>
      <c r="N492" s="123"/>
      <c r="O492" s="123"/>
      <c r="P492" s="123"/>
      <c r="Q492" s="119"/>
      <c r="R492" s="118"/>
    </row>
    <row r="493" spans="1:18" ht="13">
      <c r="A493" s="105"/>
      <c r="B493" s="97"/>
      <c r="C493" s="123"/>
      <c r="D493" s="118"/>
      <c r="E493" s="123"/>
      <c r="F493" s="123"/>
      <c r="G493" s="118"/>
      <c r="H493" s="118"/>
      <c r="I493" s="118"/>
      <c r="J493" s="119"/>
      <c r="K493" s="123"/>
      <c r="L493" s="123"/>
      <c r="M493" s="123"/>
      <c r="N493" s="123"/>
      <c r="O493" s="123"/>
      <c r="P493" s="123"/>
      <c r="Q493" s="119"/>
      <c r="R493" s="118"/>
    </row>
    <row r="494" spans="1:18" ht="13">
      <c r="A494" s="105"/>
      <c r="B494" s="97"/>
      <c r="C494" s="123"/>
      <c r="D494" s="118"/>
      <c r="E494" s="123"/>
      <c r="F494" s="123"/>
      <c r="G494" s="118"/>
      <c r="H494" s="118"/>
      <c r="I494" s="118"/>
      <c r="J494" s="119"/>
      <c r="K494" s="123"/>
      <c r="L494" s="123"/>
      <c r="M494" s="123"/>
      <c r="N494" s="123"/>
      <c r="O494" s="123"/>
      <c r="P494" s="123"/>
      <c r="Q494" s="119"/>
      <c r="R494" s="118"/>
    </row>
    <row r="495" spans="1:18" ht="13">
      <c r="A495" s="105"/>
      <c r="B495" s="97"/>
      <c r="C495" s="123"/>
      <c r="D495" s="118"/>
      <c r="E495" s="123"/>
      <c r="F495" s="123"/>
      <c r="G495" s="118"/>
      <c r="H495" s="118"/>
      <c r="I495" s="118"/>
      <c r="J495" s="119"/>
      <c r="K495" s="123"/>
      <c r="L495" s="123"/>
      <c r="M495" s="123"/>
      <c r="N495" s="123"/>
      <c r="O495" s="123"/>
      <c r="P495" s="123"/>
      <c r="Q495" s="119"/>
      <c r="R495" s="118"/>
    </row>
    <row r="496" spans="1:18" ht="13">
      <c r="A496" s="105"/>
      <c r="B496" s="97"/>
      <c r="C496" s="123"/>
      <c r="D496" s="118"/>
      <c r="E496" s="123"/>
      <c r="F496" s="123"/>
      <c r="G496" s="118"/>
      <c r="H496" s="118"/>
      <c r="I496" s="118"/>
      <c r="J496" s="119"/>
      <c r="K496" s="123"/>
      <c r="L496" s="123"/>
      <c r="M496" s="123"/>
      <c r="N496" s="123"/>
      <c r="O496" s="123"/>
      <c r="P496" s="123"/>
      <c r="Q496" s="119"/>
      <c r="R496" s="118"/>
    </row>
    <row r="497" spans="1:18" ht="13">
      <c r="A497" s="105"/>
      <c r="B497" s="97"/>
      <c r="C497" s="123"/>
      <c r="D497" s="118"/>
      <c r="E497" s="123"/>
      <c r="F497" s="123"/>
      <c r="G497" s="118"/>
      <c r="H497" s="118"/>
      <c r="I497" s="118"/>
      <c r="J497" s="119"/>
      <c r="K497" s="123"/>
      <c r="L497" s="123"/>
      <c r="M497" s="123"/>
      <c r="N497" s="123"/>
      <c r="O497" s="123"/>
      <c r="P497" s="123"/>
      <c r="Q497" s="119"/>
      <c r="R497" s="118"/>
    </row>
    <row r="498" spans="1:18" ht="13">
      <c r="A498" s="105"/>
      <c r="B498" s="97"/>
      <c r="C498" s="123"/>
      <c r="D498" s="118"/>
      <c r="E498" s="123"/>
      <c r="F498" s="123"/>
      <c r="G498" s="118"/>
      <c r="H498" s="118"/>
      <c r="I498" s="118"/>
      <c r="J498" s="119"/>
      <c r="K498" s="123"/>
      <c r="L498" s="123"/>
      <c r="M498" s="123"/>
      <c r="N498" s="123"/>
      <c r="O498" s="123"/>
      <c r="P498" s="123"/>
      <c r="Q498" s="119"/>
      <c r="R498" s="118"/>
    </row>
    <row r="499" spans="1:18" ht="13">
      <c r="A499" s="105"/>
      <c r="B499" s="97"/>
      <c r="C499" s="123"/>
      <c r="D499" s="118"/>
      <c r="E499" s="123"/>
      <c r="F499" s="123"/>
      <c r="G499" s="118"/>
      <c r="H499" s="118"/>
      <c r="I499" s="118"/>
      <c r="J499" s="119"/>
      <c r="K499" s="123"/>
      <c r="L499" s="123"/>
      <c r="M499" s="123"/>
      <c r="N499" s="123"/>
      <c r="O499" s="123"/>
      <c r="P499" s="123"/>
      <c r="Q499" s="119"/>
      <c r="R499" s="118"/>
    </row>
    <row r="500" spans="1:18" ht="13">
      <c r="A500" s="105"/>
      <c r="B500" s="97"/>
      <c r="C500" s="123"/>
      <c r="D500" s="118"/>
      <c r="E500" s="123"/>
      <c r="F500" s="123"/>
      <c r="G500" s="118"/>
      <c r="H500" s="118"/>
      <c r="I500" s="118"/>
      <c r="J500" s="119"/>
      <c r="K500" s="123"/>
      <c r="L500" s="123"/>
      <c r="M500" s="123"/>
      <c r="N500" s="123"/>
      <c r="O500" s="123"/>
      <c r="P500" s="123"/>
      <c r="Q500" s="119"/>
      <c r="R500" s="118"/>
    </row>
    <row r="501" spans="1:18" ht="13">
      <c r="A501" s="105"/>
      <c r="B501" s="97"/>
      <c r="C501" s="123"/>
      <c r="D501" s="118"/>
      <c r="E501" s="123"/>
      <c r="F501" s="123"/>
      <c r="G501" s="118"/>
      <c r="H501" s="118"/>
      <c r="I501" s="118"/>
      <c r="J501" s="119"/>
      <c r="K501" s="123"/>
      <c r="L501" s="123"/>
      <c r="M501" s="123"/>
      <c r="N501" s="123"/>
      <c r="O501" s="123"/>
      <c r="P501" s="123"/>
      <c r="Q501" s="119"/>
      <c r="R501" s="118"/>
    </row>
    <row r="502" spans="1:18" ht="13">
      <c r="A502" s="105"/>
      <c r="B502" s="97"/>
      <c r="C502" s="123"/>
      <c r="D502" s="118"/>
      <c r="E502" s="123"/>
      <c r="F502" s="123"/>
      <c r="G502" s="118"/>
      <c r="H502" s="118"/>
      <c r="I502" s="118"/>
      <c r="J502" s="119"/>
      <c r="K502" s="123"/>
      <c r="L502" s="123"/>
      <c r="M502" s="123"/>
      <c r="N502" s="123"/>
      <c r="O502" s="123"/>
      <c r="P502" s="123"/>
      <c r="Q502" s="119"/>
      <c r="R502" s="118"/>
    </row>
    <row r="503" spans="1:18" ht="13">
      <c r="A503" s="105"/>
      <c r="B503" s="97"/>
      <c r="C503" s="123"/>
      <c r="D503" s="118"/>
      <c r="E503" s="123"/>
      <c r="F503" s="123"/>
      <c r="G503" s="118"/>
      <c r="H503" s="118"/>
      <c r="I503" s="118"/>
      <c r="J503" s="119"/>
      <c r="K503" s="123"/>
      <c r="L503" s="123"/>
      <c r="M503" s="123"/>
      <c r="N503" s="123"/>
      <c r="O503" s="123"/>
      <c r="P503" s="123"/>
      <c r="Q503" s="119"/>
      <c r="R503" s="118"/>
    </row>
    <row r="504" spans="1:18" ht="13">
      <c r="A504" s="105"/>
      <c r="B504" s="97"/>
      <c r="C504" s="123"/>
      <c r="D504" s="118"/>
      <c r="E504" s="123"/>
      <c r="F504" s="123"/>
      <c r="G504" s="118"/>
      <c r="H504" s="118"/>
      <c r="I504" s="118"/>
      <c r="J504" s="119"/>
      <c r="K504" s="123"/>
      <c r="L504" s="123"/>
      <c r="M504" s="123"/>
      <c r="N504" s="123"/>
      <c r="O504" s="123"/>
      <c r="P504" s="123"/>
      <c r="Q504" s="119"/>
      <c r="R504" s="118"/>
    </row>
    <row r="505" spans="1:18" ht="13">
      <c r="A505" s="105"/>
      <c r="B505" s="97"/>
      <c r="C505" s="123"/>
      <c r="D505" s="118"/>
      <c r="E505" s="123"/>
      <c r="F505" s="123"/>
      <c r="G505" s="118"/>
      <c r="H505" s="118"/>
      <c r="I505" s="118"/>
      <c r="J505" s="119"/>
      <c r="K505" s="123"/>
      <c r="L505" s="123"/>
      <c r="M505" s="123"/>
      <c r="N505" s="123"/>
      <c r="O505" s="123"/>
      <c r="P505" s="123"/>
      <c r="Q505" s="119"/>
      <c r="R505" s="118"/>
    </row>
    <row r="506" spans="1:18" ht="13">
      <c r="A506" s="105"/>
      <c r="B506" s="97"/>
      <c r="C506" s="123"/>
      <c r="D506" s="118"/>
      <c r="E506" s="123"/>
      <c r="F506" s="123"/>
      <c r="G506" s="118"/>
      <c r="H506" s="118"/>
      <c r="I506" s="118"/>
      <c r="J506" s="119"/>
      <c r="K506" s="123"/>
      <c r="L506" s="123"/>
      <c r="M506" s="123"/>
      <c r="N506" s="123"/>
      <c r="O506" s="123"/>
      <c r="P506" s="123"/>
      <c r="Q506" s="119"/>
      <c r="R506" s="118"/>
    </row>
    <row r="507" spans="1:18" ht="13">
      <c r="A507" s="105"/>
      <c r="B507" s="97"/>
      <c r="C507" s="123"/>
      <c r="D507" s="118"/>
      <c r="E507" s="123"/>
      <c r="F507" s="123"/>
      <c r="G507" s="118"/>
      <c r="H507" s="118"/>
      <c r="I507" s="118"/>
      <c r="J507" s="119"/>
      <c r="K507" s="123"/>
      <c r="L507" s="123"/>
      <c r="M507" s="123"/>
      <c r="N507" s="123"/>
      <c r="O507" s="123"/>
      <c r="P507" s="123"/>
      <c r="Q507" s="119"/>
      <c r="R507" s="118"/>
    </row>
    <row r="508" spans="1:18" ht="13">
      <c r="A508" s="105"/>
      <c r="B508" s="97"/>
      <c r="C508" s="123"/>
      <c r="D508" s="118"/>
      <c r="E508" s="123"/>
      <c r="F508" s="123"/>
      <c r="G508" s="118"/>
      <c r="H508" s="118"/>
      <c r="I508" s="118"/>
      <c r="J508" s="119"/>
      <c r="K508" s="123"/>
      <c r="L508" s="123"/>
      <c r="M508" s="123"/>
      <c r="N508" s="123"/>
      <c r="O508" s="123"/>
      <c r="P508" s="123"/>
      <c r="Q508" s="119"/>
      <c r="R508" s="118"/>
    </row>
    <row r="509" spans="1:18" ht="13">
      <c r="A509" s="105"/>
      <c r="B509" s="97"/>
      <c r="C509" s="123"/>
      <c r="D509" s="118"/>
      <c r="E509" s="123"/>
      <c r="F509" s="123"/>
      <c r="G509" s="118"/>
      <c r="H509" s="118"/>
      <c r="I509" s="118"/>
      <c r="J509" s="119"/>
      <c r="K509" s="123"/>
      <c r="L509" s="123"/>
      <c r="M509" s="123"/>
      <c r="N509" s="123"/>
      <c r="O509" s="123"/>
      <c r="P509" s="123"/>
      <c r="Q509" s="119"/>
      <c r="R509" s="118"/>
    </row>
    <row r="510" spans="1:18" ht="13">
      <c r="A510" s="105"/>
      <c r="B510" s="97"/>
      <c r="C510" s="123"/>
      <c r="D510" s="118"/>
      <c r="E510" s="123"/>
      <c r="F510" s="123"/>
      <c r="G510" s="118"/>
      <c r="H510" s="118"/>
      <c r="I510" s="118"/>
      <c r="J510" s="119"/>
      <c r="K510" s="123"/>
      <c r="L510" s="123"/>
      <c r="M510" s="123"/>
      <c r="N510" s="123"/>
      <c r="O510" s="123"/>
      <c r="P510" s="123"/>
      <c r="Q510" s="119"/>
      <c r="R510" s="118"/>
    </row>
    <row r="511" spans="1:18" ht="13">
      <c r="A511" s="105"/>
      <c r="B511" s="97"/>
      <c r="C511" s="123"/>
      <c r="D511" s="118"/>
      <c r="E511" s="123"/>
      <c r="F511" s="123"/>
      <c r="G511" s="118"/>
      <c r="H511" s="118"/>
      <c r="I511" s="118"/>
      <c r="J511" s="119"/>
      <c r="K511" s="123"/>
      <c r="L511" s="123"/>
      <c r="M511" s="123"/>
      <c r="N511" s="123"/>
      <c r="O511" s="123"/>
      <c r="P511" s="123"/>
      <c r="Q511" s="119"/>
      <c r="R511" s="118"/>
    </row>
    <row r="512" spans="1:18" ht="13">
      <c r="A512" s="105"/>
      <c r="B512" s="97"/>
      <c r="C512" s="123"/>
      <c r="D512" s="118"/>
      <c r="E512" s="123"/>
      <c r="F512" s="123"/>
      <c r="G512" s="118"/>
      <c r="H512" s="118"/>
      <c r="I512" s="118"/>
      <c r="J512" s="119"/>
      <c r="K512" s="123"/>
      <c r="L512" s="123"/>
      <c r="M512" s="123"/>
      <c r="N512" s="123"/>
      <c r="O512" s="123"/>
      <c r="P512" s="123"/>
      <c r="Q512" s="119"/>
      <c r="R512" s="118"/>
    </row>
    <row r="513" spans="1:18" ht="13">
      <c r="A513" s="105"/>
      <c r="B513" s="97"/>
      <c r="C513" s="123"/>
      <c r="D513" s="118"/>
      <c r="E513" s="123"/>
      <c r="F513" s="123"/>
      <c r="G513" s="118"/>
      <c r="H513" s="118"/>
      <c r="I513" s="118"/>
      <c r="J513" s="119"/>
      <c r="K513" s="123"/>
      <c r="L513" s="123"/>
      <c r="M513" s="123"/>
      <c r="N513" s="123"/>
      <c r="O513" s="123"/>
      <c r="P513" s="123"/>
      <c r="Q513" s="119"/>
      <c r="R513" s="118"/>
    </row>
    <row r="514" spans="1:18" ht="13">
      <c r="A514" s="105"/>
      <c r="B514" s="97"/>
      <c r="C514" s="123"/>
      <c r="D514" s="118"/>
      <c r="E514" s="123"/>
      <c r="F514" s="123"/>
      <c r="G514" s="118"/>
      <c r="H514" s="118"/>
      <c r="I514" s="118"/>
      <c r="J514" s="119"/>
      <c r="K514" s="123"/>
      <c r="L514" s="123"/>
      <c r="M514" s="123"/>
      <c r="N514" s="123"/>
      <c r="O514" s="123"/>
      <c r="P514" s="123"/>
      <c r="Q514" s="119"/>
      <c r="R514" s="118"/>
    </row>
    <row r="515" spans="1:18" ht="13">
      <c r="A515" s="105"/>
      <c r="B515" s="97"/>
      <c r="C515" s="123"/>
      <c r="D515" s="118"/>
      <c r="E515" s="123"/>
      <c r="F515" s="123"/>
      <c r="G515" s="118"/>
      <c r="H515" s="118"/>
      <c r="I515" s="118"/>
      <c r="J515" s="119"/>
      <c r="K515" s="123"/>
      <c r="L515" s="123"/>
      <c r="M515" s="123"/>
      <c r="N515" s="123"/>
      <c r="O515" s="123"/>
      <c r="P515" s="123"/>
      <c r="Q515" s="119"/>
      <c r="R515" s="118"/>
    </row>
    <row r="516" spans="1:18" ht="13">
      <c r="A516" s="105"/>
      <c r="B516" s="97"/>
      <c r="C516" s="123"/>
      <c r="D516" s="118"/>
      <c r="E516" s="123"/>
      <c r="F516" s="123"/>
      <c r="G516" s="118"/>
      <c r="H516" s="118"/>
      <c r="I516" s="118"/>
      <c r="J516" s="119"/>
      <c r="K516" s="123"/>
      <c r="L516" s="123"/>
      <c r="M516" s="123"/>
      <c r="N516" s="123"/>
      <c r="O516" s="123"/>
      <c r="P516" s="123"/>
      <c r="Q516" s="119"/>
      <c r="R516" s="118"/>
    </row>
    <row r="517" spans="1:18" ht="13">
      <c r="A517" s="105"/>
      <c r="B517" s="97"/>
      <c r="C517" s="123"/>
      <c r="D517" s="118"/>
      <c r="E517" s="123"/>
      <c r="F517" s="123"/>
      <c r="G517" s="118"/>
      <c r="H517" s="118"/>
      <c r="I517" s="118"/>
      <c r="J517" s="119"/>
      <c r="K517" s="123"/>
      <c r="L517" s="123"/>
      <c r="M517" s="123"/>
      <c r="N517" s="123"/>
      <c r="O517" s="123"/>
      <c r="P517" s="123"/>
      <c r="Q517" s="119"/>
      <c r="R517" s="118"/>
    </row>
    <row r="518" spans="1:18" ht="13">
      <c r="A518" s="105"/>
      <c r="B518" s="97"/>
      <c r="C518" s="123"/>
      <c r="D518" s="118"/>
      <c r="E518" s="123"/>
      <c r="F518" s="123"/>
      <c r="G518" s="118"/>
      <c r="H518" s="118"/>
      <c r="I518" s="118"/>
      <c r="J518" s="119"/>
      <c r="K518" s="123"/>
      <c r="L518" s="123"/>
      <c r="M518" s="123"/>
      <c r="N518" s="123"/>
      <c r="O518" s="123"/>
      <c r="P518" s="123"/>
      <c r="Q518" s="119"/>
      <c r="R518" s="118"/>
    </row>
    <row r="519" spans="1:18" ht="13">
      <c r="A519" s="105"/>
      <c r="B519" s="97"/>
      <c r="C519" s="123"/>
      <c r="D519" s="118"/>
      <c r="E519" s="123"/>
      <c r="F519" s="123"/>
      <c r="G519" s="118"/>
      <c r="H519" s="118"/>
      <c r="I519" s="118"/>
      <c r="J519" s="119"/>
      <c r="K519" s="123"/>
      <c r="L519" s="123"/>
      <c r="M519" s="123"/>
      <c r="N519" s="123"/>
      <c r="O519" s="123"/>
      <c r="P519" s="123"/>
      <c r="Q519" s="119"/>
      <c r="R519" s="118"/>
    </row>
    <row r="520" spans="1:18" ht="13">
      <c r="A520" s="105"/>
      <c r="B520" s="97"/>
      <c r="C520" s="123"/>
      <c r="D520" s="118"/>
      <c r="E520" s="123"/>
      <c r="F520" s="123"/>
      <c r="G520" s="118"/>
      <c r="H520" s="118"/>
      <c r="I520" s="118"/>
      <c r="J520" s="119"/>
      <c r="K520" s="123"/>
      <c r="L520" s="123"/>
      <c r="M520" s="123"/>
      <c r="N520" s="123"/>
      <c r="O520" s="123"/>
      <c r="P520" s="123"/>
      <c r="Q520" s="119"/>
      <c r="R520" s="118"/>
    </row>
    <row r="521" spans="1:18" ht="13">
      <c r="A521" s="105"/>
      <c r="B521" s="97"/>
      <c r="C521" s="123"/>
      <c r="D521" s="118"/>
      <c r="E521" s="123"/>
      <c r="F521" s="123"/>
      <c r="G521" s="118"/>
      <c r="H521" s="118"/>
      <c r="I521" s="118"/>
      <c r="J521" s="119"/>
      <c r="K521" s="123"/>
      <c r="L521" s="123"/>
      <c r="M521" s="123"/>
      <c r="N521" s="123"/>
      <c r="O521" s="123"/>
      <c r="P521" s="123"/>
      <c r="Q521" s="119"/>
      <c r="R521" s="118"/>
    </row>
    <row r="522" spans="1:18" ht="13">
      <c r="A522" s="105"/>
      <c r="B522" s="97"/>
      <c r="C522" s="123"/>
      <c r="D522" s="118"/>
      <c r="E522" s="123"/>
      <c r="F522" s="123"/>
      <c r="G522" s="118"/>
      <c r="H522" s="118"/>
      <c r="I522" s="118"/>
      <c r="J522" s="119"/>
      <c r="K522" s="123"/>
      <c r="L522" s="123"/>
      <c r="M522" s="123"/>
      <c r="N522" s="123"/>
      <c r="O522" s="123"/>
      <c r="P522" s="123"/>
      <c r="Q522" s="119"/>
      <c r="R522" s="118"/>
    </row>
    <row r="523" spans="1:18" ht="13">
      <c r="A523" s="105"/>
      <c r="B523" s="97"/>
      <c r="C523" s="123"/>
      <c r="D523" s="118"/>
      <c r="E523" s="123"/>
      <c r="F523" s="123"/>
      <c r="G523" s="118"/>
      <c r="H523" s="118"/>
      <c r="I523" s="118"/>
      <c r="J523" s="119"/>
      <c r="K523" s="123"/>
      <c r="L523" s="123"/>
      <c r="M523" s="123"/>
      <c r="N523" s="123"/>
      <c r="O523" s="123"/>
      <c r="P523" s="123"/>
      <c r="Q523" s="119"/>
      <c r="R523" s="118"/>
    </row>
    <row r="524" spans="1:18" ht="13">
      <c r="A524" s="105"/>
      <c r="B524" s="97"/>
      <c r="C524" s="123"/>
      <c r="D524" s="118"/>
      <c r="E524" s="123"/>
      <c r="F524" s="123"/>
      <c r="G524" s="118"/>
      <c r="H524" s="118"/>
      <c r="I524" s="118"/>
      <c r="J524" s="119"/>
      <c r="K524" s="123"/>
      <c r="L524" s="123"/>
      <c r="M524" s="123"/>
      <c r="N524" s="123"/>
      <c r="O524" s="123"/>
      <c r="P524" s="123"/>
      <c r="Q524" s="119"/>
      <c r="R524" s="118"/>
    </row>
    <row r="525" spans="1:18" ht="13">
      <c r="A525" s="105"/>
      <c r="B525" s="97"/>
      <c r="C525" s="123"/>
      <c r="D525" s="118"/>
      <c r="E525" s="123"/>
      <c r="F525" s="123"/>
      <c r="G525" s="118"/>
      <c r="H525" s="118"/>
      <c r="I525" s="118"/>
      <c r="J525" s="119"/>
      <c r="K525" s="123"/>
      <c r="L525" s="123"/>
      <c r="M525" s="123"/>
      <c r="N525" s="123"/>
      <c r="O525" s="123"/>
      <c r="P525" s="123"/>
      <c r="Q525" s="119"/>
      <c r="R525" s="118"/>
    </row>
    <row r="526" spans="1:18" ht="13">
      <c r="A526" s="105"/>
      <c r="B526" s="97"/>
      <c r="C526" s="123"/>
      <c r="D526" s="118"/>
      <c r="E526" s="123"/>
      <c r="F526" s="123"/>
      <c r="G526" s="118"/>
      <c r="H526" s="118"/>
      <c r="I526" s="118"/>
      <c r="J526" s="119"/>
      <c r="K526" s="123"/>
      <c r="L526" s="123"/>
      <c r="M526" s="123"/>
      <c r="N526" s="123"/>
      <c r="O526" s="123"/>
      <c r="P526" s="123"/>
      <c r="Q526" s="119"/>
      <c r="R526" s="118"/>
    </row>
    <row r="527" spans="1:18" ht="13">
      <c r="A527" s="105"/>
      <c r="B527" s="97"/>
      <c r="C527" s="123"/>
      <c r="D527" s="118"/>
      <c r="E527" s="123"/>
      <c r="F527" s="123"/>
      <c r="G527" s="118"/>
      <c r="H527" s="118"/>
      <c r="I527" s="118"/>
      <c r="J527" s="119"/>
      <c r="K527" s="123"/>
      <c r="L527" s="123"/>
      <c r="M527" s="123"/>
      <c r="N527" s="123"/>
      <c r="O527" s="123"/>
      <c r="P527" s="123"/>
      <c r="Q527" s="119"/>
      <c r="R527" s="118"/>
    </row>
    <row r="528" spans="1:18" ht="13">
      <c r="A528" s="105"/>
      <c r="B528" s="97"/>
      <c r="C528" s="123"/>
      <c r="D528" s="118"/>
      <c r="E528" s="123"/>
      <c r="F528" s="123"/>
      <c r="G528" s="118"/>
      <c r="H528" s="118"/>
      <c r="I528" s="118"/>
      <c r="J528" s="119"/>
      <c r="K528" s="123"/>
      <c r="L528" s="123"/>
      <c r="M528" s="123"/>
      <c r="N528" s="123"/>
      <c r="O528" s="123"/>
      <c r="P528" s="123"/>
      <c r="Q528" s="119"/>
      <c r="R528" s="118"/>
    </row>
    <row r="529" spans="1:18" ht="13">
      <c r="A529" s="105"/>
      <c r="B529" s="97"/>
      <c r="C529" s="123"/>
      <c r="D529" s="118"/>
      <c r="E529" s="123"/>
      <c r="F529" s="123"/>
      <c r="G529" s="118"/>
      <c r="H529" s="118"/>
      <c r="I529" s="118"/>
      <c r="J529" s="119"/>
      <c r="K529" s="123"/>
      <c r="L529" s="123"/>
      <c r="M529" s="123"/>
      <c r="N529" s="123"/>
      <c r="O529" s="123"/>
      <c r="P529" s="123"/>
      <c r="Q529" s="119"/>
      <c r="R529" s="118"/>
    </row>
    <row r="530" spans="1:18" ht="13">
      <c r="A530" s="105"/>
      <c r="B530" s="97"/>
      <c r="C530" s="123"/>
      <c r="D530" s="118"/>
      <c r="E530" s="123"/>
      <c r="F530" s="123"/>
      <c r="G530" s="118"/>
      <c r="H530" s="118"/>
      <c r="I530" s="118"/>
      <c r="J530" s="119"/>
      <c r="K530" s="123"/>
      <c r="L530" s="123"/>
      <c r="M530" s="123"/>
      <c r="N530" s="123"/>
      <c r="O530" s="123"/>
      <c r="P530" s="123"/>
      <c r="Q530" s="119"/>
      <c r="R530" s="118"/>
    </row>
    <row r="531" spans="1:18" ht="13">
      <c r="A531" s="105"/>
      <c r="B531" s="97"/>
      <c r="C531" s="123"/>
      <c r="D531" s="118"/>
      <c r="E531" s="123"/>
      <c r="F531" s="123"/>
      <c r="G531" s="118"/>
      <c r="H531" s="118"/>
      <c r="I531" s="118"/>
      <c r="J531" s="119"/>
      <c r="K531" s="123"/>
      <c r="L531" s="123"/>
      <c r="M531" s="123"/>
      <c r="N531" s="123"/>
      <c r="O531" s="123"/>
      <c r="P531" s="123"/>
      <c r="Q531" s="119"/>
      <c r="R531" s="118"/>
    </row>
    <row r="532" spans="1:18" ht="13">
      <c r="A532" s="105"/>
      <c r="B532" s="97"/>
      <c r="C532" s="123"/>
      <c r="D532" s="118"/>
      <c r="E532" s="123"/>
      <c r="F532" s="123"/>
      <c r="G532" s="118"/>
      <c r="H532" s="118"/>
      <c r="I532" s="118"/>
      <c r="J532" s="119"/>
      <c r="K532" s="123"/>
      <c r="L532" s="123"/>
      <c r="M532" s="123"/>
      <c r="N532" s="123"/>
      <c r="O532" s="123"/>
      <c r="P532" s="123"/>
      <c r="Q532" s="119"/>
      <c r="R532" s="118"/>
    </row>
    <row r="533" spans="1:18" ht="13">
      <c r="A533" s="105"/>
      <c r="B533" s="97"/>
      <c r="C533" s="123"/>
      <c r="D533" s="118"/>
      <c r="E533" s="123"/>
      <c r="F533" s="123"/>
      <c r="G533" s="118"/>
      <c r="H533" s="118"/>
      <c r="I533" s="118"/>
      <c r="J533" s="119"/>
      <c r="K533" s="123"/>
      <c r="L533" s="123"/>
      <c r="M533" s="123"/>
      <c r="N533" s="123"/>
      <c r="O533" s="123"/>
      <c r="P533" s="123"/>
      <c r="Q533" s="119"/>
      <c r="R533" s="118"/>
    </row>
    <row r="534" spans="1:18" ht="13">
      <c r="A534" s="105"/>
      <c r="B534" s="97"/>
      <c r="C534" s="123"/>
      <c r="D534" s="118"/>
      <c r="E534" s="123"/>
      <c r="F534" s="123"/>
      <c r="G534" s="118"/>
      <c r="H534" s="118"/>
      <c r="I534" s="118"/>
      <c r="J534" s="119"/>
      <c r="K534" s="123"/>
      <c r="L534" s="123"/>
      <c r="M534" s="123"/>
      <c r="N534" s="123"/>
      <c r="O534" s="123"/>
      <c r="P534" s="123"/>
      <c r="Q534" s="119"/>
      <c r="R534" s="118"/>
    </row>
    <row r="535" spans="1:18" ht="13">
      <c r="A535" s="105"/>
      <c r="B535" s="97"/>
      <c r="C535" s="123"/>
      <c r="D535" s="118"/>
      <c r="E535" s="123"/>
      <c r="F535" s="123"/>
      <c r="G535" s="118"/>
      <c r="H535" s="118"/>
      <c r="I535" s="118"/>
      <c r="J535" s="119"/>
      <c r="K535" s="123"/>
      <c r="L535" s="123"/>
      <c r="M535" s="123"/>
      <c r="N535" s="123"/>
      <c r="O535" s="123"/>
      <c r="P535" s="123"/>
      <c r="Q535" s="119"/>
      <c r="R535" s="118"/>
    </row>
    <row r="536" spans="1:18" ht="13">
      <c r="A536" s="105"/>
      <c r="B536" s="97"/>
      <c r="C536" s="123"/>
      <c r="D536" s="118"/>
      <c r="E536" s="123"/>
      <c r="F536" s="123"/>
      <c r="G536" s="118"/>
      <c r="H536" s="118"/>
      <c r="I536" s="118"/>
      <c r="J536" s="119"/>
      <c r="K536" s="123"/>
      <c r="L536" s="123"/>
      <c r="M536" s="123"/>
      <c r="N536" s="123"/>
      <c r="O536" s="123"/>
      <c r="P536" s="123"/>
      <c r="Q536" s="119"/>
      <c r="R536" s="118"/>
    </row>
    <row r="537" spans="1:18" ht="13">
      <c r="A537" s="105"/>
      <c r="B537" s="97"/>
      <c r="C537" s="123"/>
      <c r="D537" s="118"/>
      <c r="E537" s="123"/>
      <c r="F537" s="123"/>
      <c r="G537" s="118"/>
      <c r="H537" s="118"/>
      <c r="I537" s="118"/>
      <c r="J537" s="119"/>
      <c r="K537" s="123"/>
      <c r="L537" s="123"/>
      <c r="M537" s="123"/>
      <c r="N537" s="123"/>
      <c r="O537" s="123"/>
      <c r="P537" s="123"/>
      <c r="Q537" s="119"/>
      <c r="R537" s="118"/>
    </row>
    <row r="538" spans="1:18" ht="13">
      <c r="A538" s="105"/>
      <c r="B538" s="97"/>
      <c r="C538" s="123"/>
      <c r="D538" s="118"/>
      <c r="E538" s="123"/>
      <c r="F538" s="123"/>
      <c r="G538" s="118"/>
      <c r="H538" s="118"/>
      <c r="I538" s="118"/>
      <c r="J538" s="119"/>
      <c r="K538" s="123"/>
      <c r="L538" s="123"/>
      <c r="M538" s="123"/>
      <c r="N538" s="123"/>
      <c r="O538" s="123"/>
      <c r="P538" s="123"/>
      <c r="Q538" s="119"/>
      <c r="R538" s="118"/>
    </row>
    <row r="539" spans="1:18" ht="13">
      <c r="A539" s="105"/>
      <c r="B539" s="97"/>
      <c r="C539" s="123"/>
      <c r="D539" s="118"/>
      <c r="E539" s="123"/>
      <c r="F539" s="123"/>
      <c r="G539" s="118"/>
      <c r="H539" s="118"/>
      <c r="I539" s="118"/>
      <c r="J539" s="119"/>
      <c r="K539" s="123"/>
      <c r="L539" s="123"/>
      <c r="M539" s="123"/>
      <c r="N539" s="123"/>
      <c r="O539" s="123"/>
      <c r="P539" s="123"/>
      <c r="Q539" s="119"/>
      <c r="R539" s="118"/>
    </row>
    <row r="540" spans="1:18" ht="13">
      <c r="A540" s="105"/>
      <c r="B540" s="97"/>
      <c r="C540" s="123"/>
      <c r="D540" s="118"/>
      <c r="E540" s="123"/>
      <c r="F540" s="123"/>
      <c r="G540" s="118"/>
      <c r="H540" s="118"/>
      <c r="I540" s="118"/>
      <c r="J540" s="119"/>
      <c r="K540" s="123"/>
      <c r="L540" s="123"/>
      <c r="M540" s="123"/>
      <c r="N540" s="123"/>
      <c r="O540" s="123"/>
      <c r="P540" s="123"/>
      <c r="Q540" s="119"/>
      <c r="R540" s="118"/>
    </row>
    <row r="541" spans="1:18" ht="13">
      <c r="A541" s="105"/>
      <c r="B541" s="97"/>
      <c r="C541" s="123"/>
      <c r="D541" s="118"/>
      <c r="E541" s="123"/>
      <c r="F541" s="123"/>
      <c r="G541" s="118"/>
      <c r="H541" s="118"/>
      <c r="I541" s="118"/>
      <c r="J541" s="119"/>
      <c r="K541" s="123"/>
      <c r="L541" s="123"/>
      <c r="M541" s="123"/>
      <c r="N541" s="123"/>
      <c r="O541" s="123"/>
      <c r="P541" s="123"/>
      <c r="Q541" s="119"/>
      <c r="R541" s="118"/>
    </row>
    <row r="542" spans="1:18" ht="13">
      <c r="A542" s="105"/>
      <c r="B542" s="97"/>
      <c r="C542" s="123"/>
      <c r="D542" s="118"/>
      <c r="E542" s="123"/>
      <c r="F542" s="123"/>
      <c r="G542" s="118"/>
      <c r="H542" s="118"/>
      <c r="I542" s="118"/>
      <c r="J542" s="119"/>
      <c r="K542" s="123"/>
      <c r="L542" s="123"/>
      <c r="M542" s="123"/>
      <c r="N542" s="123"/>
      <c r="O542" s="123"/>
      <c r="P542" s="123"/>
      <c r="Q542" s="119"/>
      <c r="R542" s="118"/>
    </row>
    <row r="543" spans="1:18" ht="13">
      <c r="A543" s="105"/>
      <c r="B543" s="97"/>
      <c r="C543" s="123"/>
      <c r="D543" s="118"/>
      <c r="E543" s="123"/>
      <c r="F543" s="123"/>
      <c r="G543" s="118"/>
      <c r="H543" s="118"/>
      <c r="I543" s="118"/>
      <c r="J543" s="119"/>
      <c r="K543" s="123"/>
      <c r="L543" s="123"/>
      <c r="M543" s="123"/>
      <c r="N543" s="123"/>
      <c r="O543" s="123"/>
      <c r="P543" s="123"/>
      <c r="Q543" s="119"/>
      <c r="R543" s="118"/>
    </row>
    <row r="544" spans="1:18" ht="13">
      <c r="A544" s="105"/>
      <c r="B544" s="97"/>
      <c r="C544" s="123"/>
      <c r="D544" s="118"/>
      <c r="E544" s="123"/>
      <c r="F544" s="123"/>
      <c r="G544" s="118"/>
      <c r="H544" s="118"/>
      <c r="I544" s="118"/>
      <c r="J544" s="119"/>
      <c r="K544" s="123"/>
      <c r="L544" s="123"/>
      <c r="M544" s="123"/>
      <c r="N544" s="123"/>
      <c r="O544" s="123"/>
      <c r="P544" s="123"/>
      <c r="Q544" s="119"/>
      <c r="R544" s="118"/>
    </row>
    <row r="545" spans="1:18" ht="13">
      <c r="A545" s="105"/>
      <c r="B545" s="97"/>
      <c r="C545" s="123"/>
      <c r="D545" s="118"/>
      <c r="E545" s="123"/>
      <c r="F545" s="123"/>
      <c r="G545" s="118"/>
      <c r="H545" s="118"/>
      <c r="I545" s="118"/>
      <c r="J545" s="119"/>
      <c r="K545" s="123"/>
      <c r="L545" s="123"/>
      <c r="M545" s="123"/>
      <c r="N545" s="123"/>
      <c r="O545" s="123"/>
      <c r="P545" s="123"/>
      <c r="Q545" s="119"/>
      <c r="R545" s="118"/>
    </row>
    <row r="546" spans="1:18" ht="13">
      <c r="A546" s="105"/>
      <c r="B546" s="97"/>
      <c r="C546" s="123"/>
      <c r="D546" s="118"/>
      <c r="E546" s="123"/>
      <c r="F546" s="123"/>
      <c r="G546" s="118"/>
      <c r="H546" s="118"/>
      <c r="I546" s="118"/>
      <c r="J546" s="119"/>
      <c r="K546" s="123"/>
      <c r="L546" s="123"/>
      <c r="M546" s="123"/>
      <c r="N546" s="123"/>
      <c r="O546" s="123"/>
      <c r="P546" s="123"/>
      <c r="Q546" s="119"/>
      <c r="R546" s="118"/>
    </row>
    <row r="547" spans="1:18" ht="13">
      <c r="A547" s="105"/>
      <c r="B547" s="97"/>
      <c r="C547" s="123"/>
      <c r="D547" s="118"/>
      <c r="E547" s="123"/>
      <c r="F547" s="123"/>
      <c r="G547" s="118"/>
      <c r="H547" s="118"/>
      <c r="I547" s="118"/>
      <c r="J547" s="119"/>
      <c r="K547" s="123"/>
      <c r="L547" s="123"/>
      <c r="M547" s="123"/>
      <c r="N547" s="123"/>
      <c r="O547" s="123"/>
      <c r="P547" s="123"/>
      <c r="Q547" s="119"/>
      <c r="R547" s="118"/>
    </row>
    <row r="548" spans="1:18" ht="13">
      <c r="A548" s="105"/>
      <c r="B548" s="97"/>
      <c r="C548" s="123"/>
      <c r="D548" s="118"/>
      <c r="E548" s="123"/>
      <c r="F548" s="123"/>
      <c r="G548" s="118"/>
      <c r="H548" s="118"/>
      <c r="I548" s="118"/>
      <c r="J548" s="119"/>
      <c r="K548" s="123"/>
      <c r="L548" s="123"/>
      <c r="M548" s="123"/>
      <c r="N548" s="123"/>
      <c r="O548" s="123"/>
      <c r="P548" s="123"/>
      <c r="Q548" s="119"/>
      <c r="R548" s="118"/>
    </row>
    <row r="549" spans="1:18" ht="13">
      <c r="A549" s="105"/>
      <c r="B549" s="97"/>
      <c r="C549" s="123"/>
      <c r="D549" s="118"/>
      <c r="E549" s="123"/>
      <c r="F549" s="123"/>
      <c r="G549" s="118"/>
      <c r="H549" s="118"/>
      <c r="I549" s="118"/>
      <c r="J549" s="119"/>
      <c r="K549" s="123"/>
      <c r="L549" s="123"/>
      <c r="M549" s="123"/>
      <c r="N549" s="123"/>
      <c r="O549" s="123"/>
      <c r="P549" s="123"/>
      <c r="Q549" s="119"/>
      <c r="R549" s="118"/>
    </row>
    <row r="550" spans="1:18" ht="13">
      <c r="A550" s="105"/>
      <c r="B550" s="97"/>
      <c r="C550" s="123"/>
      <c r="D550" s="118"/>
      <c r="E550" s="123"/>
      <c r="F550" s="123"/>
      <c r="G550" s="118"/>
      <c r="H550" s="118"/>
      <c r="I550" s="118"/>
      <c r="J550" s="119"/>
      <c r="K550" s="123"/>
      <c r="L550" s="123"/>
      <c r="M550" s="123"/>
      <c r="N550" s="123"/>
      <c r="O550" s="123"/>
      <c r="P550" s="123"/>
      <c r="Q550" s="119"/>
      <c r="R550" s="118"/>
    </row>
    <row r="551" spans="1:18" ht="13">
      <c r="A551" s="105"/>
      <c r="B551" s="97"/>
      <c r="C551" s="123"/>
      <c r="D551" s="118"/>
      <c r="E551" s="123"/>
      <c r="F551" s="123"/>
      <c r="G551" s="118"/>
      <c r="H551" s="118"/>
      <c r="I551" s="118"/>
      <c r="J551" s="119"/>
      <c r="K551" s="123"/>
      <c r="L551" s="123"/>
      <c r="M551" s="123"/>
      <c r="N551" s="123"/>
      <c r="O551" s="123"/>
      <c r="P551" s="123"/>
      <c r="Q551" s="119"/>
      <c r="R551" s="118"/>
    </row>
    <row r="552" spans="1:18" ht="13">
      <c r="A552" s="105"/>
      <c r="B552" s="97"/>
      <c r="C552" s="123"/>
      <c r="D552" s="118"/>
      <c r="E552" s="123"/>
      <c r="F552" s="123"/>
      <c r="G552" s="118"/>
      <c r="H552" s="118"/>
      <c r="I552" s="118"/>
      <c r="J552" s="119"/>
      <c r="K552" s="123"/>
      <c r="L552" s="123"/>
      <c r="M552" s="123"/>
      <c r="N552" s="123"/>
      <c r="O552" s="123"/>
      <c r="P552" s="123"/>
      <c r="Q552" s="119"/>
      <c r="R552" s="118"/>
    </row>
    <row r="553" spans="1:18" ht="13">
      <c r="A553" s="105"/>
      <c r="B553" s="97"/>
      <c r="C553" s="123"/>
      <c r="D553" s="118"/>
      <c r="E553" s="123"/>
      <c r="F553" s="123"/>
      <c r="G553" s="118"/>
      <c r="H553" s="118"/>
      <c r="I553" s="118"/>
      <c r="J553" s="119"/>
      <c r="K553" s="123"/>
      <c r="L553" s="123"/>
      <c r="M553" s="123"/>
      <c r="N553" s="123"/>
      <c r="O553" s="123"/>
      <c r="P553" s="123"/>
      <c r="Q553" s="119"/>
      <c r="R553" s="118"/>
    </row>
    <row r="554" spans="1:18" ht="13">
      <c r="A554" s="105"/>
      <c r="B554" s="97"/>
      <c r="C554" s="123"/>
      <c r="D554" s="118"/>
      <c r="E554" s="123"/>
      <c r="F554" s="123"/>
      <c r="G554" s="118"/>
      <c r="H554" s="118"/>
      <c r="I554" s="118"/>
      <c r="J554" s="119"/>
      <c r="K554" s="123"/>
      <c r="L554" s="123"/>
      <c r="M554" s="123"/>
      <c r="N554" s="123"/>
      <c r="O554" s="123"/>
      <c r="P554" s="123"/>
      <c r="Q554" s="119"/>
      <c r="R554" s="118"/>
    </row>
    <row r="555" spans="1:18" ht="13">
      <c r="A555" s="105"/>
      <c r="B555" s="97"/>
      <c r="C555" s="123"/>
      <c r="D555" s="118"/>
      <c r="E555" s="123"/>
      <c r="F555" s="123"/>
      <c r="G555" s="118"/>
      <c r="H555" s="118"/>
      <c r="I555" s="118"/>
      <c r="J555" s="119"/>
      <c r="K555" s="123"/>
      <c r="L555" s="123"/>
      <c r="M555" s="123"/>
      <c r="N555" s="123"/>
      <c r="O555" s="123"/>
      <c r="P555" s="123"/>
      <c r="Q555" s="119"/>
      <c r="R555" s="118"/>
    </row>
    <row r="556" spans="1:18" ht="13">
      <c r="A556" s="105"/>
      <c r="B556" s="97"/>
      <c r="C556" s="123"/>
      <c r="D556" s="118"/>
      <c r="E556" s="123"/>
      <c r="F556" s="123"/>
      <c r="G556" s="118"/>
      <c r="H556" s="118"/>
      <c r="I556" s="118"/>
      <c r="J556" s="119"/>
      <c r="K556" s="123"/>
      <c r="L556" s="123"/>
      <c r="M556" s="123"/>
      <c r="N556" s="123"/>
      <c r="O556" s="123"/>
      <c r="P556" s="123"/>
      <c r="Q556" s="119"/>
      <c r="R556" s="118"/>
    </row>
    <row r="557" spans="1:18" ht="13">
      <c r="A557" s="105"/>
      <c r="B557" s="97"/>
      <c r="C557" s="123"/>
      <c r="D557" s="118"/>
      <c r="E557" s="123"/>
      <c r="F557" s="123"/>
      <c r="G557" s="118"/>
      <c r="H557" s="118"/>
      <c r="I557" s="118"/>
      <c r="J557" s="119"/>
      <c r="K557" s="123"/>
      <c r="L557" s="123"/>
      <c r="M557" s="123"/>
      <c r="N557" s="123"/>
      <c r="O557" s="123"/>
      <c r="P557" s="123"/>
      <c r="Q557" s="119"/>
      <c r="R557" s="118"/>
    </row>
    <row r="558" spans="1:18" ht="13">
      <c r="A558" s="105"/>
      <c r="B558" s="97"/>
      <c r="C558" s="123"/>
      <c r="D558" s="118"/>
      <c r="E558" s="123"/>
      <c r="F558" s="123"/>
      <c r="G558" s="118"/>
      <c r="H558" s="118"/>
      <c r="I558" s="118"/>
      <c r="J558" s="119"/>
      <c r="K558" s="123"/>
      <c r="L558" s="123"/>
      <c r="M558" s="123"/>
      <c r="N558" s="123"/>
      <c r="O558" s="123"/>
      <c r="P558" s="123"/>
      <c r="Q558" s="119"/>
      <c r="R558" s="118"/>
    </row>
    <row r="559" spans="1:18" ht="13">
      <c r="A559" s="105"/>
      <c r="B559" s="97"/>
      <c r="C559" s="123"/>
      <c r="D559" s="118"/>
      <c r="E559" s="123"/>
      <c r="F559" s="123"/>
      <c r="G559" s="118"/>
      <c r="H559" s="118"/>
      <c r="I559" s="118"/>
      <c r="J559" s="119"/>
      <c r="K559" s="123"/>
      <c r="L559" s="123"/>
      <c r="M559" s="123"/>
      <c r="N559" s="123"/>
      <c r="O559" s="123"/>
      <c r="P559" s="123"/>
      <c r="Q559" s="119"/>
      <c r="R559" s="118"/>
    </row>
    <row r="560" spans="1:18" ht="13">
      <c r="A560" s="105"/>
      <c r="B560" s="97"/>
      <c r="C560" s="123"/>
      <c r="D560" s="118"/>
      <c r="E560" s="123"/>
      <c r="F560" s="123"/>
      <c r="G560" s="118"/>
      <c r="H560" s="118"/>
      <c r="I560" s="118"/>
      <c r="J560" s="119"/>
      <c r="K560" s="123"/>
      <c r="L560" s="123"/>
      <c r="M560" s="123"/>
      <c r="N560" s="123"/>
      <c r="O560" s="123"/>
      <c r="P560" s="123"/>
      <c r="Q560" s="119"/>
      <c r="R560" s="118"/>
    </row>
    <row r="561" spans="1:18" ht="13">
      <c r="A561" s="105"/>
      <c r="B561" s="97"/>
      <c r="C561" s="123"/>
      <c r="D561" s="118"/>
      <c r="E561" s="123"/>
      <c r="F561" s="123"/>
      <c r="G561" s="118"/>
      <c r="H561" s="118"/>
      <c r="I561" s="118"/>
      <c r="J561" s="119"/>
      <c r="K561" s="123"/>
      <c r="L561" s="123"/>
      <c r="M561" s="123"/>
      <c r="N561" s="123"/>
      <c r="O561" s="123"/>
      <c r="P561" s="123"/>
      <c r="Q561" s="119"/>
      <c r="R561" s="118"/>
    </row>
    <row r="562" spans="1:18" ht="13">
      <c r="A562" s="105"/>
      <c r="B562" s="97"/>
      <c r="C562" s="123"/>
      <c r="D562" s="118"/>
      <c r="E562" s="123"/>
      <c r="F562" s="123"/>
      <c r="G562" s="118"/>
      <c r="H562" s="118"/>
      <c r="I562" s="118"/>
      <c r="J562" s="119"/>
      <c r="K562" s="123"/>
      <c r="L562" s="123"/>
      <c r="M562" s="123"/>
      <c r="N562" s="123"/>
      <c r="O562" s="123"/>
      <c r="P562" s="123"/>
      <c r="Q562" s="119"/>
      <c r="R562" s="118"/>
    </row>
    <row r="563" spans="1:18" ht="13">
      <c r="A563" s="105"/>
      <c r="B563" s="97"/>
      <c r="C563" s="123"/>
      <c r="D563" s="118"/>
      <c r="E563" s="123"/>
      <c r="F563" s="123"/>
      <c r="G563" s="118"/>
      <c r="H563" s="118"/>
      <c r="I563" s="118"/>
      <c r="J563" s="119"/>
      <c r="K563" s="123"/>
      <c r="L563" s="123"/>
      <c r="M563" s="123"/>
      <c r="N563" s="123"/>
      <c r="O563" s="123"/>
      <c r="P563" s="123"/>
      <c r="Q563" s="119"/>
      <c r="R563" s="118"/>
    </row>
    <row r="564" spans="1:18" ht="13">
      <c r="A564" s="105"/>
      <c r="B564" s="97"/>
      <c r="C564" s="123"/>
      <c r="D564" s="118"/>
      <c r="E564" s="123"/>
      <c r="F564" s="123"/>
      <c r="G564" s="118"/>
      <c r="H564" s="118"/>
      <c r="I564" s="118"/>
      <c r="J564" s="119"/>
      <c r="K564" s="123"/>
      <c r="L564" s="123"/>
      <c r="M564" s="123"/>
      <c r="N564" s="123"/>
      <c r="O564" s="123"/>
      <c r="P564" s="123"/>
      <c r="Q564" s="119"/>
      <c r="R564" s="118"/>
    </row>
    <row r="565" spans="1:18" ht="13">
      <c r="A565" s="105"/>
      <c r="B565" s="97"/>
      <c r="C565" s="123"/>
      <c r="D565" s="118"/>
      <c r="E565" s="123"/>
      <c r="F565" s="123"/>
      <c r="G565" s="118"/>
      <c r="H565" s="118"/>
      <c r="I565" s="118"/>
      <c r="J565" s="119"/>
      <c r="K565" s="123"/>
      <c r="L565" s="123"/>
      <c r="M565" s="123"/>
      <c r="N565" s="123"/>
      <c r="O565" s="123"/>
      <c r="P565" s="123"/>
      <c r="Q565" s="119"/>
      <c r="R565" s="118"/>
    </row>
    <row r="566" spans="1:18" ht="13">
      <c r="A566" s="105"/>
      <c r="B566" s="97"/>
      <c r="C566" s="123"/>
      <c r="D566" s="118"/>
      <c r="E566" s="123"/>
      <c r="F566" s="123"/>
      <c r="G566" s="118"/>
      <c r="H566" s="118"/>
      <c r="I566" s="118"/>
      <c r="J566" s="119"/>
      <c r="K566" s="123"/>
      <c r="L566" s="123"/>
      <c r="M566" s="123"/>
      <c r="N566" s="123"/>
      <c r="O566" s="123"/>
      <c r="P566" s="123"/>
      <c r="Q566" s="119"/>
      <c r="R566" s="118"/>
    </row>
    <row r="567" spans="1:18" ht="13">
      <c r="A567" s="105"/>
      <c r="B567" s="97"/>
      <c r="C567" s="123"/>
      <c r="D567" s="118"/>
      <c r="E567" s="123"/>
      <c r="F567" s="123"/>
      <c r="G567" s="118"/>
      <c r="H567" s="118"/>
      <c r="I567" s="118"/>
      <c r="J567" s="119"/>
      <c r="K567" s="123"/>
      <c r="L567" s="123"/>
      <c r="M567" s="123"/>
      <c r="N567" s="123"/>
      <c r="O567" s="123"/>
      <c r="P567" s="123"/>
      <c r="Q567" s="119"/>
      <c r="R567" s="118"/>
    </row>
    <row r="568" spans="1:18" ht="13">
      <c r="A568" s="105"/>
      <c r="B568" s="97"/>
      <c r="C568" s="123"/>
      <c r="D568" s="118"/>
      <c r="E568" s="123"/>
      <c r="F568" s="123"/>
      <c r="G568" s="118"/>
      <c r="H568" s="118"/>
      <c r="I568" s="118"/>
      <c r="J568" s="119"/>
      <c r="K568" s="123"/>
      <c r="L568" s="123"/>
      <c r="M568" s="123"/>
      <c r="N568" s="123"/>
      <c r="O568" s="123"/>
      <c r="P568" s="123"/>
      <c r="Q568" s="119"/>
      <c r="R568" s="118"/>
    </row>
    <row r="569" spans="1:18" ht="13">
      <c r="A569" s="105"/>
      <c r="B569" s="97"/>
      <c r="C569" s="123"/>
      <c r="D569" s="118"/>
      <c r="E569" s="123"/>
      <c r="F569" s="123"/>
      <c r="G569" s="118"/>
      <c r="H569" s="118"/>
      <c r="I569" s="118"/>
      <c r="J569" s="119"/>
      <c r="K569" s="123"/>
      <c r="L569" s="123"/>
      <c r="M569" s="123"/>
      <c r="N569" s="123"/>
      <c r="O569" s="123"/>
      <c r="P569" s="123"/>
      <c r="Q569" s="119"/>
      <c r="R569" s="118"/>
    </row>
    <row r="570" spans="1:18" ht="13">
      <c r="A570" s="105"/>
      <c r="B570" s="97"/>
      <c r="C570" s="123"/>
      <c r="D570" s="118"/>
      <c r="E570" s="123"/>
      <c r="F570" s="123"/>
      <c r="G570" s="118"/>
      <c r="H570" s="118"/>
      <c r="I570" s="118"/>
      <c r="J570" s="119"/>
      <c r="K570" s="123"/>
      <c r="L570" s="123"/>
      <c r="M570" s="123"/>
      <c r="N570" s="123"/>
      <c r="O570" s="123"/>
      <c r="P570" s="123"/>
      <c r="Q570" s="119"/>
      <c r="R570" s="118"/>
    </row>
    <row r="571" spans="1:18" ht="13">
      <c r="A571" s="105"/>
      <c r="B571" s="97"/>
      <c r="C571" s="123"/>
      <c r="D571" s="118"/>
      <c r="E571" s="123"/>
      <c r="F571" s="123"/>
      <c r="G571" s="118"/>
      <c r="H571" s="118"/>
      <c r="I571" s="118"/>
      <c r="J571" s="119"/>
      <c r="K571" s="123"/>
      <c r="L571" s="123"/>
      <c r="M571" s="123"/>
      <c r="N571" s="123"/>
      <c r="O571" s="123"/>
      <c r="P571" s="123"/>
      <c r="Q571" s="119"/>
      <c r="R571" s="118"/>
    </row>
    <row r="572" spans="1:18" ht="13">
      <c r="A572" s="105"/>
      <c r="B572" s="97"/>
      <c r="C572" s="123"/>
      <c r="D572" s="118"/>
      <c r="E572" s="123"/>
      <c r="F572" s="123"/>
      <c r="G572" s="118"/>
      <c r="H572" s="118"/>
      <c r="I572" s="118"/>
      <c r="J572" s="119"/>
      <c r="K572" s="123"/>
      <c r="L572" s="123"/>
      <c r="M572" s="123"/>
      <c r="N572" s="123"/>
      <c r="O572" s="123"/>
      <c r="P572" s="123"/>
      <c r="Q572" s="119"/>
      <c r="R572" s="118"/>
    </row>
    <row r="573" spans="1:18" ht="13">
      <c r="A573" s="105"/>
      <c r="B573" s="97"/>
      <c r="C573" s="123"/>
      <c r="D573" s="118"/>
      <c r="E573" s="123"/>
      <c r="F573" s="123"/>
      <c r="G573" s="118"/>
      <c r="H573" s="118"/>
      <c r="I573" s="118"/>
      <c r="J573" s="119"/>
      <c r="K573" s="123"/>
      <c r="L573" s="123"/>
      <c r="M573" s="123"/>
      <c r="N573" s="123"/>
      <c r="O573" s="123"/>
      <c r="P573" s="123"/>
      <c r="Q573" s="119"/>
      <c r="R573" s="118"/>
    </row>
    <row r="574" spans="1:18" ht="13">
      <c r="A574" s="105"/>
      <c r="B574" s="97"/>
      <c r="C574" s="123"/>
      <c r="D574" s="118"/>
      <c r="E574" s="123"/>
      <c r="F574" s="123"/>
      <c r="G574" s="118"/>
      <c r="H574" s="118"/>
      <c r="I574" s="118"/>
      <c r="J574" s="119"/>
      <c r="K574" s="123"/>
      <c r="L574" s="123"/>
      <c r="M574" s="123"/>
      <c r="N574" s="123"/>
      <c r="O574" s="123"/>
      <c r="P574" s="123"/>
      <c r="Q574" s="119"/>
      <c r="R574" s="118"/>
    </row>
    <row r="575" spans="1:18" ht="13">
      <c r="A575" s="105"/>
      <c r="B575" s="97"/>
      <c r="C575" s="123"/>
      <c r="D575" s="118"/>
      <c r="E575" s="123"/>
      <c r="F575" s="123"/>
      <c r="G575" s="118"/>
      <c r="H575" s="118"/>
      <c r="I575" s="118"/>
      <c r="J575" s="119"/>
      <c r="K575" s="123"/>
      <c r="L575" s="123"/>
      <c r="M575" s="123"/>
      <c r="N575" s="123"/>
      <c r="O575" s="123"/>
      <c r="P575" s="123"/>
      <c r="Q575" s="119"/>
      <c r="R575" s="118"/>
    </row>
    <row r="576" spans="1:18" ht="13">
      <c r="A576" s="105"/>
      <c r="B576" s="97"/>
      <c r="C576" s="123"/>
      <c r="D576" s="118"/>
      <c r="E576" s="123"/>
      <c r="F576" s="123"/>
      <c r="G576" s="118"/>
      <c r="H576" s="118"/>
      <c r="I576" s="118"/>
      <c r="J576" s="119"/>
      <c r="K576" s="123"/>
      <c r="L576" s="123"/>
      <c r="M576" s="123"/>
      <c r="N576" s="123"/>
      <c r="O576" s="123"/>
      <c r="P576" s="123"/>
      <c r="Q576" s="119"/>
      <c r="R576" s="118"/>
    </row>
    <row r="577" spans="1:18" ht="13">
      <c r="A577" s="105"/>
      <c r="B577" s="97"/>
      <c r="C577" s="123"/>
      <c r="D577" s="118"/>
      <c r="E577" s="123"/>
      <c r="F577" s="123"/>
      <c r="G577" s="118"/>
      <c r="H577" s="118"/>
      <c r="I577" s="118"/>
      <c r="J577" s="119"/>
      <c r="K577" s="123"/>
      <c r="L577" s="123"/>
      <c r="M577" s="123"/>
      <c r="N577" s="123"/>
      <c r="O577" s="123"/>
      <c r="P577" s="123"/>
      <c r="Q577" s="119"/>
      <c r="R577" s="118"/>
    </row>
    <row r="578" spans="1:18" ht="13">
      <c r="A578" s="105"/>
      <c r="B578" s="97"/>
      <c r="C578" s="123"/>
      <c r="D578" s="118"/>
      <c r="E578" s="123"/>
      <c r="F578" s="123"/>
      <c r="G578" s="118"/>
      <c r="H578" s="118"/>
      <c r="I578" s="118"/>
      <c r="J578" s="119"/>
      <c r="K578" s="123"/>
      <c r="L578" s="123"/>
      <c r="M578" s="123"/>
      <c r="N578" s="123"/>
      <c r="O578" s="123"/>
      <c r="P578" s="123"/>
      <c r="Q578" s="119"/>
      <c r="R578" s="118"/>
    </row>
    <row r="579" spans="1:18" ht="13">
      <c r="A579" s="105"/>
      <c r="B579" s="97"/>
      <c r="C579" s="123"/>
      <c r="D579" s="118"/>
      <c r="E579" s="123"/>
      <c r="F579" s="123"/>
      <c r="G579" s="118"/>
      <c r="H579" s="118"/>
      <c r="I579" s="118"/>
      <c r="J579" s="119"/>
      <c r="K579" s="123"/>
      <c r="L579" s="123"/>
      <c r="M579" s="123"/>
      <c r="N579" s="123"/>
      <c r="O579" s="123"/>
      <c r="P579" s="123"/>
      <c r="Q579" s="119"/>
      <c r="R579" s="118"/>
    </row>
    <row r="580" spans="1:18" ht="13">
      <c r="A580" s="105"/>
      <c r="B580" s="97"/>
      <c r="C580" s="123"/>
      <c r="D580" s="118"/>
      <c r="E580" s="123"/>
      <c r="F580" s="123"/>
      <c r="G580" s="118"/>
      <c r="H580" s="118"/>
      <c r="I580" s="118"/>
      <c r="J580" s="119"/>
      <c r="K580" s="123"/>
      <c r="L580" s="123"/>
      <c r="M580" s="123"/>
      <c r="N580" s="123"/>
      <c r="O580" s="123"/>
      <c r="P580" s="123"/>
      <c r="Q580" s="119"/>
      <c r="R580" s="118"/>
    </row>
    <row r="581" spans="1:18" ht="13">
      <c r="A581" s="105"/>
      <c r="B581" s="97"/>
      <c r="C581" s="123"/>
      <c r="D581" s="118"/>
      <c r="E581" s="123"/>
      <c r="F581" s="123"/>
      <c r="G581" s="118"/>
      <c r="H581" s="118"/>
      <c r="I581" s="118"/>
      <c r="J581" s="119"/>
      <c r="K581" s="123"/>
      <c r="L581" s="123"/>
      <c r="M581" s="123"/>
      <c r="N581" s="123"/>
      <c r="O581" s="123"/>
      <c r="P581" s="123"/>
      <c r="Q581" s="119"/>
      <c r="R581" s="118"/>
    </row>
    <row r="582" spans="1:18" ht="13">
      <c r="A582" s="105"/>
      <c r="B582" s="97"/>
      <c r="C582" s="123"/>
      <c r="D582" s="118"/>
      <c r="E582" s="123"/>
      <c r="F582" s="123"/>
      <c r="G582" s="118"/>
      <c r="H582" s="118"/>
      <c r="I582" s="118"/>
      <c r="J582" s="119"/>
      <c r="K582" s="123"/>
      <c r="L582" s="123"/>
      <c r="M582" s="123"/>
      <c r="N582" s="123"/>
      <c r="O582" s="123"/>
      <c r="P582" s="123"/>
      <c r="Q582" s="119"/>
      <c r="R582" s="118"/>
    </row>
    <row r="583" spans="1:18" ht="13">
      <c r="A583" s="105"/>
      <c r="B583" s="97"/>
      <c r="C583" s="123"/>
      <c r="D583" s="118"/>
      <c r="E583" s="123"/>
      <c r="F583" s="123"/>
      <c r="G583" s="118"/>
      <c r="H583" s="118"/>
      <c r="I583" s="118"/>
      <c r="J583" s="119"/>
      <c r="K583" s="123"/>
      <c r="L583" s="123"/>
      <c r="M583" s="123"/>
      <c r="N583" s="123"/>
      <c r="O583" s="123"/>
      <c r="P583" s="123"/>
      <c r="Q583" s="119"/>
      <c r="R583" s="118"/>
    </row>
    <row r="584" spans="1:18" ht="13">
      <c r="A584" s="105"/>
      <c r="B584" s="97"/>
      <c r="C584" s="123"/>
      <c r="D584" s="118"/>
      <c r="E584" s="123"/>
      <c r="F584" s="123"/>
      <c r="G584" s="118"/>
      <c r="H584" s="118"/>
      <c r="I584" s="118"/>
      <c r="J584" s="119"/>
      <c r="K584" s="123"/>
      <c r="L584" s="123"/>
      <c r="M584" s="123"/>
      <c r="N584" s="123"/>
      <c r="O584" s="123"/>
      <c r="P584" s="123"/>
      <c r="Q584" s="119"/>
      <c r="R584" s="118"/>
    </row>
    <row r="585" spans="1:18" ht="13">
      <c r="A585" s="105"/>
      <c r="B585" s="97"/>
      <c r="C585" s="123"/>
      <c r="D585" s="118"/>
      <c r="E585" s="123"/>
      <c r="F585" s="123"/>
      <c r="G585" s="118"/>
      <c r="H585" s="118"/>
      <c r="I585" s="118"/>
      <c r="J585" s="119"/>
      <c r="K585" s="123"/>
      <c r="L585" s="123"/>
      <c r="M585" s="123"/>
      <c r="N585" s="123"/>
      <c r="O585" s="123"/>
      <c r="P585" s="123"/>
      <c r="Q585" s="119"/>
      <c r="R585" s="118"/>
    </row>
    <row r="586" spans="1:18" ht="13">
      <c r="A586" s="105"/>
      <c r="B586" s="97"/>
      <c r="C586" s="123"/>
      <c r="D586" s="118"/>
      <c r="E586" s="123"/>
      <c r="F586" s="123"/>
      <c r="G586" s="118"/>
      <c r="H586" s="118"/>
      <c r="I586" s="118"/>
      <c r="J586" s="119"/>
      <c r="K586" s="123"/>
      <c r="L586" s="123"/>
      <c r="M586" s="123"/>
      <c r="N586" s="123"/>
      <c r="O586" s="123"/>
      <c r="P586" s="123"/>
      <c r="Q586" s="119"/>
      <c r="R586" s="118"/>
    </row>
    <row r="587" spans="1:18" ht="13">
      <c r="A587" s="105"/>
      <c r="B587" s="97"/>
      <c r="C587" s="123"/>
      <c r="D587" s="118"/>
      <c r="E587" s="123"/>
      <c r="F587" s="123"/>
      <c r="G587" s="118"/>
      <c r="H587" s="118"/>
      <c r="I587" s="118"/>
      <c r="J587" s="119"/>
      <c r="K587" s="123"/>
      <c r="L587" s="123"/>
      <c r="M587" s="123"/>
      <c r="N587" s="123"/>
      <c r="O587" s="123"/>
      <c r="P587" s="123"/>
      <c r="Q587" s="119"/>
      <c r="R587" s="118"/>
    </row>
    <row r="588" spans="1:18" ht="13">
      <c r="A588" s="105"/>
      <c r="B588" s="97"/>
      <c r="C588" s="123"/>
      <c r="D588" s="118"/>
      <c r="E588" s="123"/>
      <c r="F588" s="123"/>
      <c r="G588" s="118"/>
      <c r="H588" s="118"/>
      <c r="I588" s="118"/>
      <c r="J588" s="119"/>
      <c r="K588" s="123"/>
      <c r="L588" s="123"/>
      <c r="M588" s="123"/>
      <c r="N588" s="123"/>
      <c r="O588" s="123"/>
      <c r="P588" s="123"/>
      <c r="Q588" s="119"/>
      <c r="R588" s="118"/>
    </row>
    <row r="589" spans="1:18" ht="13">
      <c r="A589" s="105"/>
      <c r="B589" s="97"/>
      <c r="C589" s="123"/>
      <c r="D589" s="118"/>
      <c r="E589" s="123"/>
      <c r="F589" s="123"/>
      <c r="G589" s="118"/>
      <c r="H589" s="118"/>
      <c r="I589" s="118"/>
      <c r="J589" s="119"/>
      <c r="K589" s="123"/>
      <c r="L589" s="123"/>
      <c r="M589" s="123"/>
      <c r="N589" s="123"/>
      <c r="O589" s="123"/>
      <c r="P589" s="123"/>
      <c r="Q589" s="119"/>
      <c r="R589" s="118"/>
    </row>
    <row r="590" spans="1:18" ht="13">
      <c r="A590" s="105"/>
      <c r="B590" s="97"/>
      <c r="C590" s="123"/>
      <c r="D590" s="118"/>
      <c r="E590" s="123"/>
      <c r="F590" s="123"/>
      <c r="G590" s="118"/>
      <c r="H590" s="118"/>
      <c r="I590" s="118"/>
      <c r="J590" s="119"/>
      <c r="K590" s="123"/>
      <c r="L590" s="123"/>
      <c r="M590" s="123"/>
      <c r="N590" s="123"/>
      <c r="O590" s="123"/>
      <c r="P590" s="123"/>
      <c r="Q590" s="119"/>
      <c r="R590" s="118"/>
    </row>
    <row r="591" spans="1:18" ht="13">
      <c r="A591" s="105"/>
      <c r="B591" s="97"/>
      <c r="C591" s="123"/>
      <c r="D591" s="118"/>
      <c r="E591" s="123"/>
      <c r="F591" s="123"/>
      <c r="G591" s="118"/>
      <c r="H591" s="118"/>
      <c r="I591" s="118"/>
      <c r="J591" s="119"/>
      <c r="K591" s="123"/>
      <c r="L591" s="123"/>
      <c r="M591" s="123"/>
      <c r="N591" s="123"/>
      <c r="O591" s="123"/>
      <c r="P591" s="123"/>
      <c r="Q591" s="119"/>
      <c r="R591" s="118"/>
    </row>
    <row r="592" spans="1:18" ht="13">
      <c r="A592" s="105"/>
      <c r="B592" s="97"/>
      <c r="C592" s="123"/>
      <c r="D592" s="118"/>
      <c r="E592" s="123"/>
      <c r="F592" s="123"/>
      <c r="G592" s="118"/>
      <c r="H592" s="118"/>
      <c r="I592" s="118"/>
      <c r="J592" s="119"/>
      <c r="K592" s="123"/>
      <c r="L592" s="123"/>
      <c r="M592" s="123"/>
      <c r="N592" s="123"/>
      <c r="O592" s="123"/>
      <c r="P592" s="123"/>
      <c r="Q592" s="119"/>
      <c r="R592" s="118"/>
    </row>
    <row r="593" spans="1:18" ht="13">
      <c r="A593" s="105"/>
      <c r="B593" s="97"/>
      <c r="C593" s="123"/>
      <c r="D593" s="118"/>
      <c r="E593" s="123"/>
      <c r="F593" s="123"/>
      <c r="G593" s="118"/>
      <c r="H593" s="118"/>
      <c r="I593" s="118"/>
      <c r="J593" s="119"/>
      <c r="K593" s="123"/>
      <c r="L593" s="123"/>
      <c r="M593" s="123"/>
      <c r="N593" s="123"/>
      <c r="O593" s="123"/>
      <c r="P593" s="123"/>
      <c r="Q593" s="119"/>
      <c r="R593" s="118"/>
    </row>
    <row r="594" spans="1:18" ht="13">
      <c r="A594" s="105"/>
      <c r="B594" s="97"/>
      <c r="C594" s="123"/>
      <c r="D594" s="118"/>
      <c r="E594" s="123"/>
      <c r="F594" s="123"/>
      <c r="G594" s="118"/>
      <c r="H594" s="118"/>
      <c r="I594" s="118"/>
      <c r="J594" s="119"/>
      <c r="K594" s="123"/>
      <c r="L594" s="123"/>
      <c r="M594" s="123"/>
      <c r="N594" s="123"/>
      <c r="O594" s="123"/>
      <c r="P594" s="123"/>
      <c r="Q594" s="119"/>
      <c r="R594" s="118"/>
    </row>
    <row r="595" spans="1:18" ht="13">
      <c r="A595" s="105"/>
      <c r="B595" s="97"/>
      <c r="C595" s="123"/>
      <c r="D595" s="118"/>
      <c r="E595" s="123"/>
      <c r="F595" s="123"/>
      <c r="G595" s="118"/>
      <c r="H595" s="118"/>
      <c r="I595" s="118"/>
      <c r="J595" s="119"/>
      <c r="K595" s="123"/>
      <c r="L595" s="123"/>
      <c r="M595" s="123"/>
      <c r="N595" s="123"/>
      <c r="O595" s="123"/>
      <c r="P595" s="123"/>
      <c r="Q595" s="119"/>
      <c r="R595" s="118"/>
    </row>
    <row r="596" spans="1:18" ht="13">
      <c r="A596" s="105"/>
      <c r="B596" s="97"/>
      <c r="C596" s="123"/>
      <c r="D596" s="118"/>
      <c r="E596" s="123"/>
      <c r="F596" s="123"/>
      <c r="G596" s="118"/>
      <c r="H596" s="118"/>
      <c r="I596" s="118"/>
      <c r="J596" s="119"/>
      <c r="K596" s="123"/>
      <c r="L596" s="123"/>
      <c r="M596" s="123"/>
      <c r="N596" s="123"/>
      <c r="O596" s="123"/>
      <c r="P596" s="123"/>
      <c r="Q596" s="119"/>
      <c r="R596" s="118"/>
    </row>
    <row r="597" spans="1:18" ht="13">
      <c r="A597" s="105"/>
      <c r="B597" s="97"/>
      <c r="C597" s="123"/>
      <c r="D597" s="118"/>
      <c r="E597" s="123"/>
      <c r="F597" s="123"/>
      <c r="G597" s="118"/>
      <c r="H597" s="118"/>
      <c r="I597" s="118"/>
      <c r="J597" s="119"/>
      <c r="K597" s="123"/>
      <c r="L597" s="123"/>
      <c r="M597" s="123"/>
      <c r="N597" s="123"/>
      <c r="O597" s="123"/>
      <c r="P597" s="123"/>
      <c r="Q597" s="119"/>
      <c r="R597" s="118"/>
    </row>
    <row r="598" spans="1:18" ht="13">
      <c r="A598" s="105"/>
      <c r="B598" s="97"/>
      <c r="C598" s="123"/>
      <c r="D598" s="118"/>
      <c r="E598" s="123"/>
      <c r="F598" s="123"/>
      <c r="G598" s="118"/>
      <c r="H598" s="118"/>
      <c r="I598" s="118"/>
      <c r="J598" s="119"/>
      <c r="K598" s="123"/>
      <c r="L598" s="123"/>
      <c r="M598" s="123"/>
      <c r="N598" s="123"/>
      <c r="O598" s="123"/>
      <c r="P598" s="123"/>
      <c r="Q598" s="119"/>
      <c r="R598" s="118"/>
    </row>
    <row r="599" spans="1:18" ht="13">
      <c r="A599" s="105"/>
      <c r="B599" s="97"/>
      <c r="C599" s="123"/>
      <c r="D599" s="118"/>
      <c r="E599" s="123"/>
      <c r="F599" s="123"/>
      <c r="G599" s="118"/>
      <c r="H599" s="118"/>
      <c r="I599" s="118"/>
      <c r="J599" s="119"/>
      <c r="K599" s="123"/>
      <c r="L599" s="123"/>
      <c r="M599" s="123"/>
      <c r="N599" s="123"/>
      <c r="O599" s="123"/>
      <c r="P599" s="123"/>
      <c r="Q599" s="119"/>
      <c r="R599" s="118"/>
    </row>
    <row r="600" spans="1:18" ht="13">
      <c r="A600" s="105"/>
      <c r="B600" s="97"/>
      <c r="C600" s="123"/>
      <c r="D600" s="118"/>
      <c r="E600" s="123"/>
      <c r="F600" s="123"/>
      <c r="G600" s="118"/>
      <c r="H600" s="118"/>
      <c r="I600" s="118"/>
      <c r="J600" s="119"/>
      <c r="K600" s="123"/>
      <c r="L600" s="123"/>
      <c r="M600" s="123"/>
      <c r="N600" s="123"/>
      <c r="O600" s="123"/>
      <c r="P600" s="123"/>
      <c r="Q600" s="119"/>
      <c r="R600" s="118"/>
    </row>
    <row r="601" spans="1:18" ht="13">
      <c r="A601" s="105"/>
      <c r="B601" s="97"/>
      <c r="C601" s="123"/>
      <c r="D601" s="118"/>
      <c r="E601" s="123"/>
      <c r="F601" s="123"/>
      <c r="G601" s="118"/>
      <c r="H601" s="118"/>
      <c r="I601" s="118"/>
      <c r="J601" s="119"/>
      <c r="K601" s="123"/>
      <c r="L601" s="123"/>
      <c r="M601" s="123"/>
      <c r="N601" s="123"/>
      <c r="O601" s="123"/>
      <c r="P601" s="123"/>
      <c r="Q601" s="119"/>
      <c r="R601" s="118"/>
    </row>
    <row r="602" spans="1:18" ht="13">
      <c r="A602" s="105"/>
      <c r="B602" s="97"/>
      <c r="C602" s="123"/>
      <c r="D602" s="118"/>
      <c r="E602" s="123"/>
      <c r="F602" s="123"/>
      <c r="G602" s="118"/>
      <c r="H602" s="118"/>
      <c r="I602" s="118"/>
      <c r="J602" s="119"/>
      <c r="K602" s="123"/>
      <c r="L602" s="123"/>
      <c r="M602" s="123"/>
      <c r="N602" s="123"/>
      <c r="O602" s="123"/>
      <c r="P602" s="123"/>
      <c r="Q602" s="119"/>
      <c r="R602" s="118"/>
    </row>
    <row r="603" spans="1:18" ht="13">
      <c r="A603" s="105"/>
      <c r="B603" s="97"/>
      <c r="C603" s="123"/>
      <c r="D603" s="118"/>
      <c r="E603" s="123"/>
      <c r="F603" s="123"/>
      <c r="G603" s="118"/>
      <c r="H603" s="118"/>
      <c r="I603" s="118"/>
      <c r="J603" s="119"/>
      <c r="K603" s="123"/>
      <c r="L603" s="123"/>
      <c r="M603" s="123"/>
      <c r="N603" s="123"/>
      <c r="O603" s="123"/>
      <c r="P603" s="123"/>
      <c r="Q603" s="119"/>
      <c r="R603" s="118"/>
    </row>
    <row r="604" spans="1:18" ht="13">
      <c r="A604" s="105"/>
      <c r="B604" s="97"/>
      <c r="C604" s="123"/>
      <c r="D604" s="118"/>
      <c r="E604" s="123"/>
      <c r="F604" s="123"/>
      <c r="G604" s="118"/>
      <c r="H604" s="118"/>
      <c r="I604" s="118"/>
      <c r="J604" s="119"/>
      <c r="K604" s="123"/>
      <c r="L604" s="123"/>
      <c r="M604" s="123"/>
      <c r="N604" s="123"/>
      <c r="O604" s="123"/>
      <c r="P604" s="123"/>
      <c r="Q604" s="119"/>
      <c r="R604" s="118"/>
    </row>
    <row r="605" spans="1:18" ht="13">
      <c r="A605" s="105"/>
      <c r="B605" s="97"/>
      <c r="C605" s="123"/>
      <c r="D605" s="118"/>
      <c r="E605" s="123"/>
      <c r="F605" s="123"/>
      <c r="G605" s="118"/>
      <c r="H605" s="118"/>
      <c r="I605" s="118"/>
      <c r="J605" s="119"/>
      <c r="K605" s="123"/>
      <c r="L605" s="123"/>
      <c r="M605" s="123"/>
      <c r="N605" s="123"/>
      <c r="O605" s="123"/>
      <c r="P605" s="123"/>
      <c r="Q605" s="119"/>
      <c r="R605" s="118"/>
    </row>
    <row r="606" spans="1:18" ht="13">
      <c r="A606" s="105"/>
      <c r="B606" s="97"/>
      <c r="C606" s="123"/>
      <c r="D606" s="118"/>
      <c r="E606" s="123"/>
      <c r="F606" s="123"/>
      <c r="G606" s="118"/>
      <c r="H606" s="118"/>
      <c r="I606" s="118"/>
      <c r="J606" s="119"/>
      <c r="K606" s="123"/>
      <c r="L606" s="123"/>
      <c r="M606" s="123"/>
      <c r="N606" s="123"/>
      <c r="O606" s="123"/>
      <c r="P606" s="123"/>
      <c r="Q606" s="119"/>
      <c r="R606" s="118"/>
    </row>
    <row r="607" spans="1:18" ht="13">
      <c r="A607" s="105"/>
      <c r="B607" s="97"/>
      <c r="C607" s="123"/>
      <c r="D607" s="118"/>
      <c r="E607" s="123"/>
      <c r="F607" s="123"/>
      <c r="G607" s="118"/>
      <c r="H607" s="118"/>
      <c r="I607" s="118"/>
      <c r="J607" s="119"/>
      <c r="K607" s="123"/>
      <c r="L607" s="123"/>
      <c r="M607" s="123"/>
      <c r="N607" s="123"/>
      <c r="O607" s="123"/>
      <c r="P607" s="123"/>
      <c r="Q607" s="119"/>
      <c r="R607" s="118"/>
    </row>
    <row r="608" spans="1:18" ht="13">
      <c r="A608" s="105"/>
      <c r="B608" s="97"/>
      <c r="C608" s="123"/>
      <c r="D608" s="118"/>
      <c r="E608" s="123"/>
      <c r="F608" s="123"/>
      <c r="G608" s="118"/>
      <c r="H608" s="118"/>
      <c r="I608" s="118"/>
      <c r="J608" s="119"/>
      <c r="K608" s="123"/>
      <c r="L608" s="123"/>
      <c r="M608" s="123"/>
      <c r="N608" s="123"/>
      <c r="O608" s="123"/>
      <c r="P608" s="123"/>
      <c r="Q608" s="119"/>
      <c r="R608" s="118"/>
    </row>
    <row r="609" spans="1:18" ht="13">
      <c r="A609" s="105"/>
      <c r="B609" s="97"/>
      <c r="C609" s="123"/>
      <c r="D609" s="118"/>
      <c r="E609" s="123"/>
      <c r="F609" s="123"/>
      <c r="G609" s="118"/>
      <c r="H609" s="118"/>
      <c r="I609" s="118"/>
      <c r="J609" s="119"/>
      <c r="K609" s="123"/>
      <c r="L609" s="123"/>
      <c r="M609" s="123"/>
      <c r="N609" s="123"/>
      <c r="O609" s="123"/>
      <c r="P609" s="123"/>
      <c r="Q609" s="119"/>
      <c r="R609" s="118"/>
    </row>
    <row r="610" spans="1:18" ht="13">
      <c r="A610" s="105"/>
      <c r="B610" s="97"/>
      <c r="C610" s="123"/>
      <c r="D610" s="118"/>
      <c r="E610" s="123"/>
      <c r="F610" s="123"/>
      <c r="G610" s="118"/>
      <c r="H610" s="118"/>
      <c r="I610" s="118"/>
      <c r="J610" s="119"/>
      <c r="K610" s="123"/>
      <c r="L610" s="123"/>
      <c r="M610" s="123"/>
      <c r="N610" s="123"/>
      <c r="O610" s="123"/>
      <c r="P610" s="123"/>
      <c r="Q610" s="119"/>
      <c r="R610" s="118"/>
    </row>
    <row r="611" spans="1:18" ht="13">
      <c r="A611" s="105"/>
      <c r="B611" s="97"/>
      <c r="C611" s="123"/>
      <c r="D611" s="118"/>
      <c r="E611" s="123"/>
      <c r="F611" s="123"/>
      <c r="G611" s="118"/>
      <c r="H611" s="118"/>
      <c r="I611" s="118"/>
      <c r="J611" s="119"/>
      <c r="K611" s="123"/>
      <c r="L611" s="123"/>
      <c r="M611" s="123"/>
      <c r="N611" s="123"/>
      <c r="O611" s="123"/>
      <c r="P611" s="123"/>
      <c r="Q611" s="119"/>
      <c r="R611" s="118"/>
    </row>
    <row r="612" spans="1:18" ht="13">
      <c r="A612" s="105"/>
      <c r="B612" s="97"/>
      <c r="C612" s="123"/>
      <c r="D612" s="118"/>
      <c r="E612" s="123"/>
      <c r="F612" s="123"/>
      <c r="G612" s="118"/>
      <c r="H612" s="118"/>
      <c r="I612" s="118"/>
      <c r="J612" s="119"/>
      <c r="K612" s="123"/>
      <c r="L612" s="123"/>
      <c r="M612" s="123"/>
      <c r="N612" s="123"/>
      <c r="O612" s="123"/>
      <c r="P612" s="123"/>
      <c r="Q612" s="119"/>
      <c r="R612" s="118"/>
    </row>
    <row r="613" spans="1:18" ht="13">
      <c r="A613" s="105"/>
      <c r="B613" s="97"/>
      <c r="C613" s="123"/>
      <c r="D613" s="118"/>
      <c r="E613" s="123"/>
      <c r="F613" s="123"/>
      <c r="G613" s="118"/>
      <c r="H613" s="118"/>
      <c r="I613" s="118"/>
      <c r="J613" s="119"/>
      <c r="K613" s="123"/>
      <c r="L613" s="123"/>
      <c r="M613" s="123"/>
      <c r="N613" s="123"/>
      <c r="O613" s="123"/>
      <c r="P613" s="123"/>
      <c r="Q613" s="119"/>
      <c r="R613" s="118"/>
    </row>
    <row r="614" spans="1:18" ht="13">
      <c r="A614" s="105"/>
      <c r="B614" s="97"/>
      <c r="C614" s="123"/>
      <c r="D614" s="118"/>
      <c r="E614" s="123"/>
      <c r="F614" s="123"/>
      <c r="G614" s="118"/>
      <c r="H614" s="118"/>
      <c r="I614" s="118"/>
      <c r="J614" s="119"/>
      <c r="K614" s="123"/>
      <c r="L614" s="123"/>
      <c r="M614" s="123"/>
      <c r="N614" s="123"/>
      <c r="O614" s="123"/>
      <c r="P614" s="123"/>
      <c r="Q614" s="119"/>
      <c r="R614" s="118"/>
    </row>
    <row r="615" spans="1:18" ht="13">
      <c r="A615" s="105"/>
      <c r="B615" s="97"/>
      <c r="C615" s="123"/>
      <c r="D615" s="118"/>
      <c r="E615" s="123"/>
      <c r="F615" s="123"/>
      <c r="G615" s="118"/>
      <c r="H615" s="118"/>
      <c r="I615" s="118"/>
      <c r="J615" s="119"/>
      <c r="K615" s="123"/>
      <c r="L615" s="123"/>
      <c r="M615" s="123"/>
      <c r="N615" s="123"/>
      <c r="O615" s="123"/>
      <c r="P615" s="123"/>
      <c r="Q615" s="119"/>
      <c r="R615" s="118"/>
    </row>
    <row r="616" spans="1:18" ht="13">
      <c r="A616" s="105"/>
      <c r="B616" s="97"/>
      <c r="C616" s="123"/>
      <c r="D616" s="118"/>
      <c r="E616" s="123"/>
      <c r="F616" s="123"/>
      <c r="G616" s="118"/>
      <c r="H616" s="118"/>
      <c r="I616" s="118"/>
      <c r="J616" s="119"/>
      <c r="K616" s="123"/>
      <c r="L616" s="123"/>
      <c r="M616" s="123"/>
      <c r="N616" s="123"/>
      <c r="O616" s="123"/>
      <c r="P616" s="123"/>
      <c r="Q616" s="119"/>
      <c r="R616" s="118"/>
    </row>
    <row r="617" spans="1:18" ht="13">
      <c r="A617" s="105"/>
      <c r="B617" s="97"/>
      <c r="C617" s="123"/>
      <c r="D617" s="118"/>
      <c r="E617" s="123"/>
      <c r="F617" s="123"/>
      <c r="G617" s="118"/>
      <c r="H617" s="118"/>
      <c r="I617" s="118"/>
      <c r="J617" s="119"/>
      <c r="K617" s="123"/>
      <c r="L617" s="123"/>
      <c r="M617" s="123"/>
      <c r="N617" s="123"/>
      <c r="O617" s="123"/>
      <c r="P617" s="123"/>
      <c r="Q617" s="119"/>
      <c r="R617" s="118"/>
    </row>
    <row r="618" spans="1:18" ht="13">
      <c r="A618" s="105"/>
      <c r="B618" s="97"/>
      <c r="C618" s="123"/>
      <c r="D618" s="118"/>
      <c r="E618" s="123"/>
      <c r="F618" s="123"/>
      <c r="G618" s="118"/>
      <c r="H618" s="118"/>
      <c r="I618" s="118"/>
      <c r="J618" s="119"/>
      <c r="K618" s="123"/>
      <c r="L618" s="123"/>
      <c r="M618" s="123"/>
      <c r="N618" s="123"/>
      <c r="O618" s="123"/>
      <c r="P618" s="123"/>
      <c r="Q618" s="119"/>
      <c r="R618" s="118"/>
    </row>
    <row r="619" spans="1:18" ht="13">
      <c r="A619" s="105"/>
      <c r="B619" s="97"/>
      <c r="C619" s="123"/>
      <c r="D619" s="118"/>
      <c r="E619" s="123"/>
      <c r="F619" s="123"/>
      <c r="G619" s="118"/>
      <c r="H619" s="118"/>
      <c r="I619" s="118"/>
      <c r="J619" s="119"/>
      <c r="K619" s="123"/>
      <c r="L619" s="123"/>
      <c r="M619" s="123"/>
      <c r="N619" s="123"/>
      <c r="O619" s="123"/>
      <c r="P619" s="123"/>
      <c r="Q619" s="119"/>
      <c r="R619" s="118"/>
    </row>
    <row r="620" spans="1:18" ht="13">
      <c r="A620" s="105"/>
      <c r="B620" s="97"/>
      <c r="C620" s="123"/>
      <c r="D620" s="118"/>
      <c r="E620" s="123"/>
      <c r="F620" s="123"/>
      <c r="G620" s="118"/>
      <c r="H620" s="118"/>
      <c r="I620" s="118"/>
      <c r="J620" s="119"/>
      <c r="K620" s="123"/>
      <c r="L620" s="123"/>
      <c r="M620" s="123"/>
      <c r="N620" s="123"/>
      <c r="O620" s="123"/>
      <c r="P620" s="123"/>
      <c r="Q620" s="119"/>
      <c r="R620" s="118"/>
    </row>
    <row r="621" spans="1:18" ht="13">
      <c r="A621" s="105"/>
      <c r="B621" s="97"/>
      <c r="C621" s="123"/>
      <c r="D621" s="118"/>
      <c r="E621" s="123"/>
      <c r="F621" s="123"/>
      <c r="G621" s="118"/>
      <c r="H621" s="118"/>
      <c r="I621" s="118"/>
      <c r="J621" s="119"/>
      <c r="K621" s="123"/>
      <c r="L621" s="123"/>
      <c r="M621" s="123"/>
      <c r="N621" s="123"/>
      <c r="O621" s="123"/>
      <c r="P621" s="123"/>
      <c r="Q621" s="119"/>
      <c r="R621" s="118"/>
    </row>
    <row r="622" spans="1:18" ht="13">
      <c r="A622" s="105"/>
      <c r="B622" s="97"/>
      <c r="C622" s="123"/>
      <c r="D622" s="118"/>
      <c r="E622" s="123"/>
      <c r="F622" s="123"/>
      <c r="G622" s="118"/>
      <c r="H622" s="118"/>
      <c r="I622" s="118"/>
      <c r="J622" s="119"/>
      <c r="K622" s="123"/>
      <c r="L622" s="123"/>
      <c r="M622" s="123"/>
      <c r="N622" s="123"/>
      <c r="O622" s="123"/>
      <c r="P622" s="123"/>
      <c r="Q622" s="119"/>
      <c r="R622" s="118"/>
    </row>
    <row r="623" spans="1:18" ht="13">
      <c r="A623" s="105"/>
      <c r="B623" s="97"/>
      <c r="C623" s="123"/>
      <c r="D623" s="118"/>
      <c r="E623" s="123"/>
      <c r="F623" s="123"/>
      <c r="G623" s="118"/>
      <c r="H623" s="118"/>
      <c r="I623" s="118"/>
      <c r="J623" s="119"/>
      <c r="K623" s="123"/>
      <c r="L623" s="123"/>
      <c r="M623" s="123"/>
      <c r="N623" s="123"/>
      <c r="O623" s="123"/>
      <c r="P623" s="123"/>
      <c r="Q623" s="119"/>
      <c r="R623" s="118"/>
    </row>
    <row r="624" spans="1:18" ht="13">
      <c r="A624" s="105"/>
      <c r="B624" s="97"/>
      <c r="C624" s="123"/>
      <c r="D624" s="118"/>
      <c r="E624" s="123"/>
      <c r="F624" s="123"/>
      <c r="G624" s="118"/>
      <c r="H624" s="118"/>
      <c r="I624" s="118"/>
      <c r="J624" s="119"/>
      <c r="K624" s="123"/>
      <c r="L624" s="123"/>
      <c r="M624" s="123"/>
      <c r="N624" s="123"/>
      <c r="O624" s="123"/>
      <c r="P624" s="123"/>
      <c r="Q624" s="119"/>
      <c r="R624" s="118"/>
    </row>
    <row r="625" spans="1:18" ht="13">
      <c r="A625" s="105"/>
      <c r="B625" s="97"/>
      <c r="C625" s="123"/>
      <c r="D625" s="118"/>
      <c r="E625" s="123"/>
      <c r="F625" s="123"/>
      <c r="G625" s="118"/>
      <c r="H625" s="118"/>
      <c r="I625" s="118"/>
      <c r="J625" s="119"/>
      <c r="K625" s="123"/>
      <c r="L625" s="123"/>
      <c r="M625" s="123"/>
      <c r="N625" s="123"/>
      <c r="O625" s="123"/>
      <c r="P625" s="123"/>
      <c r="Q625" s="119"/>
      <c r="R625" s="118"/>
    </row>
    <row r="626" spans="1:18" ht="13">
      <c r="A626" s="105"/>
      <c r="B626" s="97"/>
      <c r="C626" s="123"/>
      <c r="D626" s="118"/>
      <c r="E626" s="123"/>
      <c r="F626" s="123"/>
      <c r="G626" s="118"/>
      <c r="H626" s="118"/>
      <c r="I626" s="118"/>
      <c r="J626" s="119"/>
      <c r="K626" s="123"/>
      <c r="L626" s="123"/>
      <c r="M626" s="123"/>
      <c r="N626" s="123"/>
      <c r="O626" s="123"/>
      <c r="P626" s="123"/>
      <c r="Q626" s="119"/>
      <c r="R626" s="118"/>
    </row>
    <row r="627" spans="1:18" ht="13">
      <c r="A627" s="105"/>
      <c r="B627" s="97"/>
      <c r="C627" s="123"/>
      <c r="D627" s="118"/>
      <c r="E627" s="123"/>
      <c r="F627" s="123"/>
      <c r="G627" s="118"/>
      <c r="H627" s="118"/>
      <c r="I627" s="118"/>
      <c r="J627" s="119"/>
      <c r="K627" s="123"/>
      <c r="L627" s="123"/>
      <c r="M627" s="123"/>
      <c r="N627" s="123"/>
      <c r="O627" s="123"/>
      <c r="P627" s="123"/>
      <c r="Q627" s="119"/>
      <c r="R627" s="118"/>
    </row>
    <row r="628" spans="1:18" ht="13">
      <c r="A628" s="105"/>
      <c r="B628" s="97"/>
      <c r="C628" s="123"/>
      <c r="D628" s="118"/>
      <c r="E628" s="123"/>
      <c r="F628" s="123"/>
      <c r="G628" s="118"/>
      <c r="H628" s="118"/>
      <c r="I628" s="118"/>
      <c r="J628" s="119"/>
      <c r="K628" s="123"/>
      <c r="L628" s="123"/>
      <c r="M628" s="123"/>
      <c r="N628" s="123"/>
      <c r="O628" s="123"/>
      <c r="P628" s="123"/>
      <c r="Q628" s="119"/>
      <c r="R628" s="118"/>
    </row>
    <row r="629" spans="1:18" ht="13">
      <c r="A629" s="105"/>
      <c r="B629" s="97"/>
      <c r="C629" s="123"/>
      <c r="D629" s="118"/>
      <c r="E629" s="123"/>
      <c r="F629" s="123"/>
      <c r="G629" s="118"/>
      <c r="H629" s="118"/>
      <c r="I629" s="118"/>
      <c r="J629" s="119"/>
      <c r="K629" s="123"/>
      <c r="L629" s="123"/>
      <c r="M629" s="123"/>
      <c r="N629" s="123"/>
      <c r="O629" s="123"/>
      <c r="P629" s="123"/>
      <c r="Q629" s="119"/>
      <c r="R629" s="118"/>
    </row>
    <row r="630" spans="1:18" ht="13">
      <c r="A630" s="105"/>
      <c r="B630" s="97"/>
      <c r="C630" s="123"/>
      <c r="D630" s="118"/>
      <c r="E630" s="123"/>
      <c r="F630" s="123"/>
      <c r="G630" s="118"/>
      <c r="H630" s="118"/>
      <c r="I630" s="118"/>
      <c r="J630" s="119"/>
      <c r="K630" s="123"/>
      <c r="L630" s="123"/>
      <c r="M630" s="123"/>
      <c r="N630" s="123"/>
      <c r="O630" s="123"/>
      <c r="P630" s="123"/>
      <c r="Q630" s="119"/>
      <c r="R630" s="118"/>
    </row>
    <row r="631" spans="1:18" ht="13">
      <c r="A631" s="105"/>
      <c r="B631" s="97"/>
      <c r="C631" s="123"/>
      <c r="D631" s="118"/>
      <c r="E631" s="123"/>
      <c r="F631" s="123"/>
      <c r="G631" s="118"/>
      <c r="H631" s="118"/>
      <c r="I631" s="118"/>
      <c r="J631" s="119"/>
      <c r="K631" s="123"/>
      <c r="L631" s="123"/>
      <c r="M631" s="123"/>
      <c r="N631" s="123"/>
      <c r="O631" s="123"/>
      <c r="P631" s="123"/>
      <c r="Q631" s="119"/>
      <c r="R631" s="118"/>
    </row>
    <row r="632" spans="1:18" ht="13">
      <c r="A632" s="105"/>
      <c r="B632" s="97"/>
      <c r="C632" s="123"/>
      <c r="D632" s="118"/>
      <c r="E632" s="123"/>
      <c r="F632" s="123"/>
      <c r="G632" s="118"/>
      <c r="H632" s="118"/>
      <c r="I632" s="118"/>
      <c r="J632" s="119"/>
      <c r="K632" s="123"/>
      <c r="L632" s="123"/>
      <c r="M632" s="123"/>
      <c r="N632" s="123"/>
      <c r="O632" s="123"/>
      <c r="P632" s="123"/>
      <c r="Q632" s="119"/>
      <c r="R632" s="118"/>
    </row>
    <row r="633" spans="1:18" ht="13">
      <c r="A633" s="105"/>
      <c r="B633" s="97"/>
      <c r="C633" s="123"/>
      <c r="D633" s="118"/>
      <c r="E633" s="123"/>
      <c r="F633" s="123"/>
      <c r="G633" s="118"/>
      <c r="H633" s="118"/>
      <c r="I633" s="118"/>
      <c r="J633" s="119"/>
      <c r="K633" s="123"/>
      <c r="L633" s="123"/>
      <c r="M633" s="123"/>
      <c r="N633" s="123"/>
      <c r="O633" s="123"/>
      <c r="P633" s="123"/>
      <c r="Q633" s="119"/>
      <c r="R633" s="118"/>
    </row>
    <row r="634" spans="1:18" ht="13">
      <c r="A634" s="105"/>
      <c r="B634" s="97"/>
      <c r="C634" s="123"/>
      <c r="D634" s="118"/>
      <c r="E634" s="123"/>
      <c r="F634" s="123"/>
      <c r="G634" s="118"/>
      <c r="H634" s="118"/>
      <c r="I634" s="118"/>
      <c r="J634" s="119"/>
      <c r="K634" s="123"/>
      <c r="L634" s="123"/>
      <c r="M634" s="123"/>
      <c r="N634" s="123"/>
      <c r="O634" s="123"/>
      <c r="P634" s="123"/>
      <c r="Q634" s="119"/>
      <c r="R634" s="118"/>
    </row>
    <row r="635" spans="1:18" ht="13">
      <c r="A635" s="105"/>
      <c r="B635" s="97"/>
      <c r="C635" s="123"/>
      <c r="D635" s="118"/>
      <c r="E635" s="123"/>
      <c r="F635" s="123"/>
      <c r="G635" s="118"/>
      <c r="H635" s="118"/>
      <c r="I635" s="118"/>
      <c r="J635" s="119"/>
      <c r="K635" s="123"/>
      <c r="L635" s="123"/>
      <c r="M635" s="123"/>
      <c r="N635" s="123"/>
      <c r="O635" s="123"/>
      <c r="P635" s="123"/>
      <c r="Q635" s="119"/>
      <c r="R635" s="118"/>
    </row>
    <row r="636" spans="1:18" ht="13">
      <c r="A636" s="105"/>
      <c r="B636" s="97"/>
      <c r="C636" s="123"/>
      <c r="D636" s="118"/>
      <c r="E636" s="123"/>
      <c r="F636" s="123"/>
      <c r="G636" s="118"/>
      <c r="H636" s="118"/>
      <c r="I636" s="118"/>
      <c r="J636" s="119"/>
      <c r="K636" s="123"/>
      <c r="L636" s="123"/>
      <c r="M636" s="123"/>
      <c r="N636" s="123"/>
      <c r="O636" s="123"/>
      <c r="P636" s="123"/>
      <c r="Q636" s="119"/>
      <c r="R636" s="118"/>
    </row>
    <row r="637" spans="1:18" ht="13">
      <c r="A637" s="105"/>
      <c r="B637" s="97"/>
      <c r="C637" s="123"/>
      <c r="D637" s="118"/>
      <c r="E637" s="123"/>
      <c r="F637" s="123"/>
      <c r="G637" s="118"/>
      <c r="H637" s="118"/>
      <c r="I637" s="118"/>
      <c r="J637" s="119"/>
      <c r="K637" s="123"/>
      <c r="L637" s="123"/>
      <c r="M637" s="123"/>
      <c r="N637" s="123"/>
      <c r="O637" s="123"/>
      <c r="P637" s="123"/>
      <c r="Q637" s="119"/>
      <c r="R637" s="118"/>
    </row>
    <row r="638" spans="1:18" ht="13">
      <c r="A638" s="105"/>
      <c r="B638" s="97"/>
      <c r="C638" s="123"/>
      <c r="D638" s="118"/>
      <c r="E638" s="123"/>
      <c r="F638" s="123"/>
      <c r="G638" s="118"/>
      <c r="H638" s="118"/>
      <c r="I638" s="118"/>
      <c r="J638" s="119"/>
      <c r="K638" s="123"/>
      <c r="L638" s="123"/>
      <c r="M638" s="123"/>
      <c r="N638" s="123"/>
      <c r="O638" s="123"/>
      <c r="P638" s="123"/>
      <c r="Q638" s="119"/>
      <c r="R638" s="118"/>
    </row>
    <row r="639" spans="1:18" ht="13">
      <c r="A639" s="105"/>
      <c r="B639" s="97"/>
      <c r="C639" s="123"/>
      <c r="D639" s="118"/>
      <c r="E639" s="123"/>
      <c r="F639" s="123"/>
      <c r="G639" s="118"/>
      <c r="H639" s="118"/>
      <c r="I639" s="118"/>
      <c r="J639" s="119"/>
      <c r="K639" s="123"/>
      <c r="L639" s="123"/>
      <c r="M639" s="123"/>
      <c r="N639" s="123"/>
      <c r="O639" s="123"/>
      <c r="P639" s="123"/>
      <c r="Q639" s="119"/>
      <c r="R639" s="118"/>
    </row>
    <row r="640" spans="1:18" ht="13">
      <c r="A640" s="105"/>
      <c r="B640" s="97"/>
      <c r="C640" s="123"/>
      <c r="D640" s="118"/>
      <c r="E640" s="123"/>
      <c r="F640" s="123"/>
      <c r="G640" s="118"/>
      <c r="H640" s="118"/>
      <c r="I640" s="118"/>
      <c r="J640" s="119"/>
      <c r="K640" s="123"/>
      <c r="L640" s="123"/>
      <c r="M640" s="123"/>
      <c r="N640" s="123"/>
      <c r="O640" s="123"/>
      <c r="P640" s="123"/>
      <c r="Q640" s="119"/>
      <c r="R640" s="118"/>
    </row>
    <row r="641" spans="1:18" ht="13">
      <c r="A641" s="105"/>
      <c r="B641" s="97"/>
      <c r="C641" s="123"/>
      <c r="D641" s="118"/>
      <c r="E641" s="123"/>
      <c r="F641" s="123"/>
      <c r="G641" s="118"/>
      <c r="H641" s="118"/>
      <c r="I641" s="118"/>
      <c r="J641" s="119"/>
      <c r="K641" s="123"/>
      <c r="L641" s="123"/>
      <c r="M641" s="123"/>
      <c r="N641" s="123"/>
      <c r="O641" s="123"/>
      <c r="P641" s="123"/>
      <c r="Q641" s="119"/>
      <c r="R641" s="118"/>
    </row>
    <row r="642" spans="1:18" ht="13">
      <c r="A642" s="105"/>
      <c r="B642" s="97"/>
      <c r="C642" s="123"/>
      <c r="D642" s="118"/>
      <c r="E642" s="123"/>
      <c r="F642" s="123"/>
      <c r="G642" s="118"/>
      <c r="H642" s="118"/>
      <c r="I642" s="118"/>
      <c r="J642" s="119"/>
      <c r="K642" s="123"/>
      <c r="L642" s="123"/>
      <c r="M642" s="123"/>
      <c r="N642" s="123"/>
      <c r="O642" s="123"/>
      <c r="P642" s="123"/>
      <c r="Q642" s="119"/>
      <c r="R642" s="118"/>
    </row>
    <row r="643" spans="1:18" ht="13">
      <c r="A643" s="105"/>
      <c r="B643" s="97"/>
      <c r="C643" s="123"/>
      <c r="D643" s="118"/>
      <c r="E643" s="123"/>
      <c r="F643" s="123"/>
      <c r="G643" s="118"/>
      <c r="H643" s="118"/>
      <c r="I643" s="118"/>
      <c r="J643" s="119"/>
      <c r="K643" s="123"/>
      <c r="L643" s="123"/>
      <c r="M643" s="123"/>
      <c r="N643" s="123"/>
      <c r="O643" s="123"/>
      <c r="P643" s="123"/>
      <c r="Q643" s="119"/>
      <c r="R643" s="118"/>
    </row>
    <row r="644" spans="1:18" ht="13">
      <c r="A644" s="105"/>
      <c r="B644" s="97"/>
      <c r="C644" s="123"/>
      <c r="D644" s="118"/>
      <c r="E644" s="123"/>
      <c r="F644" s="123"/>
      <c r="G644" s="118"/>
      <c r="H644" s="118"/>
      <c r="I644" s="118"/>
      <c r="J644" s="119"/>
      <c r="K644" s="123"/>
      <c r="L644" s="123"/>
      <c r="M644" s="123"/>
      <c r="N644" s="123"/>
      <c r="O644" s="123"/>
      <c r="P644" s="123"/>
      <c r="Q644" s="119"/>
      <c r="R644" s="118"/>
    </row>
    <row r="645" spans="1:18" ht="13">
      <c r="A645" s="105"/>
      <c r="B645" s="97"/>
      <c r="C645" s="123"/>
      <c r="D645" s="118"/>
      <c r="E645" s="123"/>
      <c r="F645" s="123"/>
      <c r="G645" s="118"/>
      <c r="H645" s="118"/>
      <c r="I645" s="118"/>
      <c r="J645" s="119"/>
      <c r="K645" s="123"/>
      <c r="L645" s="123"/>
      <c r="M645" s="123"/>
      <c r="N645" s="123"/>
      <c r="O645" s="123"/>
      <c r="P645" s="123"/>
      <c r="Q645" s="119"/>
      <c r="R645" s="118"/>
    </row>
    <row r="646" spans="1:18" ht="13">
      <c r="A646" s="105"/>
      <c r="B646" s="97"/>
      <c r="C646" s="123"/>
      <c r="D646" s="118"/>
      <c r="E646" s="123"/>
      <c r="F646" s="123"/>
      <c r="G646" s="118"/>
      <c r="H646" s="118"/>
      <c r="I646" s="118"/>
      <c r="J646" s="119"/>
      <c r="K646" s="123"/>
      <c r="L646" s="123"/>
      <c r="M646" s="123"/>
      <c r="N646" s="123"/>
      <c r="O646" s="123"/>
      <c r="P646" s="123"/>
      <c r="Q646" s="119"/>
      <c r="R646" s="118"/>
    </row>
    <row r="647" spans="1:18" ht="13">
      <c r="A647" s="105"/>
      <c r="B647" s="97"/>
      <c r="C647" s="123"/>
      <c r="D647" s="118"/>
      <c r="E647" s="123"/>
      <c r="F647" s="123"/>
      <c r="G647" s="118"/>
      <c r="H647" s="118"/>
      <c r="I647" s="118"/>
      <c r="J647" s="119"/>
      <c r="K647" s="123"/>
      <c r="L647" s="123"/>
      <c r="M647" s="123"/>
      <c r="N647" s="123"/>
      <c r="O647" s="123"/>
      <c r="P647" s="123"/>
      <c r="Q647" s="119"/>
      <c r="R647" s="118"/>
    </row>
    <row r="648" spans="1:18" ht="13">
      <c r="A648" s="105"/>
      <c r="B648" s="97"/>
      <c r="C648" s="123"/>
      <c r="D648" s="118"/>
      <c r="E648" s="123"/>
      <c r="F648" s="123"/>
      <c r="G648" s="118"/>
      <c r="H648" s="118"/>
      <c r="I648" s="118"/>
      <c r="J648" s="119"/>
      <c r="K648" s="123"/>
      <c r="L648" s="123"/>
      <c r="M648" s="123"/>
      <c r="N648" s="123"/>
      <c r="O648" s="123"/>
      <c r="P648" s="123"/>
      <c r="Q648" s="119"/>
      <c r="R648" s="118"/>
    </row>
    <row r="649" spans="1:18" ht="13">
      <c r="A649" s="105"/>
      <c r="B649" s="97"/>
      <c r="C649" s="123"/>
      <c r="D649" s="118"/>
      <c r="E649" s="123"/>
      <c r="F649" s="123"/>
      <c r="G649" s="118"/>
      <c r="H649" s="118"/>
      <c r="I649" s="118"/>
      <c r="J649" s="119"/>
      <c r="K649" s="123"/>
      <c r="L649" s="123"/>
      <c r="M649" s="123"/>
      <c r="N649" s="123"/>
      <c r="O649" s="123"/>
      <c r="P649" s="123"/>
      <c r="Q649" s="119"/>
      <c r="R649" s="118"/>
    </row>
    <row r="650" spans="1:18" ht="13">
      <c r="A650" s="105"/>
      <c r="B650" s="97"/>
      <c r="C650" s="123"/>
      <c r="D650" s="118"/>
      <c r="E650" s="123"/>
      <c r="F650" s="123"/>
      <c r="G650" s="118"/>
      <c r="H650" s="118"/>
      <c r="I650" s="118"/>
      <c r="J650" s="119"/>
      <c r="K650" s="123"/>
      <c r="L650" s="123"/>
      <c r="M650" s="123"/>
      <c r="N650" s="123"/>
      <c r="O650" s="123"/>
      <c r="P650" s="123"/>
      <c r="Q650" s="119"/>
      <c r="R650" s="118"/>
    </row>
    <row r="651" spans="1:18" ht="13">
      <c r="A651" s="105"/>
      <c r="B651" s="97"/>
      <c r="C651" s="123"/>
      <c r="D651" s="118"/>
      <c r="E651" s="123"/>
      <c r="F651" s="123"/>
      <c r="G651" s="118"/>
      <c r="H651" s="118"/>
      <c r="I651" s="118"/>
      <c r="J651" s="119"/>
      <c r="K651" s="123"/>
      <c r="L651" s="123"/>
      <c r="M651" s="123"/>
      <c r="N651" s="123"/>
      <c r="O651" s="123"/>
      <c r="P651" s="123"/>
      <c r="Q651" s="119"/>
      <c r="R651" s="118"/>
    </row>
    <row r="652" spans="1:18" ht="13">
      <c r="A652" s="105"/>
      <c r="B652" s="97"/>
      <c r="C652" s="123"/>
      <c r="D652" s="118"/>
      <c r="E652" s="123"/>
      <c r="F652" s="123"/>
      <c r="G652" s="118"/>
      <c r="H652" s="118"/>
      <c r="I652" s="118"/>
      <c r="J652" s="119"/>
      <c r="K652" s="123"/>
      <c r="L652" s="123"/>
      <c r="M652" s="123"/>
      <c r="N652" s="123"/>
      <c r="O652" s="123"/>
      <c r="P652" s="123"/>
      <c r="Q652" s="119"/>
      <c r="R652" s="118"/>
    </row>
    <row r="653" spans="1:18" ht="13">
      <c r="A653" s="105"/>
      <c r="B653" s="97"/>
      <c r="C653" s="123"/>
      <c r="D653" s="118"/>
      <c r="E653" s="123"/>
      <c r="F653" s="123"/>
      <c r="G653" s="118"/>
      <c r="H653" s="118"/>
      <c r="I653" s="118"/>
      <c r="J653" s="119"/>
      <c r="K653" s="123"/>
      <c r="L653" s="123"/>
      <c r="M653" s="123"/>
      <c r="N653" s="123"/>
      <c r="O653" s="123"/>
      <c r="P653" s="123"/>
      <c r="Q653" s="119"/>
      <c r="R653" s="118"/>
    </row>
    <row r="654" spans="1:18" ht="13">
      <c r="A654" s="105"/>
      <c r="B654" s="97"/>
      <c r="C654" s="123"/>
      <c r="D654" s="118"/>
      <c r="E654" s="123"/>
      <c r="F654" s="123"/>
      <c r="G654" s="118"/>
      <c r="H654" s="118"/>
      <c r="I654" s="118"/>
      <c r="J654" s="119"/>
      <c r="K654" s="123"/>
      <c r="L654" s="123"/>
      <c r="M654" s="123"/>
      <c r="N654" s="123"/>
      <c r="O654" s="123"/>
      <c r="P654" s="123"/>
      <c r="Q654" s="119"/>
      <c r="R654" s="118"/>
    </row>
    <row r="655" spans="1:18" ht="13">
      <c r="A655" s="105"/>
      <c r="B655" s="97"/>
      <c r="C655" s="123"/>
      <c r="D655" s="118"/>
      <c r="E655" s="123"/>
      <c r="F655" s="123"/>
      <c r="G655" s="118"/>
      <c r="H655" s="118"/>
      <c r="I655" s="118"/>
      <c r="J655" s="119"/>
      <c r="K655" s="123"/>
      <c r="L655" s="123"/>
      <c r="M655" s="123"/>
      <c r="N655" s="123"/>
      <c r="O655" s="123"/>
      <c r="P655" s="123"/>
      <c r="Q655" s="119"/>
      <c r="R655" s="118"/>
    </row>
    <row r="656" spans="1:18" ht="13">
      <c r="A656" s="105"/>
      <c r="B656" s="97"/>
      <c r="C656" s="123"/>
      <c r="D656" s="118"/>
      <c r="E656" s="123"/>
      <c r="F656" s="123"/>
      <c r="G656" s="118"/>
      <c r="H656" s="118"/>
      <c r="I656" s="118"/>
      <c r="J656" s="119"/>
      <c r="K656" s="123"/>
      <c r="L656" s="123"/>
      <c r="M656" s="123"/>
      <c r="N656" s="123"/>
      <c r="O656" s="123"/>
      <c r="P656" s="123"/>
      <c r="Q656" s="119"/>
      <c r="R656" s="118"/>
    </row>
    <row r="657" spans="1:18" ht="13">
      <c r="A657" s="105"/>
      <c r="B657" s="97"/>
      <c r="C657" s="123"/>
      <c r="D657" s="118"/>
      <c r="E657" s="123"/>
      <c r="F657" s="123"/>
      <c r="G657" s="118"/>
      <c r="H657" s="118"/>
      <c r="I657" s="118"/>
      <c r="J657" s="119"/>
      <c r="K657" s="123"/>
      <c r="L657" s="123"/>
      <c r="M657" s="123"/>
      <c r="N657" s="123"/>
      <c r="O657" s="123"/>
      <c r="P657" s="123"/>
      <c r="Q657" s="119"/>
      <c r="R657" s="118"/>
    </row>
    <row r="658" spans="1:18" ht="13">
      <c r="A658" s="105"/>
      <c r="B658" s="97"/>
      <c r="C658" s="123"/>
      <c r="D658" s="118"/>
      <c r="E658" s="123"/>
      <c r="F658" s="123"/>
      <c r="G658" s="118"/>
      <c r="H658" s="118"/>
      <c r="I658" s="118"/>
      <c r="J658" s="119"/>
      <c r="K658" s="123"/>
      <c r="L658" s="123"/>
      <c r="M658" s="123"/>
      <c r="N658" s="123"/>
      <c r="O658" s="123"/>
      <c r="P658" s="123"/>
      <c r="Q658" s="119"/>
      <c r="R658" s="118"/>
    </row>
    <row r="659" spans="1:18" ht="13">
      <c r="A659" s="105"/>
      <c r="B659" s="97"/>
      <c r="C659" s="123"/>
      <c r="D659" s="118"/>
      <c r="E659" s="123"/>
      <c r="F659" s="123"/>
      <c r="G659" s="118"/>
      <c r="H659" s="118"/>
      <c r="I659" s="118"/>
      <c r="J659" s="119"/>
      <c r="K659" s="123"/>
      <c r="L659" s="123"/>
      <c r="M659" s="123"/>
      <c r="N659" s="123"/>
      <c r="O659" s="123"/>
      <c r="P659" s="123"/>
      <c r="Q659" s="119"/>
      <c r="R659" s="118"/>
    </row>
    <row r="660" spans="1:18" ht="13">
      <c r="A660" s="105"/>
      <c r="B660" s="97"/>
      <c r="C660" s="123"/>
      <c r="D660" s="118"/>
      <c r="E660" s="123"/>
      <c r="F660" s="123"/>
      <c r="G660" s="118"/>
      <c r="H660" s="118"/>
      <c r="I660" s="118"/>
      <c r="J660" s="119"/>
      <c r="K660" s="123"/>
      <c r="L660" s="123"/>
      <c r="M660" s="123"/>
      <c r="N660" s="123"/>
      <c r="O660" s="123"/>
      <c r="P660" s="123"/>
      <c r="Q660" s="119"/>
      <c r="R660" s="118"/>
    </row>
    <row r="661" spans="1:18" ht="13">
      <c r="A661" s="105"/>
      <c r="B661" s="97"/>
      <c r="C661" s="123"/>
      <c r="D661" s="118"/>
      <c r="E661" s="123"/>
      <c r="F661" s="123"/>
      <c r="G661" s="118"/>
      <c r="H661" s="118"/>
      <c r="I661" s="118"/>
      <c r="J661" s="119"/>
      <c r="K661" s="123"/>
      <c r="L661" s="123"/>
      <c r="M661" s="123"/>
      <c r="N661" s="123"/>
      <c r="O661" s="123"/>
      <c r="P661" s="123"/>
      <c r="Q661" s="119"/>
      <c r="R661" s="118"/>
    </row>
    <row r="662" spans="1:18" ht="13">
      <c r="A662" s="105"/>
      <c r="B662" s="97"/>
      <c r="C662" s="123"/>
      <c r="D662" s="118"/>
      <c r="E662" s="123"/>
      <c r="F662" s="123"/>
      <c r="G662" s="118"/>
      <c r="H662" s="118"/>
      <c r="I662" s="118"/>
      <c r="J662" s="119"/>
      <c r="K662" s="123"/>
      <c r="L662" s="123"/>
      <c r="M662" s="123"/>
      <c r="N662" s="123"/>
      <c r="O662" s="123"/>
      <c r="P662" s="123"/>
      <c r="Q662" s="119"/>
      <c r="R662" s="118"/>
    </row>
    <row r="663" spans="1:18" ht="13">
      <c r="A663" s="105"/>
      <c r="B663" s="97"/>
      <c r="C663" s="123"/>
      <c r="D663" s="118"/>
      <c r="E663" s="123"/>
      <c r="F663" s="123"/>
      <c r="G663" s="118"/>
      <c r="H663" s="118"/>
      <c r="I663" s="118"/>
      <c r="J663" s="119"/>
      <c r="K663" s="123"/>
      <c r="L663" s="123"/>
      <c r="M663" s="123"/>
      <c r="N663" s="123"/>
      <c r="O663" s="123"/>
      <c r="P663" s="123"/>
      <c r="Q663" s="119"/>
      <c r="R663" s="118"/>
    </row>
    <row r="664" spans="1:18" ht="13">
      <c r="A664" s="105"/>
      <c r="B664" s="97"/>
      <c r="C664" s="123"/>
      <c r="D664" s="118"/>
      <c r="E664" s="123"/>
      <c r="F664" s="123"/>
      <c r="G664" s="118"/>
      <c r="H664" s="118"/>
      <c r="I664" s="118"/>
      <c r="J664" s="119"/>
      <c r="K664" s="123"/>
      <c r="L664" s="123"/>
      <c r="M664" s="123"/>
      <c r="N664" s="123"/>
      <c r="O664" s="123"/>
      <c r="P664" s="123"/>
      <c r="Q664" s="119"/>
      <c r="R664" s="118"/>
    </row>
    <row r="665" spans="1:18" ht="13">
      <c r="A665" s="105"/>
      <c r="B665" s="97"/>
      <c r="C665" s="123"/>
      <c r="D665" s="118"/>
      <c r="E665" s="123"/>
      <c r="F665" s="123"/>
      <c r="G665" s="118"/>
      <c r="H665" s="118"/>
      <c r="I665" s="118"/>
      <c r="J665" s="119"/>
      <c r="K665" s="123"/>
      <c r="L665" s="123"/>
      <c r="M665" s="123"/>
      <c r="N665" s="123"/>
      <c r="O665" s="123"/>
      <c r="P665" s="123"/>
      <c r="Q665" s="119"/>
      <c r="R665" s="118"/>
    </row>
    <row r="666" spans="1:18" ht="13">
      <c r="A666" s="105"/>
      <c r="B666" s="97"/>
      <c r="C666" s="123"/>
      <c r="D666" s="118"/>
      <c r="E666" s="123"/>
      <c r="F666" s="123"/>
      <c r="G666" s="118"/>
      <c r="H666" s="118"/>
      <c r="I666" s="118"/>
      <c r="J666" s="119"/>
      <c r="K666" s="123"/>
      <c r="L666" s="123"/>
      <c r="M666" s="123"/>
      <c r="N666" s="123"/>
      <c r="O666" s="123"/>
      <c r="P666" s="123"/>
      <c r="Q666" s="119"/>
      <c r="R666" s="118"/>
    </row>
    <row r="667" spans="1:18" ht="13">
      <c r="A667" s="105"/>
      <c r="B667" s="97"/>
      <c r="C667" s="123"/>
      <c r="D667" s="118"/>
      <c r="E667" s="123"/>
      <c r="F667" s="123"/>
      <c r="G667" s="118"/>
      <c r="H667" s="118"/>
      <c r="I667" s="118"/>
      <c r="J667" s="119"/>
      <c r="K667" s="123"/>
      <c r="L667" s="123"/>
      <c r="M667" s="123"/>
      <c r="N667" s="123"/>
      <c r="O667" s="123"/>
      <c r="P667" s="123"/>
      <c r="Q667" s="119"/>
      <c r="R667" s="118"/>
    </row>
    <row r="668" spans="1:18" ht="13">
      <c r="A668" s="105"/>
      <c r="B668" s="97"/>
      <c r="C668" s="123"/>
      <c r="D668" s="118"/>
      <c r="E668" s="123"/>
      <c r="F668" s="123"/>
      <c r="G668" s="118"/>
      <c r="H668" s="118"/>
      <c r="I668" s="118"/>
      <c r="J668" s="119"/>
      <c r="K668" s="123"/>
      <c r="L668" s="123"/>
      <c r="M668" s="123"/>
      <c r="N668" s="123"/>
      <c r="O668" s="123"/>
      <c r="P668" s="123"/>
      <c r="Q668" s="119"/>
      <c r="R668" s="118"/>
    </row>
    <row r="669" spans="1:18" ht="13">
      <c r="A669" s="105"/>
      <c r="B669" s="97"/>
      <c r="C669" s="123"/>
      <c r="D669" s="118"/>
      <c r="E669" s="123"/>
      <c r="F669" s="123"/>
      <c r="G669" s="118"/>
      <c r="H669" s="118"/>
      <c r="I669" s="118"/>
      <c r="J669" s="119"/>
      <c r="K669" s="123"/>
      <c r="L669" s="123"/>
      <c r="M669" s="123"/>
      <c r="N669" s="123"/>
      <c r="O669" s="123"/>
      <c r="P669" s="123"/>
      <c r="Q669" s="119"/>
      <c r="R669" s="118"/>
    </row>
    <row r="670" spans="1:18" ht="13">
      <c r="A670" s="105"/>
      <c r="B670" s="97"/>
      <c r="C670" s="123"/>
      <c r="D670" s="118"/>
      <c r="E670" s="123"/>
      <c r="F670" s="123"/>
      <c r="G670" s="118"/>
      <c r="H670" s="118"/>
      <c r="I670" s="118"/>
      <c r="J670" s="119"/>
      <c r="K670" s="123"/>
      <c r="L670" s="123"/>
      <c r="M670" s="123"/>
      <c r="N670" s="123"/>
      <c r="O670" s="123"/>
      <c r="P670" s="123"/>
      <c r="Q670" s="119"/>
      <c r="R670" s="118"/>
    </row>
    <row r="671" spans="1:18" ht="13">
      <c r="A671" s="105"/>
      <c r="B671" s="97"/>
      <c r="C671" s="123"/>
      <c r="D671" s="118"/>
      <c r="E671" s="123"/>
      <c r="F671" s="123"/>
      <c r="G671" s="118"/>
      <c r="H671" s="118"/>
      <c r="I671" s="118"/>
      <c r="J671" s="119"/>
      <c r="K671" s="123"/>
      <c r="L671" s="123"/>
      <c r="M671" s="123"/>
      <c r="N671" s="123"/>
      <c r="O671" s="123"/>
      <c r="P671" s="123"/>
      <c r="Q671" s="119"/>
      <c r="R671" s="118"/>
    </row>
    <row r="672" spans="1:18" ht="13">
      <c r="A672" s="105"/>
      <c r="B672" s="97"/>
      <c r="C672" s="123"/>
      <c r="D672" s="118"/>
      <c r="E672" s="123"/>
      <c r="F672" s="123"/>
      <c r="G672" s="118"/>
      <c r="H672" s="118"/>
      <c r="I672" s="118"/>
      <c r="J672" s="119"/>
      <c r="K672" s="123"/>
      <c r="L672" s="123"/>
      <c r="M672" s="123"/>
      <c r="N672" s="123"/>
      <c r="O672" s="123"/>
      <c r="P672" s="123"/>
      <c r="Q672" s="119"/>
      <c r="R672" s="118"/>
    </row>
    <row r="673" spans="1:18" ht="13">
      <c r="A673" s="105"/>
      <c r="B673" s="97"/>
      <c r="C673" s="123"/>
      <c r="D673" s="118"/>
      <c r="E673" s="123"/>
      <c r="F673" s="123"/>
      <c r="G673" s="118"/>
      <c r="H673" s="118"/>
      <c r="I673" s="118"/>
      <c r="J673" s="119"/>
      <c r="K673" s="123"/>
      <c r="L673" s="123"/>
      <c r="M673" s="123"/>
      <c r="N673" s="123"/>
      <c r="O673" s="123"/>
      <c r="P673" s="123"/>
      <c r="Q673" s="119"/>
      <c r="R673" s="118"/>
    </row>
    <row r="674" spans="1:18" ht="13">
      <c r="A674" s="105"/>
      <c r="B674" s="97"/>
      <c r="C674" s="123"/>
      <c r="D674" s="118"/>
      <c r="E674" s="123"/>
      <c r="F674" s="123"/>
      <c r="G674" s="118"/>
      <c r="H674" s="118"/>
      <c r="I674" s="118"/>
      <c r="J674" s="119"/>
      <c r="K674" s="123"/>
      <c r="L674" s="123"/>
      <c r="M674" s="123"/>
      <c r="N674" s="123"/>
      <c r="O674" s="123"/>
      <c r="P674" s="123"/>
      <c r="Q674" s="119"/>
      <c r="R674" s="118"/>
    </row>
    <row r="675" spans="1:18" ht="13">
      <c r="A675" s="105"/>
      <c r="B675" s="97"/>
      <c r="C675" s="123"/>
      <c r="D675" s="118"/>
      <c r="E675" s="123"/>
      <c r="F675" s="123"/>
      <c r="G675" s="118"/>
      <c r="H675" s="118"/>
      <c r="I675" s="118"/>
      <c r="J675" s="119"/>
      <c r="K675" s="123"/>
      <c r="L675" s="123"/>
      <c r="M675" s="123"/>
      <c r="N675" s="123"/>
      <c r="O675" s="123"/>
      <c r="P675" s="123"/>
      <c r="Q675" s="119"/>
      <c r="R675" s="118"/>
    </row>
    <row r="676" spans="1:18" ht="13">
      <c r="A676" s="105"/>
      <c r="B676" s="97"/>
      <c r="C676" s="123"/>
      <c r="D676" s="118"/>
      <c r="E676" s="123"/>
      <c r="F676" s="123"/>
      <c r="G676" s="118"/>
      <c r="H676" s="118"/>
      <c r="I676" s="118"/>
      <c r="J676" s="119"/>
      <c r="K676" s="123"/>
      <c r="L676" s="123"/>
      <c r="M676" s="123"/>
      <c r="N676" s="123"/>
      <c r="O676" s="123"/>
      <c r="P676" s="123"/>
      <c r="Q676" s="119"/>
      <c r="R676" s="118"/>
    </row>
    <row r="677" spans="1:18" ht="13">
      <c r="A677" s="105"/>
      <c r="B677" s="97"/>
      <c r="C677" s="123"/>
      <c r="D677" s="118"/>
      <c r="E677" s="123"/>
      <c r="F677" s="123"/>
      <c r="G677" s="118"/>
      <c r="H677" s="118"/>
      <c r="I677" s="118"/>
      <c r="J677" s="119"/>
      <c r="K677" s="123"/>
      <c r="L677" s="123"/>
      <c r="M677" s="123"/>
      <c r="N677" s="123"/>
      <c r="O677" s="123"/>
      <c r="P677" s="123"/>
      <c r="Q677" s="119"/>
      <c r="R677" s="118"/>
    </row>
    <row r="678" spans="1:18" ht="13">
      <c r="A678" s="105"/>
      <c r="B678" s="97"/>
      <c r="C678" s="123"/>
      <c r="D678" s="118"/>
      <c r="E678" s="123"/>
      <c r="F678" s="123"/>
      <c r="G678" s="118"/>
      <c r="H678" s="118"/>
      <c r="I678" s="118"/>
      <c r="J678" s="119"/>
      <c r="K678" s="123"/>
      <c r="L678" s="123"/>
      <c r="M678" s="123"/>
      <c r="N678" s="123"/>
      <c r="O678" s="123"/>
      <c r="P678" s="123"/>
      <c r="Q678" s="119"/>
      <c r="R678" s="118"/>
    </row>
    <row r="679" spans="1:18" ht="13">
      <c r="A679" s="105"/>
      <c r="B679" s="97"/>
      <c r="C679" s="123"/>
      <c r="D679" s="118"/>
      <c r="E679" s="123"/>
      <c r="F679" s="123"/>
      <c r="G679" s="118"/>
      <c r="H679" s="118"/>
      <c r="I679" s="118"/>
      <c r="J679" s="119"/>
      <c r="K679" s="123"/>
      <c r="L679" s="123"/>
      <c r="M679" s="123"/>
      <c r="N679" s="123"/>
      <c r="O679" s="123"/>
      <c r="P679" s="123"/>
      <c r="Q679" s="119"/>
      <c r="R679" s="118"/>
    </row>
    <row r="680" spans="1:18" ht="13">
      <c r="A680" s="105"/>
      <c r="B680" s="97"/>
      <c r="C680" s="123"/>
      <c r="D680" s="118"/>
      <c r="E680" s="123"/>
      <c r="F680" s="123"/>
      <c r="G680" s="118"/>
      <c r="H680" s="118"/>
      <c r="I680" s="118"/>
      <c r="J680" s="119"/>
      <c r="K680" s="123"/>
      <c r="L680" s="123"/>
      <c r="M680" s="123"/>
      <c r="N680" s="123"/>
      <c r="O680" s="123"/>
      <c r="P680" s="123"/>
      <c r="Q680" s="119"/>
      <c r="R680" s="118"/>
    </row>
    <row r="681" spans="1:18" ht="13">
      <c r="A681" s="105"/>
      <c r="B681" s="97"/>
      <c r="C681" s="123"/>
      <c r="D681" s="118"/>
      <c r="E681" s="123"/>
      <c r="F681" s="123"/>
      <c r="G681" s="118"/>
      <c r="H681" s="118"/>
      <c r="I681" s="118"/>
      <c r="J681" s="119"/>
      <c r="K681" s="123"/>
      <c r="L681" s="123"/>
      <c r="M681" s="123"/>
      <c r="N681" s="123"/>
      <c r="O681" s="123"/>
      <c r="P681" s="123"/>
      <c r="Q681" s="119"/>
      <c r="R681" s="118"/>
    </row>
    <row r="682" spans="1:18" ht="13">
      <c r="A682" s="105"/>
      <c r="B682" s="97"/>
      <c r="C682" s="123"/>
      <c r="D682" s="118"/>
      <c r="E682" s="123"/>
      <c r="F682" s="123"/>
      <c r="G682" s="118"/>
      <c r="H682" s="118"/>
      <c r="I682" s="118"/>
      <c r="J682" s="119"/>
      <c r="K682" s="123"/>
      <c r="L682" s="123"/>
      <c r="M682" s="123"/>
      <c r="N682" s="123"/>
      <c r="O682" s="123"/>
      <c r="P682" s="123"/>
      <c r="Q682" s="119"/>
      <c r="R682" s="118"/>
    </row>
    <row r="683" spans="1:18" ht="13">
      <c r="A683" s="105"/>
      <c r="B683" s="97"/>
      <c r="C683" s="123"/>
      <c r="D683" s="118"/>
      <c r="E683" s="123"/>
      <c r="F683" s="123"/>
      <c r="G683" s="118"/>
      <c r="H683" s="118"/>
      <c r="I683" s="118"/>
      <c r="J683" s="119"/>
      <c r="K683" s="123"/>
      <c r="L683" s="123"/>
      <c r="M683" s="123"/>
      <c r="N683" s="123"/>
      <c r="O683" s="123"/>
      <c r="P683" s="123"/>
      <c r="Q683" s="119"/>
      <c r="R683" s="118"/>
    </row>
    <row r="684" spans="1:18" ht="13">
      <c r="A684" s="105"/>
      <c r="B684" s="97"/>
      <c r="C684" s="123"/>
      <c r="D684" s="118"/>
      <c r="E684" s="123"/>
      <c r="F684" s="123"/>
      <c r="G684" s="118"/>
      <c r="H684" s="118"/>
      <c r="I684" s="118"/>
      <c r="J684" s="119"/>
      <c r="K684" s="123"/>
      <c r="L684" s="123"/>
      <c r="M684" s="123"/>
      <c r="N684" s="123"/>
      <c r="O684" s="123"/>
      <c r="P684" s="123"/>
      <c r="Q684" s="119"/>
      <c r="R684" s="118"/>
    </row>
    <row r="685" spans="1:18" ht="13">
      <c r="A685" s="105"/>
      <c r="B685" s="97"/>
      <c r="C685" s="123"/>
      <c r="D685" s="118"/>
      <c r="E685" s="123"/>
      <c r="F685" s="123"/>
      <c r="G685" s="118"/>
      <c r="H685" s="118"/>
      <c r="I685" s="118"/>
      <c r="J685" s="119"/>
      <c r="K685" s="123"/>
      <c r="L685" s="123"/>
      <c r="M685" s="123"/>
      <c r="N685" s="123"/>
      <c r="O685" s="123"/>
      <c r="P685" s="123"/>
      <c r="Q685" s="119"/>
      <c r="R685" s="118"/>
    </row>
    <row r="686" spans="1:18" ht="13">
      <c r="A686" s="105"/>
      <c r="B686" s="97"/>
      <c r="C686" s="123"/>
      <c r="D686" s="118"/>
      <c r="E686" s="123"/>
      <c r="F686" s="123"/>
      <c r="G686" s="118"/>
      <c r="H686" s="118"/>
      <c r="I686" s="118"/>
      <c r="J686" s="119"/>
      <c r="K686" s="123"/>
      <c r="L686" s="123"/>
      <c r="M686" s="123"/>
      <c r="N686" s="123"/>
      <c r="O686" s="123"/>
      <c r="P686" s="123"/>
      <c r="Q686" s="119"/>
      <c r="R686" s="118"/>
    </row>
    <row r="687" spans="1:18" ht="13">
      <c r="A687" s="105"/>
      <c r="B687" s="97"/>
      <c r="C687" s="123"/>
      <c r="D687" s="118"/>
      <c r="E687" s="123"/>
      <c r="F687" s="123"/>
      <c r="G687" s="118"/>
      <c r="H687" s="118"/>
      <c r="I687" s="118"/>
      <c r="J687" s="119"/>
      <c r="K687" s="123"/>
      <c r="L687" s="123"/>
      <c r="M687" s="123"/>
      <c r="N687" s="123"/>
      <c r="O687" s="123"/>
      <c r="P687" s="123"/>
      <c r="Q687" s="119"/>
      <c r="R687" s="118"/>
    </row>
    <row r="688" spans="1:18" ht="13">
      <c r="A688" s="105"/>
      <c r="B688" s="97"/>
      <c r="C688" s="123"/>
      <c r="D688" s="118"/>
      <c r="E688" s="123"/>
      <c r="F688" s="123"/>
      <c r="G688" s="118"/>
      <c r="H688" s="118"/>
      <c r="I688" s="118"/>
      <c r="J688" s="119"/>
      <c r="K688" s="123"/>
      <c r="L688" s="123"/>
      <c r="M688" s="123"/>
      <c r="N688" s="123"/>
      <c r="O688" s="123"/>
      <c r="P688" s="123"/>
      <c r="Q688" s="119"/>
      <c r="R688" s="118"/>
    </row>
    <row r="689" spans="1:18" ht="13">
      <c r="A689" s="105"/>
      <c r="B689" s="97"/>
      <c r="C689" s="123"/>
      <c r="D689" s="118"/>
      <c r="E689" s="123"/>
      <c r="F689" s="123"/>
      <c r="G689" s="118"/>
      <c r="H689" s="118"/>
      <c r="I689" s="118"/>
      <c r="J689" s="119"/>
      <c r="K689" s="123"/>
      <c r="L689" s="123"/>
      <c r="M689" s="123"/>
      <c r="N689" s="123"/>
      <c r="O689" s="123"/>
      <c r="P689" s="123"/>
      <c r="Q689" s="119"/>
      <c r="R689" s="118"/>
    </row>
    <row r="690" spans="1:18" ht="13">
      <c r="A690" s="105"/>
      <c r="B690" s="97"/>
      <c r="C690" s="123"/>
      <c r="D690" s="118"/>
      <c r="E690" s="123"/>
      <c r="F690" s="123"/>
      <c r="G690" s="118"/>
      <c r="H690" s="118"/>
      <c r="I690" s="118"/>
      <c r="J690" s="119"/>
      <c r="K690" s="123"/>
      <c r="L690" s="123"/>
      <c r="M690" s="123"/>
      <c r="N690" s="123"/>
      <c r="O690" s="123"/>
      <c r="P690" s="123"/>
      <c r="Q690" s="119"/>
      <c r="R690" s="118"/>
    </row>
    <row r="691" spans="1:18" ht="13">
      <c r="A691" s="105"/>
      <c r="B691" s="97"/>
      <c r="C691" s="123"/>
      <c r="D691" s="118"/>
      <c r="E691" s="123"/>
      <c r="F691" s="123"/>
      <c r="G691" s="118"/>
      <c r="H691" s="118"/>
      <c r="I691" s="118"/>
      <c r="J691" s="119"/>
      <c r="K691" s="123"/>
      <c r="L691" s="123"/>
      <c r="M691" s="123"/>
      <c r="N691" s="123"/>
      <c r="O691" s="123"/>
      <c r="P691" s="123"/>
      <c r="Q691" s="119"/>
      <c r="R691" s="118"/>
    </row>
    <row r="692" spans="1:18" ht="13">
      <c r="A692" s="105"/>
      <c r="B692" s="97"/>
      <c r="C692" s="123"/>
      <c r="D692" s="118"/>
      <c r="E692" s="123"/>
      <c r="F692" s="123"/>
      <c r="G692" s="118"/>
      <c r="H692" s="118"/>
      <c r="I692" s="118"/>
      <c r="J692" s="119"/>
      <c r="K692" s="123"/>
      <c r="L692" s="123"/>
      <c r="M692" s="123"/>
      <c r="N692" s="123"/>
      <c r="O692" s="123"/>
      <c r="P692" s="123"/>
      <c r="Q692" s="119"/>
      <c r="R692" s="118"/>
    </row>
    <row r="693" spans="1:18" ht="13">
      <c r="A693" s="105"/>
      <c r="B693" s="97"/>
      <c r="C693" s="123"/>
      <c r="D693" s="118"/>
      <c r="E693" s="123"/>
      <c r="F693" s="123"/>
      <c r="G693" s="118"/>
      <c r="H693" s="118"/>
      <c r="I693" s="118"/>
      <c r="J693" s="119"/>
      <c r="K693" s="123"/>
      <c r="L693" s="123"/>
      <c r="M693" s="123"/>
      <c r="N693" s="123"/>
      <c r="O693" s="123"/>
      <c r="P693" s="123"/>
      <c r="Q693" s="119"/>
      <c r="R693" s="118"/>
    </row>
    <row r="694" spans="1:18" ht="13">
      <c r="A694" s="105"/>
      <c r="B694" s="97"/>
      <c r="C694" s="123"/>
      <c r="D694" s="118"/>
      <c r="E694" s="123"/>
      <c r="F694" s="123"/>
      <c r="G694" s="118"/>
      <c r="H694" s="118"/>
      <c r="I694" s="118"/>
      <c r="J694" s="119"/>
      <c r="K694" s="123"/>
      <c r="L694" s="123"/>
      <c r="M694" s="123"/>
      <c r="N694" s="123"/>
      <c r="O694" s="123"/>
      <c r="P694" s="123"/>
      <c r="Q694" s="119"/>
      <c r="R694" s="118"/>
    </row>
    <row r="695" spans="1:18" ht="13">
      <c r="A695" s="105"/>
      <c r="B695" s="97"/>
      <c r="C695" s="123"/>
      <c r="D695" s="118"/>
      <c r="E695" s="123"/>
      <c r="F695" s="123"/>
      <c r="G695" s="118"/>
      <c r="H695" s="118"/>
      <c r="I695" s="118"/>
      <c r="J695" s="119"/>
      <c r="K695" s="123"/>
      <c r="L695" s="123"/>
      <c r="M695" s="123"/>
      <c r="N695" s="123"/>
      <c r="O695" s="123"/>
      <c r="P695" s="123"/>
      <c r="Q695" s="119"/>
      <c r="R695" s="118"/>
    </row>
    <row r="696" spans="1:18" ht="13">
      <c r="A696" s="105"/>
      <c r="B696" s="97"/>
      <c r="C696" s="123"/>
      <c r="D696" s="118"/>
      <c r="E696" s="123"/>
      <c r="F696" s="123"/>
      <c r="G696" s="118"/>
      <c r="H696" s="118"/>
      <c r="I696" s="118"/>
      <c r="J696" s="119"/>
      <c r="K696" s="123"/>
      <c r="L696" s="123"/>
      <c r="M696" s="123"/>
      <c r="N696" s="123"/>
      <c r="O696" s="123"/>
      <c r="P696" s="123"/>
      <c r="Q696" s="119"/>
      <c r="R696" s="118"/>
    </row>
    <row r="697" spans="1:18" ht="13">
      <c r="A697" s="105"/>
      <c r="B697" s="97"/>
      <c r="C697" s="123"/>
      <c r="D697" s="118"/>
      <c r="E697" s="123"/>
      <c r="F697" s="123"/>
      <c r="G697" s="118"/>
      <c r="H697" s="118"/>
      <c r="I697" s="118"/>
      <c r="J697" s="119"/>
      <c r="K697" s="123"/>
      <c r="L697" s="123"/>
      <c r="M697" s="123"/>
      <c r="N697" s="123"/>
      <c r="O697" s="123"/>
      <c r="P697" s="123"/>
      <c r="Q697" s="119"/>
      <c r="R697" s="118"/>
    </row>
    <row r="698" spans="1:18" ht="13">
      <c r="A698" s="105"/>
      <c r="B698" s="97"/>
      <c r="C698" s="123"/>
      <c r="D698" s="118"/>
      <c r="E698" s="123"/>
      <c r="F698" s="123"/>
      <c r="G698" s="118"/>
      <c r="H698" s="118"/>
      <c r="I698" s="118"/>
      <c r="J698" s="119"/>
      <c r="K698" s="123"/>
      <c r="L698" s="123"/>
      <c r="M698" s="123"/>
      <c r="N698" s="123"/>
      <c r="O698" s="123"/>
      <c r="P698" s="123"/>
      <c r="Q698" s="119"/>
      <c r="R698" s="118"/>
    </row>
    <row r="699" spans="1:18" ht="13">
      <c r="A699" s="105"/>
      <c r="B699" s="97"/>
      <c r="C699" s="123"/>
      <c r="D699" s="118"/>
      <c r="E699" s="123"/>
      <c r="F699" s="123"/>
      <c r="G699" s="118"/>
      <c r="H699" s="118"/>
      <c r="I699" s="118"/>
      <c r="J699" s="119"/>
      <c r="K699" s="123"/>
      <c r="L699" s="123"/>
      <c r="M699" s="123"/>
      <c r="N699" s="123"/>
      <c r="O699" s="123"/>
      <c r="P699" s="123"/>
      <c r="Q699" s="119"/>
      <c r="R699" s="118"/>
    </row>
    <row r="700" spans="1:18" ht="13">
      <c r="A700" s="105"/>
      <c r="B700" s="97"/>
      <c r="C700" s="123"/>
      <c r="D700" s="118"/>
      <c r="E700" s="123"/>
      <c r="F700" s="123"/>
      <c r="G700" s="118"/>
      <c r="H700" s="118"/>
      <c r="I700" s="118"/>
      <c r="J700" s="119"/>
      <c r="K700" s="123"/>
      <c r="L700" s="123"/>
      <c r="M700" s="123"/>
      <c r="N700" s="123"/>
      <c r="O700" s="123"/>
      <c r="P700" s="123"/>
      <c r="Q700" s="119"/>
      <c r="R700" s="118"/>
    </row>
    <row r="701" spans="1:18" ht="13">
      <c r="A701" s="105"/>
      <c r="B701" s="97"/>
      <c r="C701" s="123"/>
      <c r="D701" s="118"/>
      <c r="E701" s="123"/>
      <c r="F701" s="123"/>
      <c r="G701" s="118"/>
      <c r="H701" s="118"/>
      <c r="I701" s="118"/>
      <c r="J701" s="119"/>
      <c r="K701" s="123"/>
      <c r="L701" s="123"/>
      <c r="M701" s="123"/>
      <c r="N701" s="123"/>
      <c r="O701" s="123"/>
      <c r="P701" s="123"/>
      <c r="Q701" s="119"/>
      <c r="R701" s="118"/>
    </row>
    <row r="702" spans="1:18" ht="13">
      <c r="A702" s="105"/>
      <c r="B702" s="97"/>
      <c r="C702" s="123"/>
      <c r="D702" s="118"/>
      <c r="E702" s="123"/>
      <c r="F702" s="123"/>
      <c r="G702" s="118"/>
      <c r="H702" s="118"/>
      <c r="I702" s="118"/>
      <c r="J702" s="119"/>
      <c r="K702" s="123"/>
      <c r="L702" s="123"/>
      <c r="M702" s="123"/>
      <c r="N702" s="123"/>
      <c r="O702" s="123"/>
      <c r="P702" s="123"/>
      <c r="Q702" s="119"/>
      <c r="R702" s="118"/>
    </row>
    <row r="703" spans="1:18" ht="13">
      <c r="A703" s="105"/>
      <c r="B703" s="97"/>
      <c r="C703" s="123"/>
      <c r="D703" s="118"/>
      <c r="E703" s="123"/>
      <c r="F703" s="123"/>
      <c r="G703" s="118"/>
      <c r="H703" s="118"/>
      <c r="I703" s="118"/>
      <c r="J703" s="119"/>
      <c r="K703" s="123"/>
      <c r="L703" s="123"/>
      <c r="M703" s="123"/>
      <c r="N703" s="123"/>
      <c r="O703" s="123"/>
      <c r="P703" s="123"/>
      <c r="Q703" s="119"/>
      <c r="R703" s="118"/>
    </row>
    <row r="704" spans="1:18" ht="13">
      <c r="A704" s="105"/>
      <c r="B704" s="97"/>
      <c r="C704" s="123"/>
      <c r="D704" s="118"/>
      <c r="E704" s="123"/>
      <c r="F704" s="123"/>
      <c r="G704" s="118"/>
      <c r="H704" s="118"/>
      <c r="I704" s="118"/>
      <c r="J704" s="119"/>
      <c r="K704" s="123"/>
      <c r="L704" s="123"/>
      <c r="M704" s="123"/>
      <c r="N704" s="123"/>
      <c r="O704" s="123"/>
      <c r="P704" s="123"/>
      <c r="Q704" s="119"/>
      <c r="R704" s="118"/>
    </row>
    <row r="705" spans="1:18" ht="13">
      <c r="A705" s="105"/>
      <c r="B705" s="97"/>
      <c r="C705" s="123"/>
      <c r="D705" s="118"/>
      <c r="E705" s="123"/>
      <c r="F705" s="123"/>
      <c r="G705" s="118"/>
      <c r="H705" s="118"/>
      <c r="I705" s="118"/>
      <c r="J705" s="119"/>
      <c r="K705" s="123"/>
      <c r="L705" s="123"/>
      <c r="M705" s="123"/>
      <c r="N705" s="123"/>
      <c r="O705" s="123"/>
      <c r="P705" s="123"/>
      <c r="Q705" s="119"/>
      <c r="R705" s="118"/>
    </row>
    <row r="706" spans="1:18" ht="13">
      <c r="A706" s="105"/>
      <c r="B706" s="97"/>
      <c r="C706" s="123"/>
      <c r="D706" s="118"/>
      <c r="E706" s="123"/>
      <c r="F706" s="123"/>
      <c r="G706" s="118"/>
      <c r="H706" s="118"/>
      <c r="I706" s="118"/>
      <c r="J706" s="119"/>
      <c r="K706" s="123"/>
      <c r="L706" s="123"/>
      <c r="M706" s="123"/>
      <c r="N706" s="123"/>
      <c r="O706" s="123"/>
      <c r="P706" s="123"/>
      <c r="Q706" s="119"/>
      <c r="R706" s="118"/>
    </row>
    <row r="707" spans="1:18" ht="13">
      <c r="A707" s="105"/>
      <c r="B707" s="97"/>
      <c r="C707" s="123"/>
      <c r="D707" s="118"/>
      <c r="E707" s="123"/>
      <c r="F707" s="123"/>
      <c r="G707" s="118"/>
      <c r="H707" s="118"/>
      <c r="I707" s="118"/>
      <c r="J707" s="119"/>
      <c r="K707" s="123"/>
      <c r="L707" s="123"/>
      <c r="M707" s="123"/>
      <c r="N707" s="123"/>
      <c r="O707" s="123"/>
      <c r="P707" s="123"/>
      <c r="Q707" s="119"/>
      <c r="R707" s="118"/>
    </row>
    <row r="708" spans="1:18" ht="13">
      <c r="A708" s="105"/>
      <c r="B708" s="97"/>
      <c r="C708" s="123"/>
      <c r="D708" s="118"/>
      <c r="E708" s="123"/>
      <c r="F708" s="123"/>
      <c r="G708" s="118"/>
      <c r="H708" s="118"/>
      <c r="I708" s="118"/>
      <c r="J708" s="119"/>
      <c r="K708" s="123"/>
      <c r="L708" s="123"/>
      <c r="M708" s="123"/>
      <c r="N708" s="123"/>
      <c r="O708" s="123"/>
      <c r="P708" s="123"/>
      <c r="Q708" s="119"/>
      <c r="R708" s="118"/>
    </row>
    <row r="709" spans="1:18" ht="13">
      <c r="A709" s="105"/>
      <c r="B709" s="97"/>
      <c r="C709" s="123"/>
      <c r="D709" s="118"/>
      <c r="E709" s="123"/>
      <c r="F709" s="123"/>
      <c r="G709" s="118"/>
      <c r="H709" s="118"/>
      <c r="I709" s="118"/>
      <c r="J709" s="119"/>
      <c r="K709" s="123"/>
      <c r="L709" s="123"/>
      <c r="M709" s="123"/>
      <c r="N709" s="123"/>
      <c r="O709" s="123"/>
      <c r="P709" s="123"/>
      <c r="Q709" s="119"/>
      <c r="R709" s="118"/>
    </row>
    <row r="710" spans="1:18" ht="13">
      <c r="A710" s="105"/>
      <c r="B710" s="97"/>
      <c r="C710" s="123"/>
      <c r="D710" s="118"/>
      <c r="E710" s="123"/>
      <c r="F710" s="123"/>
      <c r="G710" s="118"/>
      <c r="H710" s="118"/>
      <c r="I710" s="118"/>
      <c r="J710" s="119"/>
      <c r="K710" s="123"/>
      <c r="L710" s="123"/>
      <c r="M710" s="123"/>
      <c r="N710" s="123"/>
      <c r="O710" s="123"/>
      <c r="P710" s="123"/>
      <c r="Q710" s="119"/>
      <c r="R710" s="118"/>
    </row>
    <row r="711" spans="1:18" ht="13">
      <c r="A711" s="105"/>
      <c r="B711" s="97"/>
      <c r="C711" s="123"/>
      <c r="D711" s="118"/>
      <c r="E711" s="123"/>
      <c r="F711" s="123"/>
      <c r="G711" s="118"/>
      <c r="H711" s="118"/>
      <c r="I711" s="118"/>
      <c r="J711" s="119"/>
      <c r="K711" s="123"/>
      <c r="L711" s="123"/>
      <c r="M711" s="123"/>
      <c r="N711" s="123"/>
      <c r="O711" s="123"/>
      <c r="P711" s="123"/>
      <c r="Q711" s="119"/>
      <c r="R711" s="118"/>
    </row>
    <row r="712" spans="1:18" ht="13">
      <c r="A712" s="105"/>
      <c r="B712" s="97"/>
      <c r="C712" s="123"/>
      <c r="D712" s="118"/>
      <c r="E712" s="123"/>
      <c r="F712" s="123"/>
      <c r="G712" s="118"/>
      <c r="H712" s="118"/>
      <c r="I712" s="118"/>
      <c r="J712" s="119"/>
      <c r="K712" s="123"/>
      <c r="L712" s="123"/>
      <c r="M712" s="123"/>
      <c r="N712" s="123"/>
      <c r="O712" s="123"/>
      <c r="P712" s="123"/>
      <c r="Q712" s="119"/>
      <c r="R712" s="118"/>
    </row>
    <row r="713" spans="1:18" ht="13">
      <c r="A713" s="105"/>
      <c r="B713" s="97"/>
      <c r="C713" s="123"/>
      <c r="D713" s="118"/>
      <c r="E713" s="123"/>
      <c r="F713" s="123"/>
      <c r="G713" s="118"/>
      <c r="H713" s="118"/>
      <c r="I713" s="118"/>
      <c r="J713" s="119"/>
      <c r="K713" s="123"/>
      <c r="L713" s="123"/>
      <c r="M713" s="123"/>
      <c r="N713" s="123"/>
      <c r="O713" s="123"/>
      <c r="P713" s="123"/>
      <c r="Q713" s="119"/>
      <c r="R713" s="118"/>
    </row>
    <row r="714" spans="1:18" ht="13">
      <c r="A714" s="105"/>
      <c r="B714" s="97"/>
      <c r="C714" s="123"/>
      <c r="D714" s="118"/>
      <c r="E714" s="123"/>
      <c r="F714" s="123"/>
      <c r="G714" s="118"/>
      <c r="H714" s="118"/>
      <c r="I714" s="118"/>
      <c r="J714" s="119"/>
      <c r="K714" s="123"/>
      <c r="L714" s="123"/>
      <c r="M714" s="123"/>
      <c r="N714" s="123"/>
      <c r="O714" s="123"/>
      <c r="P714" s="123"/>
      <c r="Q714" s="119"/>
      <c r="R714" s="118"/>
    </row>
    <row r="715" spans="1:18" ht="13">
      <c r="A715" s="105"/>
      <c r="B715" s="97"/>
      <c r="C715" s="123"/>
      <c r="D715" s="118"/>
      <c r="E715" s="123"/>
      <c r="F715" s="123"/>
      <c r="G715" s="118"/>
      <c r="H715" s="118"/>
      <c r="I715" s="118"/>
      <c r="J715" s="119"/>
      <c r="K715" s="123"/>
      <c r="L715" s="123"/>
      <c r="M715" s="123"/>
      <c r="N715" s="123"/>
      <c r="O715" s="123"/>
      <c r="P715" s="123"/>
      <c r="Q715" s="119"/>
      <c r="R715" s="118"/>
    </row>
    <row r="716" spans="1:18" ht="13">
      <c r="A716" s="105"/>
      <c r="B716" s="97"/>
      <c r="C716" s="123"/>
      <c r="D716" s="118"/>
      <c r="E716" s="123"/>
      <c r="F716" s="123"/>
      <c r="G716" s="118"/>
      <c r="H716" s="118"/>
      <c r="I716" s="118"/>
      <c r="J716" s="119"/>
      <c r="K716" s="123"/>
      <c r="L716" s="123"/>
      <c r="M716" s="123"/>
      <c r="N716" s="123"/>
      <c r="O716" s="123"/>
      <c r="P716" s="123"/>
      <c r="Q716" s="119"/>
      <c r="R716" s="118"/>
    </row>
    <row r="717" spans="1:18" ht="13">
      <c r="A717" s="105"/>
      <c r="B717" s="97"/>
      <c r="C717" s="123"/>
      <c r="D717" s="118"/>
      <c r="E717" s="123"/>
      <c r="F717" s="123"/>
      <c r="G717" s="118"/>
      <c r="H717" s="118"/>
      <c r="I717" s="118"/>
      <c r="J717" s="119"/>
      <c r="K717" s="123"/>
      <c r="L717" s="123"/>
      <c r="M717" s="123"/>
      <c r="N717" s="123"/>
      <c r="O717" s="123"/>
      <c r="P717" s="123"/>
      <c r="Q717" s="119"/>
      <c r="R717" s="118"/>
    </row>
    <row r="718" spans="1:18" ht="13">
      <c r="A718" s="105"/>
      <c r="B718" s="97"/>
      <c r="C718" s="123"/>
      <c r="D718" s="118"/>
      <c r="E718" s="123"/>
      <c r="F718" s="123"/>
      <c r="G718" s="118"/>
      <c r="H718" s="118"/>
      <c r="I718" s="118"/>
      <c r="J718" s="119"/>
      <c r="K718" s="123"/>
      <c r="L718" s="123"/>
      <c r="M718" s="123"/>
      <c r="N718" s="123"/>
      <c r="O718" s="123"/>
      <c r="P718" s="123"/>
      <c r="Q718" s="119"/>
      <c r="R718" s="118"/>
    </row>
    <row r="719" spans="1:18" ht="13">
      <c r="A719" s="105"/>
      <c r="B719" s="97"/>
      <c r="C719" s="123"/>
      <c r="D719" s="118"/>
      <c r="E719" s="123"/>
      <c r="F719" s="123"/>
      <c r="G719" s="118"/>
      <c r="H719" s="118"/>
      <c r="I719" s="118"/>
      <c r="J719" s="119"/>
      <c r="K719" s="123"/>
      <c r="L719" s="123"/>
      <c r="M719" s="123"/>
      <c r="N719" s="123"/>
      <c r="O719" s="123"/>
      <c r="P719" s="123"/>
      <c r="Q719" s="119"/>
      <c r="R719" s="118"/>
    </row>
    <row r="720" spans="1:18" ht="13">
      <c r="A720" s="105"/>
      <c r="B720" s="97"/>
      <c r="C720" s="123"/>
      <c r="D720" s="118"/>
      <c r="E720" s="123"/>
      <c r="F720" s="123"/>
      <c r="G720" s="118"/>
      <c r="H720" s="118"/>
      <c r="I720" s="118"/>
      <c r="J720" s="119"/>
      <c r="K720" s="123"/>
      <c r="L720" s="123"/>
      <c r="M720" s="123"/>
      <c r="N720" s="123"/>
      <c r="O720" s="123"/>
      <c r="P720" s="123"/>
      <c r="Q720" s="119"/>
      <c r="R720" s="118"/>
    </row>
    <row r="721" spans="1:18" ht="13">
      <c r="A721" s="105"/>
      <c r="B721" s="97"/>
      <c r="C721" s="123"/>
      <c r="D721" s="118"/>
      <c r="E721" s="123"/>
      <c r="F721" s="123"/>
      <c r="G721" s="118"/>
      <c r="H721" s="118"/>
      <c r="I721" s="118"/>
      <c r="J721" s="119"/>
      <c r="K721" s="123"/>
      <c r="L721" s="123"/>
      <c r="M721" s="123"/>
      <c r="N721" s="123"/>
      <c r="O721" s="123"/>
      <c r="P721" s="123"/>
      <c r="Q721" s="119"/>
      <c r="R721" s="118"/>
    </row>
    <row r="722" spans="1:18" ht="13">
      <c r="A722" s="105"/>
      <c r="B722" s="97"/>
      <c r="C722" s="123"/>
      <c r="D722" s="118"/>
      <c r="E722" s="123"/>
      <c r="F722" s="123"/>
      <c r="G722" s="118"/>
      <c r="H722" s="118"/>
      <c r="I722" s="118"/>
      <c r="J722" s="119"/>
      <c r="K722" s="123"/>
      <c r="L722" s="123"/>
      <c r="M722" s="123"/>
      <c r="N722" s="123"/>
      <c r="O722" s="123"/>
      <c r="P722" s="123"/>
      <c r="Q722" s="119"/>
      <c r="R722" s="118"/>
    </row>
    <row r="723" spans="1:18" ht="13">
      <c r="A723" s="105"/>
      <c r="B723" s="97"/>
      <c r="C723" s="123"/>
      <c r="D723" s="118"/>
      <c r="E723" s="123"/>
      <c r="F723" s="123"/>
      <c r="G723" s="118"/>
      <c r="H723" s="118"/>
      <c r="I723" s="118"/>
      <c r="J723" s="119"/>
      <c r="K723" s="123"/>
      <c r="L723" s="123"/>
      <c r="M723" s="123"/>
      <c r="N723" s="123"/>
      <c r="O723" s="123"/>
      <c r="P723" s="123"/>
      <c r="Q723" s="119"/>
      <c r="R723" s="118"/>
    </row>
    <row r="724" spans="1:18" ht="13">
      <c r="A724" s="105"/>
      <c r="B724" s="97"/>
      <c r="C724" s="123"/>
      <c r="D724" s="118"/>
      <c r="E724" s="123"/>
      <c r="F724" s="123"/>
      <c r="G724" s="118"/>
      <c r="H724" s="118"/>
      <c r="I724" s="118"/>
      <c r="J724" s="119"/>
      <c r="K724" s="123"/>
      <c r="L724" s="123"/>
      <c r="M724" s="123"/>
      <c r="N724" s="123"/>
      <c r="O724" s="123"/>
      <c r="P724" s="123"/>
      <c r="Q724" s="119"/>
      <c r="R724" s="118"/>
    </row>
    <row r="725" spans="1:18" ht="13">
      <c r="A725" s="105"/>
      <c r="B725" s="97"/>
      <c r="C725" s="123"/>
      <c r="D725" s="118"/>
      <c r="E725" s="123"/>
      <c r="F725" s="123"/>
      <c r="G725" s="118"/>
      <c r="H725" s="118"/>
      <c r="I725" s="118"/>
      <c r="J725" s="119"/>
      <c r="K725" s="123"/>
      <c r="L725" s="123"/>
      <c r="M725" s="123"/>
      <c r="N725" s="123"/>
      <c r="O725" s="123"/>
      <c r="P725" s="123"/>
      <c r="Q725" s="119"/>
      <c r="R725" s="118"/>
    </row>
    <row r="726" spans="1:18" ht="13">
      <c r="A726" s="105"/>
      <c r="B726" s="97"/>
      <c r="C726" s="123"/>
      <c r="D726" s="118"/>
      <c r="E726" s="123"/>
      <c r="F726" s="123"/>
      <c r="G726" s="118"/>
      <c r="H726" s="118"/>
      <c r="I726" s="118"/>
      <c r="J726" s="119"/>
      <c r="K726" s="123"/>
      <c r="L726" s="123"/>
      <c r="M726" s="123"/>
      <c r="N726" s="123"/>
      <c r="O726" s="123"/>
      <c r="P726" s="123"/>
      <c r="Q726" s="119"/>
      <c r="R726" s="118"/>
    </row>
    <row r="727" spans="1:18" ht="13">
      <c r="A727" s="105"/>
      <c r="B727" s="97"/>
      <c r="C727" s="123"/>
      <c r="D727" s="118"/>
      <c r="E727" s="123"/>
      <c r="F727" s="123"/>
      <c r="G727" s="118"/>
      <c r="H727" s="118"/>
      <c r="I727" s="118"/>
      <c r="J727" s="119"/>
      <c r="K727" s="123"/>
      <c r="L727" s="123"/>
      <c r="M727" s="123"/>
      <c r="N727" s="123"/>
      <c r="O727" s="123"/>
      <c r="P727" s="123"/>
      <c r="Q727" s="119"/>
      <c r="R727" s="118"/>
    </row>
    <row r="728" spans="1:18" ht="13">
      <c r="A728" s="105"/>
      <c r="B728" s="97"/>
      <c r="C728" s="123"/>
      <c r="D728" s="118"/>
      <c r="E728" s="123"/>
      <c r="F728" s="123"/>
      <c r="G728" s="118"/>
      <c r="H728" s="118"/>
      <c r="I728" s="118"/>
      <c r="J728" s="119"/>
      <c r="K728" s="123"/>
      <c r="L728" s="123"/>
      <c r="M728" s="123"/>
      <c r="N728" s="123"/>
      <c r="O728" s="123"/>
      <c r="P728" s="123"/>
      <c r="Q728" s="119"/>
      <c r="R728" s="118"/>
    </row>
    <row r="729" spans="1:18" ht="13">
      <c r="A729" s="105"/>
      <c r="B729" s="97"/>
      <c r="C729" s="123"/>
      <c r="D729" s="118"/>
      <c r="E729" s="123"/>
      <c r="F729" s="123"/>
      <c r="G729" s="118"/>
      <c r="H729" s="118"/>
      <c r="I729" s="118"/>
      <c r="J729" s="119"/>
      <c r="K729" s="123"/>
      <c r="L729" s="123"/>
      <c r="M729" s="123"/>
      <c r="N729" s="123"/>
      <c r="O729" s="123"/>
      <c r="P729" s="123"/>
      <c r="Q729" s="119"/>
      <c r="R729" s="118"/>
    </row>
    <row r="730" spans="1:18" ht="13">
      <c r="A730" s="105"/>
      <c r="B730" s="97"/>
      <c r="C730" s="123"/>
      <c r="D730" s="118"/>
      <c r="E730" s="123"/>
      <c r="F730" s="123"/>
      <c r="G730" s="118"/>
      <c r="H730" s="118"/>
      <c r="I730" s="118"/>
      <c r="J730" s="119"/>
      <c r="K730" s="123"/>
      <c r="L730" s="123"/>
      <c r="M730" s="123"/>
      <c r="N730" s="123"/>
      <c r="O730" s="123"/>
      <c r="P730" s="123"/>
      <c r="Q730" s="119"/>
      <c r="R730" s="118"/>
    </row>
    <row r="731" spans="1:18" ht="13">
      <c r="A731" s="105"/>
      <c r="B731" s="97"/>
      <c r="C731" s="123"/>
      <c r="D731" s="118"/>
      <c r="E731" s="123"/>
      <c r="F731" s="123"/>
      <c r="G731" s="118"/>
      <c r="H731" s="118"/>
      <c r="I731" s="118"/>
      <c r="J731" s="119"/>
      <c r="K731" s="123"/>
      <c r="L731" s="123"/>
      <c r="M731" s="123"/>
      <c r="N731" s="123"/>
      <c r="O731" s="123"/>
      <c r="P731" s="123"/>
      <c r="Q731" s="119"/>
      <c r="R731" s="118"/>
    </row>
    <row r="732" spans="1:18" ht="13">
      <c r="A732" s="105"/>
      <c r="B732" s="97"/>
      <c r="C732" s="123"/>
      <c r="D732" s="118"/>
      <c r="E732" s="123"/>
      <c r="F732" s="123"/>
      <c r="G732" s="118"/>
      <c r="H732" s="118"/>
      <c r="I732" s="118"/>
      <c r="J732" s="119"/>
      <c r="K732" s="123"/>
      <c r="L732" s="123"/>
      <c r="M732" s="123"/>
      <c r="N732" s="123"/>
      <c r="O732" s="123"/>
      <c r="P732" s="123"/>
      <c r="Q732" s="119"/>
      <c r="R732" s="118"/>
    </row>
    <row r="733" spans="1:18" ht="13">
      <c r="A733" s="105"/>
      <c r="B733" s="97"/>
      <c r="C733" s="123"/>
      <c r="D733" s="118"/>
      <c r="E733" s="123"/>
      <c r="F733" s="123"/>
      <c r="G733" s="118"/>
      <c r="H733" s="118"/>
      <c r="I733" s="118"/>
      <c r="J733" s="119"/>
      <c r="K733" s="123"/>
      <c r="L733" s="123"/>
      <c r="M733" s="123"/>
      <c r="N733" s="123"/>
      <c r="O733" s="123"/>
      <c r="P733" s="123"/>
      <c r="Q733" s="119"/>
      <c r="R733" s="118"/>
    </row>
    <row r="734" spans="1:18" ht="13">
      <c r="A734" s="105"/>
      <c r="B734" s="97"/>
      <c r="C734" s="123"/>
      <c r="D734" s="118"/>
      <c r="E734" s="123"/>
      <c r="F734" s="123"/>
      <c r="G734" s="118"/>
      <c r="H734" s="118"/>
      <c r="I734" s="118"/>
      <c r="J734" s="119"/>
      <c r="K734" s="123"/>
      <c r="L734" s="123"/>
      <c r="M734" s="123"/>
      <c r="N734" s="123"/>
      <c r="O734" s="123"/>
      <c r="P734" s="123"/>
      <c r="Q734" s="119"/>
      <c r="R734" s="118"/>
    </row>
    <row r="735" spans="1:18" ht="13">
      <c r="A735" s="105"/>
      <c r="B735" s="97"/>
      <c r="C735" s="123"/>
      <c r="D735" s="118"/>
      <c r="E735" s="123"/>
      <c r="F735" s="123"/>
      <c r="G735" s="118"/>
      <c r="H735" s="118"/>
      <c r="I735" s="118"/>
      <c r="J735" s="119"/>
      <c r="K735" s="123"/>
      <c r="L735" s="123"/>
      <c r="M735" s="123"/>
      <c r="N735" s="123"/>
      <c r="O735" s="123"/>
      <c r="P735" s="123"/>
      <c r="Q735" s="119"/>
      <c r="R735" s="118"/>
    </row>
    <row r="736" spans="1:18" ht="13">
      <c r="A736" s="105"/>
      <c r="B736" s="97"/>
      <c r="C736" s="123"/>
      <c r="D736" s="118"/>
      <c r="E736" s="123"/>
      <c r="F736" s="123"/>
      <c r="G736" s="118"/>
      <c r="H736" s="118"/>
      <c r="I736" s="118"/>
      <c r="J736" s="119"/>
      <c r="K736" s="123"/>
      <c r="L736" s="123"/>
      <c r="M736" s="123"/>
      <c r="N736" s="123"/>
      <c r="O736" s="123"/>
      <c r="P736" s="123"/>
      <c r="Q736" s="119"/>
      <c r="R736" s="118"/>
    </row>
    <row r="737" spans="1:18" ht="13">
      <c r="A737" s="105"/>
      <c r="B737" s="97"/>
      <c r="C737" s="123"/>
      <c r="D737" s="118"/>
      <c r="E737" s="123"/>
      <c r="F737" s="123"/>
      <c r="G737" s="118"/>
      <c r="H737" s="118"/>
      <c r="I737" s="118"/>
      <c r="J737" s="119"/>
      <c r="K737" s="123"/>
      <c r="L737" s="123"/>
      <c r="M737" s="123"/>
      <c r="N737" s="123"/>
      <c r="O737" s="123"/>
      <c r="P737" s="123"/>
      <c r="Q737" s="119"/>
      <c r="R737" s="118"/>
    </row>
    <row r="738" spans="1:18" ht="13">
      <c r="A738" s="105"/>
      <c r="B738" s="97"/>
      <c r="C738" s="123"/>
      <c r="D738" s="118"/>
      <c r="E738" s="123"/>
      <c r="F738" s="123"/>
      <c r="G738" s="118"/>
      <c r="H738" s="118"/>
      <c r="I738" s="118"/>
      <c r="J738" s="119"/>
      <c r="K738" s="123"/>
      <c r="L738" s="123"/>
      <c r="M738" s="123"/>
      <c r="N738" s="123"/>
      <c r="O738" s="123"/>
      <c r="P738" s="123"/>
      <c r="Q738" s="119"/>
      <c r="R738" s="118"/>
    </row>
    <row r="739" spans="1:18" ht="13">
      <c r="A739" s="105"/>
      <c r="B739" s="97"/>
      <c r="C739" s="123"/>
      <c r="D739" s="118"/>
      <c r="E739" s="123"/>
      <c r="F739" s="123"/>
      <c r="G739" s="118"/>
      <c r="H739" s="118"/>
      <c r="I739" s="118"/>
      <c r="J739" s="119"/>
      <c r="K739" s="123"/>
      <c r="L739" s="123"/>
      <c r="M739" s="123"/>
      <c r="N739" s="123"/>
      <c r="O739" s="123"/>
      <c r="P739" s="123"/>
      <c r="Q739" s="119"/>
      <c r="R739" s="118"/>
    </row>
    <row r="740" spans="1:18" ht="13">
      <c r="A740" s="105"/>
      <c r="B740" s="97"/>
      <c r="C740" s="123"/>
      <c r="D740" s="118"/>
      <c r="E740" s="123"/>
      <c r="F740" s="123"/>
      <c r="G740" s="118"/>
      <c r="H740" s="118"/>
      <c r="I740" s="118"/>
      <c r="J740" s="119"/>
      <c r="K740" s="123"/>
      <c r="L740" s="123"/>
      <c r="M740" s="123"/>
      <c r="N740" s="123"/>
      <c r="O740" s="123"/>
      <c r="P740" s="123"/>
      <c r="Q740" s="119"/>
      <c r="R740" s="118"/>
    </row>
    <row r="741" spans="1:18" ht="13">
      <c r="A741" s="105"/>
      <c r="B741" s="97"/>
      <c r="C741" s="123"/>
      <c r="D741" s="118"/>
      <c r="E741" s="123"/>
      <c r="F741" s="123"/>
      <c r="G741" s="118"/>
      <c r="H741" s="118"/>
      <c r="I741" s="118"/>
      <c r="J741" s="119"/>
      <c r="K741" s="123"/>
      <c r="L741" s="123"/>
      <c r="M741" s="123"/>
      <c r="N741" s="123"/>
      <c r="O741" s="123"/>
      <c r="P741" s="123"/>
      <c r="Q741" s="119"/>
      <c r="R741" s="118"/>
    </row>
    <row r="742" spans="1:18" ht="13">
      <c r="A742" s="105"/>
      <c r="B742" s="97"/>
      <c r="C742" s="123"/>
      <c r="D742" s="118"/>
      <c r="E742" s="123"/>
      <c r="F742" s="123"/>
      <c r="G742" s="118"/>
      <c r="H742" s="118"/>
      <c r="I742" s="118"/>
      <c r="J742" s="119"/>
      <c r="K742" s="123"/>
      <c r="L742" s="123"/>
      <c r="M742" s="123"/>
      <c r="N742" s="123"/>
      <c r="O742" s="123"/>
      <c r="P742" s="123"/>
      <c r="Q742" s="119"/>
      <c r="R742" s="118"/>
    </row>
    <row r="743" spans="1:18" ht="13">
      <c r="A743" s="105"/>
      <c r="B743" s="97"/>
      <c r="C743" s="123"/>
      <c r="D743" s="118"/>
      <c r="E743" s="123"/>
      <c r="F743" s="123"/>
      <c r="G743" s="118"/>
      <c r="H743" s="118"/>
      <c r="I743" s="118"/>
      <c r="J743" s="119"/>
      <c r="K743" s="123"/>
      <c r="L743" s="123"/>
      <c r="M743" s="123"/>
      <c r="N743" s="123"/>
      <c r="O743" s="123"/>
      <c r="P743" s="123"/>
      <c r="Q743" s="119"/>
      <c r="R743" s="118"/>
    </row>
    <row r="744" spans="1:18" ht="13">
      <c r="A744" s="105"/>
      <c r="B744" s="97"/>
      <c r="C744" s="123"/>
      <c r="D744" s="118"/>
      <c r="E744" s="123"/>
      <c r="F744" s="123"/>
      <c r="G744" s="118"/>
      <c r="H744" s="118"/>
      <c r="I744" s="118"/>
      <c r="J744" s="119"/>
      <c r="K744" s="123"/>
      <c r="L744" s="123"/>
      <c r="M744" s="123"/>
      <c r="N744" s="123"/>
      <c r="O744" s="123"/>
      <c r="P744" s="123"/>
      <c r="Q744" s="119"/>
      <c r="R744" s="118"/>
    </row>
    <row r="745" spans="1:18" ht="13">
      <c r="A745" s="105"/>
      <c r="B745" s="97"/>
      <c r="C745" s="123"/>
      <c r="D745" s="118"/>
      <c r="E745" s="123"/>
      <c r="F745" s="123"/>
      <c r="G745" s="118"/>
      <c r="H745" s="118"/>
      <c r="I745" s="118"/>
      <c r="J745" s="119"/>
      <c r="K745" s="123"/>
      <c r="L745" s="123"/>
      <c r="M745" s="123"/>
      <c r="N745" s="123"/>
      <c r="O745" s="123"/>
      <c r="P745" s="123"/>
      <c r="Q745" s="119"/>
      <c r="R745" s="118"/>
    </row>
    <row r="746" spans="1:18" ht="13">
      <c r="A746" s="105"/>
      <c r="B746" s="97"/>
      <c r="C746" s="123"/>
      <c r="D746" s="118"/>
      <c r="E746" s="123"/>
      <c r="F746" s="123"/>
      <c r="G746" s="118"/>
      <c r="H746" s="118"/>
      <c r="I746" s="118"/>
      <c r="J746" s="119"/>
      <c r="K746" s="123"/>
      <c r="L746" s="123"/>
      <c r="M746" s="123"/>
      <c r="N746" s="123"/>
      <c r="O746" s="123"/>
      <c r="P746" s="123"/>
      <c r="Q746" s="119"/>
      <c r="R746" s="118"/>
    </row>
    <row r="747" spans="1:18" ht="13">
      <c r="A747" s="105"/>
      <c r="B747" s="97"/>
      <c r="C747" s="123"/>
      <c r="D747" s="118"/>
      <c r="E747" s="123"/>
      <c r="F747" s="123"/>
      <c r="G747" s="118"/>
      <c r="H747" s="118"/>
      <c r="I747" s="118"/>
      <c r="J747" s="119"/>
      <c r="K747" s="123"/>
      <c r="L747" s="123"/>
      <c r="M747" s="123"/>
      <c r="N747" s="123"/>
      <c r="O747" s="123"/>
      <c r="P747" s="123"/>
      <c r="Q747" s="119"/>
      <c r="R747" s="118"/>
    </row>
    <row r="748" spans="1:18" ht="13">
      <c r="A748" s="105"/>
      <c r="B748" s="97"/>
      <c r="C748" s="123"/>
      <c r="D748" s="118"/>
      <c r="E748" s="123"/>
      <c r="F748" s="123"/>
      <c r="G748" s="118"/>
      <c r="H748" s="118"/>
      <c r="I748" s="118"/>
      <c r="J748" s="119"/>
      <c r="K748" s="123"/>
      <c r="L748" s="123"/>
      <c r="M748" s="123"/>
      <c r="N748" s="123"/>
      <c r="O748" s="123"/>
      <c r="P748" s="123"/>
      <c r="Q748" s="119"/>
      <c r="R748" s="118"/>
    </row>
    <row r="749" spans="1:18" ht="13">
      <c r="A749" s="105"/>
      <c r="B749" s="97"/>
      <c r="C749" s="123"/>
      <c r="D749" s="118"/>
      <c r="E749" s="123"/>
      <c r="F749" s="123"/>
      <c r="G749" s="118"/>
      <c r="H749" s="118"/>
      <c r="I749" s="118"/>
      <c r="J749" s="119"/>
      <c r="K749" s="123"/>
      <c r="L749" s="123"/>
      <c r="M749" s="123"/>
      <c r="N749" s="123"/>
      <c r="O749" s="123"/>
      <c r="P749" s="123"/>
      <c r="Q749" s="119"/>
      <c r="R749" s="118"/>
    </row>
    <row r="750" spans="1:18" ht="13">
      <c r="A750" s="105"/>
      <c r="B750" s="97"/>
      <c r="C750" s="123"/>
      <c r="D750" s="118"/>
      <c r="E750" s="123"/>
      <c r="F750" s="123"/>
      <c r="G750" s="118"/>
      <c r="H750" s="118"/>
      <c r="I750" s="118"/>
      <c r="J750" s="119"/>
      <c r="K750" s="123"/>
      <c r="L750" s="123"/>
      <c r="M750" s="123"/>
      <c r="N750" s="123"/>
      <c r="O750" s="123"/>
      <c r="P750" s="123"/>
      <c r="Q750" s="119"/>
      <c r="R750" s="118"/>
    </row>
    <row r="751" spans="1:18" ht="13">
      <c r="A751" s="105"/>
      <c r="B751" s="97"/>
      <c r="C751" s="123"/>
      <c r="D751" s="118"/>
      <c r="E751" s="123"/>
      <c r="F751" s="123"/>
      <c r="G751" s="118"/>
      <c r="H751" s="118"/>
      <c r="I751" s="118"/>
      <c r="J751" s="119"/>
      <c r="K751" s="123"/>
      <c r="L751" s="123"/>
      <c r="M751" s="123"/>
      <c r="N751" s="123"/>
      <c r="O751" s="123"/>
      <c r="P751" s="123"/>
      <c r="Q751" s="119"/>
      <c r="R751" s="118"/>
    </row>
    <row r="752" spans="1:18" ht="13">
      <c r="A752" s="105"/>
      <c r="B752" s="97"/>
      <c r="C752" s="123"/>
      <c r="D752" s="118"/>
      <c r="E752" s="123"/>
      <c r="F752" s="123"/>
      <c r="G752" s="118"/>
      <c r="H752" s="118"/>
      <c r="I752" s="118"/>
      <c r="J752" s="119"/>
      <c r="K752" s="123"/>
      <c r="L752" s="123"/>
      <c r="M752" s="123"/>
      <c r="N752" s="123"/>
      <c r="O752" s="123"/>
      <c r="P752" s="123"/>
      <c r="Q752" s="119"/>
      <c r="R752" s="118"/>
    </row>
    <row r="753" spans="1:18" ht="13">
      <c r="A753" s="105"/>
      <c r="B753" s="97"/>
      <c r="C753" s="123"/>
      <c r="D753" s="118"/>
      <c r="E753" s="123"/>
      <c r="F753" s="123"/>
      <c r="G753" s="118"/>
      <c r="H753" s="118"/>
      <c r="I753" s="118"/>
      <c r="J753" s="119"/>
      <c r="K753" s="123"/>
      <c r="L753" s="123"/>
      <c r="M753" s="123"/>
      <c r="N753" s="123"/>
      <c r="O753" s="123"/>
      <c r="P753" s="123"/>
      <c r="Q753" s="119"/>
      <c r="R753" s="118"/>
    </row>
    <row r="754" spans="1:18" ht="13">
      <c r="A754" s="105"/>
      <c r="B754" s="97"/>
      <c r="C754" s="123"/>
      <c r="D754" s="118"/>
      <c r="E754" s="123"/>
      <c r="F754" s="123"/>
      <c r="G754" s="118"/>
      <c r="H754" s="118"/>
      <c r="I754" s="118"/>
      <c r="J754" s="119"/>
      <c r="K754" s="123"/>
      <c r="L754" s="123"/>
      <c r="M754" s="123"/>
      <c r="N754" s="123"/>
      <c r="O754" s="123"/>
      <c r="P754" s="123"/>
      <c r="Q754" s="119"/>
      <c r="R754" s="118"/>
    </row>
    <row r="755" spans="1:18" ht="13">
      <c r="A755" s="105"/>
      <c r="B755" s="97"/>
      <c r="C755" s="123"/>
      <c r="D755" s="118"/>
      <c r="E755" s="123"/>
      <c r="F755" s="123"/>
      <c r="G755" s="118"/>
      <c r="H755" s="118"/>
      <c r="I755" s="118"/>
      <c r="J755" s="119"/>
      <c r="K755" s="123"/>
      <c r="L755" s="123"/>
      <c r="M755" s="123"/>
      <c r="N755" s="123"/>
      <c r="O755" s="123"/>
      <c r="P755" s="123"/>
      <c r="Q755" s="119"/>
      <c r="R755" s="118"/>
    </row>
    <row r="756" spans="1:18" ht="13">
      <c r="A756" s="105"/>
      <c r="B756" s="97"/>
      <c r="C756" s="123"/>
      <c r="D756" s="118"/>
      <c r="E756" s="123"/>
      <c r="F756" s="123"/>
      <c r="G756" s="118"/>
      <c r="H756" s="118"/>
      <c r="I756" s="118"/>
      <c r="J756" s="119"/>
      <c r="K756" s="123"/>
      <c r="L756" s="123"/>
      <c r="M756" s="123"/>
      <c r="N756" s="123"/>
      <c r="O756" s="123"/>
      <c r="P756" s="123"/>
      <c r="Q756" s="119"/>
      <c r="R756" s="118"/>
    </row>
    <row r="757" spans="1:18" ht="13">
      <c r="A757" s="105"/>
      <c r="B757" s="97"/>
      <c r="C757" s="123"/>
      <c r="D757" s="118"/>
      <c r="E757" s="123"/>
      <c r="F757" s="123"/>
      <c r="G757" s="118"/>
      <c r="H757" s="118"/>
      <c r="I757" s="118"/>
      <c r="J757" s="119"/>
      <c r="K757" s="123"/>
      <c r="L757" s="123"/>
      <c r="M757" s="123"/>
      <c r="N757" s="123"/>
      <c r="O757" s="123"/>
      <c r="P757" s="123"/>
      <c r="Q757" s="119"/>
      <c r="R757" s="118"/>
    </row>
    <row r="758" spans="1:18" ht="13">
      <c r="A758" s="105"/>
      <c r="B758" s="97"/>
      <c r="C758" s="123"/>
      <c r="D758" s="118"/>
      <c r="E758" s="123"/>
      <c r="F758" s="123"/>
      <c r="G758" s="118"/>
      <c r="H758" s="118"/>
      <c r="I758" s="118"/>
      <c r="J758" s="119"/>
      <c r="K758" s="123"/>
      <c r="L758" s="123"/>
      <c r="M758" s="123"/>
      <c r="N758" s="123"/>
      <c r="O758" s="123"/>
      <c r="P758" s="123"/>
      <c r="Q758" s="119"/>
      <c r="R758" s="118"/>
    </row>
    <row r="759" spans="1:18" ht="13">
      <c r="A759" s="105"/>
      <c r="B759" s="97"/>
      <c r="C759" s="123"/>
      <c r="D759" s="118"/>
      <c r="E759" s="123"/>
      <c r="F759" s="123"/>
      <c r="G759" s="118"/>
      <c r="H759" s="118"/>
      <c r="I759" s="118"/>
      <c r="J759" s="119"/>
      <c r="K759" s="123"/>
      <c r="L759" s="123"/>
      <c r="M759" s="123"/>
      <c r="N759" s="123"/>
      <c r="O759" s="123"/>
      <c r="P759" s="123"/>
      <c r="Q759" s="119"/>
      <c r="R759" s="118"/>
    </row>
    <row r="760" spans="1:18" ht="13">
      <c r="A760" s="105"/>
      <c r="B760" s="97"/>
      <c r="C760" s="123"/>
      <c r="D760" s="118"/>
      <c r="E760" s="123"/>
      <c r="F760" s="123"/>
      <c r="G760" s="118"/>
      <c r="H760" s="118"/>
      <c r="I760" s="118"/>
      <c r="J760" s="119"/>
      <c r="K760" s="123"/>
      <c r="L760" s="123"/>
      <c r="M760" s="123"/>
      <c r="N760" s="123"/>
      <c r="O760" s="123"/>
      <c r="P760" s="123"/>
      <c r="Q760" s="119"/>
      <c r="R760" s="118"/>
    </row>
    <row r="761" spans="1:18" ht="13">
      <c r="A761" s="105"/>
      <c r="B761" s="97"/>
      <c r="C761" s="123"/>
      <c r="D761" s="118"/>
      <c r="E761" s="123"/>
      <c r="F761" s="123"/>
      <c r="G761" s="118"/>
      <c r="H761" s="118"/>
      <c r="I761" s="118"/>
      <c r="J761" s="119"/>
      <c r="K761" s="123"/>
      <c r="L761" s="123"/>
      <c r="M761" s="123"/>
      <c r="N761" s="123"/>
      <c r="O761" s="123"/>
      <c r="P761" s="123"/>
      <c r="Q761" s="119"/>
      <c r="R761" s="118"/>
    </row>
    <row r="762" spans="1:18" ht="13">
      <c r="A762" s="105"/>
      <c r="B762" s="97"/>
      <c r="C762" s="123"/>
      <c r="D762" s="118"/>
      <c r="E762" s="123"/>
      <c r="F762" s="123"/>
      <c r="G762" s="118"/>
      <c r="H762" s="118"/>
      <c r="I762" s="118"/>
      <c r="J762" s="119"/>
      <c r="K762" s="123"/>
      <c r="L762" s="123"/>
      <c r="M762" s="123"/>
      <c r="N762" s="123"/>
      <c r="O762" s="123"/>
      <c r="P762" s="123"/>
      <c r="Q762" s="119"/>
      <c r="R762" s="118"/>
    </row>
    <row r="763" spans="1:18" ht="13">
      <c r="A763" s="105"/>
      <c r="B763" s="97"/>
      <c r="C763" s="123"/>
      <c r="D763" s="118"/>
      <c r="E763" s="123"/>
      <c r="F763" s="123"/>
      <c r="G763" s="118"/>
      <c r="H763" s="118"/>
      <c r="I763" s="118"/>
      <c r="J763" s="119"/>
      <c r="K763" s="123"/>
      <c r="L763" s="123"/>
      <c r="M763" s="123"/>
      <c r="N763" s="123"/>
      <c r="O763" s="123"/>
      <c r="P763" s="123"/>
      <c r="Q763" s="119"/>
      <c r="R763" s="118"/>
    </row>
    <row r="764" spans="1:18" ht="13">
      <c r="A764" s="105"/>
      <c r="B764" s="97"/>
      <c r="C764" s="123"/>
      <c r="D764" s="118"/>
      <c r="E764" s="123"/>
      <c r="F764" s="123"/>
      <c r="G764" s="118"/>
      <c r="H764" s="118"/>
      <c r="I764" s="118"/>
      <c r="J764" s="119"/>
      <c r="K764" s="123"/>
      <c r="L764" s="123"/>
      <c r="M764" s="123"/>
      <c r="N764" s="123"/>
      <c r="O764" s="123"/>
      <c r="P764" s="123"/>
      <c r="Q764" s="119"/>
      <c r="R764" s="118"/>
    </row>
    <row r="765" spans="1:18" ht="13">
      <c r="A765" s="105"/>
      <c r="B765" s="97"/>
      <c r="C765" s="123"/>
      <c r="D765" s="118"/>
      <c r="E765" s="123"/>
      <c r="F765" s="123"/>
      <c r="G765" s="118"/>
      <c r="H765" s="118"/>
      <c r="I765" s="118"/>
      <c r="J765" s="119"/>
      <c r="K765" s="123"/>
      <c r="L765" s="123"/>
      <c r="M765" s="123"/>
      <c r="N765" s="123"/>
      <c r="O765" s="123"/>
      <c r="P765" s="123"/>
      <c r="Q765" s="119"/>
      <c r="R765" s="118"/>
    </row>
    <row r="766" spans="1:18" ht="13">
      <c r="A766" s="105"/>
      <c r="B766" s="97"/>
      <c r="C766" s="123"/>
      <c r="D766" s="118"/>
      <c r="E766" s="123"/>
      <c r="F766" s="123"/>
      <c r="G766" s="118"/>
      <c r="H766" s="118"/>
      <c r="I766" s="118"/>
      <c r="J766" s="119"/>
      <c r="K766" s="123"/>
      <c r="L766" s="123"/>
      <c r="M766" s="123"/>
      <c r="N766" s="123"/>
      <c r="O766" s="123"/>
      <c r="P766" s="123"/>
      <c r="Q766" s="119"/>
      <c r="R766" s="118"/>
    </row>
    <row r="767" spans="1:18" ht="13">
      <c r="A767" s="105"/>
      <c r="B767" s="97"/>
      <c r="C767" s="123"/>
      <c r="D767" s="118"/>
      <c r="E767" s="123"/>
      <c r="F767" s="123"/>
      <c r="G767" s="118"/>
      <c r="H767" s="118"/>
      <c r="I767" s="118"/>
      <c r="J767" s="119"/>
      <c r="K767" s="123"/>
      <c r="L767" s="123"/>
      <c r="M767" s="123"/>
      <c r="N767" s="123"/>
      <c r="O767" s="123"/>
      <c r="P767" s="123"/>
      <c r="Q767" s="119"/>
      <c r="R767" s="118"/>
    </row>
    <row r="768" spans="1:18" ht="13">
      <c r="A768" s="105"/>
      <c r="B768" s="97"/>
      <c r="C768" s="123"/>
      <c r="D768" s="118"/>
      <c r="E768" s="123"/>
      <c r="F768" s="123"/>
      <c r="G768" s="118"/>
      <c r="H768" s="118"/>
      <c r="I768" s="118"/>
      <c r="J768" s="119"/>
      <c r="K768" s="123"/>
      <c r="L768" s="123"/>
      <c r="M768" s="123"/>
      <c r="N768" s="123"/>
      <c r="O768" s="123"/>
      <c r="P768" s="123"/>
      <c r="Q768" s="119"/>
      <c r="R768" s="118"/>
    </row>
    <row r="769" spans="1:18" ht="13">
      <c r="A769" s="105"/>
      <c r="B769" s="97"/>
      <c r="C769" s="123"/>
      <c r="D769" s="118"/>
      <c r="E769" s="123"/>
      <c r="F769" s="123"/>
      <c r="G769" s="118"/>
      <c r="H769" s="118"/>
      <c r="I769" s="118"/>
      <c r="J769" s="119"/>
      <c r="K769" s="123"/>
      <c r="L769" s="123"/>
      <c r="M769" s="123"/>
      <c r="N769" s="123"/>
      <c r="O769" s="123"/>
      <c r="P769" s="123"/>
      <c r="Q769" s="119"/>
      <c r="R769" s="118"/>
    </row>
    <row r="770" spans="1:18" ht="13">
      <c r="A770" s="105"/>
      <c r="B770" s="97"/>
      <c r="C770" s="123"/>
      <c r="D770" s="118"/>
      <c r="E770" s="123"/>
      <c r="F770" s="123"/>
      <c r="G770" s="118"/>
      <c r="H770" s="118"/>
      <c r="I770" s="118"/>
      <c r="J770" s="119"/>
      <c r="K770" s="123"/>
      <c r="L770" s="123"/>
      <c r="M770" s="123"/>
      <c r="N770" s="123"/>
      <c r="O770" s="123"/>
      <c r="P770" s="123"/>
      <c r="Q770" s="119"/>
      <c r="R770" s="118"/>
    </row>
    <row r="771" spans="1:18" ht="13">
      <c r="A771" s="105"/>
      <c r="B771" s="97"/>
      <c r="C771" s="123"/>
      <c r="D771" s="118"/>
      <c r="E771" s="123"/>
      <c r="F771" s="123"/>
      <c r="G771" s="118"/>
      <c r="H771" s="118"/>
      <c r="I771" s="118"/>
      <c r="J771" s="119"/>
      <c r="K771" s="123"/>
      <c r="L771" s="123"/>
      <c r="M771" s="123"/>
      <c r="N771" s="123"/>
      <c r="O771" s="123"/>
      <c r="P771" s="123"/>
      <c r="Q771" s="119"/>
      <c r="R771" s="118"/>
    </row>
    <row r="772" spans="1:18" ht="13">
      <c r="A772" s="105"/>
      <c r="B772" s="97"/>
      <c r="C772" s="123"/>
      <c r="D772" s="118"/>
      <c r="E772" s="123"/>
      <c r="F772" s="123"/>
      <c r="G772" s="118"/>
      <c r="H772" s="118"/>
      <c r="I772" s="118"/>
      <c r="J772" s="119"/>
      <c r="K772" s="123"/>
      <c r="L772" s="123"/>
      <c r="M772" s="123"/>
      <c r="N772" s="123"/>
      <c r="O772" s="123"/>
      <c r="P772" s="123"/>
      <c r="Q772" s="119"/>
      <c r="R772" s="118"/>
    </row>
    <row r="773" spans="1:18" ht="13">
      <c r="A773" s="105"/>
      <c r="B773" s="97"/>
      <c r="C773" s="123"/>
      <c r="D773" s="118"/>
      <c r="E773" s="123"/>
      <c r="F773" s="123"/>
      <c r="G773" s="118"/>
      <c r="H773" s="118"/>
      <c r="I773" s="118"/>
      <c r="J773" s="119"/>
      <c r="K773" s="123"/>
      <c r="L773" s="123"/>
      <c r="M773" s="123"/>
      <c r="N773" s="123"/>
      <c r="O773" s="123"/>
      <c r="P773" s="123"/>
      <c r="Q773" s="119"/>
      <c r="R773" s="118"/>
    </row>
    <row r="774" spans="1:18" ht="13">
      <c r="A774" s="105"/>
      <c r="B774" s="97"/>
      <c r="C774" s="123"/>
      <c r="D774" s="118"/>
      <c r="E774" s="123"/>
      <c r="F774" s="123"/>
      <c r="G774" s="118"/>
      <c r="H774" s="118"/>
      <c r="I774" s="118"/>
      <c r="J774" s="119"/>
      <c r="K774" s="123"/>
      <c r="L774" s="123"/>
      <c r="M774" s="123"/>
      <c r="N774" s="123"/>
      <c r="O774" s="123"/>
      <c r="P774" s="123"/>
      <c r="Q774" s="119"/>
      <c r="R774" s="118"/>
    </row>
    <row r="775" spans="1:18" ht="13">
      <c r="A775" s="105"/>
      <c r="B775" s="97"/>
      <c r="C775" s="123"/>
      <c r="D775" s="118"/>
      <c r="E775" s="123"/>
      <c r="F775" s="123"/>
      <c r="G775" s="118"/>
      <c r="H775" s="118"/>
      <c r="I775" s="118"/>
      <c r="J775" s="119"/>
      <c r="K775" s="123"/>
      <c r="L775" s="123"/>
      <c r="M775" s="123"/>
      <c r="N775" s="123"/>
      <c r="O775" s="123"/>
      <c r="P775" s="123"/>
      <c r="Q775" s="119"/>
      <c r="R775" s="118"/>
    </row>
    <row r="776" spans="1:18" ht="13">
      <c r="A776" s="105"/>
      <c r="B776" s="97"/>
      <c r="C776" s="123"/>
      <c r="D776" s="118"/>
      <c r="E776" s="123"/>
      <c r="F776" s="123"/>
      <c r="G776" s="118"/>
      <c r="H776" s="118"/>
      <c r="I776" s="118"/>
      <c r="J776" s="119"/>
      <c r="K776" s="123"/>
      <c r="L776" s="123"/>
      <c r="M776" s="123"/>
      <c r="N776" s="123"/>
      <c r="O776" s="123"/>
      <c r="P776" s="123"/>
      <c r="Q776" s="119"/>
      <c r="R776" s="118"/>
    </row>
    <row r="777" spans="1:18" ht="13">
      <c r="A777" s="105"/>
      <c r="B777" s="97"/>
      <c r="C777" s="123"/>
      <c r="D777" s="118"/>
      <c r="E777" s="123"/>
      <c r="F777" s="123"/>
      <c r="G777" s="118"/>
      <c r="H777" s="118"/>
      <c r="I777" s="118"/>
      <c r="J777" s="119"/>
      <c r="K777" s="123"/>
      <c r="L777" s="123"/>
      <c r="M777" s="123"/>
      <c r="N777" s="123"/>
      <c r="O777" s="123"/>
      <c r="P777" s="123"/>
      <c r="Q777" s="119"/>
      <c r="R777" s="118"/>
    </row>
    <row r="778" spans="1:18" ht="13">
      <c r="A778" s="105"/>
      <c r="B778" s="97"/>
      <c r="C778" s="123"/>
      <c r="D778" s="118"/>
      <c r="E778" s="123"/>
      <c r="F778" s="123"/>
      <c r="G778" s="118"/>
      <c r="H778" s="118"/>
      <c r="I778" s="118"/>
      <c r="J778" s="119"/>
      <c r="K778" s="123"/>
      <c r="L778" s="123"/>
      <c r="M778" s="123"/>
      <c r="N778" s="123"/>
      <c r="O778" s="123"/>
      <c r="P778" s="123"/>
      <c r="Q778" s="119"/>
      <c r="R778" s="118"/>
    </row>
    <row r="779" spans="1:18" ht="13">
      <c r="A779" s="105"/>
      <c r="B779" s="97"/>
      <c r="C779" s="123"/>
      <c r="D779" s="118"/>
      <c r="E779" s="123"/>
      <c r="F779" s="123"/>
      <c r="G779" s="118"/>
      <c r="H779" s="118"/>
      <c r="I779" s="118"/>
      <c r="J779" s="119"/>
      <c r="K779" s="123"/>
      <c r="L779" s="123"/>
      <c r="M779" s="123"/>
      <c r="N779" s="123"/>
      <c r="O779" s="123"/>
      <c r="P779" s="123"/>
      <c r="Q779" s="119"/>
      <c r="R779" s="118"/>
    </row>
    <row r="780" spans="1:18" ht="13">
      <c r="A780" s="105"/>
      <c r="B780" s="97"/>
      <c r="C780" s="123"/>
      <c r="D780" s="118"/>
      <c r="E780" s="123"/>
      <c r="F780" s="123"/>
      <c r="G780" s="118"/>
      <c r="H780" s="118"/>
      <c r="I780" s="118"/>
      <c r="J780" s="119"/>
      <c r="K780" s="123"/>
      <c r="L780" s="123"/>
      <c r="M780" s="123"/>
      <c r="N780" s="123"/>
      <c r="O780" s="123"/>
      <c r="P780" s="123"/>
      <c r="Q780" s="119"/>
      <c r="R780" s="118"/>
    </row>
    <row r="781" spans="1:18" ht="13">
      <c r="A781" s="105"/>
      <c r="B781" s="97"/>
      <c r="C781" s="123"/>
      <c r="D781" s="118"/>
      <c r="E781" s="123"/>
      <c r="F781" s="123"/>
      <c r="G781" s="118"/>
      <c r="H781" s="118"/>
      <c r="I781" s="118"/>
      <c r="J781" s="119"/>
      <c r="K781" s="123"/>
      <c r="L781" s="123"/>
      <c r="M781" s="123"/>
      <c r="N781" s="123"/>
      <c r="O781" s="123"/>
      <c r="P781" s="123"/>
      <c r="Q781" s="119"/>
      <c r="R781" s="118"/>
    </row>
    <row r="782" spans="1:18" ht="13">
      <c r="A782" s="105"/>
      <c r="B782" s="97"/>
      <c r="C782" s="123"/>
      <c r="D782" s="118"/>
      <c r="E782" s="123"/>
      <c r="F782" s="123"/>
      <c r="G782" s="118"/>
      <c r="H782" s="118"/>
      <c r="I782" s="118"/>
      <c r="J782" s="119"/>
      <c r="K782" s="123"/>
      <c r="L782" s="123"/>
      <c r="M782" s="123"/>
      <c r="N782" s="123"/>
      <c r="O782" s="123"/>
      <c r="P782" s="123"/>
      <c r="Q782" s="119"/>
      <c r="R782" s="118"/>
    </row>
    <row r="783" spans="1:18" ht="13">
      <c r="A783" s="105"/>
      <c r="B783" s="97"/>
      <c r="C783" s="123"/>
      <c r="D783" s="118"/>
      <c r="E783" s="123"/>
      <c r="F783" s="123"/>
      <c r="G783" s="118"/>
      <c r="H783" s="118"/>
      <c r="I783" s="118"/>
      <c r="J783" s="119"/>
      <c r="K783" s="123"/>
      <c r="L783" s="123"/>
      <c r="M783" s="123"/>
      <c r="N783" s="123"/>
      <c r="O783" s="123"/>
      <c r="P783" s="123"/>
      <c r="Q783" s="119"/>
      <c r="R783" s="118"/>
    </row>
    <row r="784" spans="1:18" ht="13">
      <c r="A784" s="105"/>
      <c r="B784" s="97"/>
      <c r="C784" s="123"/>
      <c r="D784" s="118"/>
      <c r="E784" s="123"/>
      <c r="F784" s="123"/>
      <c r="G784" s="118"/>
      <c r="H784" s="118"/>
      <c r="I784" s="118"/>
      <c r="J784" s="119"/>
      <c r="K784" s="123"/>
      <c r="L784" s="123"/>
      <c r="M784" s="123"/>
      <c r="N784" s="123"/>
      <c r="O784" s="123"/>
      <c r="P784" s="123"/>
      <c r="Q784" s="119"/>
      <c r="R784" s="118"/>
    </row>
    <row r="785" spans="1:18" ht="13">
      <c r="A785" s="105"/>
      <c r="B785" s="97"/>
      <c r="C785" s="123"/>
      <c r="D785" s="118"/>
      <c r="E785" s="123"/>
      <c r="F785" s="123"/>
      <c r="G785" s="118"/>
      <c r="H785" s="118"/>
      <c r="I785" s="118"/>
      <c r="J785" s="119"/>
      <c r="K785" s="123"/>
      <c r="L785" s="123"/>
      <c r="M785" s="123"/>
      <c r="N785" s="123"/>
      <c r="O785" s="123"/>
      <c r="P785" s="123"/>
      <c r="Q785" s="119"/>
      <c r="R785" s="118"/>
    </row>
    <row r="786" spans="1:18" ht="13">
      <c r="A786" s="105"/>
      <c r="B786" s="97"/>
      <c r="C786" s="123"/>
      <c r="D786" s="118"/>
      <c r="E786" s="123"/>
      <c r="F786" s="123"/>
      <c r="G786" s="118"/>
      <c r="H786" s="118"/>
      <c r="I786" s="118"/>
      <c r="J786" s="119"/>
      <c r="K786" s="123"/>
      <c r="L786" s="123"/>
      <c r="M786" s="123"/>
      <c r="N786" s="123"/>
      <c r="O786" s="123"/>
      <c r="P786" s="123"/>
      <c r="Q786" s="119"/>
      <c r="R786" s="118"/>
    </row>
    <row r="787" spans="1:18" ht="13">
      <c r="A787" s="105"/>
      <c r="B787" s="97"/>
      <c r="C787" s="123"/>
      <c r="D787" s="118"/>
      <c r="E787" s="123"/>
      <c r="F787" s="123"/>
      <c r="G787" s="118"/>
      <c r="H787" s="118"/>
      <c r="I787" s="118"/>
      <c r="J787" s="119"/>
      <c r="K787" s="123"/>
      <c r="L787" s="123"/>
      <c r="M787" s="123"/>
      <c r="N787" s="123"/>
      <c r="O787" s="123"/>
      <c r="P787" s="123"/>
      <c r="Q787" s="119"/>
      <c r="R787" s="118"/>
    </row>
    <row r="788" spans="1:18" ht="13">
      <c r="A788" s="105"/>
      <c r="B788" s="97"/>
      <c r="C788" s="123"/>
      <c r="D788" s="118"/>
      <c r="E788" s="123"/>
      <c r="F788" s="123"/>
      <c r="G788" s="118"/>
      <c r="H788" s="118"/>
      <c r="I788" s="118"/>
      <c r="J788" s="119"/>
      <c r="K788" s="123"/>
      <c r="L788" s="123"/>
      <c r="M788" s="123"/>
      <c r="N788" s="123"/>
      <c r="O788" s="123"/>
      <c r="P788" s="123"/>
      <c r="Q788" s="119"/>
      <c r="R788" s="118"/>
    </row>
    <row r="789" spans="1:18" ht="13">
      <c r="A789" s="105"/>
      <c r="B789" s="97"/>
      <c r="C789" s="123"/>
      <c r="D789" s="118"/>
      <c r="E789" s="123"/>
      <c r="F789" s="123"/>
      <c r="G789" s="118"/>
      <c r="H789" s="118"/>
      <c r="I789" s="118"/>
      <c r="J789" s="119"/>
      <c r="K789" s="123"/>
      <c r="L789" s="123"/>
      <c r="M789" s="123"/>
      <c r="N789" s="123"/>
      <c r="O789" s="123"/>
      <c r="P789" s="123"/>
      <c r="Q789" s="119"/>
      <c r="R789" s="118"/>
    </row>
    <row r="790" spans="1:18" ht="13">
      <c r="A790" s="105"/>
      <c r="B790" s="97"/>
      <c r="C790" s="123"/>
      <c r="D790" s="118"/>
      <c r="E790" s="123"/>
      <c r="F790" s="123"/>
      <c r="G790" s="118"/>
      <c r="H790" s="118"/>
      <c r="I790" s="118"/>
      <c r="J790" s="119"/>
      <c r="K790" s="123"/>
      <c r="L790" s="123"/>
      <c r="M790" s="123"/>
      <c r="N790" s="123"/>
      <c r="O790" s="123"/>
      <c r="P790" s="123"/>
      <c r="Q790" s="119"/>
      <c r="R790" s="118"/>
    </row>
    <row r="791" spans="1:18" ht="13">
      <c r="A791" s="105"/>
      <c r="B791" s="97"/>
      <c r="C791" s="123"/>
      <c r="D791" s="118"/>
      <c r="E791" s="123"/>
      <c r="F791" s="123"/>
      <c r="G791" s="118"/>
      <c r="H791" s="118"/>
      <c r="I791" s="118"/>
      <c r="J791" s="119"/>
      <c r="K791" s="123"/>
      <c r="L791" s="123"/>
      <c r="M791" s="123"/>
      <c r="N791" s="123"/>
      <c r="O791" s="123"/>
      <c r="P791" s="123"/>
      <c r="Q791" s="119"/>
      <c r="R791" s="118"/>
    </row>
    <row r="792" spans="1:18" ht="13">
      <c r="A792" s="105"/>
      <c r="B792" s="97"/>
      <c r="C792" s="123"/>
      <c r="D792" s="118"/>
      <c r="E792" s="123"/>
      <c r="F792" s="123"/>
      <c r="G792" s="118"/>
      <c r="H792" s="118"/>
      <c r="I792" s="118"/>
      <c r="J792" s="119"/>
      <c r="K792" s="123"/>
      <c r="L792" s="123"/>
      <c r="M792" s="123"/>
      <c r="N792" s="123"/>
      <c r="O792" s="123"/>
      <c r="P792" s="123"/>
      <c r="Q792" s="119"/>
      <c r="R792" s="118"/>
    </row>
    <row r="793" spans="1:18" ht="13">
      <c r="A793" s="105"/>
      <c r="B793" s="97"/>
      <c r="C793" s="123"/>
      <c r="D793" s="118"/>
      <c r="E793" s="123"/>
      <c r="F793" s="123"/>
      <c r="G793" s="118"/>
      <c r="H793" s="118"/>
      <c r="I793" s="118"/>
      <c r="J793" s="119"/>
      <c r="K793" s="123"/>
      <c r="L793" s="123"/>
      <c r="M793" s="123"/>
      <c r="N793" s="123"/>
      <c r="O793" s="123"/>
      <c r="P793" s="123"/>
      <c r="Q793" s="119"/>
      <c r="R793" s="118"/>
    </row>
    <row r="794" spans="1:18" ht="13">
      <c r="A794" s="105"/>
      <c r="B794" s="97"/>
      <c r="C794" s="123"/>
      <c r="D794" s="118"/>
      <c r="E794" s="123"/>
      <c r="F794" s="123"/>
      <c r="G794" s="118"/>
      <c r="H794" s="118"/>
      <c r="I794" s="118"/>
      <c r="J794" s="119"/>
      <c r="K794" s="123"/>
      <c r="L794" s="123"/>
      <c r="M794" s="123"/>
      <c r="N794" s="123"/>
      <c r="O794" s="123"/>
      <c r="P794" s="123"/>
      <c r="Q794" s="119"/>
      <c r="R794" s="118"/>
    </row>
    <row r="795" spans="1:18" ht="13">
      <c r="A795" s="105"/>
      <c r="B795" s="97"/>
      <c r="C795" s="123"/>
      <c r="D795" s="118"/>
      <c r="E795" s="123"/>
      <c r="F795" s="123"/>
      <c r="G795" s="118"/>
      <c r="H795" s="118"/>
      <c r="I795" s="118"/>
      <c r="J795" s="119"/>
      <c r="K795" s="123"/>
      <c r="L795" s="123"/>
      <c r="M795" s="123"/>
      <c r="N795" s="123"/>
      <c r="O795" s="123"/>
      <c r="P795" s="123"/>
      <c r="Q795" s="119"/>
      <c r="R795" s="118"/>
    </row>
    <row r="796" spans="1:18" ht="13">
      <c r="A796" s="105"/>
      <c r="B796" s="97"/>
      <c r="C796" s="123"/>
      <c r="D796" s="118"/>
      <c r="E796" s="123"/>
      <c r="F796" s="123"/>
      <c r="G796" s="118"/>
      <c r="H796" s="118"/>
      <c r="I796" s="118"/>
      <c r="J796" s="119"/>
      <c r="K796" s="123"/>
      <c r="L796" s="123"/>
      <c r="M796" s="123"/>
      <c r="N796" s="123"/>
      <c r="O796" s="123"/>
      <c r="P796" s="123"/>
      <c r="Q796" s="119"/>
      <c r="R796" s="118"/>
    </row>
    <row r="797" spans="1:18" ht="13">
      <c r="A797" s="105"/>
      <c r="B797" s="97"/>
      <c r="C797" s="123"/>
      <c r="D797" s="118"/>
      <c r="E797" s="123"/>
      <c r="F797" s="123"/>
      <c r="G797" s="118"/>
      <c r="H797" s="118"/>
      <c r="I797" s="118"/>
      <c r="J797" s="119"/>
      <c r="K797" s="123"/>
      <c r="L797" s="123"/>
      <c r="M797" s="123"/>
      <c r="N797" s="123"/>
      <c r="O797" s="123"/>
      <c r="P797" s="123"/>
      <c r="Q797" s="119"/>
      <c r="R797" s="118"/>
    </row>
    <row r="798" spans="1:18" ht="13">
      <c r="A798" s="105"/>
      <c r="B798" s="97"/>
      <c r="C798" s="123"/>
      <c r="D798" s="118"/>
      <c r="E798" s="123"/>
      <c r="F798" s="123"/>
      <c r="G798" s="118"/>
      <c r="H798" s="118"/>
      <c r="I798" s="118"/>
      <c r="J798" s="119"/>
      <c r="K798" s="123"/>
      <c r="L798" s="123"/>
      <c r="M798" s="123"/>
      <c r="N798" s="123"/>
      <c r="O798" s="123"/>
      <c r="P798" s="123"/>
      <c r="Q798" s="119"/>
      <c r="R798" s="118"/>
    </row>
    <row r="799" spans="1:18" ht="13">
      <c r="A799" s="105"/>
      <c r="B799" s="97"/>
      <c r="C799" s="123"/>
      <c r="D799" s="118"/>
      <c r="E799" s="123"/>
      <c r="F799" s="123"/>
      <c r="G799" s="118"/>
      <c r="H799" s="118"/>
      <c r="I799" s="118"/>
      <c r="J799" s="119"/>
      <c r="K799" s="123"/>
      <c r="L799" s="123"/>
      <c r="M799" s="123"/>
      <c r="N799" s="123"/>
      <c r="O799" s="123"/>
      <c r="P799" s="123"/>
      <c r="Q799" s="119"/>
      <c r="R799" s="118"/>
    </row>
    <row r="800" spans="1:18" ht="13">
      <c r="A800" s="105"/>
      <c r="B800" s="97"/>
      <c r="C800" s="123"/>
      <c r="D800" s="118"/>
      <c r="E800" s="123"/>
      <c r="F800" s="123"/>
      <c r="G800" s="118"/>
      <c r="H800" s="118"/>
      <c r="I800" s="118"/>
      <c r="J800" s="119"/>
      <c r="K800" s="123"/>
      <c r="L800" s="123"/>
      <c r="M800" s="123"/>
      <c r="N800" s="123"/>
      <c r="O800" s="123"/>
      <c r="P800" s="123"/>
      <c r="Q800" s="119"/>
      <c r="R800" s="118"/>
    </row>
    <row r="801" spans="1:18" ht="13">
      <c r="A801" s="105"/>
      <c r="B801" s="97"/>
      <c r="C801" s="123"/>
      <c r="D801" s="118"/>
      <c r="E801" s="123"/>
      <c r="F801" s="123"/>
      <c r="G801" s="118"/>
      <c r="H801" s="118"/>
      <c r="I801" s="118"/>
      <c r="J801" s="119"/>
      <c r="K801" s="123"/>
      <c r="L801" s="123"/>
      <c r="M801" s="123"/>
      <c r="N801" s="123"/>
      <c r="O801" s="123"/>
      <c r="P801" s="123"/>
      <c r="Q801" s="119"/>
      <c r="R801" s="118"/>
    </row>
    <row r="802" spans="1:18" ht="13">
      <c r="A802" s="105"/>
      <c r="B802" s="97"/>
      <c r="C802" s="123"/>
      <c r="D802" s="118"/>
      <c r="E802" s="123"/>
      <c r="F802" s="123"/>
      <c r="G802" s="118"/>
      <c r="H802" s="118"/>
      <c r="I802" s="118"/>
      <c r="J802" s="119"/>
      <c r="K802" s="123"/>
      <c r="L802" s="123"/>
      <c r="M802" s="123"/>
      <c r="N802" s="123"/>
      <c r="O802" s="123"/>
      <c r="P802" s="123"/>
      <c r="Q802" s="119"/>
      <c r="R802" s="118"/>
    </row>
    <row r="803" spans="1:18" ht="13">
      <c r="A803" s="105"/>
      <c r="B803" s="97"/>
      <c r="C803" s="123"/>
      <c r="D803" s="118"/>
      <c r="E803" s="123"/>
      <c r="F803" s="123"/>
      <c r="G803" s="118"/>
      <c r="H803" s="118"/>
      <c r="I803" s="118"/>
      <c r="J803" s="119"/>
      <c r="K803" s="123"/>
      <c r="L803" s="123"/>
      <c r="M803" s="123"/>
      <c r="N803" s="123"/>
      <c r="O803" s="123"/>
      <c r="P803" s="123"/>
      <c r="Q803" s="119"/>
      <c r="R803" s="118"/>
    </row>
    <row r="804" spans="1:18" ht="13">
      <c r="A804" s="105"/>
      <c r="B804" s="97"/>
      <c r="C804" s="123"/>
      <c r="D804" s="118"/>
      <c r="E804" s="123"/>
      <c r="F804" s="123"/>
      <c r="G804" s="118"/>
      <c r="H804" s="118"/>
      <c r="I804" s="118"/>
      <c r="J804" s="119"/>
      <c r="K804" s="123"/>
      <c r="L804" s="123"/>
      <c r="M804" s="123"/>
      <c r="N804" s="123"/>
      <c r="O804" s="123"/>
      <c r="P804" s="123"/>
      <c r="Q804" s="119"/>
      <c r="R804" s="118"/>
    </row>
    <row r="805" spans="1:18" ht="13">
      <c r="A805" s="105"/>
      <c r="B805" s="97"/>
      <c r="C805" s="123"/>
      <c r="D805" s="118"/>
      <c r="E805" s="123"/>
      <c r="F805" s="123"/>
      <c r="G805" s="118"/>
      <c r="H805" s="118"/>
      <c r="I805" s="118"/>
      <c r="J805" s="119"/>
      <c r="K805" s="123"/>
      <c r="L805" s="123"/>
      <c r="M805" s="123"/>
      <c r="N805" s="123"/>
      <c r="O805" s="123"/>
      <c r="P805" s="123"/>
      <c r="Q805" s="119"/>
      <c r="R805" s="118"/>
    </row>
    <row r="806" spans="1:18" ht="13">
      <c r="A806" s="105"/>
      <c r="B806" s="97"/>
      <c r="C806" s="123"/>
      <c r="D806" s="118"/>
      <c r="E806" s="123"/>
      <c r="F806" s="123"/>
      <c r="G806" s="118"/>
      <c r="H806" s="118"/>
      <c r="I806" s="118"/>
      <c r="J806" s="119"/>
      <c r="K806" s="123"/>
      <c r="L806" s="123"/>
      <c r="M806" s="123"/>
      <c r="N806" s="123"/>
      <c r="O806" s="123"/>
      <c r="P806" s="123"/>
      <c r="Q806" s="119"/>
      <c r="R806" s="118"/>
    </row>
    <row r="807" spans="1:18" ht="13">
      <c r="A807" s="105"/>
      <c r="B807" s="97"/>
      <c r="C807" s="123"/>
      <c r="D807" s="118"/>
      <c r="E807" s="123"/>
      <c r="F807" s="123"/>
      <c r="G807" s="118"/>
      <c r="H807" s="118"/>
      <c r="I807" s="118"/>
      <c r="J807" s="119"/>
      <c r="K807" s="123"/>
      <c r="L807" s="123"/>
      <c r="M807" s="123"/>
      <c r="N807" s="123"/>
      <c r="O807" s="123"/>
      <c r="P807" s="123"/>
      <c r="Q807" s="119"/>
      <c r="R807" s="118"/>
    </row>
    <row r="808" spans="1:18" ht="13">
      <c r="A808" s="105"/>
      <c r="B808" s="97"/>
      <c r="C808" s="123"/>
      <c r="D808" s="118"/>
      <c r="E808" s="123"/>
      <c r="F808" s="123"/>
      <c r="G808" s="118"/>
      <c r="H808" s="118"/>
      <c r="I808" s="118"/>
      <c r="J808" s="119"/>
      <c r="K808" s="123"/>
      <c r="L808" s="123"/>
      <c r="M808" s="123"/>
      <c r="N808" s="123"/>
      <c r="O808" s="123"/>
      <c r="P808" s="123"/>
      <c r="Q808" s="119"/>
      <c r="R808" s="118"/>
    </row>
    <row r="809" spans="1:18" ht="13">
      <c r="A809" s="105"/>
      <c r="B809" s="97"/>
      <c r="C809" s="123"/>
      <c r="D809" s="118"/>
      <c r="E809" s="123"/>
      <c r="F809" s="123"/>
      <c r="G809" s="118"/>
      <c r="H809" s="118"/>
      <c r="I809" s="118"/>
      <c r="J809" s="119"/>
      <c r="K809" s="123"/>
      <c r="L809" s="123"/>
      <c r="M809" s="123"/>
      <c r="N809" s="123"/>
      <c r="O809" s="123"/>
      <c r="P809" s="123"/>
      <c r="Q809" s="119"/>
      <c r="R809" s="118"/>
    </row>
    <row r="810" spans="1:18" ht="13">
      <c r="A810" s="105"/>
      <c r="B810" s="97"/>
      <c r="C810" s="123"/>
      <c r="D810" s="118"/>
      <c r="E810" s="123"/>
      <c r="F810" s="123"/>
      <c r="G810" s="118"/>
      <c r="H810" s="118"/>
      <c r="I810" s="118"/>
      <c r="J810" s="119"/>
      <c r="K810" s="123"/>
      <c r="L810" s="123"/>
      <c r="M810" s="123"/>
      <c r="N810" s="123"/>
      <c r="O810" s="123"/>
      <c r="P810" s="123"/>
      <c r="Q810" s="119"/>
      <c r="R810" s="118"/>
    </row>
    <row r="811" spans="1:18" ht="13">
      <c r="A811" s="105"/>
      <c r="B811" s="97"/>
      <c r="C811" s="123"/>
      <c r="D811" s="118"/>
      <c r="E811" s="123"/>
      <c r="F811" s="123"/>
      <c r="G811" s="118"/>
      <c r="H811" s="118"/>
      <c r="I811" s="118"/>
      <c r="J811" s="119"/>
      <c r="K811" s="123"/>
      <c r="L811" s="123"/>
      <c r="M811" s="123"/>
      <c r="N811" s="123"/>
      <c r="O811" s="123"/>
      <c r="P811" s="123"/>
      <c r="Q811" s="119"/>
      <c r="R811" s="118"/>
    </row>
    <row r="812" spans="1:18" ht="13">
      <c r="A812" s="105"/>
      <c r="B812" s="97"/>
      <c r="C812" s="123"/>
      <c r="D812" s="118"/>
      <c r="E812" s="123"/>
      <c r="F812" s="123"/>
      <c r="G812" s="118"/>
      <c r="H812" s="118"/>
      <c r="I812" s="118"/>
      <c r="J812" s="119"/>
      <c r="K812" s="123"/>
      <c r="L812" s="123"/>
      <c r="M812" s="123"/>
      <c r="N812" s="123"/>
      <c r="O812" s="123"/>
      <c r="P812" s="123"/>
      <c r="Q812" s="119"/>
      <c r="R812" s="118"/>
    </row>
    <row r="813" spans="1:18" ht="13">
      <c r="A813" s="105"/>
      <c r="B813" s="97"/>
      <c r="C813" s="123"/>
      <c r="D813" s="118"/>
      <c r="E813" s="123"/>
      <c r="F813" s="123"/>
      <c r="G813" s="118"/>
      <c r="H813" s="118"/>
      <c r="I813" s="118"/>
      <c r="J813" s="119"/>
      <c r="K813" s="123"/>
      <c r="L813" s="123"/>
      <c r="M813" s="123"/>
      <c r="N813" s="123"/>
      <c r="O813" s="123"/>
      <c r="P813" s="123"/>
      <c r="Q813" s="119"/>
      <c r="R813" s="118"/>
    </row>
    <row r="814" spans="1:18" ht="13">
      <c r="A814" s="105"/>
      <c r="B814" s="97"/>
      <c r="C814" s="123"/>
      <c r="D814" s="118"/>
      <c r="E814" s="123"/>
      <c r="F814" s="123"/>
      <c r="G814" s="118"/>
      <c r="H814" s="118"/>
      <c r="I814" s="118"/>
      <c r="J814" s="119"/>
      <c r="K814" s="123"/>
      <c r="L814" s="123"/>
      <c r="M814" s="123"/>
      <c r="N814" s="123"/>
      <c r="O814" s="123"/>
      <c r="P814" s="123"/>
      <c r="Q814" s="119"/>
      <c r="R814" s="118"/>
    </row>
    <row r="815" spans="1:18" ht="13">
      <c r="A815" s="105"/>
      <c r="B815" s="97"/>
      <c r="C815" s="123"/>
      <c r="D815" s="118"/>
      <c r="E815" s="123"/>
      <c r="F815" s="123"/>
      <c r="G815" s="118"/>
      <c r="H815" s="118"/>
      <c r="I815" s="118"/>
      <c r="J815" s="119"/>
      <c r="K815" s="123"/>
      <c r="L815" s="123"/>
      <c r="M815" s="123"/>
      <c r="N815" s="123"/>
      <c r="O815" s="123"/>
      <c r="P815" s="123"/>
      <c r="Q815" s="119"/>
      <c r="R815" s="118"/>
    </row>
    <row r="816" spans="1:18" ht="13">
      <c r="A816" s="105"/>
      <c r="B816" s="97"/>
      <c r="C816" s="123"/>
      <c r="D816" s="118"/>
      <c r="E816" s="123"/>
      <c r="F816" s="123"/>
      <c r="G816" s="118"/>
      <c r="H816" s="118"/>
      <c r="I816" s="118"/>
      <c r="J816" s="119"/>
      <c r="K816" s="123"/>
      <c r="L816" s="123"/>
      <c r="M816" s="123"/>
      <c r="N816" s="123"/>
      <c r="O816" s="123"/>
      <c r="P816" s="123"/>
      <c r="Q816" s="119"/>
      <c r="R816" s="118"/>
    </row>
    <row r="817" spans="1:18" ht="13">
      <c r="A817" s="105"/>
      <c r="B817" s="97"/>
      <c r="C817" s="123"/>
      <c r="D817" s="118"/>
      <c r="E817" s="123"/>
      <c r="F817" s="123"/>
      <c r="G817" s="118"/>
      <c r="H817" s="118"/>
      <c r="I817" s="118"/>
      <c r="J817" s="119"/>
      <c r="K817" s="123"/>
      <c r="L817" s="123"/>
      <c r="M817" s="123"/>
      <c r="N817" s="123"/>
      <c r="O817" s="123"/>
      <c r="P817" s="123"/>
      <c r="Q817" s="119"/>
      <c r="R817" s="118"/>
    </row>
    <row r="818" spans="1:18" ht="13">
      <c r="A818" s="105"/>
      <c r="B818" s="97"/>
      <c r="C818" s="123"/>
      <c r="D818" s="118"/>
      <c r="E818" s="123"/>
      <c r="F818" s="123"/>
      <c r="G818" s="118"/>
      <c r="H818" s="118"/>
      <c r="I818" s="118"/>
      <c r="J818" s="119"/>
      <c r="K818" s="123"/>
      <c r="L818" s="123"/>
      <c r="M818" s="123"/>
      <c r="N818" s="123"/>
      <c r="O818" s="123"/>
      <c r="P818" s="123"/>
      <c r="Q818" s="119"/>
      <c r="R818" s="118"/>
    </row>
    <row r="819" spans="1:18" ht="13">
      <c r="A819" s="105"/>
      <c r="B819" s="97"/>
      <c r="C819" s="123"/>
      <c r="D819" s="118"/>
      <c r="E819" s="123"/>
      <c r="F819" s="123"/>
      <c r="G819" s="118"/>
      <c r="H819" s="118"/>
      <c r="I819" s="118"/>
      <c r="J819" s="119"/>
      <c r="K819" s="123"/>
      <c r="L819" s="123"/>
      <c r="M819" s="123"/>
      <c r="N819" s="123"/>
      <c r="O819" s="123"/>
      <c r="P819" s="123"/>
      <c r="Q819" s="119"/>
      <c r="R819" s="118"/>
    </row>
    <row r="820" spans="1:18" ht="13">
      <c r="A820" s="105"/>
      <c r="B820" s="97"/>
      <c r="C820" s="123"/>
      <c r="D820" s="118"/>
      <c r="E820" s="123"/>
      <c r="F820" s="123"/>
      <c r="G820" s="118"/>
      <c r="H820" s="118"/>
      <c r="I820" s="118"/>
      <c r="J820" s="119"/>
      <c r="K820" s="123"/>
      <c r="L820" s="123"/>
      <c r="M820" s="123"/>
      <c r="N820" s="123"/>
      <c r="O820" s="123"/>
      <c r="P820" s="123"/>
      <c r="Q820" s="119"/>
      <c r="R820" s="118"/>
    </row>
    <row r="821" spans="1:18" ht="13">
      <c r="A821" s="105"/>
      <c r="B821" s="97"/>
      <c r="C821" s="123"/>
      <c r="D821" s="118"/>
      <c r="E821" s="123"/>
      <c r="F821" s="123"/>
      <c r="G821" s="118"/>
      <c r="H821" s="118"/>
      <c r="I821" s="118"/>
      <c r="J821" s="119"/>
      <c r="K821" s="123"/>
      <c r="L821" s="123"/>
      <c r="M821" s="123"/>
      <c r="N821" s="123"/>
      <c r="O821" s="123"/>
      <c r="P821" s="123"/>
      <c r="Q821" s="119"/>
      <c r="R821" s="118"/>
    </row>
    <row r="822" spans="1:18" ht="13">
      <c r="A822" s="105"/>
      <c r="B822" s="97"/>
      <c r="C822" s="123"/>
      <c r="D822" s="118"/>
      <c r="E822" s="123"/>
      <c r="F822" s="123"/>
      <c r="G822" s="118"/>
      <c r="H822" s="118"/>
      <c r="I822" s="118"/>
      <c r="J822" s="119"/>
      <c r="K822" s="123"/>
      <c r="L822" s="123"/>
      <c r="M822" s="123"/>
      <c r="N822" s="123"/>
      <c r="O822" s="123"/>
      <c r="P822" s="123"/>
      <c r="Q822" s="119"/>
      <c r="R822" s="118"/>
    </row>
    <row r="823" spans="1:18" ht="13">
      <c r="A823" s="105"/>
      <c r="B823" s="97"/>
      <c r="C823" s="123"/>
      <c r="D823" s="118"/>
      <c r="E823" s="123"/>
      <c r="F823" s="123"/>
      <c r="G823" s="118"/>
      <c r="H823" s="118"/>
      <c r="I823" s="118"/>
      <c r="J823" s="119"/>
      <c r="K823" s="123"/>
      <c r="L823" s="123"/>
      <c r="M823" s="123"/>
      <c r="N823" s="123"/>
      <c r="O823" s="123"/>
      <c r="P823" s="123"/>
      <c r="Q823" s="119"/>
      <c r="R823" s="118"/>
    </row>
    <row r="824" spans="1:18" ht="13">
      <c r="A824" s="105"/>
      <c r="B824" s="97"/>
      <c r="C824" s="123"/>
      <c r="D824" s="118"/>
      <c r="E824" s="123"/>
      <c r="F824" s="123"/>
      <c r="G824" s="118"/>
      <c r="H824" s="118"/>
      <c r="I824" s="118"/>
      <c r="J824" s="119"/>
      <c r="K824" s="123"/>
      <c r="L824" s="123"/>
      <c r="M824" s="123"/>
      <c r="N824" s="123"/>
      <c r="O824" s="123"/>
      <c r="P824" s="123"/>
      <c r="Q824" s="119"/>
      <c r="R824" s="118"/>
    </row>
    <row r="825" spans="1:18" ht="13">
      <c r="A825" s="105"/>
      <c r="B825" s="97"/>
      <c r="C825" s="123"/>
      <c r="D825" s="118"/>
      <c r="E825" s="123"/>
      <c r="F825" s="123"/>
      <c r="G825" s="118"/>
      <c r="H825" s="118"/>
      <c r="I825" s="118"/>
      <c r="J825" s="119"/>
      <c r="K825" s="123"/>
      <c r="L825" s="123"/>
      <c r="M825" s="123"/>
      <c r="N825" s="123"/>
      <c r="O825" s="123"/>
      <c r="P825" s="123"/>
      <c r="Q825" s="119"/>
      <c r="R825" s="118"/>
    </row>
    <row r="826" spans="1:18" ht="13">
      <c r="A826" s="105"/>
      <c r="B826" s="97"/>
      <c r="C826" s="123"/>
      <c r="D826" s="118"/>
      <c r="E826" s="123"/>
      <c r="F826" s="123"/>
      <c r="G826" s="118"/>
      <c r="H826" s="118"/>
      <c r="I826" s="118"/>
      <c r="J826" s="119"/>
      <c r="K826" s="123"/>
      <c r="L826" s="123"/>
      <c r="M826" s="123"/>
      <c r="N826" s="123"/>
      <c r="O826" s="123"/>
      <c r="P826" s="123"/>
      <c r="Q826" s="119"/>
      <c r="R826" s="118"/>
    </row>
    <row r="827" spans="1:18" ht="13">
      <c r="A827" s="105"/>
      <c r="B827" s="97"/>
      <c r="C827" s="123"/>
      <c r="D827" s="118"/>
      <c r="E827" s="123"/>
      <c r="F827" s="123"/>
      <c r="G827" s="118"/>
      <c r="H827" s="118"/>
      <c r="I827" s="118"/>
      <c r="J827" s="119"/>
      <c r="K827" s="123"/>
      <c r="L827" s="123"/>
      <c r="M827" s="123"/>
      <c r="N827" s="123"/>
      <c r="O827" s="123"/>
      <c r="P827" s="123"/>
      <c r="Q827" s="119"/>
      <c r="R827" s="118"/>
    </row>
    <row r="828" spans="1:18" ht="13">
      <c r="A828" s="105"/>
      <c r="B828" s="97"/>
      <c r="C828" s="123"/>
      <c r="D828" s="118"/>
      <c r="E828" s="123"/>
      <c r="F828" s="123"/>
      <c r="G828" s="118"/>
      <c r="H828" s="118"/>
      <c r="I828" s="118"/>
      <c r="J828" s="119"/>
      <c r="K828" s="123"/>
      <c r="L828" s="123"/>
      <c r="M828" s="123"/>
      <c r="N828" s="123"/>
      <c r="O828" s="123"/>
      <c r="P828" s="123"/>
      <c r="Q828" s="119"/>
      <c r="R828" s="118"/>
    </row>
    <row r="829" spans="1:18" ht="13">
      <c r="A829" s="105"/>
      <c r="B829" s="97"/>
      <c r="C829" s="123"/>
      <c r="D829" s="118"/>
      <c r="E829" s="123"/>
      <c r="F829" s="123"/>
      <c r="G829" s="118"/>
      <c r="H829" s="118"/>
      <c r="I829" s="118"/>
      <c r="J829" s="119"/>
      <c r="K829" s="123"/>
      <c r="L829" s="123"/>
      <c r="M829" s="123"/>
      <c r="N829" s="123"/>
      <c r="O829" s="123"/>
      <c r="P829" s="123"/>
      <c r="Q829" s="119"/>
      <c r="R829" s="118"/>
    </row>
    <row r="830" spans="1:18" ht="13">
      <c r="A830" s="105"/>
      <c r="B830" s="97"/>
      <c r="C830" s="123"/>
      <c r="D830" s="118"/>
      <c r="E830" s="123"/>
      <c r="F830" s="123"/>
      <c r="G830" s="118"/>
      <c r="H830" s="118"/>
      <c r="I830" s="118"/>
      <c r="J830" s="119"/>
      <c r="K830" s="123"/>
      <c r="L830" s="123"/>
      <c r="M830" s="123"/>
      <c r="N830" s="123"/>
      <c r="O830" s="123"/>
      <c r="P830" s="123"/>
      <c r="Q830" s="119"/>
      <c r="R830" s="118"/>
    </row>
    <row r="831" spans="1:18" ht="13">
      <c r="A831" s="105"/>
      <c r="B831" s="97"/>
      <c r="C831" s="123"/>
      <c r="D831" s="118"/>
      <c r="E831" s="123"/>
      <c r="F831" s="123"/>
      <c r="G831" s="118"/>
      <c r="H831" s="118"/>
      <c r="I831" s="118"/>
      <c r="J831" s="119"/>
      <c r="K831" s="123"/>
      <c r="L831" s="123"/>
      <c r="M831" s="123"/>
      <c r="N831" s="123"/>
      <c r="O831" s="123"/>
      <c r="P831" s="123"/>
      <c r="Q831" s="119"/>
      <c r="R831" s="118"/>
    </row>
    <row r="832" spans="1:18" ht="13">
      <c r="A832" s="105"/>
      <c r="B832" s="97"/>
      <c r="C832" s="123"/>
      <c r="D832" s="118"/>
      <c r="E832" s="123"/>
      <c r="F832" s="123"/>
      <c r="G832" s="118"/>
      <c r="H832" s="118"/>
      <c r="I832" s="118"/>
      <c r="J832" s="119"/>
      <c r="K832" s="123"/>
      <c r="L832" s="123"/>
      <c r="M832" s="123"/>
      <c r="N832" s="123"/>
      <c r="O832" s="123"/>
      <c r="P832" s="123"/>
      <c r="Q832" s="119"/>
      <c r="R832" s="118"/>
    </row>
    <row r="833" spans="1:18" ht="13">
      <c r="A833" s="105"/>
      <c r="B833" s="97"/>
      <c r="C833" s="123"/>
      <c r="D833" s="118"/>
      <c r="E833" s="123"/>
      <c r="F833" s="123"/>
      <c r="G833" s="118"/>
      <c r="H833" s="118"/>
      <c r="I833" s="118"/>
      <c r="J833" s="119"/>
      <c r="K833" s="123"/>
      <c r="L833" s="123"/>
      <c r="M833" s="123"/>
      <c r="N833" s="123"/>
      <c r="O833" s="123"/>
      <c r="P833" s="123"/>
      <c r="Q833" s="119"/>
      <c r="R833" s="118"/>
    </row>
    <row r="834" spans="1:18" ht="13">
      <c r="A834" s="105"/>
      <c r="B834" s="97"/>
      <c r="C834" s="123"/>
      <c r="D834" s="118"/>
      <c r="E834" s="123"/>
      <c r="F834" s="123"/>
      <c r="G834" s="118"/>
      <c r="H834" s="118"/>
      <c r="I834" s="118"/>
      <c r="J834" s="119"/>
      <c r="K834" s="123"/>
      <c r="L834" s="123"/>
      <c r="M834" s="123"/>
      <c r="N834" s="123"/>
      <c r="O834" s="123"/>
      <c r="P834" s="123"/>
      <c r="Q834" s="119"/>
      <c r="R834" s="118"/>
    </row>
    <row r="835" spans="1:18" ht="13">
      <c r="A835" s="105"/>
      <c r="B835" s="97"/>
      <c r="C835" s="123"/>
      <c r="D835" s="118"/>
      <c r="E835" s="123"/>
      <c r="F835" s="123"/>
      <c r="G835" s="118"/>
      <c r="H835" s="118"/>
      <c r="I835" s="118"/>
      <c r="J835" s="119"/>
      <c r="K835" s="123"/>
      <c r="L835" s="123"/>
      <c r="M835" s="123"/>
      <c r="N835" s="123"/>
      <c r="O835" s="123"/>
      <c r="P835" s="123"/>
      <c r="Q835" s="119"/>
      <c r="R835" s="118"/>
    </row>
    <row r="836" spans="1:18" ht="13">
      <c r="A836" s="105"/>
      <c r="B836" s="97"/>
      <c r="C836" s="123"/>
      <c r="D836" s="118"/>
      <c r="E836" s="123"/>
      <c r="F836" s="123"/>
      <c r="G836" s="118"/>
      <c r="H836" s="118"/>
      <c r="I836" s="118"/>
      <c r="J836" s="119"/>
      <c r="K836" s="123"/>
      <c r="L836" s="123"/>
      <c r="M836" s="123"/>
      <c r="N836" s="123"/>
      <c r="O836" s="123"/>
      <c r="P836" s="123"/>
      <c r="Q836" s="119"/>
      <c r="R836" s="118"/>
    </row>
    <row r="837" spans="1:18" ht="13">
      <c r="A837" s="105"/>
      <c r="B837" s="97"/>
      <c r="C837" s="123"/>
      <c r="D837" s="118"/>
      <c r="E837" s="123"/>
      <c r="F837" s="123"/>
      <c r="G837" s="118"/>
      <c r="H837" s="118"/>
      <c r="I837" s="118"/>
      <c r="J837" s="119"/>
      <c r="K837" s="123"/>
      <c r="L837" s="123"/>
      <c r="M837" s="123"/>
      <c r="N837" s="123"/>
      <c r="O837" s="123"/>
      <c r="P837" s="123"/>
      <c r="Q837" s="119"/>
      <c r="R837" s="118"/>
    </row>
    <row r="838" spans="1:18" ht="13">
      <c r="A838" s="105"/>
      <c r="B838" s="97"/>
      <c r="C838" s="123"/>
      <c r="D838" s="118"/>
      <c r="E838" s="123"/>
      <c r="F838" s="123"/>
      <c r="G838" s="118"/>
      <c r="H838" s="118"/>
      <c r="I838" s="118"/>
      <c r="J838" s="119"/>
      <c r="K838" s="123"/>
      <c r="L838" s="123"/>
      <c r="M838" s="123"/>
      <c r="N838" s="123"/>
      <c r="O838" s="123"/>
      <c r="P838" s="123"/>
      <c r="Q838" s="119"/>
      <c r="R838" s="118"/>
    </row>
    <row r="839" spans="1:18" ht="13">
      <c r="A839" s="105"/>
      <c r="B839" s="97"/>
      <c r="C839" s="123"/>
      <c r="D839" s="118"/>
      <c r="E839" s="123"/>
      <c r="F839" s="123"/>
      <c r="G839" s="118"/>
      <c r="H839" s="118"/>
      <c r="I839" s="118"/>
      <c r="J839" s="119"/>
      <c r="K839" s="123"/>
      <c r="L839" s="123"/>
      <c r="M839" s="123"/>
      <c r="N839" s="123"/>
      <c r="O839" s="123"/>
      <c r="P839" s="123"/>
      <c r="Q839" s="119"/>
      <c r="R839" s="118"/>
    </row>
    <row r="840" spans="1:18" ht="13">
      <c r="A840" s="105"/>
      <c r="B840" s="97"/>
      <c r="C840" s="123"/>
      <c r="D840" s="118"/>
      <c r="E840" s="123"/>
      <c r="F840" s="123"/>
      <c r="G840" s="118"/>
      <c r="H840" s="118"/>
      <c r="I840" s="118"/>
      <c r="J840" s="119"/>
      <c r="K840" s="123"/>
      <c r="L840" s="123"/>
      <c r="M840" s="123"/>
      <c r="N840" s="123"/>
      <c r="O840" s="123"/>
      <c r="P840" s="123"/>
      <c r="Q840" s="119"/>
      <c r="R840" s="118"/>
    </row>
    <row r="841" spans="1:18" ht="13">
      <c r="A841" s="105"/>
      <c r="B841" s="97"/>
      <c r="C841" s="123"/>
      <c r="D841" s="118"/>
      <c r="E841" s="123"/>
      <c r="F841" s="123"/>
      <c r="G841" s="118"/>
      <c r="H841" s="118"/>
      <c r="I841" s="118"/>
      <c r="J841" s="119"/>
      <c r="K841" s="123"/>
      <c r="L841" s="123"/>
      <c r="M841" s="123"/>
      <c r="N841" s="123"/>
      <c r="O841" s="123"/>
      <c r="P841" s="123"/>
      <c r="Q841" s="119"/>
      <c r="R841" s="118"/>
    </row>
    <row r="842" spans="1:18" ht="13">
      <c r="A842" s="105"/>
      <c r="B842" s="97"/>
      <c r="C842" s="123"/>
      <c r="D842" s="118"/>
      <c r="E842" s="123"/>
      <c r="F842" s="123"/>
      <c r="G842" s="118"/>
      <c r="H842" s="118"/>
      <c r="I842" s="118"/>
      <c r="J842" s="119"/>
      <c r="K842" s="123"/>
      <c r="L842" s="123"/>
      <c r="M842" s="123"/>
      <c r="N842" s="123"/>
      <c r="O842" s="123"/>
      <c r="P842" s="123"/>
      <c r="Q842" s="119"/>
      <c r="R842" s="118"/>
    </row>
    <row r="843" spans="1:18" ht="13">
      <c r="A843" s="105"/>
      <c r="B843" s="97"/>
      <c r="C843" s="123"/>
      <c r="D843" s="118"/>
      <c r="E843" s="123"/>
      <c r="F843" s="123"/>
      <c r="G843" s="118"/>
      <c r="H843" s="118"/>
      <c r="I843" s="118"/>
      <c r="J843" s="119"/>
      <c r="K843" s="123"/>
      <c r="L843" s="123"/>
      <c r="M843" s="123"/>
      <c r="N843" s="123"/>
      <c r="O843" s="123"/>
      <c r="P843" s="123"/>
      <c r="Q843" s="119"/>
      <c r="R843" s="118"/>
    </row>
    <row r="844" spans="1:18" ht="13">
      <c r="A844" s="105"/>
      <c r="B844" s="97"/>
      <c r="C844" s="123"/>
      <c r="D844" s="118"/>
      <c r="E844" s="123"/>
      <c r="F844" s="123"/>
      <c r="G844" s="118"/>
      <c r="H844" s="118"/>
      <c r="I844" s="118"/>
      <c r="J844" s="119"/>
      <c r="K844" s="123"/>
      <c r="L844" s="123"/>
      <c r="M844" s="123"/>
      <c r="N844" s="123"/>
      <c r="O844" s="123"/>
      <c r="P844" s="123"/>
      <c r="Q844" s="119"/>
      <c r="R844" s="118"/>
    </row>
    <row r="845" spans="1:18" ht="13">
      <c r="A845" s="105"/>
      <c r="B845" s="97"/>
      <c r="C845" s="123"/>
      <c r="D845" s="118"/>
      <c r="E845" s="123"/>
      <c r="F845" s="123"/>
      <c r="G845" s="118"/>
      <c r="H845" s="118"/>
      <c r="I845" s="118"/>
      <c r="J845" s="119"/>
      <c r="K845" s="123"/>
      <c r="L845" s="123"/>
      <c r="M845" s="123"/>
      <c r="N845" s="123"/>
      <c r="O845" s="123"/>
      <c r="P845" s="123"/>
      <c r="Q845" s="119"/>
      <c r="R845" s="118"/>
    </row>
    <row r="846" spans="1:18" ht="13">
      <c r="A846" s="105"/>
      <c r="B846" s="97"/>
      <c r="C846" s="123"/>
      <c r="D846" s="118"/>
      <c r="E846" s="123"/>
      <c r="F846" s="123"/>
      <c r="G846" s="118"/>
      <c r="H846" s="118"/>
      <c r="I846" s="118"/>
      <c r="J846" s="119"/>
      <c r="K846" s="123"/>
      <c r="L846" s="123"/>
      <c r="M846" s="123"/>
      <c r="N846" s="123"/>
      <c r="O846" s="123"/>
      <c r="P846" s="123"/>
      <c r="Q846" s="119"/>
      <c r="R846" s="118"/>
    </row>
    <row r="847" spans="1:18" ht="13">
      <c r="A847" s="105"/>
      <c r="B847" s="97"/>
      <c r="C847" s="123"/>
      <c r="D847" s="118"/>
      <c r="E847" s="123"/>
      <c r="F847" s="123"/>
      <c r="G847" s="118"/>
      <c r="H847" s="118"/>
      <c r="I847" s="118"/>
      <c r="J847" s="119"/>
      <c r="K847" s="123"/>
      <c r="L847" s="123"/>
      <c r="M847" s="123"/>
      <c r="N847" s="123"/>
      <c r="O847" s="123"/>
      <c r="P847" s="123"/>
      <c r="Q847" s="119"/>
      <c r="R847" s="118"/>
    </row>
    <row r="848" spans="1:18" ht="13">
      <c r="A848" s="105"/>
      <c r="B848" s="97"/>
      <c r="C848" s="123"/>
      <c r="D848" s="118"/>
      <c r="E848" s="123"/>
      <c r="F848" s="123"/>
      <c r="G848" s="118"/>
      <c r="H848" s="118"/>
      <c r="I848" s="118"/>
      <c r="J848" s="119"/>
      <c r="K848" s="123"/>
      <c r="L848" s="123"/>
      <c r="M848" s="123"/>
      <c r="N848" s="123"/>
      <c r="O848" s="123"/>
      <c r="P848" s="123"/>
      <c r="Q848" s="119"/>
      <c r="R848" s="118"/>
    </row>
    <row r="849" spans="1:18" ht="13">
      <c r="A849" s="105"/>
      <c r="B849" s="97"/>
      <c r="C849" s="123"/>
      <c r="D849" s="118"/>
      <c r="E849" s="123"/>
      <c r="F849" s="123"/>
      <c r="G849" s="118"/>
      <c r="H849" s="118"/>
      <c r="I849" s="118"/>
      <c r="J849" s="119"/>
      <c r="K849" s="123"/>
      <c r="L849" s="123"/>
      <c r="M849" s="123"/>
      <c r="N849" s="123"/>
      <c r="O849" s="123"/>
      <c r="P849" s="123"/>
      <c r="Q849" s="119"/>
      <c r="R849" s="118"/>
    </row>
    <row r="850" spans="1:18" ht="13">
      <c r="A850" s="105"/>
      <c r="B850" s="97"/>
      <c r="C850" s="123"/>
      <c r="D850" s="118"/>
      <c r="E850" s="123"/>
      <c r="F850" s="123"/>
      <c r="G850" s="118"/>
      <c r="H850" s="118"/>
      <c r="I850" s="118"/>
      <c r="J850" s="119"/>
      <c r="K850" s="123"/>
      <c r="L850" s="123"/>
      <c r="M850" s="123"/>
      <c r="N850" s="123"/>
      <c r="O850" s="123"/>
      <c r="P850" s="123"/>
      <c r="Q850" s="119"/>
      <c r="R850" s="118"/>
    </row>
    <row r="851" spans="1:18" ht="13">
      <c r="A851" s="105"/>
      <c r="B851" s="97"/>
      <c r="C851" s="123"/>
      <c r="D851" s="118"/>
      <c r="E851" s="123"/>
      <c r="F851" s="123"/>
      <c r="G851" s="118"/>
      <c r="H851" s="118"/>
      <c r="I851" s="118"/>
      <c r="J851" s="119"/>
      <c r="K851" s="123"/>
      <c r="L851" s="123"/>
      <c r="M851" s="123"/>
      <c r="N851" s="123"/>
      <c r="O851" s="123"/>
      <c r="P851" s="123"/>
      <c r="Q851" s="119"/>
      <c r="R851" s="118"/>
    </row>
    <row r="852" spans="1:18" ht="13">
      <c r="A852" s="105"/>
      <c r="B852" s="97"/>
      <c r="C852" s="123"/>
      <c r="D852" s="118"/>
      <c r="E852" s="123"/>
      <c r="F852" s="123"/>
      <c r="G852" s="118"/>
      <c r="H852" s="118"/>
      <c r="I852" s="118"/>
      <c r="J852" s="119"/>
      <c r="K852" s="123"/>
      <c r="L852" s="123"/>
      <c r="M852" s="123"/>
      <c r="N852" s="123"/>
      <c r="O852" s="123"/>
      <c r="P852" s="123"/>
      <c r="Q852" s="119"/>
      <c r="R852" s="118"/>
    </row>
    <row r="853" spans="1:18" ht="13">
      <c r="A853" s="105"/>
      <c r="B853" s="97"/>
      <c r="C853" s="123"/>
      <c r="D853" s="118"/>
      <c r="E853" s="123"/>
      <c r="F853" s="123"/>
      <c r="G853" s="118"/>
      <c r="H853" s="118"/>
      <c r="I853" s="118"/>
      <c r="J853" s="119"/>
      <c r="K853" s="123"/>
      <c r="L853" s="123"/>
      <c r="M853" s="123"/>
      <c r="N853" s="123"/>
      <c r="O853" s="123"/>
      <c r="P853" s="123"/>
      <c r="Q853" s="119"/>
      <c r="R853" s="118"/>
    </row>
    <row r="854" spans="1:18" ht="13">
      <c r="A854" s="105"/>
      <c r="B854" s="97"/>
      <c r="C854" s="123"/>
      <c r="D854" s="118"/>
      <c r="E854" s="123"/>
      <c r="F854" s="123"/>
      <c r="G854" s="118"/>
      <c r="H854" s="118"/>
      <c r="I854" s="118"/>
      <c r="J854" s="119"/>
      <c r="K854" s="123"/>
      <c r="L854" s="123"/>
      <c r="M854" s="123"/>
      <c r="N854" s="123"/>
      <c r="O854" s="123"/>
      <c r="P854" s="123"/>
      <c r="Q854" s="119"/>
      <c r="R854" s="118"/>
    </row>
    <row r="855" spans="1:18" ht="13">
      <c r="A855" s="105"/>
      <c r="B855" s="97"/>
      <c r="C855" s="123"/>
      <c r="D855" s="118"/>
      <c r="E855" s="123"/>
      <c r="F855" s="123"/>
      <c r="G855" s="118"/>
      <c r="H855" s="118"/>
      <c r="I855" s="118"/>
      <c r="J855" s="119"/>
      <c r="K855" s="123"/>
      <c r="L855" s="123"/>
      <c r="M855" s="123"/>
      <c r="N855" s="123"/>
      <c r="O855" s="123"/>
      <c r="P855" s="123"/>
      <c r="Q855" s="119"/>
      <c r="R855" s="118"/>
    </row>
    <row r="856" spans="1:18" ht="13">
      <c r="A856" s="105"/>
      <c r="B856" s="97"/>
      <c r="C856" s="123"/>
      <c r="D856" s="118"/>
      <c r="E856" s="123"/>
      <c r="F856" s="123"/>
      <c r="G856" s="118"/>
      <c r="H856" s="118"/>
      <c r="I856" s="118"/>
      <c r="J856" s="119"/>
      <c r="K856" s="123"/>
      <c r="L856" s="123"/>
      <c r="M856" s="123"/>
      <c r="N856" s="123"/>
      <c r="O856" s="123"/>
      <c r="P856" s="123"/>
      <c r="Q856" s="119"/>
      <c r="R856" s="118"/>
    </row>
    <row r="857" spans="1:18" ht="13">
      <c r="A857" s="105"/>
      <c r="B857" s="97"/>
      <c r="C857" s="123"/>
      <c r="D857" s="118"/>
      <c r="E857" s="123"/>
      <c r="F857" s="123"/>
      <c r="G857" s="118"/>
      <c r="H857" s="118"/>
      <c r="I857" s="118"/>
      <c r="J857" s="119"/>
      <c r="K857" s="123"/>
      <c r="L857" s="123"/>
      <c r="M857" s="123"/>
      <c r="N857" s="123"/>
      <c r="O857" s="123"/>
      <c r="P857" s="123"/>
      <c r="Q857" s="119"/>
      <c r="R857" s="118"/>
    </row>
    <row r="858" spans="1:18" ht="13">
      <c r="A858" s="105"/>
      <c r="B858" s="97"/>
      <c r="C858" s="123"/>
      <c r="D858" s="118"/>
      <c r="E858" s="123"/>
      <c r="F858" s="123"/>
      <c r="G858" s="118"/>
      <c r="H858" s="118"/>
      <c r="I858" s="118"/>
      <c r="J858" s="119"/>
      <c r="K858" s="123"/>
      <c r="L858" s="123"/>
      <c r="M858" s="123"/>
      <c r="N858" s="123"/>
      <c r="O858" s="123"/>
      <c r="P858" s="123"/>
      <c r="Q858" s="119"/>
      <c r="R858" s="118"/>
    </row>
    <row r="859" spans="1:18" ht="13">
      <c r="A859" s="105"/>
      <c r="B859" s="97"/>
      <c r="C859" s="123"/>
      <c r="D859" s="118"/>
      <c r="E859" s="123"/>
      <c r="F859" s="123"/>
      <c r="G859" s="118"/>
      <c r="H859" s="118"/>
      <c r="I859" s="118"/>
      <c r="J859" s="119"/>
      <c r="K859" s="123"/>
      <c r="L859" s="123"/>
      <c r="M859" s="123"/>
      <c r="N859" s="123"/>
      <c r="O859" s="123"/>
      <c r="P859" s="123"/>
      <c r="Q859" s="119"/>
      <c r="R859" s="118"/>
    </row>
    <row r="860" spans="1:18" ht="13">
      <c r="A860" s="105"/>
      <c r="B860" s="97"/>
      <c r="C860" s="123"/>
      <c r="D860" s="118"/>
      <c r="E860" s="123"/>
      <c r="F860" s="123"/>
      <c r="G860" s="118"/>
      <c r="H860" s="118"/>
      <c r="I860" s="118"/>
      <c r="J860" s="119"/>
      <c r="K860" s="123"/>
      <c r="L860" s="123"/>
      <c r="M860" s="123"/>
      <c r="N860" s="123"/>
      <c r="O860" s="123"/>
      <c r="P860" s="123"/>
      <c r="Q860" s="119"/>
      <c r="R860" s="118"/>
    </row>
    <row r="861" spans="1:18" ht="13">
      <c r="A861" s="105"/>
      <c r="B861" s="97"/>
      <c r="C861" s="123"/>
      <c r="D861" s="118"/>
      <c r="E861" s="123"/>
      <c r="F861" s="123"/>
      <c r="G861" s="118"/>
      <c r="H861" s="118"/>
      <c r="I861" s="118"/>
      <c r="J861" s="119"/>
      <c r="K861" s="123"/>
      <c r="L861" s="123"/>
      <c r="M861" s="123"/>
      <c r="N861" s="123"/>
      <c r="O861" s="123"/>
      <c r="P861" s="123"/>
      <c r="Q861" s="119"/>
      <c r="R861" s="118"/>
    </row>
    <row r="862" spans="1:18" ht="13">
      <c r="A862" s="105"/>
      <c r="B862" s="97"/>
      <c r="C862" s="123"/>
      <c r="D862" s="118"/>
      <c r="E862" s="123"/>
      <c r="F862" s="123"/>
      <c r="G862" s="118"/>
      <c r="H862" s="118"/>
      <c r="I862" s="118"/>
      <c r="J862" s="119"/>
      <c r="K862" s="123"/>
      <c r="L862" s="123"/>
      <c r="M862" s="123"/>
      <c r="N862" s="123"/>
      <c r="O862" s="123"/>
      <c r="P862" s="123"/>
      <c r="Q862" s="119"/>
      <c r="R862" s="118"/>
    </row>
    <row r="863" spans="1:18" ht="13">
      <c r="A863" s="105"/>
      <c r="B863" s="97"/>
      <c r="C863" s="123"/>
      <c r="D863" s="118"/>
      <c r="E863" s="123"/>
      <c r="F863" s="123"/>
      <c r="G863" s="118"/>
      <c r="H863" s="118"/>
      <c r="I863" s="118"/>
      <c r="J863" s="119"/>
      <c r="K863" s="123"/>
      <c r="L863" s="123"/>
      <c r="M863" s="123"/>
      <c r="N863" s="123"/>
      <c r="O863" s="123"/>
      <c r="P863" s="123"/>
      <c r="Q863" s="119"/>
      <c r="R863" s="118"/>
    </row>
    <row r="864" spans="1:18" ht="13">
      <c r="A864" s="105"/>
      <c r="B864" s="97"/>
      <c r="C864" s="123"/>
      <c r="D864" s="118"/>
      <c r="E864" s="123"/>
      <c r="F864" s="123"/>
      <c r="G864" s="118"/>
      <c r="H864" s="118"/>
      <c r="I864" s="118"/>
      <c r="J864" s="119"/>
      <c r="K864" s="123"/>
      <c r="L864" s="123"/>
      <c r="M864" s="123"/>
      <c r="N864" s="123"/>
      <c r="O864" s="123"/>
      <c r="P864" s="123"/>
      <c r="Q864" s="119"/>
      <c r="R864" s="118"/>
    </row>
    <row r="865" spans="1:18" ht="13">
      <c r="A865" s="105"/>
      <c r="B865" s="97"/>
      <c r="C865" s="123"/>
      <c r="D865" s="118"/>
      <c r="E865" s="123"/>
      <c r="F865" s="123"/>
      <c r="G865" s="118"/>
      <c r="H865" s="118"/>
      <c r="I865" s="118"/>
      <c r="J865" s="119"/>
      <c r="K865" s="123"/>
      <c r="L865" s="123"/>
      <c r="M865" s="123"/>
      <c r="N865" s="123"/>
      <c r="O865" s="123"/>
      <c r="P865" s="123"/>
      <c r="Q865" s="119"/>
      <c r="R865" s="118"/>
    </row>
    <row r="866" spans="1:18" ht="13">
      <c r="A866" s="105"/>
      <c r="B866" s="97"/>
      <c r="C866" s="123"/>
      <c r="D866" s="118"/>
      <c r="E866" s="123"/>
      <c r="F866" s="123"/>
      <c r="G866" s="118"/>
      <c r="H866" s="118"/>
      <c r="I866" s="118"/>
      <c r="J866" s="119"/>
      <c r="K866" s="123"/>
      <c r="L866" s="123"/>
      <c r="M866" s="123"/>
      <c r="N866" s="123"/>
      <c r="O866" s="123"/>
      <c r="P866" s="123"/>
      <c r="Q866" s="119"/>
      <c r="R866" s="118"/>
    </row>
    <row r="867" spans="1:18" ht="13">
      <c r="A867" s="105"/>
      <c r="B867" s="97"/>
      <c r="C867" s="123"/>
      <c r="D867" s="118"/>
      <c r="E867" s="123"/>
      <c r="F867" s="123"/>
      <c r="G867" s="118"/>
      <c r="H867" s="118"/>
      <c r="I867" s="118"/>
      <c r="J867" s="119"/>
      <c r="K867" s="123"/>
      <c r="L867" s="123"/>
      <c r="M867" s="123"/>
      <c r="N867" s="123"/>
      <c r="O867" s="123"/>
      <c r="P867" s="123"/>
      <c r="Q867" s="119"/>
      <c r="R867" s="118"/>
    </row>
    <row r="868" spans="1:18" ht="13">
      <c r="A868" s="105"/>
      <c r="B868" s="97"/>
      <c r="C868" s="123"/>
      <c r="D868" s="118"/>
      <c r="E868" s="123"/>
      <c r="F868" s="123"/>
      <c r="G868" s="118"/>
      <c r="H868" s="118"/>
      <c r="I868" s="118"/>
      <c r="J868" s="119"/>
      <c r="K868" s="123"/>
      <c r="L868" s="123"/>
      <c r="M868" s="123"/>
      <c r="N868" s="123"/>
      <c r="O868" s="123"/>
      <c r="P868" s="123"/>
      <c r="Q868" s="119"/>
      <c r="R868" s="118"/>
    </row>
    <row r="869" spans="1:18" ht="13">
      <c r="A869" s="105"/>
      <c r="B869" s="97"/>
      <c r="C869" s="123"/>
      <c r="D869" s="118"/>
      <c r="E869" s="123"/>
      <c r="F869" s="123"/>
      <c r="G869" s="118"/>
      <c r="H869" s="118"/>
      <c r="I869" s="118"/>
      <c r="J869" s="119"/>
      <c r="K869" s="123"/>
      <c r="L869" s="123"/>
      <c r="M869" s="123"/>
      <c r="N869" s="123"/>
      <c r="O869" s="123"/>
      <c r="P869" s="123"/>
      <c r="Q869" s="119"/>
      <c r="R869" s="118"/>
    </row>
    <row r="870" spans="1:18" ht="13">
      <c r="A870" s="105"/>
      <c r="B870" s="97"/>
      <c r="C870" s="123"/>
      <c r="D870" s="118"/>
      <c r="E870" s="123"/>
      <c r="F870" s="123"/>
      <c r="G870" s="118"/>
      <c r="H870" s="118"/>
      <c r="I870" s="118"/>
      <c r="J870" s="119"/>
      <c r="K870" s="123"/>
      <c r="L870" s="123"/>
      <c r="M870" s="123"/>
      <c r="N870" s="123"/>
      <c r="O870" s="123"/>
      <c r="P870" s="123"/>
      <c r="Q870" s="119"/>
      <c r="R870" s="118"/>
    </row>
    <row r="871" spans="1:18" ht="13">
      <c r="A871" s="105"/>
      <c r="B871" s="97"/>
      <c r="C871" s="123"/>
      <c r="D871" s="118"/>
      <c r="E871" s="123"/>
      <c r="F871" s="123"/>
      <c r="G871" s="118"/>
      <c r="H871" s="118"/>
      <c r="I871" s="118"/>
      <c r="J871" s="119"/>
      <c r="K871" s="123"/>
      <c r="L871" s="123"/>
      <c r="M871" s="123"/>
      <c r="N871" s="123"/>
      <c r="O871" s="123"/>
      <c r="P871" s="123"/>
      <c r="Q871" s="119"/>
      <c r="R871" s="118"/>
    </row>
    <row r="872" spans="1:18" ht="13">
      <c r="A872" s="105"/>
      <c r="B872" s="97"/>
      <c r="C872" s="123"/>
      <c r="D872" s="118"/>
      <c r="E872" s="123"/>
      <c r="F872" s="123"/>
      <c r="G872" s="118"/>
      <c r="H872" s="118"/>
      <c r="I872" s="118"/>
      <c r="J872" s="119"/>
      <c r="K872" s="123"/>
      <c r="L872" s="123"/>
      <c r="M872" s="123"/>
      <c r="N872" s="123"/>
      <c r="O872" s="123"/>
      <c r="P872" s="123"/>
      <c r="Q872" s="119"/>
      <c r="R872" s="118"/>
    </row>
    <row r="873" spans="1:18" ht="13">
      <c r="A873" s="105"/>
      <c r="B873" s="97"/>
      <c r="C873" s="123"/>
      <c r="D873" s="118"/>
      <c r="E873" s="123"/>
      <c r="F873" s="123"/>
      <c r="G873" s="118"/>
      <c r="H873" s="118"/>
      <c r="I873" s="118"/>
      <c r="J873" s="119"/>
      <c r="K873" s="123"/>
      <c r="L873" s="123"/>
      <c r="M873" s="123"/>
      <c r="N873" s="123"/>
      <c r="O873" s="123"/>
      <c r="P873" s="123"/>
      <c r="Q873" s="119"/>
      <c r="R873" s="118"/>
    </row>
    <row r="874" spans="1:18" ht="13">
      <c r="A874" s="105"/>
      <c r="B874" s="97"/>
      <c r="C874" s="123"/>
      <c r="D874" s="118"/>
      <c r="E874" s="123"/>
      <c r="F874" s="123"/>
      <c r="G874" s="118"/>
      <c r="H874" s="118"/>
      <c r="I874" s="118"/>
      <c r="J874" s="119"/>
      <c r="K874" s="123"/>
      <c r="L874" s="123"/>
      <c r="M874" s="123"/>
      <c r="N874" s="123"/>
      <c r="O874" s="123"/>
      <c r="P874" s="123"/>
      <c r="Q874" s="119"/>
      <c r="R874" s="118"/>
    </row>
    <row r="875" spans="1:18" ht="13">
      <c r="A875" s="105"/>
      <c r="B875" s="97"/>
      <c r="C875" s="123"/>
      <c r="D875" s="118"/>
      <c r="E875" s="123"/>
      <c r="F875" s="123"/>
      <c r="G875" s="118"/>
      <c r="H875" s="118"/>
      <c r="I875" s="118"/>
      <c r="J875" s="119"/>
      <c r="K875" s="123"/>
      <c r="L875" s="123"/>
      <c r="M875" s="123"/>
      <c r="N875" s="123"/>
      <c r="O875" s="123"/>
      <c r="P875" s="123"/>
      <c r="Q875" s="119"/>
      <c r="R875" s="118"/>
    </row>
    <row r="876" spans="1:18" ht="13">
      <c r="A876" s="105"/>
      <c r="B876" s="97"/>
      <c r="C876" s="123"/>
      <c r="D876" s="118"/>
      <c r="E876" s="123"/>
      <c r="F876" s="123"/>
      <c r="G876" s="118"/>
      <c r="H876" s="118"/>
      <c r="I876" s="118"/>
      <c r="J876" s="119"/>
      <c r="K876" s="123"/>
      <c r="L876" s="123"/>
      <c r="M876" s="123"/>
      <c r="N876" s="123"/>
      <c r="O876" s="123"/>
      <c r="P876" s="123"/>
      <c r="Q876" s="119"/>
      <c r="R876" s="118"/>
    </row>
    <row r="877" spans="1:18" ht="13">
      <c r="A877" s="105"/>
      <c r="B877" s="97"/>
      <c r="C877" s="123"/>
      <c r="D877" s="118"/>
      <c r="E877" s="123"/>
      <c r="F877" s="123"/>
      <c r="G877" s="118"/>
      <c r="H877" s="118"/>
      <c r="I877" s="118"/>
      <c r="J877" s="119"/>
      <c r="K877" s="123"/>
      <c r="L877" s="123"/>
      <c r="M877" s="123"/>
      <c r="N877" s="123"/>
      <c r="O877" s="123"/>
      <c r="P877" s="123"/>
      <c r="Q877" s="119"/>
      <c r="R877" s="118"/>
    </row>
    <row r="878" spans="1:18" ht="13">
      <c r="A878" s="105"/>
      <c r="B878" s="97"/>
      <c r="C878" s="123"/>
      <c r="D878" s="118"/>
      <c r="E878" s="123"/>
      <c r="F878" s="123"/>
      <c r="G878" s="118"/>
      <c r="H878" s="118"/>
      <c r="I878" s="118"/>
      <c r="J878" s="119"/>
      <c r="K878" s="123"/>
      <c r="L878" s="123"/>
      <c r="M878" s="123"/>
      <c r="N878" s="123"/>
      <c r="O878" s="123"/>
      <c r="P878" s="123"/>
      <c r="Q878" s="119"/>
      <c r="R878" s="118"/>
    </row>
    <row r="879" spans="1:18" ht="13">
      <c r="A879" s="105"/>
      <c r="B879" s="97"/>
      <c r="C879" s="123"/>
      <c r="D879" s="118"/>
      <c r="E879" s="123"/>
      <c r="F879" s="123"/>
      <c r="G879" s="118"/>
      <c r="H879" s="118"/>
      <c r="I879" s="118"/>
      <c r="J879" s="119"/>
      <c r="K879" s="123"/>
      <c r="L879" s="123"/>
      <c r="M879" s="123"/>
      <c r="N879" s="123"/>
      <c r="O879" s="123"/>
      <c r="P879" s="123"/>
      <c r="Q879" s="119"/>
      <c r="R879" s="118"/>
    </row>
    <row r="880" spans="1:18" ht="13">
      <c r="A880" s="105"/>
      <c r="B880" s="97"/>
      <c r="C880" s="123"/>
      <c r="D880" s="118"/>
      <c r="E880" s="123"/>
      <c r="F880" s="123"/>
      <c r="G880" s="118"/>
      <c r="H880" s="118"/>
      <c r="I880" s="118"/>
      <c r="J880" s="119"/>
      <c r="K880" s="123"/>
      <c r="L880" s="123"/>
      <c r="M880" s="123"/>
      <c r="N880" s="123"/>
      <c r="O880" s="123"/>
      <c r="P880" s="123"/>
      <c r="Q880" s="119"/>
      <c r="R880" s="118"/>
    </row>
    <row r="881" spans="1:18" ht="13">
      <c r="A881" s="105"/>
      <c r="B881" s="97"/>
      <c r="C881" s="123"/>
      <c r="D881" s="118"/>
      <c r="E881" s="123"/>
      <c r="F881" s="123"/>
      <c r="G881" s="118"/>
      <c r="H881" s="118"/>
      <c r="I881" s="118"/>
      <c r="J881" s="119"/>
      <c r="K881" s="123"/>
      <c r="L881" s="123"/>
      <c r="M881" s="123"/>
      <c r="N881" s="123"/>
      <c r="O881" s="123"/>
      <c r="P881" s="123"/>
      <c r="Q881" s="119"/>
      <c r="R881" s="118"/>
    </row>
    <row r="882" spans="1:18" ht="13">
      <c r="A882" s="105"/>
      <c r="B882" s="97"/>
      <c r="C882" s="123"/>
      <c r="D882" s="118"/>
      <c r="E882" s="123"/>
      <c r="F882" s="123"/>
      <c r="G882" s="118"/>
      <c r="H882" s="118"/>
      <c r="I882" s="118"/>
      <c r="J882" s="119"/>
      <c r="K882" s="123"/>
      <c r="L882" s="123"/>
      <c r="M882" s="123"/>
      <c r="N882" s="123"/>
      <c r="O882" s="123"/>
      <c r="P882" s="123"/>
      <c r="Q882" s="119"/>
      <c r="R882" s="118"/>
    </row>
    <row r="883" spans="1:18" ht="13">
      <c r="A883" s="105"/>
      <c r="B883" s="97"/>
      <c r="C883" s="123"/>
      <c r="D883" s="118"/>
      <c r="E883" s="123"/>
      <c r="F883" s="123"/>
      <c r="G883" s="118"/>
      <c r="H883" s="118"/>
      <c r="I883" s="118"/>
      <c r="J883" s="119"/>
      <c r="K883" s="123"/>
      <c r="L883" s="123"/>
      <c r="M883" s="123"/>
      <c r="N883" s="123"/>
      <c r="O883" s="123"/>
      <c r="P883" s="123"/>
      <c r="Q883" s="119"/>
      <c r="R883" s="118"/>
    </row>
    <row r="884" spans="1:18" ht="13">
      <c r="A884" s="105"/>
      <c r="B884" s="97"/>
      <c r="C884" s="123"/>
      <c r="D884" s="118"/>
      <c r="E884" s="123"/>
      <c r="F884" s="123"/>
      <c r="G884" s="118"/>
      <c r="H884" s="118"/>
      <c r="I884" s="118"/>
      <c r="J884" s="119"/>
      <c r="K884" s="123"/>
      <c r="L884" s="123"/>
      <c r="M884" s="123"/>
      <c r="N884" s="123"/>
      <c r="O884" s="123"/>
      <c r="P884" s="123"/>
      <c r="Q884" s="119"/>
      <c r="R884" s="118"/>
    </row>
    <row r="885" spans="1:18" ht="13">
      <c r="A885" s="105"/>
      <c r="B885" s="97"/>
      <c r="C885" s="123"/>
      <c r="D885" s="118"/>
      <c r="E885" s="123"/>
      <c r="F885" s="123"/>
      <c r="G885" s="118"/>
      <c r="H885" s="118"/>
      <c r="I885" s="118"/>
      <c r="J885" s="119"/>
      <c r="K885" s="123"/>
      <c r="L885" s="123"/>
      <c r="M885" s="123"/>
      <c r="N885" s="123"/>
      <c r="O885" s="123"/>
      <c r="P885" s="123"/>
      <c r="Q885" s="119"/>
      <c r="R885" s="118"/>
    </row>
    <row r="886" spans="1:18" ht="13">
      <c r="A886" s="105"/>
      <c r="B886" s="97"/>
      <c r="C886" s="123"/>
      <c r="D886" s="118"/>
      <c r="E886" s="123"/>
      <c r="F886" s="123"/>
      <c r="G886" s="118"/>
      <c r="H886" s="118"/>
      <c r="I886" s="118"/>
      <c r="J886" s="119"/>
      <c r="K886" s="123"/>
      <c r="L886" s="123"/>
      <c r="M886" s="123"/>
      <c r="N886" s="123"/>
      <c r="O886" s="123"/>
      <c r="P886" s="123"/>
      <c r="Q886" s="119"/>
      <c r="R886" s="118"/>
    </row>
    <row r="887" spans="1:18" ht="13">
      <c r="A887" s="105"/>
      <c r="B887" s="97"/>
      <c r="C887" s="123"/>
      <c r="D887" s="118"/>
      <c r="E887" s="123"/>
      <c r="F887" s="123"/>
      <c r="G887" s="118"/>
      <c r="H887" s="118"/>
      <c r="I887" s="118"/>
      <c r="J887" s="119"/>
      <c r="K887" s="123"/>
      <c r="L887" s="123"/>
      <c r="M887" s="123"/>
      <c r="N887" s="123"/>
      <c r="O887" s="123"/>
      <c r="P887" s="123"/>
      <c r="Q887" s="119"/>
      <c r="R887" s="118"/>
    </row>
    <row r="888" spans="1:18" ht="13">
      <c r="A888" s="105"/>
      <c r="B888" s="97"/>
      <c r="C888" s="123"/>
      <c r="D888" s="118"/>
      <c r="E888" s="123"/>
      <c r="F888" s="123"/>
      <c r="G888" s="118"/>
      <c r="H888" s="118"/>
      <c r="I888" s="118"/>
      <c r="J888" s="119"/>
      <c r="K888" s="123"/>
      <c r="L888" s="123"/>
      <c r="M888" s="123"/>
      <c r="N888" s="123"/>
      <c r="O888" s="123"/>
      <c r="P888" s="123"/>
      <c r="Q888" s="119"/>
      <c r="R888" s="118"/>
    </row>
    <row r="889" spans="1:18" ht="13">
      <c r="A889" s="105"/>
      <c r="B889" s="97"/>
      <c r="C889" s="123"/>
      <c r="D889" s="118"/>
      <c r="E889" s="123"/>
      <c r="F889" s="123"/>
      <c r="G889" s="118"/>
      <c r="H889" s="118"/>
      <c r="I889" s="118"/>
      <c r="J889" s="119"/>
      <c r="K889" s="123"/>
      <c r="L889" s="123"/>
      <c r="M889" s="123"/>
      <c r="N889" s="123"/>
      <c r="O889" s="123"/>
      <c r="P889" s="123"/>
      <c r="Q889" s="119"/>
      <c r="R889" s="118"/>
    </row>
    <row r="890" spans="1:18" ht="13">
      <c r="A890" s="105"/>
      <c r="B890" s="97"/>
      <c r="C890" s="123"/>
      <c r="D890" s="118"/>
      <c r="E890" s="123"/>
      <c r="F890" s="123"/>
      <c r="G890" s="118"/>
      <c r="H890" s="118"/>
      <c r="I890" s="118"/>
      <c r="J890" s="119"/>
      <c r="K890" s="123"/>
      <c r="L890" s="123"/>
      <c r="M890" s="123"/>
      <c r="N890" s="123"/>
      <c r="O890" s="123"/>
      <c r="P890" s="123"/>
      <c r="Q890" s="119"/>
      <c r="R890" s="118"/>
    </row>
    <row r="891" spans="1:18" ht="13">
      <c r="A891" s="105"/>
      <c r="B891" s="97"/>
      <c r="C891" s="123"/>
      <c r="D891" s="118"/>
      <c r="E891" s="123"/>
      <c r="F891" s="123"/>
      <c r="G891" s="118"/>
      <c r="H891" s="118"/>
      <c r="I891" s="118"/>
      <c r="J891" s="119"/>
      <c r="K891" s="123"/>
      <c r="L891" s="123"/>
      <c r="M891" s="123"/>
      <c r="N891" s="123"/>
      <c r="O891" s="123"/>
      <c r="P891" s="123"/>
      <c r="Q891" s="119"/>
      <c r="R891" s="118"/>
    </row>
    <row r="892" spans="1:18" ht="13">
      <c r="A892" s="105"/>
      <c r="B892" s="97"/>
      <c r="C892" s="123"/>
      <c r="D892" s="118"/>
      <c r="E892" s="123"/>
      <c r="F892" s="123"/>
      <c r="G892" s="118"/>
      <c r="H892" s="118"/>
      <c r="I892" s="118"/>
      <c r="J892" s="119"/>
      <c r="K892" s="123"/>
      <c r="L892" s="123"/>
      <c r="M892" s="123"/>
      <c r="N892" s="123"/>
      <c r="O892" s="123"/>
      <c r="P892" s="123"/>
      <c r="Q892" s="119"/>
      <c r="R892" s="118"/>
    </row>
    <row r="893" spans="1:18" ht="13">
      <c r="A893" s="105"/>
      <c r="B893" s="97"/>
      <c r="C893" s="123"/>
      <c r="D893" s="118"/>
      <c r="E893" s="123"/>
      <c r="F893" s="123"/>
      <c r="G893" s="118"/>
      <c r="H893" s="118"/>
      <c r="I893" s="118"/>
      <c r="J893" s="119"/>
      <c r="K893" s="123"/>
      <c r="L893" s="123"/>
      <c r="M893" s="123"/>
      <c r="N893" s="123"/>
      <c r="O893" s="123"/>
      <c r="P893" s="123"/>
      <c r="Q893" s="119"/>
      <c r="R893" s="118"/>
    </row>
    <row r="894" spans="1:18" ht="13">
      <c r="A894" s="105"/>
      <c r="B894" s="97"/>
      <c r="C894" s="123"/>
      <c r="D894" s="118"/>
      <c r="E894" s="123"/>
      <c r="F894" s="123"/>
      <c r="G894" s="118"/>
      <c r="H894" s="118"/>
      <c r="I894" s="118"/>
      <c r="J894" s="119"/>
      <c r="K894" s="123"/>
      <c r="L894" s="123"/>
      <c r="M894" s="123"/>
      <c r="N894" s="123"/>
      <c r="O894" s="123"/>
      <c r="P894" s="123"/>
      <c r="Q894" s="119"/>
      <c r="R894" s="118"/>
    </row>
    <row r="895" spans="1:18" ht="13">
      <c r="A895" s="105"/>
      <c r="B895" s="97"/>
      <c r="C895" s="123"/>
      <c r="D895" s="118"/>
      <c r="E895" s="123"/>
      <c r="F895" s="123"/>
      <c r="G895" s="118"/>
      <c r="H895" s="118"/>
      <c r="I895" s="118"/>
      <c r="J895" s="119"/>
      <c r="K895" s="123"/>
      <c r="L895" s="123"/>
      <c r="M895" s="123"/>
      <c r="N895" s="123"/>
      <c r="O895" s="123"/>
      <c r="P895" s="123"/>
      <c r="Q895" s="119"/>
      <c r="R895" s="118"/>
    </row>
    <row r="896" spans="1:18" ht="13">
      <c r="A896" s="105"/>
      <c r="B896" s="97"/>
      <c r="C896" s="123"/>
      <c r="D896" s="118"/>
      <c r="E896" s="123"/>
      <c r="F896" s="123"/>
      <c r="G896" s="118"/>
      <c r="H896" s="118"/>
      <c r="I896" s="118"/>
      <c r="J896" s="119"/>
      <c r="K896" s="123"/>
      <c r="L896" s="123"/>
      <c r="M896" s="123"/>
      <c r="N896" s="123"/>
      <c r="O896" s="123"/>
      <c r="P896" s="123"/>
      <c r="Q896" s="119"/>
      <c r="R896" s="118"/>
    </row>
    <row r="897" spans="1:18" ht="13">
      <c r="A897" s="105"/>
      <c r="B897" s="97"/>
      <c r="C897" s="123"/>
      <c r="D897" s="118"/>
      <c r="E897" s="123"/>
      <c r="F897" s="123"/>
      <c r="G897" s="118"/>
      <c r="H897" s="118"/>
      <c r="I897" s="118"/>
      <c r="J897" s="119"/>
      <c r="K897" s="123"/>
      <c r="L897" s="123"/>
      <c r="M897" s="123"/>
      <c r="N897" s="123"/>
      <c r="O897" s="123"/>
      <c r="P897" s="123"/>
      <c r="Q897" s="119"/>
      <c r="R897" s="118"/>
    </row>
    <row r="898" spans="1:18" ht="13">
      <c r="A898" s="105"/>
      <c r="B898" s="97"/>
      <c r="C898" s="123"/>
      <c r="D898" s="118"/>
      <c r="E898" s="123"/>
      <c r="F898" s="123"/>
      <c r="G898" s="118"/>
      <c r="H898" s="118"/>
      <c r="I898" s="118"/>
      <c r="J898" s="119"/>
      <c r="K898" s="123"/>
      <c r="L898" s="123"/>
      <c r="M898" s="123"/>
      <c r="N898" s="123"/>
      <c r="O898" s="123"/>
      <c r="P898" s="123"/>
      <c r="Q898" s="119"/>
      <c r="R898" s="118"/>
    </row>
    <row r="899" spans="1:18" ht="13">
      <c r="A899" s="105"/>
      <c r="B899" s="97"/>
      <c r="C899" s="123"/>
      <c r="D899" s="118"/>
      <c r="E899" s="123"/>
      <c r="F899" s="123"/>
      <c r="G899" s="118"/>
      <c r="H899" s="118"/>
      <c r="I899" s="118"/>
      <c r="J899" s="119"/>
      <c r="K899" s="123"/>
      <c r="L899" s="123"/>
      <c r="M899" s="123"/>
      <c r="N899" s="123"/>
      <c r="O899" s="123"/>
      <c r="P899" s="123"/>
      <c r="Q899" s="119"/>
      <c r="R899" s="118"/>
    </row>
    <row r="900" spans="1:18" ht="13">
      <c r="A900" s="105"/>
      <c r="B900" s="97"/>
      <c r="C900" s="123"/>
      <c r="D900" s="118"/>
      <c r="E900" s="123"/>
      <c r="F900" s="123"/>
      <c r="G900" s="118"/>
      <c r="H900" s="118"/>
      <c r="I900" s="118"/>
      <c r="J900" s="119"/>
      <c r="K900" s="123"/>
      <c r="L900" s="123"/>
      <c r="M900" s="123"/>
      <c r="N900" s="123"/>
      <c r="O900" s="123"/>
      <c r="P900" s="123"/>
      <c r="Q900" s="119"/>
      <c r="R900" s="118"/>
    </row>
    <row r="901" spans="1:18" ht="13">
      <c r="A901" s="105"/>
      <c r="B901" s="97"/>
      <c r="C901" s="123"/>
      <c r="D901" s="118"/>
      <c r="E901" s="123"/>
      <c r="F901" s="123"/>
      <c r="G901" s="118"/>
      <c r="H901" s="118"/>
      <c r="I901" s="118"/>
      <c r="J901" s="119"/>
      <c r="K901" s="123"/>
      <c r="L901" s="123"/>
      <c r="M901" s="123"/>
      <c r="N901" s="123"/>
      <c r="O901" s="123"/>
      <c r="P901" s="123"/>
      <c r="Q901" s="119"/>
      <c r="R901" s="118"/>
    </row>
    <row r="902" spans="1:18" ht="13">
      <c r="A902" s="105"/>
      <c r="B902" s="97"/>
      <c r="C902" s="123"/>
      <c r="D902" s="118"/>
      <c r="E902" s="123"/>
      <c r="F902" s="123"/>
      <c r="G902" s="118"/>
      <c r="H902" s="118"/>
      <c r="I902" s="118"/>
      <c r="J902" s="119"/>
      <c r="K902" s="123"/>
      <c r="L902" s="123"/>
      <c r="M902" s="123"/>
      <c r="N902" s="123"/>
      <c r="O902" s="123"/>
      <c r="P902" s="123"/>
      <c r="Q902" s="119"/>
      <c r="R902" s="118"/>
    </row>
    <row r="903" spans="1:18" ht="13">
      <c r="A903" s="105"/>
      <c r="B903" s="97"/>
      <c r="C903" s="123"/>
      <c r="D903" s="118"/>
      <c r="E903" s="123"/>
      <c r="F903" s="123"/>
      <c r="G903" s="118"/>
      <c r="H903" s="118"/>
      <c r="I903" s="118"/>
      <c r="J903" s="119"/>
      <c r="K903" s="123"/>
      <c r="L903" s="123"/>
      <c r="M903" s="123"/>
      <c r="N903" s="123"/>
      <c r="O903" s="123"/>
      <c r="P903" s="123"/>
      <c r="Q903" s="119"/>
      <c r="R903" s="118"/>
    </row>
    <row r="904" spans="1:18" ht="13">
      <c r="A904" s="105"/>
      <c r="B904" s="97"/>
      <c r="C904" s="123"/>
      <c r="D904" s="118"/>
      <c r="E904" s="123"/>
      <c r="F904" s="123"/>
      <c r="G904" s="118"/>
      <c r="H904" s="118"/>
      <c r="I904" s="118"/>
      <c r="J904" s="119"/>
      <c r="K904" s="123"/>
      <c r="L904" s="123"/>
      <c r="M904" s="123"/>
      <c r="N904" s="123"/>
      <c r="O904" s="123"/>
      <c r="P904" s="123"/>
      <c r="Q904" s="119"/>
      <c r="R904" s="118"/>
    </row>
    <row r="905" spans="1:18" ht="13">
      <c r="A905" s="105"/>
      <c r="B905" s="97"/>
      <c r="C905" s="123"/>
      <c r="D905" s="118"/>
      <c r="E905" s="123"/>
      <c r="F905" s="123"/>
      <c r="G905" s="118"/>
      <c r="H905" s="118"/>
      <c r="I905" s="118"/>
      <c r="J905" s="119"/>
      <c r="K905" s="123"/>
      <c r="L905" s="123"/>
      <c r="M905" s="123"/>
      <c r="N905" s="123"/>
      <c r="O905" s="123"/>
      <c r="P905" s="123"/>
      <c r="Q905" s="119"/>
      <c r="R905" s="118"/>
    </row>
    <row r="906" spans="1:18" ht="13">
      <c r="A906" s="105"/>
      <c r="B906" s="97"/>
      <c r="C906" s="123"/>
      <c r="D906" s="118"/>
      <c r="E906" s="123"/>
      <c r="F906" s="123"/>
      <c r="G906" s="118"/>
      <c r="H906" s="118"/>
      <c r="I906" s="118"/>
      <c r="J906" s="119"/>
      <c r="K906" s="123"/>
      <c r="L906" s="123"/>
      <c r="M906" s="123"/>
      <c r="N906" s="123"/>
      <c r="O906" s="123"/>
      <c r="P906" s="123"/>
      <c r="Q906" s="119"/>
      <c r="R906" s="118"/>
    </row>
    <row r="907" spans="1:18" ht="13">
      <c r="A907" s="105"/>
      <c r="B907" s="97"/>
      <c r="C907" s="123"/>
      <c r="D907" s="118"/>
      <c r="E907" s="123"/>
      <c r="F907" s="123"/>
      <c r="G907" s="118"/>
      <c r="H907" s="118"/>
      <c r="I907" s="118"/>
      <c r="J907" s="119"/>
      <c r="K907" s="123"/>
      <c r="L907" s="123"/>
      <c r="M907" s="123"/>
      <c r="N907" s="123"/>
      <c r="O907" s="123"/>
      <c r="P907" s="123"/>
      <c r="Q907" s="119"/>
      <c r="R907" s="118"/>
    </row>
    <row r="908" spans="1:18" ht="13">
      <c r="A908" s="105"/>
      <c r="B908" s="97"/>
      <c r="C908" s="123"/>
      <c r="D908" s="118"/>
      <c r="E908" s="123"/>
      <c r="F908" s="123"/>
      <c r="G908" s="118"/>
      <c r="H908" s="118"/>
      <c r="I908" s="118"/>
      <c r="J908" s="119"/>
      <c r="K908" s="123"/>
      <c r="L908" s="123"/>
      <c r="M908" s="123"/>
      <c r="N908" s="123"/>
      <c r="O908" s="123"/>
      <c r="P908" s="123"/>
      <c r="Q908" s="119"/>
      <c r="R908" s="118"/>
    </row>
    <row r="909" spans="1:18" ht="13">
      <c r="A909" s="105"/>
      <c r="B909" s="97"/>
      <c r="C909" s="123"/>
      <c r="D909" s="118"/>
      <c r="E909" s="123"/>
      <c r="F909" s="123"/>
      <c r="G909" s="118"/>
      <c r="H909" s="118"/>
      <c r="I909" s="118"/>
      <c r="J909" s="119"/>
      <c r="K909" s="123"/>
      <c r="L909" s="123"/>
      <c r="M909" s="123"/>
      <c r="N909" s="123"/>
      <c r="O909" s="123"/>
      <c r="P909" s="123"/>
      <c r="Q909" s="119"/>
      <c r="R909" s="118"/>
    </row>
    <row r="910" spans="1:18" ht="13">
      <c r="A910" s="105"/>
      <c r="B910" s="97"/>
      <c r="C910" s="123"/>
      <c r="D910" s="118"/>
      <c r="E910" s="123"/>
      <c r="F910" s="123"/>
      <c r="G910" s="118"/>
      <c r="H910" s="118"/>
      <c r="I910" s="118"/>
      <c r="J910" s="119"/>
      <c r="K910" s="123"/>
      <c r="L910" s="123"/>
      <c r="M910" s="123"/>
      <c r="N910" s="123"/>
      <c r="O910" s="123"/>
      <c r="P910" s="123"/>
      <c r="Q910" s="119"/>
      <c r="R910" s="118"/>
    </row>
    <row r="911" spans="1:18" ht="13">
      <c r="A911" s="105"/>
      <c r="B911" s="97"/>
      <c r="C911" s="123"/>
      <c r="D911" s="118"/>
      <c r="E911" s="123"/>
      <c r="F911" s="123"/>
      <c r="G911" s="118"/>
      <c r="H911" s="118"/>
      <c r="I911" s="118"/>
      <c r="J911" s="119"/>
      <c r="K911" s="123"/>
      <c r="L911" s="123"/>
      <c r="M911" s="123"/>
      <c r="N911" s="123"/>
      <c r="O911" s="123"/>
      <c r="P911" s="123"/>
      <c r="Q911" s="119"/>
      <c r="R911" s="118"/>
    </row>
    <row r="912" spans="1:18" ht="13">
      <c r="A912" s="105"/>
      <c r="B912" s="97"/>
      <c r="C912" s="123"/>
      <c r="D912" s="118"/>
      <c r="E912" s="123"/>
      <c r="F912" s="123"/>
      <c r="G912" s="118"/>
      <c r="H912" s="118"/>
      <c r="I912" s="118"/>
      <c r="J912" s="119"/>
      <c r="K912" s="123"/>
      <c r="L912" s="123"/>
      <c r="M912" s="123"/>
      <c r="N912" s="123"/>
      <c r="O912" s="123"/>
      <c r="P912" s="123"/>
      <c r="Q912" s="119"/>
      <c r="R912" s="118"/>
    </row>
    <row r="913" spans="1:18" ht="13">
      <c r="A913" s="105"/>
      <c r="B913" s="97"/>
      <c r="C913" s="123"/>
      <c r="D913" s="118"/>
      <c r="E913" s="123"/>
      <c r="F913" s="123"/>
      <c r="G913" s="118"/>
      <c r="H913" s="118"/>
      <c r="I913" s="118"/>
      <c r="J913" s="119"/>
      <c r="K913" s="123"/>
      <c r="L913" s="123"/>
      <c r="M913" s="123"/>
      <c r="N913" s="123"/>
      <c r="O913" s="123"/>
      <c r="P913" s="123"/>
      <c r="Q913" s="119"/>
      <c r="R913" s="118"/>
    </row>
    <row r="914" spans="1:18" ht="13">
      <c r="A914" s="105"/>
      <c r="B914" s="97"/>
      <c r="C914" s="123"/>
      <c r="D914" s="118"/>
      <c r="E914" s="123"/>
      <c r="F914" s="123"/>
      <c r="G914" s="118"/>
      <c r="H914" s="118"/>
      <c r="I914" s="118"/>
      <c r="J914" s="119"/>
      <c r="K914" s="123"/>
      <c r="L914" s="123"/>
      <c r="M914" s="123"/>
      <c r="N914" s="123"/>
      <c r="O914" s="123"/>
      <c r="P914" s="123"/>
      <c r="Q914" s="119"/>
      <c r="R914" s="118"/>
    </row>
    <row r="915" spans="1:18" ht="13">
      <c r="A915" s="105"/>
      <c r="B915" s="97"/>
      <c r="C915" s="123"/>
      <c r="D915" s="118"/>
      <c r="E915" s="123"/>
      <c r="F915" s="123"/>
      <c r="G915" s="118"/>
      <c r="H915" s="118"/>
      <c r="I915" s="118"/>
      <c r="J915" s="119"/>
      <c r="K915" s="123"/>
      <c r="L915" s="123"/>
      <c r="M915" s="123"/>
      <c r="N915" s="123"/>
      <c r="O915" s="123"/>
      <c r="P915" s="123"/>
      <c r="Q915" s="119"/>
      <c r="R915" s="118"/>
    </row>
    <row r="916" spans="1:18" ht="13">
      <c r="A916" s="105"/>
      <c r="B916" s="97"/>
      <c r="C916" s="123"/>
      <c r="D916" s="118"/>
      <c r="E916" s="123"/>
      <c r="F916" s="123"/>
      <c r="G916" s="118"/>
      <c r="H916" s="118"/>
      <c r="I916" s="118"/>
      <c r="J916" s="119"/>
      <c r="K916" s="123"/>
      <c r="L916" s="123"/>
      <c r="M916" s="123"/>
      <c r="N916" s="123"/>
      <c r="O916" s="123"/>
      <c r="P916" s="123"/>
      <c r="Q916" s="119"/>
      <c r="R916" s="118"/>
    </row>
    <row r="917" spans="1:18" ht="13">
      <c r="A917" s="105"/>
      <c r="B917" s="97"/>
      <c r="C917" s="123"/>
      <c r="D917" s="118"/>
      <c r="E917" s="123"/>
      <c r="F917" s="123"/>
      <c r="G917" s="118"/>
      <c r="H917" s="118"/>
      <c r="I917" s="118"/>
      <c r="J917" s="119"/>
      <c r="K917" s="123"/>
      <c r="L917" s="123"/>
      <c r="M917" s="123"/>
      <c r="N917" s="123"/>
      <c r="O917" s="123"/>
      <c r="P917" s="123"/>
      <c r="Q917" s="119"/>
      <c r="R917" s="118"/>
    </row>
    <row r="918" spans="1:18" ht="13">
      <c r="A918" s="105"/>
      <c r="B918" s="97"/>
      <c r="C918" s="123"/>
      <c r="D918" s="118"/>
      <c r="E918" s="123"/>
      <c r="F918" s="123"/>
      <c r="G918" s="118"/>
      <c r="H918" s="118"/>
      <c r="I918" s="118"/>
      <c r="J918" s="119"/>
      <c r="K918" s="123"/>
      <c r="L918" s="123"/>
      <c r="M918" s="123"/>
      <c r="N918" s="123"/>
      <c r="O918" s="123"/>
      <c r="P918" s="123"/>
      <c r="Q918" s="119"/>
      <c r="R918" s="118"/>
    </row>
    <row r="919" spans="1:18" ht="13">
      <c r="A919" s="105"/>
      <c r="B919" s="97"/>
      <c r="C919" s="123"/>
      <c r="D919" s="118"/>
      <c r="E919" s="123"/>
      <c r="F919" s="123"/>
      <c r="G919" s="118"/>
      <c r="H919" s="118"/>
      <c r="I919" s="118"/>
      <c r="J919" s="119"/>
      <c r="K919" s="123"/>
      <c r="L919" s="123"/>
      <c r="M919" s="123"/>
      <c r="N919" s="123"/>
      <c r="O919" s="123"/>
      <c r="P919" s="123"/>
      <c r="Q919" s="119"/>
      <c r="R919" s="118"/>
    </row>
    <row r="920" spans="1:18" ht="13">
      <c r="A920" s="105"/>
      <c r="B920" s="97"/>
      <c r="C920" s="123"/>
      <c r="D920" s="118"/>
      <c r="E920" s="123"/>
      <c r="F920" s="123"/>
      <c r="G920" s="118"/>
      <c r="H920" s="118"/>
      <c r="I920" s="118"/>
      <c r="J920" s="119"/>
      <c r="K920" s="123"/>
      <c r="L920" s="123"/>
      <c r="M920" s="123"/>
      <c r="N920" s="123"/>
      <c r="O920" s="123"/>
      <c r="P920" s="123"/>
      <c r="Q920" s="119"/>
      <c r="R920" s="118"/>
    </row>
    <row r="921" spans="1:18" ht="13">
      <c r="A921" s="105"/>
      <c r="B921" s="97"/>
      <c r="C921" s="123"/>
      <c r="D921" s="118"/>
      <c r="E921" s="123"/>
      <c r="F921" s="123"/>
      <c r="G921" s="118"/>
      <c r="H921" s="118"/>
      <c r="I921" s="118"/>
      <c r="J921" s="119"/>
      <c r="K921" s="123"/>
      <c r="L921" s="123"/>
      <c r="M921" s="123"/>
      <c r="N921" s="123"/>
      <c r="O921" s="123"/>
      <c r="P921" s="123"/>
      <c r="Q921" s="119"/>
      <c r="R921" s="118"/>
    </row>
    <row r="922" spans="1:18" ht="13">
      <c r="A922" s="105"/>
      <c r="B922" s="97"/>
      <c r="C922" s="123"/>
      <c r="D922" s="118"/>
      <c r="E922" s="123"/>
      <c r="F922" s="123"/>
      <c r="G922" s="118"/>
      <c r="H922" s="118"/>
      <c r="I922" s="118"/>
      <c r="J922" s="119"/>
      <c r="K922" s="123"/>
      <c r="L922" s="123"/>
      <c r="M922" s="123"/>
      <c r="N922" s="123"/>
      <c r="O922" s="123"/>
      <c r="P922" s="123"/>
      <c r="Q922" s="119"/>
      <c r="R922" s="118"/>
    </row>
    <row r="923" spans="1:18" ht="13">
      <c r="A923" s="105"/>
      <c r="B923" s="97"/>
      <c r="C923" s="123"/>
      <c r="D923" s="118"/>
      <c r="E923" s="123"/>
      <c r="F923" s="123"/>
      <c r="G923" s="118"/>
      <c r="H923" s="118"/>
      <c r="I923" s="118"/>
      <c r="J923" s="119"/>
      <c r="K923" s="123"/>
      <c r="L923" s="123"/>
      <c r="M923" s="123"/>
      <c r="N923" s="123"/>
      <c r="O923" s="123"/>
      <c r="P923" s="123"/>
      <c r="Q923" s="119"/>
      <c r="R923" s="118"/>
    </row>
    <row r="924" spans="1:18" ht="13">
      <c r="A924" s="105"/>
      <c r="B924" s="97"/>
      <c r="C924" s="123"/>
      <c r="D924" s="118"/>
      <c r="E924" s="123"/>
      <c r="F924" s="123"/>
      <c r="G924" s="118"/>
      <c r="H924" s="118"/>
      <c r="I924" s="118"/>
      <c r="J924" s="119"/>
      <c r="K924" s="123"/>
      <c r="L924" s="123"/>
      <c r="M924" s="123"/>
      <c r="N924" s="123"/>
      <c r="O924" s="123"/>
      <c r="P924" s="123"/>
      <c r="Q924" s="119"/>
      <c r="R924" s="118"/>
    </row>
    <row r="925" spans="1:18" ht="13">
      <c r="A925" s="105"/>
      <c r="B925" s="97"/>
      <c r="C925" s="123"/>
      <c r="D925" s="118"/>
      <c r="E925" s="123"/>
      <c r="F925" s="123"/>
      <c r="G925" s="118"/>
      <c r="H925" s="118"/>
      <c r="I925" s="118"/>
      <c r="J925" s="119"/>
      <c r="K925" s="123"/>
      <c r="L925" s="123"/>
      <c r="M925" s="123"/>
      <c r="N925" s="123"/>
      <c r="O925" s="123"/>
      <c r="P925" s="123"/>
      <c r="Q925" s="119"/>
      <c r="R925" s="118"/>
    </row>
    <row r="926" spans="1:18" ht="13">
      <c r="A926" s="105"/>
      <c r="B926" s="97"/>
      <c r="C926" s="123"/>
      <c r="D926" s="118"/>
      <c r="E926" s="123"/>
      <c r="F926" s="123"/>
      <c r="G926" s="118"/>
      <c r="H926" s="118"/>
      <c r="I926" s="118"/>
      <c r="J926" s="119"/>
      <c r="K926" s="123"/>
      <c r="L926" s="123"/>
      <c r="M926" s="123"/>
      <c r="N926" s="123"/>
      <c r="O926" s="123"/>
      <c r="P926" s="123"/>
      <c r="Q926" s="119"/>
      <c r="R926" s="118"/>
    </row>
    <row r="927" spans="1:18" ht="13">
      <c r="A927" s="105"/>
      <c r="B927" s="97"/>
      <c r="C927" s="123"/>
      <c r="D927" s="118"/>
      <c r="E927" s="123"/>
      <c r="F927" s="123"/>
      <c r="G927" s="118"/>
      <c r="H927" s="118"/>
      <c r="I927" s="118"/>
      <c r="J927" s="119"/>
      <c r="K927" s="123"/>
      <c r="L927" s="123"/>
      <c r="M927" s="123"/>
      <c r="N927" s="123"/>
      <c r="O927" s="123"/>
      <c r="P927" s="123"/>
      <c r="Q927" s="119"/>
      <c r="R927" s="118"/>
    </row>
    <row r="928" spans="1:18" ht="13">
      <c r="A928" s="105"/>
      <c r="B928" s="97"/>
      <c r="C928" s="123"/>
      <c r="D928" s="118"/>
      <c r="E928" s="123"/>
      <c r="F928" s="123"/>
      <c r="G928" s="118"/>
      <c r="H928" s="118"/>
      <c r="I928" s="118"/>
      <c r="J928" s="119"/>
      <c r="K928" s="123"/>
      <c r="L928" s="123"/>
      <c r="M928" s="123"/>
      <c r="N928" s="123"/>
      <c r="O928" s="123"/>
      <c r="P928" s="123"/>
      <c r="Q928" s="119"/>
      <c r="R928" s="118"/>
    </row>
    <row r="929" spans="1:18" ht="13">
      <c r="A929" s="105"/>
      <c r="B929" s="97"/>
      <c r="C929" s="123"/>
      <c r="D929" s="118"/>
      <c r="E929" s="123"/>
      <c r="F929" s="123"/>
      <c r="G929" s="118"/>
      <c r="H929" s="118"/>
      <c r="I929" s="118"/>
      <c r="J929" s="119"/>
      <c r="K929" s="123"/>
      <c r="L929" s="123"/>
      <c r="M929" s="123"/>
      <c r="N929" s="123"/>
      <c r="O929" s="123"/>
      <c r="P929" s="123"/>
      <c r="Q929" s="119"/>
      <c r="R929" s="118"/>
    </row>
    <row r="930" spans="1:18" ht="13">
      <c r="A930" s="105"/>
      <c r="B930" s="97"/>
      <c r="C930" s="123"/>
      <c r="D930" s="118"/>
      <c r="E930" s="123"/>
      <c r="F930" s="123"/>
      <c r="G930" s="118"/>
      <c r="H930" s="118"/>
      <c r="I930" s="118"/>
      <c r="J930" s="119"/>
      <c r="K930" s="123"/>
      <c r="L930" s="123"/>
      <c r="M930" s="123"/>
      <c r="N930" s="123"/>
      <c r="O930" s="123"/>
      <c r="P930" s="123"/>
      <c r="Q930" s="119"/>
      <c r="R930" s="118"/>
    </row>
    <row r="931" spans="1:18" ht="13">
      <c r="A931" s="105"/>
      <c r="B931" s="97"/>
      <c r="C931" s="123"/>
      <c r="D931" s="118"/>
      <c r="E931" s="123"/>
      <c r="F931" s="123"/>
      <c r="G931" s="118"/>
      <c r="H931" s="118"/>
      <c r="I931" s="118"/>
      <c r="J931" s="119"/>
      <c r="K931" s="123"/>
      <c r="L931" s="123"/>
      <c r="M931" s="123"/>
      <c r="N931" s="123"/>
      <c r="O931" s="123"/>
      <c r="P931" s="123"/>
      <c r="Q931" s="119"/>
      <c r="R931" s="118"/>
    </row>
    <row r="932" spans="1:18" ht="13">
      <c r="A932" s="105"/>
      <c r="B932" s="97"/>
      <c r="C932" s="123"/>
      <c r="D932" s="118"/>
      <c r="E932" s="123"/>
      <c r="F932" s="123"/>
      <c r="G932" s="118"/>
      <c r="H932" s="118"/>
      <c r="I932" s="118"/>
      <c r="J932" s="119"/>
      <c r="K932" s="123"/>
      <c r="L932" s="123"/>
      <c r="M932" s="123"/>
      <c r="N932" s="123"/>
      <c r="O932" s="123"/>
      <c r="P932" s="123"/>
      <c r="Q932" s="119"/>
      <c r="R932" s="118"/>
    </row>
    <row r="933" spans="1:18" ht="13">
      <c r="A933" s="105"/>
      <c r="B933" s="97"/>
      <c r="C933" s="123"/>
      <c r="D933" s="118"/>
      <c r="E933" s="123"/>
      <c r="F933" s="123"/>
      <c r="G933" s="118"/>
      <c r="H933" s="118"/>
      <c r="I933" s="118"/>
      <c r="J933" s="119"/>
      <c r="K933" s="123"/>
      <c r="L933" s="123"/>
      <c r="M933" s="123"/>
      <c r="N933" s="123"/>
      <c r="O933" s="123"/>
      <c r="P933" s="123"/>
      <c r="Q933" s="119"/>
      <c r="R933" s="118"/>
    </row>
    <row r="934" spans="1:18" ht="13">
      <c r="A934" s="105"/>
      <c r="B934" s="97"/>
      <c r="C934" s="123"/>
      <c r="D934" s="118"/>
      <c r="E934" s="123"/>
      <c r="F934" s="123"/>
      <c r="G934" s="118"/>
      <c r="H934" s="118"/>
      <c r="I934" s="118"/>
      <c r="J934" s="119"/>
      <c r="K934" s="123"/>
      <c r="L934" s="123"/>
      <c r="M934" s="123"/>
      <c r="N934" s="123"/>
      <c r="O934" s="123"/>
      <c r="P934" s="123"/>
      <c r="Q934" s="119"/>
      <c r="R934" s="118"/>
    </row>
    <row r="935" spans="1:18" ht="13">
      <c r="A935" s="105"/>
      <c r="B935" s="97"/>
      <c r="C935" s="123"/>
      <c r="D935" s="118"/>
      <c r="E935" s="123"/>
      <c r="F935" s="123"/>
      <c r="G935" s="118"/>
      <c r="H935" s="118"/>
      <c r="I935" s="118"/>
      <c r="J935" s="119"/>
      <c r="K935" s="123"/>
      <c r="L935" s="123"/>
      <c r="M935" s="123"/>
      <c r="N935" s="123"/>
      <c r="O935" s="123"/>
      <c r="P935" s="123"/>
      <c r="Q935" s="119"/>
      <c r="R935" s="118"/>
    </row>
    <row r="936" spans="1:18" ht="13">
      <c r="A936" s="105"/>
      <c r="B936" s="97"/>
      <c r="C936" s="123"/>
      <c r="D936" s="118"/>
      <c r="E936" s="123"/>
      <c r="F936" s="123"/>
      <c r="G936" s="118"/>
      <c r="H936" s="118"/>
      <c r="I936" s="118"/>
      <c r="J936" s="119"/>
      <c r="K936" s="123"/>
      <c r="L936" s="123"/>
      <c r="M936" s="123"/>
      <c r="N936" s="123"/>
      <c r="O936" s="123"/>
      <c r="P936" s="123"/>
      <c r="Q936" s="119"/>
      <c r="R936" s="118"/>
    </row>
    <row r="937" spans="1:18" ht="13">
      <c r="A937" s="105"/>
      <c r="B937" s="97"/>
      <c r="C937" s="123"/>
      <c r="D937" s="118"/>
      <c r="E937" s="123"/>
      <c r="F937" s="123"/>
      <c r="G937" s="118"/>
      <c r="H937" s="118"/>
      <c r="I937" s="118"/>
      <c r="J937" s="119"/>
      <c r="K937" s="123"/>
      <c r="L937" s="123"/>
      <c r="M937" s="123"/>
      <c r="N937" s="123"/>
      <c r="O937" s="123"/>
      <c r="P937" s="123"/>
      <c r="Q937" s="119"/>
      <c r="R937" s="118"/>
    </row>
    <row r="938" spans="1:18" ht="13">
      <c r="A938" s="105"/>
      <c r="B938" s="97"/>
      <c r="C938" s="123"/>
      <c r="D938" s="118"/>
      <c r="E938" s="123"/>
      <c r="F938" s="123"/>
      <c r="G938" s="118"/>
      <c r="H938" s="118"/>
      <c r="I938" s="118"/>
      <c r="J938" s="119"/>
      <c r="K938" s="123"/>
      <c r="L938" s="123"/>
      <c r="M938" s="123"/>
      <c r="N938" s="123"/>
      <c r="O938" s="123"/>
      <c r="P938" s="123"/>
      <c r="Q938" s="119"/>
      <c r="R938" s="118"/>
    </row>
    <row r="939" spans="1:18" ht="13">
      <c r="A939" s="105"/>
      <c r="B939" s="97"/>
      <c r="C939" s="123"/>
      <c r="D939" s="118"/>
      <c r="E939" s="123"/>
      <c r="F939" s="123"/>
      <c r="G939" s="118"/>
      <c r="H939" s="118"/>
      <c r="I939" s="118"/>
      <c r="J939" s="119"/>
      <c r="K939" s="123"/>
      <c r="L939" s="123"/>
      <c r="M939" s="123"/>
      <c r="N939" s="123"/>
      <c r="O939" s="123"/>
      <c r="P939" s="123"/>
      <c r="Q939" s="119"/>
      <c r="R939" s="118"/>
    </row>
    <row r="940" spans="1:18" ht="13">
      <c r="A940" s="105"/>
      <c r="B940" s="97"/>
      <c r="C940" s="123"/>
      <c r="D940" s="118"/>
      <c r="E940" s="123"/>
      <c r="F940" s="123"/>
      <c r="G940" s="118"/>
      <c r="H940" s="118"/>
      <c r="I940" s="118"/>
      <c r="J940" s="119"/>
      <c r="K940" s="123"/>
      <c r="L940" s="123"/>
      <c r="M940" s="123"/>
      <c r="N940" s="123"/>
      <c r="O940" s="123"/>
      <c r="P940" s="123"/>
      <c r="Q940" s="119"/>
      <c r="R940" s="118"/>
    </row>
    <row r="941" spans="1:18" ht="13">
      <c r="A941" s="105"/>
      <c r="B941" s="97"/>
      <c r="C941" s="123"/>
      <c r="D941" s="118"/>
      <c r="E941" s="123"/>
      <c r="F941" s="123"/>
      <c r="G941" s="118"/>
      <c r="H941" s="118"/>
      <c r="I941" s="118"/>
      <c r="J941" s="119"/>
      <c r="K941" s="123"/>
      <c r="L941" s="123"/>
      <c r="M941" s="123"/>
      <c r="N941" s="123"/>
      <c r="O941" s="123"/>
      <c r="P941" s="123"/>
      <c r="Q941" s="119"/>
      <c r="R941" s="118"/>
    </row>
    <row r="942" spans="1:18" ht="13">
      <c r="A942" s="105"/>
      <c r="B942" s="97"/>
      <c r="C942" s="123"/>
      <c r="D942" s="118"/>
      <c r="E942" s="123"/>
      <c r="F942" s="123"/>
      <c r="G942" s="118"/>
      <c r="H942" s="118"/>
      <c r="I942" s="118"/>
      <c r="J942" s="119"/>
      <c r="K942" s="123"/>
      <c r="L942" s="123"/>
      <c r="M942" s="123"/>
      <c r="N942" s="123"/>
      <c r="O942" s="123"/>
      <c r="P942" s="123"/>
      <c r="Q942" s="119"/>
      <c r="R942" s="118"/>
    </row>
    <row r="943" spans="1:18" ht="13">
      <c r="A943" s="105"/>
      <c r="B943" s="97"/>
      <c r="C943" s="123"/>
      <c r="D943" s="118"/>
      <c r="E943" s="123"/>
      <c r="F943" s="123"/>
      <c r="G943" s="118"/>
      <c r="H943" s="118"/>
      <c r="I943" s="118"/>
      <c r="J943" s="119"/>
      <c r="K943" s="123"/>
      <c r="L943" s="123"/>
      <c r="M943" s="123"/>
      <c r="N943" s="123"/>
      <c r="O943" s="123"/>
      <c r="P943" s="123"/>
      <c r="Q943" s="119"/>
      <c r="R943" s="118"/>
    </row>
    <row r="944" spans="1:18" ht="13">
      <c r="A944" s="105"/>
      <c r="B944" s="97"/>
      <c r="C944" s="123"/>
      <c r="D944" s="118"/>
      <c r="E944" s="123"/>
      <c r="F944" s="123"/>
      <c r="G944" s="118"/>
      <c r="H944" s="118"/>
      <c r="I944" s="118"/>
      <c r="J944" s="119"/>
      <c r="K944" s="123"/>
      <c r="L944" s="123"/>
      <c r="M944" s="123"/>
      <c r="N944" s="123"/>
      <c r="O944" s="123"/>
      <c r="P944" s="123"/>
      <c r="Q944" s="119"/>
      <c r="R944" s="118"/>
    </row>
    <row r="945" spans="1:18" ht="13">
      <c r="A945" s="105"/>
      <c r="B945" s="97"/>
      <c r="C945" s="123"/>
      <c r="D945" s="118"/>
      <c r="E945" s="123"/>
      <c r="F945" s="123"/>
      <c r="G945" s="118"/>
      <c r="H945" s="118"/>
      <c r="I945" s="118"/>
      <c r="J945" s="119"/>
      <c r="K945" s="123"/>
      <c r="L945" s="123"/>
      <c r="M945" s="123"/>
      <c r="N945" s="123"/>
      <c r="O945" s="123"/>
      <c r="P945" s="123"/>
      <c r="Q945" s="119"/>
      <c r="R945" s="118"/>
    </row>
    <row r="946" spans="1:18" ht="13">
      <c r="A946" s="105"/>
      <c r="B946" s="97"/>
      <c r="C946" s="123"/>
      <c r="D946" s="118"/>
      <c r="E946" s="123"/>
      <c r="F946" s="123"/>
      <c r="G946" s="118"/>
      <c r="H946" s="118"/>
      <c r="I946" s="118"/>
      <c r="J946" s="119"/>
      <c r="K946" s="123"/>
      <c r="L946" s="123"/>
      <c r="M946" s="123"/>
      <c r="N946" s="123"/>
      <c r="O946" s="123"/>
      <c r="P946" s="123"/>
      <c r="Q946" s="119"/>
      <c r="R946" s="118"/>
    </row>
    <row r="947" spans="1:18" ht="13">
      <c r="A947" s="105"/>
      <c r="B947" s="97"/>
      <c r="C947" s="123"/>
      <c r="D947" s="118"/>
      <c r="E947" s="123"/>
      <c r="F947" s="123"/>
      <c r="G947" s="118"/>
      <c r="H947" s="118"/>
      <c r="I947" s="118"/>
      <c r="J947" s="119"/>
      <c r="K947" s="123"/>
      <c r="L947" s="123"/>
      <c r="M947" s="123"/>
      <c r="N947" s="123"/>
      <c r="O947" s="123"/>
      <c r="P947" s="123"/>
      <c r="Q947" s="119"/>
      <c r="R947" s="118"/>
    </row>
    <row r="948" spans="1:18" ht="13">
      <c r="A948" s="105"/>
      <c r="B948" s="97"/>
      <c r="C948" s="123"/>
      <c r="D948" s="118"/>
      <c r="E948" s="123"/>
      <c r="F948" s="123"/>
      <c r="G948" s="118"/>
      <c r="H948" s="118"/>
      <c r="I948" s="118"/>
      <c r="J948" s="119"/>
      <c r="K948" s="123"/>
      <c r="L948" s="123"/>
      <c r="M948" s="123"/>
      <c r="N948" s="123"/>
      <c r="O948" s="123"/>
      <c r="P948" s="123"/>
      <c r="Q948" s="119"/>
      <c r="R948" s="118"/>
    </row>
    <row r="949" spans="1:18" ht="13">
      <c r="A949" s="105"/>
      <c r="B949" s="97"/>
      <c r="C949" s="123"/>
      <c r="D949" s="118"/>
      <c r="E949" s="123"/>
      <c r="F949" s="123"/>
      <c r="G949" s="118"/>
      <c r="H949" s="118"/>
      <c r="I949" s="118"/>
      <c r="J949" s="119"/>
      <c r="K949" s="123"/>
      <c r="L949" s="123"/>
      <c r="M949" s="123"/>
      <c r="N949" s="123"/>
      <c r="O949" s="123"/>
      <c r="P949" s="123"/>
      <c r="Q949" s="119"/>
      <c r="R949" s="118"/>
    </row>
    <row r="950" spans="1:18" ht="13">
      <c r="A950" s="105"/>
      <c r="B950" s="97"/>
      <c r="C950" s="123"/>
      <c r="D950" s="118"/>
      <c r="E950" s="123"/>
      <c r="F950" s="123"/>
      <c r="G950" s="118"/>
      <c r="H950" s="118"/>
      <c r="I950" s="118"/>
      <c r="J950" s="119"/>
      <c r="K950" s="123"/>
      <c r="L950" s="123"/>
      <c r="M950" s="123"/>
      <c r="N950" s="123"/>
      <c r="O950" s="123"/>
      <c r="P950" s="123"/>
      <c r="Q950" s="119"/>
      <c r="R950" s="118"/>
    </row>
    <row r="951" spans="1:18" ht="13">
      <c r="A951" s="105"/>
      <c r="B951" s="97"/>
      <c r="C951" s="123"/>
      <c r="D951" s="118"/>
      <c r="E951" s="123"/>
      <c r="F951" s="123"/>
      <c r="G951" s="118"/>
      <c r="H951" s="118"/>
      <c r="I951" s="118"/>
      <c r="J951" s="119"/>
      <c r="K951" s="123"/>
      <c r="L951" s="123"/>
      <c r="M951" s="123"/>
      <c r="N951" s="123"/>
      <c r="O951" s="123"/>
      <c r="P951" s="123"/>
      <c r="Q951" s="119"/>
      <c r="R951" s="118"/>
    </row>
    <row r="952" spans="1:18" ht="13">
      <c r="A952" s="105"/>
      <c r="B952" s="97"/>
      <c r="C952" s="123"/>
      <c r="D952" s="118"/>
      <c r="E952" s="123"/>
      <c r="F952" s="123"/>
      <c r="G952" s="118"/>
      <c r="H952" s="118"/>
      <c r="I952" s="118"/>
      <c r="J952" s="119"/>
      <c r="K952" s="123"/>
      <c r="L952" s="123"/>
      <c r="M952" s="123"/>
      <c r="N952" s="123"/>
      <c r="O952" s="123"/>
      <c r="P952" s="123"/>
      <c r="Q952" s="119"/>
      <c r="R952" s="118"/>
    </row>
    <row r="953" spans="1:18" ht="13">
      <c r="A953" s="105"/>
      <c r="B953" s="97"/>
      <c r="C953" s="123"/>
      <c r="D953" s="118"/>
      <c r="E953" s="123"/>
      <c r="F953" s="123"/>
      <c r="G953" s="118"/>
      <c r="H953" s="118"/>
      <c r="I953" s="118"/>
      <c r="J953" s="119"/>
      <c r="K953" s="123"/>
      <c r="L953" s="123"/>
      <c r="M953" s="123"/>
      <c r="N953" s="123"/>
      <c r="O953" s="123"/>
      <c r="P953" s="123"/>
      <c r="Q953" s="119"/>
      <c r="R953" s="118"/>
    </row>
    <row r="954" spans="1:18" ht="13">
      <c r="A954" s="105"/>
      <c r="B954" s="97"/>
      <c r="C954" s="123"/>
      <c r="D954" s="118"/>
      <c r="E954" s="123"/>
      <c r="F954" s="123"/>
      <c r="G954" s="118"/>
      <c r="H954" s="118"/>
      <c r="I954" s="118"/>
      <c r="J954" s="119"/>
      <c r="K954" s="123"/>
      <c r="L954" s="123"/>
      <c r="M954" s="123"/>
      <c r="N954" s="123"/>
      <c r="O954" s="123"/>
      <c r="P954" s="123"/>
      <c r="Q954" s="119"/>
      <c r="R954" s="118"/>
    </row>
    <row r="955" spans="1:18" ht="13">
      <c r="A955" s="105"/>
      <c r="B955" s="97"/>
      <c r="C955" s="123"/>
      <c r="D955" s="118"/>
      <c r="E955" s="123"/>
      <c r="F955" s="123"/>
      <c r="G955" s="118"/>
      <c r="H955" s="118"/>
      <c r="I955" s="118"/>
      <c r="J955" s="119"/>
      <c r="K955" s="123"/>
      <c r="L955" s="123"/>
      <c r="M955" s="123"/>
      <c r="N955" s="123"/>
      <c r="O955" s="123"/>
      <c r="P955" s="123"/>
      <c r="Q955" s="119"/>
      <c r="R955" s="118"/>
    </row>
    <row r="956" spans="1:18" ht="13">
      <c r="A956" s="105"/>
      <c r="B956" s="97"/>
      <c r="C956" s="123"/>
      <c r="D956" s="118"/>
      <c r="E956" s="123"/>
      <c r="F956" s="123"/>
      <c r="G956" s="118"/>
      <c r="H956" s="118"/>
      <c r="I956" s="118"/>
      <c r="J956" s="119"/>
      <c r="K956" s="123"/>
      <c r="L956" s="123"/>
      <c r="M956" s="123"/>
      <c r="N956" s="123"/>
      <c r="O956" s="123"/>
      <c r="P956" s="123"/>
      <c r="Q956" s="119"/>
      <c r="R956" s="118"/>
    </row>
    <row r="957" spans="1:18" ht="13">
      <c r="A957" s="105"/>
      <c r="B957" s="97"/>
      <c r="C957" s="123"/>
      <c r="D957" s="118"/>
      <c r="E957" s="123"/>
      <c r="F957" s="123"/>
      <c r="G957" s="118"/>
      <c r="H957" s="118"/>
      <c r="I957" s="118"/>
      <c r="J957" s="119"/>
      <c r="K957" s="123"/>
      <c r="L957" s="123"/>
      <c r="M957" s="123"/>
      <c r="N957" s="123"/>
      <c r="O957" s="123"/>
      <c r="P957" s="123"/>
      <c r="Q957" s="119"/>
      <c r="R957" s="118"/>
    </row>
    <row r="958" spans="1:18" ht="13">
      <c r="A958" s="105"/>
      <c r="B958" s="97"/>
      <c r="C958" s="123"/>
      <c r="D958" s="118"/>
      <c r="E958" s="123"/>
      <c r="F958" s="123"/>
      <c r="G958" s="118"/>
      <c r="H958" s="118"/>
      <c r="I958" s="118"/>
      <c r="J958" s="119"/>
      <c r="K958" s="123"/>
      <c r="L958" s="123"/>
      <c r="M958" s="123"/>
      <c r="N958" s="123"/>
      <c r="O958" s="123"/>
      <c r="P958" s="123"/>
      <c r="Q958" s="119"/>
      <c r="R958" s="118"/>
    </row>
    <row r="959" spans="1:18" ht="13">
      <c r="A959" s="105"/>
      <c r="B959" s="97"/>
      <c r="C959" s="123"/>
      <c r="D959" s="118"/>
      <c r="E959" s="123"/>
      <c r="F959" s="123"/>
      <c r="G959" s="118"/>
      <c r="H959" s="118"/>
      <c r="I959" s="118"/>
      <c r="J959" s="119"/>
      <c r="K959" s="123"/>
      <c r="L959" s="123"/>
      <c r="M959" s="123"/>
      <c r="N959" s="123"/>
      <c r="O959" s="123"/>
      <c r="P959" s="123"/>
      <c r="Q959" s="119"/>
      <c r="R959" s="118"/>
    </row>
    <row r="960" spans="1:18" ht="13">
      <c r="A960" s="105"/>
      <c r="B960" s="97"/>
      <c r="C960" s="123"/>
      <c r="D960" s="118"/>
      <c r="E960" s="123"/>
      <c r="F960" s="123"/>
      <c r="G960" s="118"/>
      <c r="H960" s="118"/>
      <c r="I960" s="118"/>
      <c r="J960" s="119"/>
      <c r="K960" s="123"/>
      <c r="L960" s="123"/>
      <c r="M960" s="123"/>
      <c r="N960" s="123"/>
      <c r="O960" s="123"/>
      <c r="P960" s="123"/>
      <c r="Q960" s="119"/>
      <c r="R960" s="118"/>
    </row>
    <row r="961" spans="1:18" ht="13">
      <c r="A961" s="105"/>
      <c r="B961" s="97"/>
      <c r="C961" s="123"/>
      <c r="D961" s="118"/>
      <c r="E961" s="123"/>
      <c r="F961" s="123"/>
      <c r="G961" s="118"/>
      <c r="H961" s="118"/>
      <c r="I961" s="118"/>
      <c r="J961" s="119"/>
      <c r="K961" s="123"/>
      <c r="L961" s="123"/>
      <c r="M961" s="123"/>
      <c r="N961" s="123"/>
      <c r="O961" s="123"/>
      <c r="P961" s="123"/>
      <c r="Q961" s="119"/>
      <c r="R961" s="118"/>
    </row>
    <row r="962" spans="1:18" ht="13">
      <c r="A962" s="105"/>
      <c r="B962" s="97"/>
      <c r="C962" s="123"/>
      <c r="D962" s="118"/>
      <c r="E962" s="123"/>
      <c r="F962" s="123"/>
      <c r="G962" s="118"/>
      <c r="H962" s="118"/>
      <c r="I962" s="118"/>
      <c r="J962" s="119"/>
      <c r="K962" s="123"/>
      <c r="L962" s="123"/>
      <c r="M962" s="123"/>
      <c r="N962" s="123"/>
      <c r="O962" s="123"/>
      <c r="P962" s="123"/>
      <c r="Q962" s="119"/>
      <c r="R962" s="118"/>
    </row>
    <row r="963" spans="1:18" ht="13">
      <c r="A963" s="105"/>
      <c r="B963" s="97"/>
      <c r="C963" s="123"/>
      <c r="D963" s="118"/>
      <c r="E963" s="123"/>
      <c r="F963" s="123"/>
      <c r="G963" s="118"/>
      <c r="H963" s="118"/>
      <c r="I963" s="118"/>
      <c r="J963" s="119"/>
      <c r="K963" s="123"/>
      <c r="L963" s="123"/>
      <c r="M963" s="123"/>
      <c r="N963" s="123"/>
      <c r="O963" s="123"/>
      <c r="P963" s="123"/>
      <c r="Q963" s="119"/>
      <c r="R963" s="118"/>
    </row>
    <row r="964" spans="1:18" ht="13">
      <c r="A964" s="105"/>
      <c r="B964" s="97"/>
      <c r="C964" s="123"/>
      <c r="D964" s="118"/>
      <c r="E964" s="123"/>
      <c r="F964" s="123"/>
      <c r="G964" s="118"/>
      <c r="H964" s="118"/>
      <c r="I964" s="118"/>
      <c r="J964" s="119"/>
      <c r="K964" s="123"/>
      <c r="L964" s="123"/>
      <c r="M964" s="123"/>
      <c r="N964" s="123"/>
      <c r="O964" s="123"/>
      <c r="P964" s="123"/>
      <c r="Q964" s="119"/>
      <c r="R964" s="118"/>
    </row>
    <row r="965" spans="1:18" ht="13">
      <c r="A965" s="105"/>
      <c r="B965" s="97"/>
      <c r="C965" s="123"/>
      <c r="D965" s="118"/>
      <c r="E965" s="123"/>
      <c r="F965" s="123"/>
      <c r="G965" s="118"/>
      <c r="H965" s="118"/>
      <c r="I965" s="118"/>
      <c r="J965" s="119"/>
      <c r="K965" s="123"/>
      <c r="L965" s="123"/>
      <c r="M965" s="123"/>
      <c r="N965" s="123"/>
      <c r="O965" s="123"/>
      <c r="P965" s="123"/>
      <c r="Q965" s="119"/>
      <c r="R965" s="118"/>
    </row>
    <row r="966" spans="1:18" ht="13">
      <c r="A966" s="105"/>
      <c r="B966" s="97"/>
      <c r="C966" s="123"/>
      <c r="D966" s="118"/>
      <c r="E966" s="123"/>
      <c r="F966" s="123"/>
      <c r="G966" s="118"/>
      <c r="H966" s="118"/>
      <c r="I966" s="118"/>
      <c r="J966" s="119"/>
      <c r="K966" s="123"/>
      <c r="L966" s="123"/>
      <c r="M966" s="123"/>
      <c r="N966" s="123"/>
      <c r="O966" s="123"/>
      <c r="P966" s="123"/>
      <c r="Q966" s="119"/>
      <c r="R966" s="118"/>
    </row>
    <row r="967" spans="1:18" ht="13">
      <c r="A967" s="105"/>
      <c r="B967" s="97"/>
      <c r="C967" s="123"/>
      <c r="D967" s="118"/>
      <c r="E967" s="123"/>
      <c r="F967" s="123"/>
      <c r="G967" s="118"/>
      <c r="H967" s="118"/>
      <c r="I967" s="118"/>
      <c r="J967" s="119"/>
      <c r="K967" s="123"/>
      <c r="L967" s="123"/>
      <c r="M967" s="123"/>
      <c r="N967" s="123"/>
      <c r="O967" s="123"/>
      <c r="P967" s="123"/>
      <c r="Q967" s="119"/>
      <c r="R967" s="118"/>
    </row>
    <row r="968" spans="1:18" ht="13">
      <c r="A968" s="105"/>
      <c r="B968" s="97"/>
      <c r="C968" s="123"/>
      <c r="D968" s="118"/>
      <c r="E968" s="123"/>
      <c r="F968" s="123"/>
      <c r="G968" s="118"/>
      <c r="H968" s="118"/>
      <c r="I968" s="118"/>
      <c r="J968" s="119"/>
      <c r="K968" s="123"/>
      <c r="L968" s="123"/>
      <c r="M968" s="123"/>
      <c r="N968" s="123"/>
      <c r="O968" s="123"/>
      <c r="P968" s="123"/>
      <c r="Q968" s="119"/>
      <c r="R968" s="118"/>
    </row>
    <row r="969" spans="1:18" ht="13">
      <c r="A969" s="105"/>
      <c r="B969" s="97"/>
      <c r="C969" s="123"/>
      <c r="D969" s="118"/>
      <c r="E969" s="123"/>
      <c r="F969" s="123"/>
      <c r="G969" s="118"/>
      <c r="H969" s="118"/>
      <c r="I969" s="118"/>
      <c r="J969" s="119"/>
      <c r="K969" s="123"/>
      <c r="L969" s="123"/>
      <c r="M969" s="123"/>
      <c r="N969" s="123"/>
      <c r="O969" s="123"/>
      <c r="P969" s="123"/>
      <c r="Q969" s="119"/>
      <c r="R969" s="118"/>
    </row>
    <row r="970" spans="1:18" ht="13">
      <c r="A970" s="105"/>
      <c r="B970" s="97"/>
      <c r="C970" s="123"/>
      <c r="D970" s="118"/>
      <c r="E970" s="123"/>
      <c r="F970" s="123"/>
      <c r="G970" s="118"/>
      <c r="H970" s="118"/>
      <c r="I970" s="118"/>
      <c r="J970" s="119"/>
      <c r="K970" s="123"/>
      <c r="L970" s="123"/>
      <c r="M970" s="123"/>
      <c r="N970" s="123"/>
      <c r="O970" s="123"/>
      <c r="P970" s="123"/>
      <c r="Q970" s="119"/>
      <c r="R970" s="118"/>
    </row>
    <row r="971" spans="1:18" ht="13">
      <c r="A971" s="105"/>
      <c r="B971" s="97"/>
      <c r="C971" s="123"/>
      <c r="D971" s="118"/>
      <c r="E971" s="123"/>
      <c r="F971" s="123"/>
      <c r="G971" s="118"/>
      <c r="H971" s="118"/>
      <c r="I971" s="118"/>
      <c r="J971" s="119"/>
      <c r="K971" s="123"/>
      <c r="L971" s="123"/>
      <c r="M971" s="123"/>
      <c r="N971" s="123"/>
      <c r="O971" s="123"/>
      <c r="P971" s="123"/>
      <c r="Q971" s="119"/>
      <c r="R971" s="118"/>
    </row>
    <row r="972" spans="1:18" ht="13">
      <c r="A972" s="105"/>
      <c r="B972" s="97"/>
      <c r="C972" s="123"/>
      <c r="D972" s="118"/>
      <c r="E972" s="123"/>
      <c r="F972" s="123"/>
      <c r="G972" s="118"/>
      <c r="H972" s="118"/>
      <c r="I972" s="118"/>
      <c r="J972" s="119"/>
      <c r="K972" s="123"/>
      <c r="L972" s="123"/>
      <c r="M972" s="123"/>
      <c r="N972" s="123"/>
      <c r="O972" s="123"/>
      <c r="P972" s="123"/>
      <c r="Q972" s="119"/>
      <c r="R972" s="118"/>
    </row>
    <row r="973" spans="1:18" ht="13">
      <c r="A973" s="105"/>
      <c r="B973" s="97"/>
      <c r="C973" s="123"/>
      <c r="D973" s="118"/>
      <c r="E973" s="123"/>
      <c r="F973" s="123"/>
      <c r="G973" s="118"/>
      <c r="H973" s="118"/>
      <c r="I973" s="118"/>
      <c r="J973" s="119"/>
      <c r="K973" s="123"/>
      <c r="L973" s="123"/>
      <c r="M973" s="123"/>
      <c r="N973" s="123"/>
      <c r="O973" s="123"/>
      <c r="P973" s="123"/>
      <c r="Q973" s="119"/>
      <c r="R973" s="118"/>
    </row>
    <row r="974" spans="1:18" ht="13">
      <c r="A974" s="105"/>
      <c r="B974" s="97"/>
      <c r="C974" s="123"/>
      <c r="D974" s="118"/>
      <c r="E974" s="123"/>
      <c r="F974" s="123"/>
      <c r="G974" s="118"/>
      <c r="H974" s="118"/>
      <c r="I974" s="118"/>
      <c r="J974" s="119"/>
      <c r="K974" s="123"/>
      <c r="L974" s="123"/>
      <c r="M974" s="123"/>
      <c r="N974" s="123"/>
      <c r="O974" s="123"/>
      <c r="P974" s="123"/>
      <c r="Q974" s="119"/>
      <c r="R974" s="118"/>
    </row>
    <row r="975" spans="1:18" ht="13">
      <c r="A975" s="105"/>
      <c r="B975" s="97"/>
      <c r="C975" s="123"/>
      <c r="D975" s="118"/>
      <c r="E975" s="123"/>
      <c r="F975" s="123"/>
      <c r="G975" s="118"/>
      <c r="H975" s="118"/>
      <c r="I975" s="118"/>
      <c r="J975" s="119"/>
      <c r="K975" s="123"/>
      <c r="L975" s="123"/>
      <c r="M975" s="123"/>
      <c r="N975" s="123"/>
      <c r="O975" s="123"/>
      <c r="P975" s="123"/>
      <c r="Q975" s="119"/>
      <c r="R975" s="118"/>
    </row>
    <row r="976" spans="1:18" ht="13">
      <c r="A976" s="105"/>
      <c r="B976" s="97"/>
      <c r="C976" s="123"/>
      <c r="D976" s="118"/>
      <c r="E976" s="123"/>
      <c r="F976" s="123"/>
      <c r="G976" s="118"/>
      <c r="H976" s="118"/>
      <c r="I976" s="118"/>
      <c r="J976" s="119"/>
      <c r="K976" s="123"/>
      <c r="L976" s="123"/>
      <c r="M976" s="123"/>
      <c r="N976" s="123"/>
      <c r="O976" s="123"/>
      <c r="P976" s="123"/>
      <c r="Q976" s="119"/>
      <c r="R976" s="118"/>
    </row>
    <row r="977" spans="1:18" ht="13">
      <c r="A977" s="105"/>
      <c r="B977" s="97"/>
      <c r="C977" s="123"/>
      <c r="D977" s="118"/>
      <c r="E977" s="123"/>
      <c r="F977" s="123"/>
      <c r="G977" s="118"/>
      <c r="H977" s="118"/>
      <c r="I977" s="118"/>
      <c r="J977" s="119"/>
      <c r="K977" s="123"/>
      <c r="L977" s="123"/>
      <c r="M977" s="123"/>
      <c r="N977" s="123"/>
      <c r="O977" s="123"/>
      <c r="P977" s="123"/>
      <c r="Q977" s="119"/>
      <c r="R977" s="118"/>
    </row>
    <row r="978" spans="1:18" ht="13">
      <c r="A978" s="105"/>
      <c r="B978" s="97"/>
      <c r="C978" s="123"/>
      <c r="D978" s="118"/>
      <c r="E978" s="123"/>
      <c r="F978" s="123"/>
      <c r="G978" s="118"/>
      <c r="H978" s="118"/>
      <c r="I978" s="118"/>
      <c r="J978" s="119"/>
      <c r="K978" s="123"/>
      <c r="L978" s="123"/>
      <c r="M978" s="123"/>
      <c r="N978" s="123"/>
      <c r="O978" s="123"/>
      <c r="P978" s="123"/>
      <c r="Q978" s="119"/>
      <c r="R978" s="118"/>
    </row>
    <row r="979" spans="1:18" ht="13">
      <c r="A979" s="105"/>
      <c r="B979" s="97"/>
      <c r="C979" s="123"/>
      <c r="D979" s="118"/>
      <c r="E979" s="123"/>
      <c r="F979" s="123"/>
      <c r="G979" s="118"/>
      <c r="H979" s="118"/>
      <c r="I979" s="118"/>
      <c r="J979" s="119"/>
      <c r="K979" s="123"/>
      <c r="L979" s="123"/>
      <c r="M979" s="123"/>
      <c r="N979" s="123"/>
      <c r="O979" s="123"/>
      <c r="P979" s="123"/>
      <c r="Q979" s="119"/>
      <c r="R979" s="118"/>
    </row>
    <row r="980" spans="1:18" ht="13">
      <c r="A980" s="105"/>
      <c r="B980" s="97"/>
      <c r="C980" s="123"/>
      <c r="D980" s="118"/>
      <c r="E980" s="123"/>
      <c r="F980" s="123"/>
      <c r="G980" s="118"/>
      <c r="H980" s="118"/>
      <c r="I980" s="118"/>
      <c r="J980" s="119"/>
      <c r="K980" s="123"/>
      <c r="L980" s="123"/>
      <c r="M980" s="123"/>
      <c r="N980" s="123"/>
      <c r="O980" s="123"/>
      <c r="P980" s="123"/>
      <c r="Q980" s="119"/>
      <c r="R980" s="118"/>
    </row>
    <row r="981" spans="1:18" ht="13">
      <c r="A981" s="105"/>
      <c r="B981" s="97"/>
      <c r="C981" s="123"/>
      <c r="D981" s="118"/>
      <c r="E981" s="123"/>
      <c r="F981" s="123"/>
      <c r="G981" s="118"/>
      <c r="H981" s="118"/>
      <c r="I981" s="118"/>
      <c r="J981" s="119"/>
      <c r="K981" s="123"/>
      <c r="L981" s="123"/>
      <c r="M981" s="123"/>
      <c r="N981" s="123"/>
      <c r="O981" s="123"/>
      <c r="P981" s="123"/>
      <c r="Q981" s="119"/>
      <c r="R981" s="118"/>
    </row>
    <row r="982" spans="1:18" ht="13">
      <c r="A982" s="105"/>
      <c r="B982" s="97"/>
      <c r="C982" s="123"/>
      <c r="D982" s="118"/>
      <c r="E982" s="123"/>
      <c r="F982" s="123"/>
      <c r="G982" s="118"/>
      <c r="H982" s="118"/>
      <c r="I982" s="118"/>
      <c r="J982" s="119"/>
      <c r="K982" s="123"/>
      <c r="L982" s="123"/>
      <c r="M982" s="123"/>
      <c r="N982" s="123"/>
      <c r="O982" s="123"/>
      <c r="P982" s="123"/>
      <c r="Q982" s="119"/>
      <c r="R982" s="118"/>
    </row>
    <row r="983" spans="1:18" ht="13">
      <c r="A983" s="105"/>
      <c r="B983" s="97"/>
      <c r="C983" s="123"/>
      <c r="D983" s="118"/>
      <c r="E983" s="123"/>
      <c r="F983" s="123"/>
      <c r="G983" s="118"/>
      <c r="H983" s="118"/>
      <c r="I983" s="118"/>
      <c r="J983" s="119"/>
      <c r="K983" s="123"/>
      <c r="L983" s="123"/>
      <c r="M983" s="123"/>
      <c r="N983" s="123"/>
      <c r="O983" s="123"/>
      <c r="P983" s="123"/>
      <c r="Q983" s="119"/>
      <c r="R983" s="118"/>
    </row>
    <row r="984" spans="1:18" ht="13">
      <c r="A984" s="105"/>
      <c r="B984" s="97"/>
      <c r="C984" s="123"/>
      <c r="D984" s="118"/>
      <c r="E984" s="123"/>
      <c r="F984" s="123"/>
      <c r="G984" s="118"/>
      <c r="H984" s="118"/>
      <c r="I984" s="118"/>
      <c r="J984" s="119"/>
      <c r="K984" s="123"/>
      <c r="L984" s="123"/>
      <c r="M984" s="123"/>
      <c r="N984" s="123"/>
      <c r="O984" s="123"/>
      <c r="P984" s="123"/>
      <c r="Q984" s="119"/>
      <c r="R984" s="118"/>
    </row>
    <row r="985" spans="1:18" ht="13">
      <c r="A985" s="105"/>
      <c r="B985" s="97"/>
      <c r="C985" s="123"/>
      <c r="D985" s="118"/>
      <c r="E985" s="123"/>
      <c r="F985" s="123"/>
      <c r="G985" s="118"/>
      <c r="H985" s="118"/>
      <c r="I985" s="118"/>
      <c r="J985" s="119"/>
      <c r="K985" s="123"/>
      <c r="L985" s="123"/>
      <c r="M985" s="123"/>
      <c r="N985" s="123"/>
      <c r="O985" s="123"/>
      <c r="P985" s="123"/>
      <c r="Q985" s="119"/>
      <c r="R985" s="118"/>
    </row>
    <row r="986" spans="1:18" ht="13">
      <c r="A986" s="105"/>
      <c r="B986" s="97"/>
      <c r="C986" s="123"/>
      <c r="D986" s="118"/>
      <c r="E986" s="123"/>
      <c r="F986" s="123"/>
      <c r="G986" s="118"/>
      <c r="H986" s="118"/>
      <c r="I986" s="118"/>
      <c r="J986" s="119"/>
      <c r="K986" s="123"/>
      <c r="L986" s="123"/>
      <c r="M986" s="123"/>
      <c r="N986" s="123"/>
      <c r="O986" s="123"/>
      <c r="P986" s="123"/>
      <c r="Q986" s="119"/>
      <c r="R986" s="118"/>
    </row>
    <row r="987" spans="1:18" ht="13">
      <c r="A987" s="105"/>
      <c r="B987" s="97"/>
      <c r="C987" s="123"/>
      <c r="D987" s="118"/>
      <c r="E987" s="123"/>
      <c r="F987" s="123"/>
      <c r="G987" s="118"/>
      <c r="H987" s="118"/>
      <c r="I987" s="118"/>
      <c r="J987" s="119"/>
      <c r="K987" s="123"/>
      <c r="L987" s="123"/>
      <c r="M987" s="123"/>
      <c r="N987" s="123"/>
      <c r="O987" s="123"/>
      <c r="P987" s="123"/>
      <c r="Q987" s="119"/>
      <c r="R987" s="118"/>
    </row>
    <row r="988" spans="1:18" ht="13">
      <c r="A988" s="105"/>
      <c r="B988" s="97"/>
      <c r="C988" s="123"/>
      <c r="D988" s="118"/>
      <c r="E988" s="123"/>
      <c r="F988" s="123"/>
      <c r="G988" s="118"/>
      <c r="H988" s="118"/>
      <c r="I988" s="118"/>
      <c r="J988" s="119"/>
      <c r="K988" s="123"/>
      <c r="L988" s="123"/>
      <c r="M988" s="123"/>
      <c r="N988" s="123"/>
      <c r="O988" s="123"/>
      <c r="P988" s="123"/>
      <c r="Q988" s="119"/>
      <c r="R988" s="118"/>
    </row>
    <row r="989" spans="1:18" ht="13">
      <c r="A989" s="105"/>
      <c r="B989" s="97"/>
      <c r="C989" s="123"/>
      <c r="D989" s="118"/>
      <c r="E989" s="123"/>
      <c r="F989" s="123"/>
      <c r="G989" s="118"/>
      <c r="H989" s="118"/>
      <c r="I989" s="118"/>
      <c r="J989" s="119"/>
      <c r="K989" s="123"/>
      <c r="L989" s="123"/>
      <c r="M989" s="123"/>
      <c r="N989" s="123"/>
      <c r="O989" s="123"/>
      <c r="P989" s="123"/>
      <c r="Q989" s="119"/>
      <c r="R989" s="118"/>
    </row>
    <row r="990" spans="1:18" ht="13">
      <c r="A990" s="105"/>
      <c r="B990" s="97"/>
      <c r="C990" s="123"/>
      <c r="D990" s="118"/>
      <c r="E990" s="123"/>
      <c r="F990" s="123"/>
      <c r="G990" s="118"/>
      <c r="H990" s="118"/>
      <c r="I990" s="118"/>
      <c r="J990" s="119"/>
      <c r="K990" s="123"/>
      <c r="L990" s="123"/>
      <c r="M990" s="123"/>
      <c r="N990" s="123"/>
      <c r="O990" s="123"/>
      <c r="P990" s="123"/>
      <c r="Q990" s="119"/>
      <c r="R990" s="118"/>
    </row>
    <row r="991" spans="1:18" ht="13">
      <c r="A991" s="105"/>
      <c r="B991" s="97"/>
      <c r="C991" s="123"/>
      <c r="D991" s="118"/>
      <c r="E991" s="123"/>
      <c r="F991" s="123"/>
      <c r="G991" s="118"/>
      <c r="H991" s="118"/>
      <c r="I991" s="118"/>
      <c r="J991" s="119"/>
      <c r="K991" s="123"/>
      <c r="L991" s="123"/>
      <c r="M991" s="123"/>
      <c r="N991" s="123"/>
      <c r="O991" s="123"/>
      <c r="P991" s="123"/>
      <c r="Q991" s="119"/>
      <c r="R991" s="118"/>
    </row>
    <row r="992" spans="1:18" ht="13">
      <c r="A992" s="105"/>
      <c r="B992" s="97"/>
      <c r="C992" s="123"/>
      <c r="D992" s="118"/>
      <c r="E992" s="123"/>
      <c r="F992" s="123"/>
      <c r="G992" s="118"/>
      <c r="H992" s="118"/>
      <c r="I992" s="118"/>
      <c r="J992" s="119"/>
      <c r="K992" s="123"/>
      <c r="L992" s="123"/>
      <c r="M992" s="123"/>
      <c r="N992" s="123"/>
      <c r="O992" s="123"/>
      <c r="P992" s="123"/>
      <c r="Q992" s="119"/>
      <c r="R992" s="118"/>
    </row>
    <row r="993" spans="1:18" ht="13">
      <c r="A993" s="105"/>
      <c r="B993" s="97"/>
      <c r="C993" s="123"/>
      <c r="D993" s="118"/>
      <c r="E993" s="123"/>
      <c r="F993" s="123"/>
      <c r="G993" s="118"/>
      <c r="H993" s="118"/>
      <c r="I993" s="118"/>
      <c r="J993" s="119"/>
      <c r="K993" s="123"/>
      <c r="L993" s="123"/>
      <c r="M993" s="123"/>
      <c r="N993" s="123"/>
      <c r="O993" s="123"/>
      <c r="P993" s="123"/>
      <c r="Q993" s="119"/>
      <c r="R993" s="118"/>
    </row>
    <row r="994" spans="1:18" ht="13">
      <c r="A994" s="105"/>
      <c r="B994" s="97"/>
      <c r="C994" s="123"/>
      <c r="D994" s="118"/>
      <c r="E994" s="123"/>
      <c r="F994" s="123"/>
      <c r="G994" s="118"/>
      <c r="H994" s="118"/>
      <c r="I994" s="118"/>
      <c r="J994" s="119"/>
      <c r="K994" s="123"/>
      <c r="L994" s="123"/>
      <c r="M994" s="123"/>
      <c r="N994" s="123"/>
      <c r="O994" s="123"/>
      <c r="P994" s="123"/>
      <c r="Q994" s="119"/>
      <c r="R994" s="118"/>
    </row>
    <row r="995" spans="1:18" ht="13">
      <c r="A995" s="105"/>
      <c r="B995" s="97"/>
      <c r="C995" s="123"/>
      <c r="D995" s="118"/>
      <c r="E995" s="123"/>
      <c r="F995" s="123"/>
      <c r="G995" s="118"/>
      <c r="H995" s="118"/>
      <c r="I995" s="118"/>
      <c r="J995" s="119"/>
      <c r="K995" s="123"/>
      <c r="L995" s="123"/>
      <c r="M995" s="123"/>
      <c r="N995" s="123"/>
      <c r="O995" s="123"/>
      <c r="P995" s="123"/>
      <c r="Q995" s="119"/>
      <c r="R995" s="118"/>
    </row>
    <row r="996" spans="1:18" ht="13">
      <c r="A996" s="105"/>
      <c r="B996" s="97"/>
      <c r="C996" s="123"/>
      <c r="D996" s="118"/>
      <c r="E996" s="123"/>
      <c r="F996" s="123"/>
      <c r="G996" s="118"/>
      <c r="H996" s="118"/>
      <c r="I996" s="118"/>
      <c r="J996" s="119"/>
      <c r="K996" s="123"/>
      <c r="L996" s="123"/>
      <c r="M996" s="123"/>
      <c r="N996" s="123"/>
      <c r="O996" s="123"/>
      <c r="P996" s="123"/>
      <c r="Q996" s="119"/>
      <c r="R996" s="118"/>
    </row>
    <row r="997" spans="1:18" ht="13">
      <c r="A997" s="105"/>
      <c r="B997" s="97"/>
      <c r="C997" s="123"/>
      <c r="D997" s="118"/>
      <c r="E997" s="123"/>
      <c r="F997" s="123"/>
      <c r="G997" s="118"/>
      <c r="H997" s="118"/>
      <c r="I997" s="118"/>
      <c r="J997" s="119"/>
      <c r="K997" s="123"/>
      <c r="L997" s="123"/>
      <c r="M997" s="123"/>
      <c r="N997" s="123"/>
      <c r="O997" s="123"/>
      <c r="P997" s="123"/>
      <c r="Q997" s="119"/>
      <c r="R997" s="118"/>
    </row>
    <row r="998" spans="1:18" ht="13">
      <c r="A998" s="105"/>
      <c r="B998" s="97"/>
      <c r="C998" s="123"/>
      <c r="D998" s="118"/>
      <c r="E998" s="123"/>
      <c r="F998" s="123"/>
      <c r="G998" s="118"/>
      <c r="H998" s="118"/>
      <c r="I998" s="118"/>
      <c r="J998" s="119"/>
      <c r="K998" s="123"/>
      <c r="L998" s="123"/>
      <c r="M998" s="123"/>
      <c r="N998" s="123"/>
      <c r="O998" s="123"/>
      <c r="P998" s="123"/>
      <c r="Q998" s="119"/>
      <c r="R998" s="118"/>
    </row>
    <row r="999" spans="1:18" ht="13">
      <c r="A999" s="105"/>
      <c r="B999" s="97"/>
      <c r="C999" s="123"/>
      <c r="D999" s="118"/>
      <c r="E999" s="123"/>
      <c r="F999" s="123"/>
      <c r="G999" s="118"/>
      <c r="H999" s="118"/>
      <c r="I999" s="118"/>
      <c r="J999" s="119"/>
      <c r="K999" s="123"/>
      <c r="L999" s="123"/>
      <c r="M999" s="123"/>
      <c r="N999" s="123"/>
      <c r="O999" s="123"/>
      <c r="P999" s="123"/>
      <c r="Q999" s="119"/>
      <c r="R999" s="118"/>
    </row>
    <row r="1000" spans="1:18" ht="13">
      <c r="A1000" s="105"/>
      <c r="B1000" s="97"/>
      <c r="C1000" s="123"/>
      <c r="D1000" s="118"/>
      <c r="E1000" s="123"/>
      <c r="F1000" s="123"/>
      <c r="G1000" s="118"/>
      <c r="H1000" s="118"/>
      <c r="I1000" s="118"/>
      <c r="J1000" s="119"/>
      <c r="K1000" s="123"/>
      <c r="L1000" s="123"/>
      <c r="M1000" s="123"/>
      <c r="N1000" s="123"/>
      <c r="O1000" s="123"/>
      <c r="P1000" s="123"/>
      <c r="Q1000" s="119"/>
      <c r="R1000" s="118"/>
    </row>
    <row r="1001" spans="1:18" ht="13">
      <c r="A1001" s="105"/>
      <c r="B1001" s="97"/>
      <c r="C1001" s="123"/>
      <c r="D1001" s="118"/>
      <c r="E1001" s="123"/>
      <c r="F1001" s="123"/>
      <c r="G1001" s="118"/>
      <c r="H1001" s="118"/>
      <c r="I1001" s="118"/>
      <c r="J1001" s="119"/>
      <c r="K1001" s="123"/>
      <c r="L1001" s="123"/>
      <c r="M1001" s="123"/>
      <c r="N1001" s="123"/>
      <c r="O1001" s="123"/>
      <c r="P1001" s="123"/>
      <c r="Q1001" s="119"/>
      <c r="R1001" s="118"/>
    </row>
    <row r="1002" spans="1:18" ht="13">
      <c r="A1002" s="105"/>
      <c r="B1002" s="97"/>
      <c r="C1002" s="123"/>
      <c r="D1002" s="118"/>
      <c r="E1002" s="123"/>
      <c r="F1002" s="123"/>
      <c r="G1002" s="118"/>
      <c r="H1002" s="118"/>
      <c r="I1002" s="118"/>
      <c r="J1002" s="119"/>
      <c r="K1002" s="123"/>
      <c r="L1002" s="123"/>
      <c r="M1002" s="123"/>
      <c r="N1002" s="123"/>
      <c r="O1002" s="123"/>
      <c r="P1002" s="123"/>
      <c r="Q1002" s="119"/>
      <c r="R1002" s="118"/>
    </row>
    <row r="1003" spans="1:18" ht="13">
      <c r="A1003" s="105"/>
      <c r="B1003" s="97"/>
      <c r="C1003" s="123"/>
      <c r="D1003" s="118"/>
      <c r="E1003" s="123"/>
      <c r="F1003" s="123"/>
      <c r="G1003" s="118"/>
      <c r="H1003" s="118"/>
      <c r="I1003" s="118"/>
      <c r="J1003" s="119"/>
      <c r="K1003" s="123"/>
      <c r="L1003" s="123"/>
      <c r="M1003" s="123"/>
      <c r="N1003" s="123"/>
      <c r="O1003" s="123"/>
      <c r="P1003" s="123"/>
      <c r="Q1003" s="119"/>
      <c r="R1003" s="118"/>
    </row>
    <row r="1004" spans="1:18" ht="13">
      <c r="A1004" s="105"/>
      <c r="B1004" s="97"/>
      <c r="C1004" s="123"/>
      <c r="D1004" s="118"/>
      <c r="E1004" s="123"/>
      <c r="F1004" s="123"/>
      <c r="G1004" s="118"/>
      <c r="H1004" s="118"/>
      <c r="I1004" s="118"/>
      <c r="J1004" s="119"/>
      <c r="K1004" s="123"/>
      <c r="L1004" s="123"/>
      <c r="M1004" s="123"/>
      <c r="N1004" s="123"/>
      <c r="O1004" s="123"/>
      <c r="P1004" s="123"/>
      <c r="Q1004" s="119"/>
      <c r="R1004" s="118"/>
    </row>
    <row r="1005" spans="1:18" ht="13">
      <c r="A1005" s="105"/>
      <c r="B1005" s="97"/>
      <c r="C1005" s="123"/>
      <c r="D1005" s="118"/>
      <c r="E1005" s="123"/>
      <c r="F1005" s="123"/>
      <c r="G1005" s="118"/>
      <c r="H1005" s="118"/>
      <c r="I1005" s="118"/>
      <c r="J1005" s="119"/>
      <c r="K1005" s="123"/>
      <c r="L1005" s="123"/>
      <c r="M1005" s="123"/>
      <c r="N1005" s="123"/>
      <c r="O1005" s="123"/>
      <c r="P1005" s="123"/>
      <c r="Q1005" s="119"/>
      <c r="R1005" s="118"/>
    </row>
    <row r="1006" spans="1:18" ht="13">
      <c r="A1006" s="105"/>
      <c r="B1006" s="97"/>
      <c r="C1006" s="123"/>
      <c r="D1006" s="118"/>
      <c r="E1006" s="123"/>
      <c r="F1006" s="123"/>
      <c r="G1006" s="118"/>
      <c r="H1006" s="118"/>
      <c r="I1006" s="118"/>
      <c r="J1006" s="119"/>
      <c r="K1006" s="123"/>
      <c r="L1006" s="123"/>
      <c r="M1006" s="123"/>
      <c r="N1006" s="123"/>
      <c r="O1006" s="123"/>
      <c r="P1006" s="123"/>
      <c r="Q1006" s="119"/>
      <c r="R1006" s="118"/>
    </row>
    <row r="1007" spans="1:18" ht="13">
      <c r="A1007" s="105"/>
      <c r="B1007" s="97"/>
      <c r="C1007" s="123"/>
      <c r="D1007" s="118"/>
      <c r="E1007" s="123"/>
      <c r="F1007" s="123"/>
      <c r="G1007" s="118"/>
      <c r="H1007" s="118"/>
      <c r="I1007" s="118"/>
      <c r="J1007" s="119"/>
      <c r="K1007" s="123"/>
      <c r="L1007" s="123"/>
      <c r="M1007" s="123"/>
      <c r="N1007" s="123"/>
      <c r="O1007" s="123"/>
      <c r="P1007" s="123"/>
      <c r="Q1007" s="119"/>
      <c r="R1007" s="118"/>
    </row>
    <row r="1008" spans="1:18" ht="13">
      <c r="A1008" s="105"/>
      <c r="B1008" s="97"/>
      <c r="C1008" s="123"/>
      <c r="D1008" s="118"/>
      <c r="E1008" s="123"/>
      <c r="F1008" s="123"/>
      <c r="G1008" s="118"/>
      <c r="H1008" s="118"/>
      <c r="I1008" s="118"/>
      <c r="J1008" s="119"/>
      <c r="K1008" s="123"/>
      <c r="L1008" s="123"/>
      <c r="M1008" s="123"/>
      <c r="N1008" s="123"/>
      <c r="O1008" s="123"/>
      <c r="P1008" s="123"/>
      <c r="Q1008" s="119"/>
      <c r="R1008" s="118"/>
    </row>
    <row r="1009" spans="1:18" ht="13">
      <c r="A1009" s="105"/>
      <c r="B1009" s="97"/>
      <c r="C1009" s="123"/>
      <c r="D1009" s="118"/>
      <c r="E1009" s="123"/>
      <c r="F1009" s="123"/>
      <c r="G1009" s="118"/>
      <c r="H1009" s="118"/>
      <c r="I1009" s="118"/>
      <c r="J1009" s="119"/>
      <c r="K1009" s="123"/>
      <c r="L1009" s="123"/>
      <c r="M1009" s="123"/>
      <c r="N1009" s="123"/>
      <c r="O1009" s="123"/>
      <c r="P1009" s="123"/>
      <c r="Q1009" s="119"/>
      <c r="R1009" s="118"/>
    </row>
    <row r="1010" spans="1:18" ht="13">
      <c r="A1010" s="105"/>
      <c r="B1010" s="97"/>
      <c r="C1010" s="123"/>
      <c r="D1010" s="118"/>
      <c r="E1010" s="123"/>
      <c r="F1010" s="123"/>
      <c r="G1010" s="118"/>
      <c r="H1010" s="118"/>
      <c r="I1010" s="118"/>
      <c r="J1010" s="119"/>
      <c r="K1010" s="123"/>
      <c r="L1010" s="123"/>
      <c r="M1010" s="123"/>
      <c r="N1010" s="123"/>
      <c r="O1010" s="123"/>
      <c r="P1010" s="123"/>
      <c r="Q1010" s="119"/>
      <c r="R1010" s="118"/>
    </row>
    <row r="1011" spans="1:18" ht="13">
      <c r="A1011" s="105"/>
      <c r="B1011" s="97"/>
      <c r="C1011" s="123"/>
      <c r="D1011" s="118"/>
      <c r="E1011" s="123"/>
      <c r="F1011" s="123"/>
      <c r="G1011" s="118"/>
      <c r="H1011" s="118"/>
      <c r="I1011" s="118"/>
      <c r="J1011" s="119"/>
      <c r="K1011" s="123"/>
      <c r="L1011" s="123"/>
      <c r="M1011" s="123"/>
      <c r="N1011" s="123"/>
      <c r="O1011" s="123"/>
      <c r="P1011" s="123"/>
      <c r="Q1011" s="119"/>
      <c r="R1011" s="118"/>
    </row>
    <row r="1012" spans="1:18" ht="13">
      <c r="A1012" s="105"/>
      <c r="B1012" s="97"/>
      <c r="C1012" s="123"/>
      <c r="D1012" s="118"/>
      <c r="E1012" s="123"/>
      <c r="F1012" s="123"/>
      <c r="G1012" s="118"/>
      <c r="H1012" s="118"/>
      <c r="I1012" s="118"/>
      <c r="J1012" s="119"/>
      <c r="K1012" s="123"/>
      <c r="L1012" s="123"/>
      <c r="M1012" s="123"/>
      <c r="N1012" s="123"/>
      <c r="O1012" s="123"/>
      <c r="P1012" s="123"/>
      <c r="Q1012" s="119"/>
      <c r="R1012" s="118"/>
    </row>
    <row r="1013" spans="1:18" ht="13">
      <c r="A1013" s="105"/>
      <c r="B1013" s="97"/>
      <c r="C1013" s="123"/>
      <c r="D1013" s="118"/>
      <c r="E1013" s="123"/>
      <c r="F1013" s="123"/>
      <c r="G1013" s="118"/>
      <c r="H1013" s="118"/>
      <c r="I1013" s="118"/>
      <c r="J1013" s="119"/>
      <c r="K1013" s="123"/>
      <c r="L1013" s="123"/>
      <c r="M1013" s="123"/>
      <c r="N1013" s="123"/>
      <c r="O1013" s="123"/>
      <c r="P1013" s="123"/>
      <c r="Q1013" s="119"/>
      <c r="R1013" s="118"/>
    </row>
    <row r="1014" spans="1:18" ht="13">
      <c r="A1014" s="105"/>
      <c r="B1014" s="97"/>
      <c r="C1014" s="123"/>
      <c r="D1014" s="118"/>
      <c r="E1014" s="123"/>
      <c r="F1014" s="123"/>
      <c r="G1014" s="118"/>
      <c r="H1014" s="118"/>
      <c r="I1014" s="118"/>
      <c r="J1014" s="119"/>
      <c r="K1014" s="123"/>
      <c r="L1014" s="123"/>
      <c r="M1014" s="123"/>
      <c r="N1014" s="123"/>
      <c r="O1014" s="123"/>
      <c r="P1014" s="123"/>
      <c r="Q1014" s="119"/>
      <c r="R1014" s="118"/>
    </row>
    <row r="1015" spans="1:18" ht="13">
      <c r="A1015" s="105"/>
      <c r="B1015" s="97"/>
      <c r="C1015" s="123"/>
      <c r="D1015" s="118"/>
      <c r="E1015" s="123"/>
      <c r="F1015" s="123"/>
      <c r="G1015" s="118"/>
      <c r="H1015" s="118"/>
      <c r="I1015" s="118"/>
      <c r="J1015" s="119"/>
      <c r="K1015" s="123"/>
      <c r="L1015" s="123"/>
      <c r="M1015" s="123"/>
      <c r="N1015" s="123"/>
      <c r="O1015" s="123"/>
      <c r="P1015" s="123"/>
      <c r="Q1015" s="119"/>
      <c r="R1015" s="118"/>
    </row>
    <row r="1016" spans="1:18" ht="13">
      <c r="A1016" s="105"/>
      <c r="B1016" s="97"/>
      <c r="C1016" s="123"/>
      <c r="D1016" s="118"/>
      <c r="E1016" s="123"/>
      <c r="F1016" s="123"/>
      <c r="G1016" s="118"/>
      <c r="H1016" s="118"/>
      <c r="I1016" s="118"/>
      <c r="J1016" s="119"/>
      <c r="K1016" s="123"/>
      <c r="L1016" s="123"/>
      <c r="M1016" s="123"/>
      <c r="N1016" s="123"/>
      <c r="O1016" s="123"/>
      <c r="P1016" s="123"/>
      <c r="Q1016" s="119"/>
      <c r="R1016" s="118"/>
    </row>
    <row r="1017" spans="1:18" ht="13">
      <c r="A1017" s="105"/>
      <c r="B1017" s="97"/>
      <c r="C1017" s="123"/>
      <c r="D1017" s="118"/>
      <c r="E1017" s="123"/>
      <c r="F1017" s="123"/>
      <c r="G1017" s="118"/>
      <c r="H1017" s="118"/>
      <c r="I1017" s="118"/>
      <c r="J1017" s="119"/>
      <c r="K1017" s="123"/>
      <c r="L1017" s="123"/>
      <c r="M1017" s="123"/>
      <c r="N1017" s="123"/>
      <c r="O1017" s="123"/>
      <c r="P1017" s="123"/>
      <c r="Q1017" s="119"/>
      <c r="R1017" s="118"/>
    </row>
    <row r="1018" spans="1:18" ht="13">
      <c r="A1018" s="105"/>
      <c r="B1018" s="97"/>
      <c r="C1018" s="123"/>
      <c r="D1018" s="118"/>
      <c r="E1018" s="123"/>
      <c r="F1018" s="123"/>
      <c r="G1018" s="118"/>
      <c r="H1018" s="118"/>
      <c r="I1018" s="118"/>
      <c r="J1018" s="119"/>
      <c r="K1018" s="123"/>
      <c r="L1018" s="123"/>
      <c r="M1018" s="123"/>
      <c r="N1018" s="123"/>
      <c r="O1018" s="123"/>
      <c r="P1018" s="123"/>
      <c r="Q1018" s="119"/>
      <c r="R1018" s="118"/>
    </row>
    <row r="1019" spans="1:18" ht="13">
      <c r="A1019" s="105"/>
      <c r="B1019" s="97"/>
      <c r="C1019" s="123"/>
      <c r="D1019" s="118"/>
      <c r="E1019" s="123"/>
      <c r="F1019" s="123"/>
      <c r="G1019" s="118"/>
      <c r="H1019" s="118"/>
      <c r="I1019" s="118"/>
      <c r="J1019" s="119"/>
      <c r="K1019" s="123"/>
      <c r="L1019" s="123"/>
      <c r="M1019" s="123"/>
      <c r="N1019" s="123"/>
      <c r="O1019" s="123"/>
      <c r="P1019" s="123"/>
      <c r="Q1019" s="119"/>
      <c r="R1019" s="118"/>
    </row>
    <row r="1020" spans="1:18" ht="13">
      <c r="A1020" s="105"/>
      <c r="B1020" s="97"/>
      <c r="C1020" s="123"/>
      <c r="D1020" s="118"/>
      <c r="E1020" s="123"/>
      <c r="F1020" s="123"/>
      <c r="G1020" s="118"/>
      <c r="H1020" s="118"/>
      <c r="I1020" s="118"/>
      <c r="J1020" s="119"/>
      <c r="K1020" s="123"/>
      <c r="L1020" s="123"/>
      <c r="M1020" s="123"/>
      <c r="N1020" s="123"/>
      <c r="O1020" s="123"/>
      <c r="P1020" s="123"/>
      <c r="Q1020" s="119"/>
      <c r="R1020" s="118"/>
    </row>
    <row r="1021" spans="1:18" ht="13">
      <c r="A1021" s="105"/>
      <c r="B1021" s="97"/>
      <c r="C1021" s="123"/>
      <c r="D1021" s="118"/>
      <c r="E1021" s="123"/>
      <c r="F1021" s="123"/>
      <c r="G1021" s="118"/>
      <c r="H1021" s="118"/>
      <c r="I1021" s="118"/>
      <c r="J1021" s="119"/>
      <c r="K1021" s="123"/>
      <c r="L1021" s="123"/>
      <c r="M1021" s="123"/>
      <c r="N1021" s="123"/>
      <c r="O1021" s="123"/>
      <c r="P1021" s="123"/>
      <c r="Q1021" s="119"/>
      <c r="R1021" s="118"/>
    </row>
    <row r="1022" spans="1:18" ht="13">
      <c r="A1022" s="105"/>
      <c r="B1022" s="97"/>
      <c r="C1022" s="123"/>
      <c r="D1022" s="118"/>
      <c r="E1022" s="123"/>
      <c r="F1022" s="123"/>
      <c r="G1022" s="118"/>
      <c r="H1022" s="118"/>
      <c r="I1022" s="118"/>
      <c r="J1022" s="119"/>
      <c r="K1022" s="123"/>
      <c r="L1022" s="123"/>
      <c r="M1022" s="123"/>
      <c r="N1022" s="123"/>
      <c r="O1022" s="123"/>
      <c r="P1022" s="123"/>
      <c r="Q1022" s="119"/>
      <c r="R1022" s="118"/>
    </row>
    <row r="1023" spans="1:18" ht="13">
      <c r="A1023" s="105"/>
      <c r="B1023" s="97"/>
      <c r="C1023" s="123"/>
      <c r="D1023" s="118"/>
      <c r="E1023" s="123"/>
      <c r="F1023" s="123"/>
      <c r="G1023" s="118"/>
      <c r="H1023" s="118"/>
      <c r="I1023" s="118"/>
      <c r="J1023" s="119"/>
      <c r="K1023" s="123"/>
      <c r="L1023" s="123"/>
      <c r="M1023" s="123"/>
      <c r="N1023" s="123"/>
      <c r="O1023" s="123"/>
      <c r="P1023" s="123"/>
      <c r="Q1023" s="119"/>
      <c r="R1023" s="118"/>
    </row>
    <row r="1024" spans="1:18" ht="13">
      <c r="A1024" s="105"/>
      <c r="B1024" s="97"/>
      <c r="C1024" s="123"/>
      <c r="D1024" s="118"/>
      <c r="E1024" s="123"/>
      <c r="F1024" s="123"/>
      <c r="G1024" s="118"/>
      <c r="H1024" s="118"/>
      <c r="I1024" s="118"/>
      <c r="J1024" s="119"/>
      <c r="K1024" s="123"/>
      <c r="L1024" s="123"/>
      <c r="M1024" s="123"/>
      <c r="N1024" s="123"/>
      <c r="O1024" s="123"/>
      <c r="P1024" s="123"/>
      <c r="Q1024" s="119"/>
      <c r="R1024" s="118"/>
    </row>
    <row r="1025" spans="1:18" ht="13">
      <c r="A1025" s="105"/>
      <c r="B1025" s="97"/>
      <c r="C1025" s="123"/>
      <c r="D1025" s="118"/>
      <c r="E1025" s="123"/>
      <c r="F1025" s="123"/>
      <c r="G1025" s="118"/>
      <c r="H1025" s="118"/>
      <c r="I1025" s="118"/>
      <c r="J1025" s="119"/>
      <c r="K1025" s="123"/>
      <c r="L1025" s="123"/>
      <c r="M1025" s="123"/>
      <c r="N1025" s="123"/>
      <c r="O1025" s="123"/>
      <c r="P1025" s="123"/>
      <c r="Q1025" s="119"/>
      <c r="R1025" s="118"/>
    </row>
  </sheetData>
  <mergeCells count="11">
    <mergeCell ref="M227:M231"/>
    <mergeCell ref="M260:M262"/>
    <mergeCell ref="M267:M270"/>
    <mergeCell ref="M276:M277"/>
    <mergeCell ref="M115:M116"/>
    <mergeCell ref="M117:M122"/>
    <mergeCell ref="M135:M138"/>
    <mergeCell ref="M139:M140"/>
    <mergeCell ref="M155:M158"/>
    <mergeCell ref="M164:M166"/>
    <mergeCell ref="M168:M171"/>
  </mergeCells>
  <dataValidations count="2">
    <dataValidation type="list" allowBlank="1" showErrorMessage="1" sqref="L2:L284" xr:uid="{00000000-0002-0000-0800-000000000000}">
      <formula1>"SmartExplorer,SmartProgram,Informatika Kurmer,ITPreneur,SmartTK,FuturePro,SEIS,ITPreneur Inter ,Prakarya SMP,Prakarya SMA "</formula1>
    </dataValidation>
    <dataValidation type="list" allowBlank="1" showErrorMessage="1" sqref="K2:K284" xr:uid="{00000000-0002-0000-0800-000001000000}">
      <formula1>"Lisensi,Sewa Beli,Sewa Pinjam,Kontrak Pengajaran"</formula1>
    </dataValidation>
  </dataValidations>
  <hyperlinks>
    <hyperlink ref="B226" r:id="rId1" xr:uid="{00000000-0004-0000-0800-000000000000}"/>
    <hyperlink ref="B227" r:id="rId2" xr:uid="{00000000-0004-0000-0800-000001000000}"/>
    <hyperlink ref="B239" r:id="rId3" xr:uid="{00000000-0004-0000-0800-000002000000}"/>
    <hyperlink ref="E268" r:id="rId4" xr:uid="{00000000-0004-0000-0800-000003000000}"/>
    <hyperlink ref="E269" r:id="rId5" xr:uid="{00000000-0004-0000-0800-000004000000}"/>
    <hyperlink ref="E270" r:id="rId6" xr:uid="{00000000-0004-0000-0800-000005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W384"/>
  <sheetViews>
    <sheetView workbookViewId="0"/>
  </sheetViews>
  <sheetFormatPr baseColWidth="10" defaultColWidth="12.6640625" defaultRowHeight="15.75" customHeight="1"/>
  <cols>
    <col min="1" max="1" width="33.33203125" customWidth="1"/>
    <col min="2" max="2" width="45.5" customWidth="1"/>
    <col min="3" max="3" width="27.6640625" customWidth="1"/>
    <col min="4" max="4" width="42.6640625" customWidth="1"/>
    <col min="5" max="5" width="35" hidden="1" customWidth="1"/>
    <col min="6" max="6" width="19.6640625" hidden="1" customWidth="1"/>
    <col min="7" max="7" width="31.1640625" hidden="1" customWidth="1"/>
    <col min="8" max="8" width="21.83203125" hidden="1" customWidth="1"/>
    <col min="9" max="9" width="20.6640625" customWidth="1"/>
    <col min="10" max="10" width="18" customWidth="1"/>
    <col min="11" max="11" width="17.33203125" customWidth="1"/>
    <col min="12" max="12" width="19.83203125" customWidth="1"/>
    <col min="13" max="13" width="28.5" customWidth="1"/>
    <col min="14" max="14" width="24.1640625" customWidth="1"/>
    <col min="15" max="15" width="19.5" customWidth="1"/>
    <col min="16" max="16" width="20.83203125" customWidth="1"/>
    <col min="17" max="17" width="18.6640625" customWidth="1"/>
    <col min="18" max="18" width="17.6640625" customWidth="1"/>
    <col min="19" max="19" width="15.1640625" customWidth="1"/>
    <col min="20" max="20" width="14.83203125" customWidth="1"/>
    <col min="21" max="21" width="20.83203125" customWidth="1"/>
    <col min="22" max="22" width="21.1640625" customWidth="1"/>
  </cols>
  <sheetData>
    <row r="1" spans="1:23" ht="15.75" customHeight="1">
      <c r="A1" s="161" t="s">
        <v>263</v>
      </c>
      <c r="B1" s="161" t="s">
        <v>941</v>
      </c>
      <c r="C1" s="161" t="s">
        <v>942</v>
      </c>
      <c r="D1" s="161" t="s">
        <v>0</v>
      </c>
      <c r="E1" s="161" t="s">
        <v>265</v>
      </c>
      <c r="F1" s="161" t="s">
        <v>984</v>
      </c>
      <c r="G1" s="161" t="s">
        <v>266</v>
      </c>
      <c r="H1" s="161" t="s">
        <v>267</v>
      </c>
      <c r="I1" s="161" t="s">
        <v>268</v>
      </c>
      <c r="J1" s="161" t="s">
        <v>269</v>
      </c>
      <c r="K1" s="161" t="s">
        <v>17</v>
      </c>
      <c r="L1" s="161" t="s">
        <v>270</v>
      </c>
      <c r="M1" s="161" t="s">
        <v>271</v>
      </c>
      <c r="N1" s="161" t="s">
        <v>272</v>
      </c>
      <c r="O1" s="161" t="s">
        <v>273</v>
      </c>
      <c r="P1" s="161" t="s">
        <v>985</v>
      </c>
      <c r="Q1" s="162" t="s">
        <v>274</v>
      </c>
      <c r="R1" s="161" t="s">
        <v>986</v>
      </c>
      <c r="S1" s="161" t="s">
        <v>987</v>
      </c>
      <c r="T1" s="161" t="s">
        <v>988</v>
      </c>
      <c r="U1" s="161" t="s">
        <v>989</v>
      </c>
      <c r="V1" s="161" t="s">
        <v>276</v>
      </c>
      <c r="W1" s="161" t="s">
        <v>277</v>
      </c>
    </row>
    <row r="2" spans="1:23" ht="15.75" customHeight="1">
      <c r="A2" s="10" t="s">
        <v>990</v>
      </c>
      <c r="B2" s="10" t="s">
        <v>814</v>
      </c>
      <c r="C2" s="10"/>
      <c r="D2" s="10" t="s">
        <v>991</v>
      </c>
      <c r="E2" s="10" t="s">
        <v>815</v>
      </c>
      <c r="F2" s="10"/>
      <c r="G2" s="10"/>
      <c r="H2" s="103" t="s">
        <v>895</v>
      </c>
      <c r="I2" s="103" t="s">
        <v>992</v>
      </c>
      <c r="J2" s="103" t="s">
        <v>993</v>
      </c>
      <c r="K2" s="23"/>
      <c r="L2" s="23" t="s">
        <v>248</v>
      </c>
      <c r="M2" s="103" t="s">
        <v>315</v>
      </c>
      <c r="N2" s="90">
        <v>18500</v>
      </c>
      <c r="O2" s="10"/>
      <c r="P2" s="103">
        <v>15</v>
      </c>
      <c r="Q2" s="10"/>
      <c r="R2" s="10"/>
      <c r="S2" s="10" t="s">
        <v>0</v>
      </c>
      <c r="T2" s="10"/>
      <c r="U2" s="10" t="s">
        <v>361</v>
      </c>
      <c r="V2" s="10" t="s">
        <v>994</v>
      </c>
      <c r="W2" s="10"/>
    </row>
    <row r="3" spans="1:23" ht="15.75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 spans="1:23" ht="15.75" customHeight="1">
      <c r="A4" s="10" t="s">
        <v>995</v>
      </c>
      <c r="B4" s="10" t="s">
        <v>996</v>
      </c>
      <c r="C4" s="10"/>
      <c r="D4" s="10" t="s">
        <v>997</v>
      </c>
      <c r="E4" s="10" t="s">
        <v>998</v>
      </c>
      <c r="F4" s="10"/>
      <c r="G4" s="10"/>
      <c r="H4" s="10"/>
      <c r="I4" s="103" t="s">
        <v>999</v>
      </c>
      <c r="J4" s="103" t="s">
        <v>1000</v>
      </c>
      <c r="K4" s="23"/>
      <c r="L4" s="23" t="s">
        <v>248</v>
      </c>
      <c r="M4" s="103" t="s">
        <v>315</v>
      </c>
      <c r="N4" s="90">
        <v>18000</v>
      </c>
      <c r="O4" s="103"/>
      <c r="P4" s="103">
        <v>25</v>
      </c>
      <c r="Q4" s="90">
        <v>25000</v>
      </c>
      <c r="R4" s="10"/>
      <c r="S4" s="10" t="s">
        <v>0</v>
      </c>
      <c r="T4" s="10"/>
      <c r="U4" s="10" t="s">
        <v>1001</v>
      </c>
      <c r="V4" s="10" t="s">
        <v>1002</v>
      </c>
      <c r="W4" s="10"/>
    </row>
    <row r="5" spans="1:23" ht="15.75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15.75" customHeight="1">
      <c r="A6" s="10" t="s">
        <v>1003</v>
      </c>
      <c r="B6" s="10" t="s">
        <v>1004</v>
      </c>
      <c r="C6" s="10"/>
      <c r="D6" s="10" t="s">
        <v>1005</v>
      </c>
      <c r="E6" s="10" t="s">
        <v>1006</v>
      </c>
      <c r="F6" s="10"/>
      <c r="G6" s="10"/>
      <c r="H6" s="103" t="s">
        <v>895</v>
      </c>
      <c r="I6" s="103" t="s">
        <v>992</v>
      </c>
      <c r="J6" s="103" t="s">
        <v>993</v>
      </c>
      <c r="K6" s="10"/>
      <c r="L6" s="23" t="s">
        <v>248</v>
      </c>
      <c r="M6" s="103" t="s">
        <v>1007</v>
      </c>
      <c r="N6" s="90">
        <v>25000</v>
      </c>
      <c r="O6" s="10"/>
      <c r="P6" s="103">
        <v>15</v>
      </c>
      <c r="Q6" s="10"/>
      <c r="R6" s="10"/>
      <c r="S6" s="10" t="s">
        <v>0</v>
      </c>
      <c r="T6" s="10"/>
      <c r="U6" s="10" t="s">
        <v>452</v>
      </c>
      <c r="V6" s="10" t="s">
        <v>1008</v>
      </c>
      <c r="W6" s="10"/>
    </row>
    <row r="7" spans="1:23" ht="15.75" customHeight="1">
      <c r="A7" s="10" t="s">
        <v>1003</v>
      </c>
      <c r="B7" s="10" t="s">
        <v>1004</v>
      </c>
      <c r="C7" s="10"/>
      <c r="D7" s="10" t="s">
        <v>1009</v>
      </c>
      <c r="E7" s="10" t="s">
        <v>1006</v>
      </c>
      <c r="F7" s="10"/>
      <c r="G7" s="10"/>
      <c r="H7" s="103" t="s">
        <v>895</v>
      </c>
      <c r="I7" s="103" t="s">
        <v>992</v>
      </c>
      <c r="J7" s="103" t="s">
        <v>993</v>
      </c>
      <c r="K7" s="10"/>
      <c r="L7" s="23" t="s">
        <v>248</v>
      </c>
      <c r="M7" s="103" t="s">
        <v>599</v>
      </c>
      <c r="N7" s="90">
        <v>25000</v>
      </c>
      <c r="O7" s="10"/>
      <c r="P7" s="103">
        <v>15</v>
      </c>
      <c r="Q7" s="10"/>
      <c r="R7" s="10"/>
      <c r="S7" s="10" t="s">
        <v>0</v>
      </c>
      <c r="T7" s="10"/>
      <c r="U7" s="10" t="s">
        <v>452</v>
      </c>
      <c r="V7" s="10" t="s">
        <v>1008</v>
      </c>
      <c r="W7" s="10"/>
    </row>
    <row r="8" spans="1:23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</row>
    <row r="9" spans="1:23" ht="15.75" customHeight="1">
      <c r="A9" s="10" t="s">
        <v>1010</v>
      </c>
      <c r="B9" s="10" t="s">
        <v>1011</v>
      </c>
      <c r="C9" s="10" t="s">
        <v>1012</v>
      </c>
      <c r="D9" s="10" t="s">
        <v>1013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  <row r="10" spans="1:23" ht="15.75" customHeight="1">
      <c r="A10" s="10" t="s">
        <v>1010</v>
      </c>
      <c r="B10" s="10" t="s">
        <v>1011</v>
      </c>
      <c r="C10" s="10" t="s">
        <v>1012</v>
      </c>
      <c r="D10" s="10" t="s">
        <v>1014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</row>
    <row r="11" spans="1:23" ht="15.75" customHeight="1">
      <c r="A11" s="10" t="s">
        <v>1010</v>
      </c>
      <c r="B11" s="10" t="s">
        <v>1011</v>
      </c>
      <c r="C11" s="10" t="s">
        <v>1012</v>
      </c>
      <c r="D11" s="10" t="s">
        <v>1015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  <row r="12" spans="1:23" ht="15.75" customHeight="1">
      <c r="A12" s="10" t="s">
        <v>1010</v>
      </c>
      <c r="B12" s="10" t="s">
        <v>1011</v>
      </c>
      <c r="C12" s="10" t="s">
        <v>1012</v>
      </c>
      <c r="D12" s="10" t="s">
        <v>1016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  <row r="13" spans="1:23" ht="15.75" customHeight="1">
      <c r="A13" s="10" t="s">
        <v>1010</v>
      </c>
      <c r="B13" s="10" t="s">
        <v>1011</v>
      </c>
      <c r="C13" s="10" t="s">
        <v>1012</v>
      </c>
      <c r="D13" s="10" t="s">
        <v>1017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  <row r="14" spans="1:23" ht="15.75" customHeight="1">
      <c r="A14" s="10" t="s">
        <v>1010</v>
      </c>
      <c r="B14" s="10" t="s">
        <v>1011</v>
      </c>
      <c r="C14" s="10" t="s">
        <v>1012</v>
      </c>
      <c r="D14" s="10" t="s">
        <v>1018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</row>
    <row r="15" spans="1:23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  <row r="16" spans="1:23" ht="15.75" customHeight="1">
      <c r="A16" s="10" t="s">
        <v>1019</v>
      </c>
      <c r="B16" s="10" t="s">
        <v>746</v>
      </c>
      <c r="C16" s="10"/>
      <c r="D16" s="10" t="s">
        <v>1020</v>
      </c>
      <c r="E16" s="10" t="s">
        <v>1021</v>
      </c>
      <c r="F16" s="10"/>
      <c r="G16" s="10"/>
      <c r="H16" s="10"/>
      <c r="I16" s="10"/>
      <c r="J16" s="10"/>
      <c r="K16" s="10"/>
      <c r="L16" s="23" t="s">
        <v>244</v>
      </c>
      <c r="M16" s="103" t="s">
        <v>1022</v>
      </c>
      <c r="N16" s="10"/>
      <c r="O16" s="90">
        <v>52200000</v>
      </c>
      <c r="P16" s="103">
        <v>15</v>
      </c>
      <c r="Q16" s="10"/>
      <c r="R16" s="10"/>
      <c r="S16" s="10"/>
      <c r="T16" s="10"/>
      <c r="U16" s="10"/>
      <c r="V16" s="10"/>
      <c r="W16" s="10"/>
    </row>
    <row r="17" spans="1:23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3"/>
      <c r="N17" s="10"/>
      <c r="O17" s="10"/>
      <c r="P17" s="10"/>
      <c r="Q17" s="10"/>
      <c r="R17" s="10"/>
      <c r="S17" s="10"/>
      <c r="T17" s="10"/>
      <c r="U17" s="10"/>
      <c r="V17" s="10"/>
      <c r="W17" s="10"/>
    </row>
    <row r="18" spans="1:23" ht="15.75" customHeight="1">
      <c r="A18" s="10" t="s">
        <v>1023</v>
      </c>
      <c r="B18" s="10" t="s">
        <v>1024</v>
      </c>
      <c r="C18" s="10" t="s">
        <v>1025</v>
      </c>
      <c r="D18" s="10" t="s">
        <v>1026</v>
      </c>
      <c r="E18" s="10"/>
      <c r="F18" s="10"/>
      <c r="G18" s="10"/>
      <c r="H18" s="10"/>
      <c r="I18" s="10"/>
      <c r="J18" s="10"/>
      <c r="K18" s="10"/>
      <c r="L18" s="23" t="s">
        <v>244</v>
      </c>
      <c r="M18" s="103" t="s">
        <v>1022</v>
      </c>
      <c r="N18" s="10"/>
      <c r="O18" s="90">
        <v>49000000</v>
      </c>
      <c r="P18" s="103">
        <v>15</v>
      </c>
      <c r="Q18" s="10"/>
      <c r="R18" s="10"/>
      <c r="S18" s="10"/>
      <c r="T18" s="10"/>
      <c r="U18" s="10"/>
      <c r="V18" s="10"/>
      <c r="W18" s="10"/>
    </row>
    <row r="19" spans="1:23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3"/>
      <c r="N19" s="10"/>
      <c r="O19" s="10"/>
      <c r="P19" s="10"/>
      <c r="Q19" s="10"/>
      <c r="R19" s="10"/>
      <c r="S19" s="10"/>
      <c r="T19" s="10"/>
      <c r="U19" s="10"/>
      <c r="V19" s="10"/>
      <c r="W19" s="10"/>
    </row>
    <row r="20" spans="1:23" ht="15.75" customHeight="1">
      <c r="A20" s="10" t="s">
        <v>1027</v>
      </c>
      <c r="B20" s="10"/>
      <c r="C20" s="10"/>
      <c r="D20" s="10" t="s">
        <v>1028</v>
      </c>
      <c r="E20" s="10" t="s">
        <v>1029</v>
      </c>
      <c r="F20" s="10"/>
      <c r="G20" s="10"/>
      <c r="H20" s="10"/>
      <c r="I20" s="10"/>
      <c r="J20" s="10"/>
      <c r="K20" s="10"/>
      <c r="L20" s="23" t="s">
        <v>244</v>
      </c>
      <c r="M20" s="103" t="s">
        <v>1030</v>
      </c>
      <c r="N20" s="10"/>
      <c r="O20" s="90">
        <v>75487500</v>
      </c>
      <c r="P20" s="10"/>
      <c r="Q20" s="10"/>
      <c r="R20" s="10"/>
      <c r="S20" s="10"/>
      <c r="T20" s="10"/>
      <c r="U20" s="10"/>
      <c r="V20" s="10"/>
      <c r="W20" s="10"/>
    </row>
    <row r="21" spans="1:23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3"/>
      <c r="N21" s="10"/>
      <c r="O21" s="10"/>
      <c r="P21" s="10"/>
      <c r="Q21" s="10"/>
      <c r="R21" s="10"/>
      <c r="S21" s="10"/>
      <c r="T21" s="10"/>
      <c r="U21" s="10"/>
      <c r="V21" s="10"/>
      <c r="W21" s="10"/>
    </row>
    <row r="22" spans="1:23" ht="15.75" customHeight="1">
      <c r="A22" s="10" t="s">
        <v>1031</v>
      </c>
      <c r="B22" s="10" t="s">
        <v>914</v>
      </c>
      <c r="C22" s="10"/>
      <c r="D22" s="10" t="s">
        <v>1032</v>
      </c>
      <c r="E22" s="10" t="s">
        <v>948</v>
      </c>
      <c r="F22" s="10"/>
      <c r="G22" s="10"/>
      <c r="H22" s="10"/>
      <c r="I22" s="10"/>
      <c r="J22" s="10"/>
      <c r="K22" s="10"/>
      <c r="L22" s="10"/>
      <c r="M22" s="103"/>
      <c r="N22" s="10"/>
      <c r="O22" s="10"/>
      <c r="P22" s="10"/>
      <c r="Q22" s="10"/>
      <c r="R22" s="10"/>
      <c r="S22" s="10"/>
      <c r="T22" s="10"/>
      <c r="U22" s="10"/>
      <c r="V22" s="10"/>
      <c r="W22" s="10"/>
    </row>
    <row r="23" spans="1: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3"/>
      <c r="N23" s="10"/>
      <c r="O23" s="10"/>
      <c r="P23" s="10"/>
      <c r="Q23" s="10"/>
      <c r="R23" s="10"/>
      <c r="S23" s="10"/>
      <c r="T23" s="10"/>
      <c r="U23" s="10"/>
      <c r="V23" s="10"/>
      <c r="W23" s="10"/>
    </row>
    <row r="24" spans="1:23" ht="15.75" customHeight="1">
      <c r="A24" s="10" t="s">
        <v>1033</v>
      </c>
      <c r="B24" s="10" t="s">
        <v>914</v>
      </c>
      <c r="C24" s="10"/>
      <c r="D24" s="10" t="s">
        <v>1032</v>
      </c>
      <c r="E24" s="10" t="s">
        <v>948</v>
      </c>
      <c r="F24" s="10"/>
      <c r="G24" s="10"/>
      <c r="H24" s="103" t="s">
        <v>897</v>
      </c>
      <c r="I24" s="103" t="s">
        <v>1034</v>
      </c>
      <c r="J24" s="103" t="s">
        <v>1000</v>
      </c>
      <c r="K24" s="10"/>
      <c r="L24" s="23" t="s">
        <v>1035</v>
      </c>
      <c r="M24" s="103" t="s">
        <v>882</v>
      </c>
      <c r="N24" s="90">
        <v>20000</v>
      </c>
      <c r="O24" s="10"/>
      <c r="P24" s="103">
        <v>25</v>
      </c>
      <c r="Q24" s="10"/>
      <c r="R24" s="103" t="s">
        <v>1036</v>
      </c>
      <c r="S24" s="103" t="s">
        <v>1037</v>
      </c>
      <c r="T24" s="10"/>
      <c r="U24" s="10" t="s">
        <v>1038</v>
      </c>
      <c r="V24" s="10" t="s">
        <v>1039</v>
      </c>
      <c r="W24" s="10"/>
    </row>
    <row r="25" spans="1:23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  <row r="26" spans="1:23" ht="15.75" customHeight="1">
      <c r="A26" s="10" t="s">
        <v>1040</v>
      </c>
      <c r="B26" s="10" t="s">
        <v>914</v>
      </c>
      <c r="C26" s="10"/>
      <c r="D26" s="10" t="s">
        <v>1041</v>
      </c>
      <c r="E26" s="10" t="s">
        <v>948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</row>
    <row r="27" spans="1:23" ht="15.75" customHeight="1">
      <c r="A27" s="10" t="s">
        <v>1040</v>
      </c>
      <c r="B27" s="10" t="s">
        <v>914</v>
      </c>
      <c r="C27" s="10"/>
      <c r="D27" s="10" t="s">
        <v>1042</v>
      </c>
      <c r="E27" s="10" t="s">
        <v>948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  <row r="28" spans="1:23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</row>
    <row r="29" spans="1:23" ht="15.75" customHeight="1">
      <c r="A29" s="10" t="s">
        <v>1043</v>
      </c>
      <c r="B29" s="10" t="s">
        <v>914</v>
      </c>
      <c r="C29" s="10"/>
      <c r="D29" s="10" t="s">
        <v>1041</v>
      </c>
      <c r="E29" s="10" t="s">
        <v>948</v>
      </c>
      <c r="F29" s="10"/>
      <c r="G29" s="10"/>
      <c r="H29" s="103" t="s">
        <v>897</v>
      </c>
      <c r="I29" s="103" t="s">
        <v>1034</v>
      </c>
      <c r="J29" s="103" t="s">
        <v>1000</v>
      </c>
      <c r="K29" s="10"/>
      <c r="L29" s="23" t="s">
        <v>1035</v>
      </c>
      <c r="M29" s="103" t="s">
        <v>315</v>
      </c>
      <c r="N29" s="90">
        <v>30000</v>
      </c>
      <c r="O29" s="10"/>
      <c r="P29" s="103">
        <v>25</v>
      </c>
      <c r="Q29" s="90">
        <v>24000</v>
      </c>
      <c r="R29" s="103" t="s">
        <v>1044</v>
      </c>
      <c r="S29" s="103" t="s">
        <v>1037</v>
      </c>
      <c r="T29" s="10"/>
      <c r="U29" s="10" t="s">
        <v>1038</v>
      </c>
      <c r="V29" s="10" t="s">
        <v>1039</v>
      </c>
      <c r="W29" s="10"/>
    </row>
    <row r="30" spans="1:23" ht="15.75" customHeight="1">
      <c r="A30" s="10" t="s">
        <v>1043</v>
      </c>
      <c r="B30" s="10" t="s">
        <v>914</v>
      </c>
      <c r="C30" s="10"/>
      <c r="D30" s="10" t="s">
        <v>1042</v>
      </c>
      <c r="E30" s="10" t="s">
        <v>948</v>
      </c>
      <c r="F30" s="10"/>
      <c r="G30" s="10"/>
      <c r="H30" s="103" t="s">
        <v>897</v>
      </c>
      <c r="I30" s="103" t="s">
        <v>1034</v>
      </c>
      <c r="J30" s="103" t="s">
        <v>1000</v>
      </c>
      <c r="K30" s="10"/>
      <c r="L30" s="23" t="s">
        <v>1035</v>
      </c>
      <c r="M30" s="103" t="s">
        <v>315</v>
      </c>
      <c r="N30" s="90">
        <v>30000</v>
      </c>
      <c r="O30" s="10"/>
      <c r="P30" s="103">
        <v>25</v>
      </c>
      <c r="Q30" s="90">
        <v>24000</v>
      </c>
      <c r="R30" s="103" t="s">
        <v>1045</v>
      </c>
      <c r="S30" s="103" t="s">
        <v>1037</v>
      </c>
      <c r="T30" s="10"/>
      <c r="U30" s="10" t="s">
        <v>1038</v>
      </c>
      <c r="V30" s="10" t="s">
        <v>1039</v>
      </c>
      <c r="W30" s="10"/>
    </row>
    <row r="31" spans="1:23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  <row r="32" spans="1:23" ht="15.75" customHeight="1">
      <c r="A32" s="10" t="s">
        <v>1046</v>
      </c>
      <c r="B32" s="10" t="s">
        <v>1047</v>
      </c>
      <c r="C32" s="10"/>
      <c r="D32" s="10" t="s">
        <v>1048</v>
      </c>
      <c r="E32" s="10" t="s">
        <v>1049</v>
      </c>
      <c r="F32" s="10"/>
      <c r="G32" s="10"/>
      <c r="H32" s="103"/>
      <c r="I32" s="103" t="s">
        <v>1050</v>
      </c>
      <c r="J32" s="165">
        <v>44834</v>
      </c>
      <c r="K32" s="10"/>
      <c r="L32" s="10"/>
      <c r="M32" s="83" t="s">
        <v>1051</v>
      </c>
      <c r="N32" s="90">
        <v>75000</v>
      </c>
      <c r="O32" s="10"/>
      <c r="P32" s="10"/>
      <c r="Q32" s="10"/>
      <c r="R32" s="10"/>
      <c r="S32" s="10"/>
      <c r="T32" s="10"/>
      <c r="U32" s="10"/>
      <c r="V32" s="10"/>
      <c r="W32" s="10"/>
    </row>
    <row r="33" spans="1:23" ht="15.75" customHeight="1">
      <c r="A33" s="10"/>
      <c r="B33" s="10"/>
      <c r="C33" s="10"/>
      <c r="D33" s="10"/>
      <c r="E33" s="10"/>
      <c r="F33" s="10"/>
      <c r="G33" s="10"/>
      <c r="H33" s="103"/>
      <c r="I33" s="103"/>
      <c r="J33" s="103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  <row r="34" spans="1:23" ht="15.75" customHeight="1">
      <c r="A34" s="30" t="s">
        <v>1052</v>
      </c>
      <c r="B34" s="30" t="s">
        <v>1053</v>
      </c>
      <c r="C34" s="30"/>
      <c r="D34" s="30"/>
      <c r="E34" s="30"/>
      <c r="F34" s="30"/>
      <c r="G34" s="30"/>
      <c r="H34" s="166"/>
      <c r="I34" s="166"/>
      <c r="J34" s="166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</row>
    <row r="35" spans="1:23" ht="15.75" customHeight="1">
      <c r="A35" s="10"/>
      <c r="B35" s="10"/>
      <c r="C35" s="10"/>
      <c r="D35" s="10"/>
      <c r="E35" s="10"/>
      <c r="F35" s="10"/>
      <c r="G35" s="10"/>
      <c r="H35" s="103"/>
      <c r="I35" s="103"/>
      <c r="J35" s="103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  <row r="36" spans="1:23" ht="15.75" customHeight="1">
      <c r="A36" s="10" t="s">
        <v>1054</v>
      </c>
      <c r="B36" s="10" t="s">
        <v>433</v>
      </c>
      <c r="C36" s="10" t="s">
        <v>437</v>
      </c>
      <c r="D36" s="10" t="s">
        <v>1055</v>
      </c>
      <c r="E36" s="10"/>
      <c r="F36" s="10"/>
      <c r="G36" s="10"/>
      <c r="H36" s="103" t="s">
        <v>891</v>
      </c>
      <c r="I36" s="103" t="s">
        <v>992</v>
      </c>
      <c r="J36" s="103" t="s">
        <v>1056</v>
      </c>
      <c r="K36" s="10"/>
      <c r="L36" s="10"/>
      <c r="M36" s="103" t="s">
        <v>599</v>
      </c>
      <c r="N36" s="90">
        <v>8000</v>
      </c>
      <c r="O36" s="10"/>
      <c r="P36" s="103">
        <v>15</v>
      </c>
      <c r="Q36" s="10"/>
      <c r="R36" s="10"/>
      <c r="S36" s="103" t="s">
        <v>1037</v>
      </c>
      <c r="T36" s="10"/>
      <c r="U36" s="10"/>
      <c r="V36" s="103" t="s">
        <v>1008</v>
      </c>
      <c r="W36" s="10"/>
    </row>
    <row r="37" spans="1:23" ht="15.75" customHeight="1">
      <c r="A37" s="10" t="s">
        <v>1054</v>
      </c>
      <c r="B37" s="10" t="s">
        <v>433</v>
      </c>
      <c r="C37" s="10" t="s">
        <v>437</v>
      </c>
      <c r="D37" s="10" t="s">
        <v>1057</v>
      </c>
      <c r="E37" s="10"/>
      <c r="F37" s="10"/>
      <c r="G37" s="10"/>
      <c r="H37" s="103" t="s">
        <v>891</v>
      </c>
      <c r="I37" s="103" t="s">
        <v>992</v>
      </c>
      <c r="J37" s="103" t="s">
        <v>1056</v>
      </c>
      <c r="K37" s="10"/>
      <c r="L37" s="10"/>
      <c r="M37" s="103" t="s">
        <v>1007</v>
      </c>
      <c r="N37" s="90">
        <v>17500</v>
      </c>
      <c r="O37" s="10"/>
      <c r="P37" s="103">
        <v>15</v>
      </c>
      <c r="Q37" s="10"/>
      <c r="R37" s="103" t="s">
        <v>1058</v>
      </c>
      <c r="S37" s="103" t="s">
        <v>1037</v>
      </c>
      <c r="T37" s="10"/>
      <c r="U37" s="10"/>
      <c r="V37" s="103" t="s">
        <v>1008</v>
      </c>
      <c r="W37" s="10"/>
    </row>
    <row r="38" spans="1:23" ht="15.75" customHeight="1">
      <c r="A38" s="10" t="s">
        <v>1054</v>
      </c>
      <c r="B38" s="10" t="s">
        <v>433</v>
      </c>
      <c r="C38" s="10" t="s">
        <v>437</v>
      </c>
      <c r="D38" s="10" t="s">
        <v>1059</v>
      </c>
      <c r="E38" s="10"/>
      <c r="F38" s="10"/>
      <c r="G38" s="10"/>
      <c r="H38" s="103" t="s">
        <v>891</v>
      </c>
      <c r="I38" s="103" t="s">
        <v>992</v>
      </c>
      <c r="J38" s="103" t="s">
        <v>1056</v>
      </c>
      <c r="K38" s="10"/>
      <c r="L38" s="10"/>
      <c r="M38" s="103" t="s">
        <v>1007</v>
      </c>
      <c r="N38" s="90">
        <v>17500</v>
      </c>
      <c r="O38" s="10"/>
      <c r="P38" s="103">
        <v>15</v>
      </c>
      <c r="Q38" s="10"/>
      <c r="R38" s="103" t="s">
        <v>1045</v>
      </c>
      <c r="S38" s="103" t="s">
        <v>1037</v>
      </c>
      <c r="T38" s="10"/>
      <c r="U38" s="10"/>
      <c r="V38" s="103" t="s">
        <v>1008</v>
      </c>
      <c r="W38" s="10"/>
    </row>
    <row r="39" spans="1:23" ht="15.75" customHeight="1">
      <c r="A39" s="10" t="s">
        <v>1054</v>
      </c>
      <c r="B39" s="10" t="s">
        <v>433</v>
      </c>
      <c r="C39" s="10" t="s">
        <v>437</v>
      </c>
      <c r="D39" s="10" t="s">
        <v>1060</v>
      </c>
      <c r="E39" s="10"/>
      <c r="F39" s="10"/>
      <c r="G39" s="10"/>
      <c r="H39" s="103" t="s">
        <v>891</v>
      </c>
      <c r="I39" s="103" t="s">
        <v>992</v>
      </c>
      <c r="J39" s="103" t="s">
        <v>1056</v>
      </c>
      <c r="K39" s="10"/>
      <c r="L39" s="10"/>
      <c r="M39" s="103" t="s">
        <v>1007</v>
      </c>
      <c r="N39" s="90">
        <v>12500</v>
      </c>
      <c r="O39" s="10"/>
      <c r="P39" s="103">
        <v>15</v>
      </c>
      <c r="Q39" s="10"/>
      <c r="R39" s="103" t="s">
        <v>1061</v>
      </c>
      <c r="S39" s="103" t="s">
        <v>1037</v>
      </c>
      <c r="T39" s="10"/>
      <c r="U39" s="10"/>
      <c r="V39" s="103" t="s">
        <v>1008</v>
      </c>
      <c r="W39" s="10"/>
    </row>
    <row r="40" spans="1:23" ht="15.75" customHeight="1">
      <c r="A40" s="10" t="s">
        <v>1054</v>
      </c>
      <c r="B40" s="10" t="s">
        <v>433</v>
      </c>
      <c r="C40" s="10" t="s">
        <v>437</v>
      </c>
      <c r="D40" s="10" t="s">
        <v>1062</v>
      </c>
      <c r="E40" s="10"/>
      <c r="F40" s="10"/>
      <c r="G40" s="10"/>
      <c r="H40" s="103" t="s">
        <v>891</v>
      </c>
      <c r="I40" s="103" t="s">
        <v>992</v>
      </c>
      <c r="J40" s="103" t="s">
        <v>1056</v>
      </c>
      <c r="K40" s="10"/>
      <c r="L40" s="10"/>
      <c r="M40" s="103" t="s">
        <v>1007</v>
      </c>
      <c r="N40" s="90">
        <v>12000</v>
      </c>
      <c r="O40" s="10"/>
      <c r="P40" s="103">
        <v>15</v>
      </c>
      <c r="Q40" s="10"/>
      <c r="R40" s="103" t="s">
        <v>1045</v>
      </c>
      <c r="S40" s="103" t="s">
        <v>1037</v>
      </c>
      <c r="T40" s="10"/>
      <c r="U40" s="10"/>
      <c r="V40" s="103" t="s">
        <v>1008</v>
      </c>
      <c r="W40" s="10"/>
    </row>
    <row r="41" spans="1:23" ht="15.75" customHeight="1">
      <c r="A41" s="10" t="s">
        <v>1054</v>
      </c>
      <c r="B41" s="10" t="s">
        <v>433</v>
      </c>
      <c r="C41" s="10" t="s">
        <v>437</v>
      </c>
      <c r="D41" s="10" t="s">
        <v>1063</v>
      </c>
      <c r="E41" s="10"/>
      <c r="F41" s="10"/>
      <c r="G41" s="10"/>
      <c r="H41" s="103" t="s">
        <v>891</v>
      </c>
      <c r="I41" s="103" t="s">
        <v>992</v>
      </c>
      <c r="J41" s="103" t="s">
        <v>1056</v>
      </c>
      <c r="K41" s="10"/>
      <c r="L41" s="10"/>
      <c r="M41" s="103" t="s">
        <v>599</v>
      </c>
      <c r="N41" s="90">
        <v>12500</v>
      </c>
      <c r="O41" s="10"/>
      <c r="P41" s="103">
        <v>15</v>
      </c>
      <c r="Q41" s="10"/>
      <c r="R41" s="103"/>
      <c r="S41" s="103" t="s">
        <v>1037</v>
      </c>
      <c r="T41" s="10"/>
      <c r="U41" s="10"/>
      <c r="V41" s="103" t="s">
        <v>1008</v>
      </c>
      <c r="W41" s="10"/>
    </row>
    <row r="42" spans="1:23" ht="15.75" customHeight="1">
      <c r="A42" s="10" t="s">
        <v>1054</v>
      </c>
      <c r="B42" s="10" t="s">
        <v>433</v>
      </c>
      <c r="C42" s="10" t="s">
        <v>437</v>
      </c>
      <c r="D42" s="10" t="s">
        <v>1064</v>
      </c>
      <c r="E42" s="10"/>
      <c r="F42" s="10"/>
      <c r="G42" s="10"/>
      <c r="H42" s="103" t="s">
        <v>891</v>
      </c>
      <c r="I42" s="103" t="s">
        <v>992</v>
      </c>
      <c r="J42" s="103" t="s">
        <v>1056</v>
      </c>
      <c r="K42" s="10"/>
      <c r="L42" s="10"/>
      <c r="M42" s="103" t="s">
        <v>1007</v>
      </c>
      <c r="N42" s="90">
        <v>10500</v>
      </c>
      <c r="O42" s="10"/>
      <c r="P42" s="103">
        <v>15</v>
      </c>
      <c r="Q42" s="10"/>
      <c r="R42" s="103" t="s">
        <v>1058</v>
      </c>
      <c r="S42" s="103" t="s">
        <v>1037</v>
      </c>
      <c r="T42" s="10"/>
      <c r="U42" s="10"/>
      <c r="V42" s="103" t="s">
        <v>1008</v>
      </c>
      <c r="W42" s="10"/>
    </row>
    <row r="43" spans="1:23" ht="15.75" customHeight="1">
      <c r="A43" s="10" t="s">
        <v>1054</v>
      </c>
      <c r="B43" s="10" t="s">
        <v>433</v>
      </c>
      <c r="C43" s="10" t="s">
        <v>437</v>
      </c>
      <c r="D43" s="10" t="s">
        <v>1065</v>
      </c>
      <c r="E43" s="10"/>
      <c r="F43" s="10"/>
      <c r="G43" s="10"/>
      <c r="H43" s="103" t="s">
        <v>891</v>
      </c>
      <c r="I43" s="103" t="s">
        <v>992</v>
      </c>
      <c r="J43" s="103" t="s">
        <v>1056</v>
      </c>
      <c r="K43" s="10"/>
      <c r="L43" s="10"/>
      <c r="M43" s="103" t="s">
        <v>1007</v>
      </c>
      <c r="N43" s="90">
        <v>10500</v>
      </c>
      <c r="O43" s="10"/>
      <c r="P43" s="103">
        <v>15</v>
      </c>
      <c r="Q43" s="10"/>
      <c r="R43" s="103"/>
      <c r="S43" s="103" t="s">
        <v>1037</v>
      </c>
      <c r="T43" s="10"/>
      <c r="U43" s="10"/>
      <c r="V43" s="103" t="s">
        <v>1008</v>
      </c>
      <c r="W43" s="10"/>
    </row>
    <row r="44" spans="1:23" ht="15.75" customHeight="1">
      <c r="A44" s="10" t="s">
        <v>1054</v>
      </c>
      <c r="B44" s="10" t="s">
        <v>433</v>
      </c>
      <c r="C44" s="10" t="s">
        <v>437</v>
      </c>
      <c r="D44" s="10" t="s">
        <v>1066</v>
      </c>
      <c r="E44" s="10"/>
      <c r="F44" s="10"/>
      <c r="G44" s="10"/>
      <c r="H44" s="103" t="s">
        <v>891</v>
      </c>
      <c r="I44" s="103" t="s">
        <v>992</v>
      </c>
      <c r="J44" s="103" t="s">
        <v>1056</v>
      </c>
      <c r="K44" s="10"/>
      <c r="L44" s="10"/>
      <c r="M44" s="103" t="s">
        <v>599</v>
      </c>
      <c r="N44" s="90">
        <v>10500</v>
      </c>
      <c r="O44" s="10"/>
      <c r="P44" s="103">
        <v>15</v>
      </c>
      <c r="Q44" s="10"/>
      <c r="R44" s="103"/>
      <c r="S44" s="103" t="s">
        <v>1037</v>
      </c>
      <c r="T44" s="10"/>
      <c r="U44" s="10"/>
      <c r="V44" s="103" t="s">
        <v>1008</v>
      </c>
      <c r="W44" s="10"/>
    </row>
    <row r="45" spans="1:23" ht="15.75" customHeight="1">
      <c r="A45" s="10" t="s">
        <v>1054</v>
      </c>
      <c r="B45" s="10" t="s">
        <v>433</v>
      </c>
      <c r="C45" s="10" t="s">
        <v>437</v>
      </c>
      <c r="D45" s="10" t="s">
        <v>1067</v>
      </c>
      <c r="E45" s="10"/>
      <c r="F45" s="10"/>
      <c r="G45" s="10"/>
      <c r="H45" s="103" t="s">
        <v>891</v>
      </c>
      <c r="I45" s="103" t="s">
        <v>992</v>
      </c>
      <c r="J45" s="103" t="s">
        <v>1056</v>
      </c>
      <c r="K45" s="10"/>
      <c r="L45" s="10"/>
      <c r="M45" s="103" t="s">
        <v>599</v>
      </c>
      <c r="N45" s="90">
        <v>8500</v>
      </c>
      <c r="O45" s="10"/>
      <c r="P45" s="103">
        <v>15</v>
      </c>
      <c r="Q45" s="10"/>
      <c r="R45" s="103"/>
      <c r="S45" s="103" t="s">
        <v>1037</v>
      </c>
      <c r="T45" s="10"/>
      <c r="U45" s="10"/>
      <c r="V45" s="103" t="s">
        <v>1008</v>
      </c>
      <c r="W45" s="10"/>
    </row>
    <row r="46" spans="1:23" ht="13">
      <c r="A46" s="10" t="s">
        <v>1054</v>
      </c>
      <c r="B46" s="10" t="s">
        <v>433</v>
      </c>
      <c r="C46" s="10" t="s">
        <v>437</v>
      </c>
      <c r="D46" s="10" t="s">
        <v>1068</v>
      </c>
      <c r="E46" s="10"/>
      <c r="F46" s="10"/>
      <c r="G46" s="10"/>
      <c r="H46" s="103" t="s">
        <v>891</v>
      </c>
      <c r="I46" s="103" t="s">
        <v>992</v>
      </c>
      <c r="J46" s="103" t="s">
        <v>1056</v>
      </c>
      <c r="K46" s="10"/>
      <c r="L46" s="10"/>
      <c r="M46" s="103" t="s">
        <v>599</v>
      </c>
      <c r="N46" s="90">
        <v>8500</v>
      </c>
      <c r="O46" s="10"/>
      <c r="P46" s="103">
        <v>15</v>
      </c>
      <c r="Q46" s="10"/>
      <c r="R46" s="103"/>
      <c r="S46" s="103" t="s">
        <v>1037</v>
      </c>
      <c r="T46" s="10"/>
      <c r="U46" s="10"/>
      <c r="V46" s="103" t="s">
        <v>1008</v>
      </c>
      <c r="W46" s="10"/>
    </row>
    <row r="47" spans="1:23" ht="13">
      <c r="A47" s="10" t="s">
        <v>1054</v>
      </c>
      <c r="B47" s="10" t="s">
        <v>433</v>
      </c>
      <c r="C47" s="10" t="s">
        <v>437</v>
      </c>
      <c r="D47" s="10" t="s">
        <v>1069</v>
      </c>
      <c r="E47" s="10"/>
      <c r="F47" s="10"/>
      <c r="G47" s="10"/>
      <c r="H47" s="103" t="s">
        <v>891</v>
      </c>
      <c r="I47" s="103" t="s">
        <v>992</v>
      </c>
      <c r="J47" s="103" t="s">
        <v>1056</v>
      </c>
      <c r="K47" s="10"/>
      <c r="L47" s="10"/>
      <c r="M47" s="103" t="s">
        <v>1007</v>
      </c>
      <c r="N47" s="90">
        <v>10500</v>
      </c>
      <c r="O47" s="10"/>
      <c r="P47" s="103">
        <v>15</v>
      </c>
      <c r="Q47" s="10"/>
      <c r="R47" s="103" t="s">
        <v>1058</v>
      </c>
      <c r="S47" s="103" t="s">
        <v>1037</v>
      </c>
      <c r="T47" s="10"/>
      <c r="U47" s="10"/>
      <c r="V47" s="103" t="s">
        <v>1008</v>
      </c>
      <c r="W47" s="10"/>
    </row>
    <row r="48" spans="1:23" ht="13">
      <c r="A48" s="10" t="s">
        <v>1054</v>
      </c>
      <c r="B48" s="10" t="s">
        <v>433</v>
      </c>
      <c r="C48" s="10" t="s">
        <v>437</v>
      </c>
      <c r="D48" s="10" t="s">
        <v>1070</v>
      </c>
      <c r="E48" s="10"/>
      <c r="F48" s="10"/>
      <c r="G48" s="10"/>
      <c r="H48" s="103" t="s">
        <v>891</v>
      </c>
      <c r="I48" s="103" t="s">
        <v>992</v>
      </c>
      <c r="J48" s="103" t="s">
        <v>1056</v>
      </c>
      <c r="K48" s="10"/>
      <c r="L48" s="10"/>
      <c r="M48" s="103" t="s">
        <v>1007</v>
      </c>
      <c r="N48" s="90">
        <v>10500</v>
      </c>
      <c r="O48" s="10"/>
      <c r="P48" s="103">
        <v>15</v>
      </c>
      <c r="Q48" s="10"/>
      <c r="R48" s="103"/>
      <c r="S48" s="103" t="s">
        <v>1037</v>
      </c>
      <c r="T48" s="10"/>
      <c r="U48" s="10"/>
      <c r="V48" s="103" t="s">
        <v>1008</v>
      </c>
      <c r="W48" s="10"/>
    </row>
    <row r="49" spans="1:23" ht="13">
      <c r="A49" s="10" t="s">
        <v>1054</v>
      </c>
      <c r="B49" s="10" t="s">
        <v>433</v>
      </c>
      <c r="C49" s="10" t="s">
        <v>437</v>
      </c>
      <c r="D49" s="10" t="s">
        <v>1071</v>
      </c>
      <c r="E49" s="10"/>
      <c r="F49" s="10"/>
      <c r="G49" s="10"/>
      <c r="H49" s="103" t="s">
        <v>891</v>
      </c>
      <c r="I49" s="103" t="s">
        <v>992</v>
      </c>
      <c r="J49" s="103" t="s">
        <v>1056</v>
      </c>
      <c r="K49" s="10"/>
      <c r="L49" s="10"/>
      <c r="M49" s="103" t="s">
        <v>1007</v>
      </c>
      <c r="N49" s="90">
        <v>7000</v>
      </c>
      <c r="O49" s="10"/>
      <c r="P49" s="103">
        <v>15</v>
      </c>
      <c r="Q49" s="10"/>
      <c r="R49" s="103"/>
      <c r="S49" s="103" t="s">
        <v>1037</v>
      </c>
      <c r="T49" s="10"/>
      <c r="U49" s="10"/>
      <c r="V49" s="103" t="s">
        <v>1008</v>
      </c>
      <c r="W49" s="10"/>
    </row>
    <row r="50" spans="1:23" ht="13">
      <c r="A50" s="10" t="s">
        <v>1054</v>
      </c>
      <c r="B50" s="10" t="s">
        <v>433</v>
      </c>
      <c r="C50" s="10" t="s">
        <v>437</v>
      </c>
      <c r="D50" s="10" t="s">
        <v>1072</v>
      </c>
      <c r="E50" s="10"/>
      <c r="F50" s="10"/>
      <c r="G50" s="10"/>
      <c r="H50" s="103" t="s">
        <v>891</v>
      </c>
      <c r="I50" s="103" t="s">
        <v>992</v>
      </c>
      <c r="J50" s="103" t="s">
        <v>1056</v>
      </c>
      <c r="K50" s="10"/>
      <c r="L50" s="10"/>
      <c r="M50" s="103" t="s">
        <v>1007</v>
      </c>
      <c r="N50" s="90">
        <v>7000</v>
      </c>
      <c r="O50" s="10"/>
      <c r="P50" s="103">
        <v>15</v>
      </c>
      <c r="Q50" s="10"/>
      <c r="R50" s="103"/>
      <c r="S50" s="103" t="s">
        <v>1037</v>
      </c>
      <c r="T50" s="10"/>
      <c r="U50" s="10"/>
      <c r="V50" s="103" t="s">
        <v>1008</v>
      </c>
      <c r="W50" s="10"/>
    </row>
    <row r="51" spans="1:23" ht="13">
      <c r="A51" s="10" t="s">
        <v>1054</v>
      </c>
      <c r="B51" s="10" t="s">
        <v>433</v>
      </c>
      <c r="C51" s="10" t="s">
        <v>437</v>
      </c>
      <c r="D51" s="10" t="s">
        <v>1073</v>
      </c>
      <c r="E51" s="10"/>
      <c r="F51" s="10"/>
      <c r="G51" s="10"/>
      <c r="H51" s="103" t="s">
        <v>891</v>
      </c>
      <c r="I51" s="103" t="s">
        <v>992</v>
      </c>
      <c r="J51" s="103" t="s">
        <v>1056</v>
      </c>
      <c r="K51" s="10"/>
      <c r="L51" s="10"/>
      <c r="M51" s="103" t="s">
        <v>889</v>
      </c>
      <c r="N51" s="90">
        <v>11500</v>
      </c>
      <c r="O51" s="10"/>
      <c r="P51" s="103">
        <v>15</v>
      </c>
      <c r="Q51" s="10"/>
      <c r="R51" s="103" t="s">
        <v>1058</v>
      </c>
      <c r="S51" s="103" t="s">
        <v>1037</v>
      </c>
      <c r="T51" s="10"/>
      <c r="U51" s="10"/>
      <c r="V51" s="103" t="s">
        <v>1008</v>
      </c>
      <c r="W51" s="10"/>
    </row>
    <row r="52" spans="1:23" ht="13">
      <c r="A52" s="10" t="s">
        <v>1054</v>
      </c>
      <c r="B52" s="10" t="s">
        <v>433</v>
      </c>
      <c r="C52" s="10" t="s">
        <v>437</v>
      </c>
      <c r="D52" s="10" t="s">
        <v>1074</v>
      </c>
      <c r="E52" s="10"/>
      <c r="F52" s="10"/>
      <c r="G52" s="10"/>
      <c r="H52" s="103" t="s">
        <v>891</v>
      </c>
      <c r="I52" s="103" t="s">
        <v>992</v>
      </c>
      <c r="J52" s="103" t="s">
        <v>1056</v>
      </c>
      <c r="K52" s="10"/>
      <c r="L52" s="10"/>
      <c r="M52" s="103" t="s">
        <v>889</v>
      </c>
      <c r="N52" s="90">
        <v>6500</v>
      </c>
      <c r="O52" s="10"/>
      <c r="P52" s="103">
        <v>15</v>
      </c>
      <c r="Q52" s="10"/>
      <c r="R52" s="103"/>
      <c r="S52" s="103" t="s">
        <v>1037</v>
      </c>
      <c r="T52" s="10"/>
      <c r="U52" s="10"/>
      <c r="V52" s="103" t="s">
        <v>1008</v>
      </c>
      <c r="W52" s="10"/>
    </row>
    <row r="53" spans="1:23" ht="13">
      <c r="A53" s="10" t="s">
        <v>1054</v>
      </c>
      <c r="B53" s="10" t="s">
        <v>433</v>
      </c>
      <c r="C53" s="10" t="s">
        <v>437</v>
      </c>
      <c r="D53" s="10" t="s">
        <v>1075</v>
      </c>
      <c r="E53" s="10"/>
      <c r="F53" s="10"/>
      <c r="G53" s="10"/>
      <c r="H53" s="103" t="s">
        <v>891</v>
      </c>
      <c r="I53" s="103" t="s">
        <v>992</v>
      </c>
      <c r="J53" s="103" t="s">
        <v>1056</v>
      </c>
      <c r="K53" s="10"/>
      <c r="L53" s="10"/>
      <c r="M53" s="103" t="s">
        <v>889</v>
      </c>
      <c r="N53" s="90">
        <v>6500</v>
      </c>
      <c r="O53" s="10"/>
      <c r="P53" s="103">
        <v>15</v>
      </c>
      <c r="Q53" s="10"/>
      <c r="R53" s="103"/>
      <c r="S53" s="103" t="s">
        <v>1037</v>
      </c>
      <c r="T53" s="10"/>
      <c r="U53" s="10"/>
      <c r="V53" s="103" t="s">
        <v>1008</v>
      </c>
      <c r="W53" s="10"/>
    </row>
    <row r="54" spans="1:23" ht="13">
      <c r="A54" s="10" t="s">
        <v>1054</v>
      </c>
      <c r="B54" s="10" t="s">
        <v>433</v>
      </c>
      <c r="C54" s="10" t="s">
        <v>437</v>
      </c>
      <c r="D54" s="10" t="s">
        <v>1076</v>
      </c>
      <c r="E54" s="10"/>
      <c r="F54" s="10"/>
      <c r="G54" s="10"/>
      <c r="H54" s="103" t="s">
        <v>891</v>
      </c>
      <c r="I54" s="103" t="s">
        <v>992</v>
      </c>
      <c r="J54" s="103" t="s">
        <v>1056</v>
      </c>
      <c r="K54" s="10"/>
      <c r="L54" s="10"/>
      <c r="M54" s="103" t="s">
        <v>1007</v>
      </c>
      <c r="N54" s="90">
        <v>8000</v>
      </c>
      <c r="O54" s="10"/>
      <c r="P54" s="103">
        <v>15</v>
      </c>
      <c r="Q54" s="10"/>
      <c r="R54" s="10"/>
      <c r="S54" s="103" t="s">
        <v>1037</v>
      </c>
      <c r="T54" s="10"/>
      <c r="U54" s="10"/>
      <c r="V54" s="103" t="s">
        <v>1008</v>
      </c>
      <c r="W54" s="10"/>
    </row>
    <row r="55" spans="1:23" ht="13">
      <c r="A55" s="10" t="s">
        <v>1054</v>
      </c>
      <c r="B55" s="10" t="s">
        <v>433</v>
      </c>
      <c r="C55" s="10" t="s">
        <v>437</v>
      </c>
      <c r="D55" s="10" t="s">
        <v>1077</v>
      </c>
      <c r="E55" s="10"/>
      <c r="F55" s="10"/>
      <c r="G55" s="10"/>
      <c r="H55" s="103" t="s">
        <v>891</v>
      </c>
      <c r="I55" s="103" t="s">
        <v>992</v>
      </c>
      <c r="J55" s="103" t="s">
        <v>1056</v>
      </c>
      <c r="K55" s="10"/>
      <c r="L55" s="10"/>
      <c r="M55" s="103" t="s">
        <v>1007</v>
      </c>
      <c r="N55" s="90">
        <v>8000</v>
      </c>
      <c r="O55" s="10"/>
      <c r="P55" s="103">
        <v>15</v>
      </c>
      <c r="Q55" s="10"/>
      <c r="R55" s="10"/>
      <c r="S55" s="103" t="s">
        <v>1037</v>
      </c>
      <c r="T55" s="10"/>
      <c r="U55" s="10"/>
      <c r="V55" s="103" t="s">
        <v>1008</v>
      </c>
      <c r="W55" s="10"/>
    </row>
    <row r="56" spans="1:23" ht="13">
      <c r="A56" s="10" t="s">
        <v>1054</v>
      </c>
      <c r="B56" s="10" t="s">
        <v>433</v>
      </c>
      <c r="C56" s="10" t="s">
        <v>437</v>
      </c>
      <c r="D56" s="10" t="s">
        <v>1078</v>
      </c>
      <c r="E56" s="10"/>
      <c r="F56" s="10"/>
      <c r="G56" s="10"/>
      <c r="H56" s="103" t="s">
        <v>891</v>
      </c>
      <c r="I56" s="103" t="s">
        <v>992</v>
      </c>
      <c r="J56" s="103" t="s">
        <v>1056</v>
      </c>
      <c r="K56" s="10"/>
      <c r="L56" s="10"/>
      <c r="M56" s="103" t="s">
        <v>889</v>
      </c>
      <c r="N56" s="90">
        <v>8000</v>
      </c>
      <c r="O56" s="10"/>
      <c r="P56" s="103">
        <v>15</v>
      </c>
      <c r="Q56" s="10"/>
      <c r="R56" s="10"/>
      <c r="S56" s="103" t="s">
        <v>1037</v>
      </c>
      <c r="T56" s="10"/>
      <c r="U56" s="10"/>
      <c r="V56" s="103" t="s">
        <v>1008</v>
      </c>
      <c r="W56" s="10"/>
    </row>
    <row r="57" spans="1:23" ht="13">
      <c r="A57" s="10" t="s">
        <v>1054</v>
      </c>
      <c r="B57" s="10" t="s">
        <v>433</v>
      </c>
      <c r="C57" s="10" t="s">
        <v>437</v>
      </c>
      <c r="D57" s="10" t="s">
        <v>1079</v>
      </c>
      <c r="E57" s="10"/>
      <c r="F57" s="10"/>
      <c r="G57" s="10"/>
      <c r="H57" s="103" t="s">
        <v>891</v>
      </c>
      <c r="I57" s="103" t="s">
        <v>992</v>
      </c>
      <c r="J57" s="103" t="s">
        <v>1056</v>
      </c>
      <c r="K57" s="10"/>
      <c r="L57" s="10"/>
      <c r="M57" s="103" t="s">
        <v>1007</v>
      </c>
      <c r="N57" s="90">
        <v>8000</v>
      </c>
      <c r="O57" s="10"/>
      <c r="P57" s="103">
        <v>15</v>
      </c>
      <c r="Q57" s="10"/>
      <c r="R57" s="10"/>
      <c r="S57" s="103" t="s">
        <v>1037</v>
      </c>
      <c r="T57" s="10"/>
      <c r="U57" s="10"/>
      <c r="V57" s="103" t="s">
        <v>1008</v>
      </c>
      <c r="W57" s="10"/>
    </row>
    <row r="58" spans="1:23" ht="13">
      <c r="A58" s="10" t="s">
        <v>1054</v>
      </c>
      <c r="B58" s="10" t="s">
        <v>433</v>
      </c>
      <c r="C58" s="10" t="s">
        <v>437</v>
      </c>
      <c r="D58" s="10" t="s">
        <v>1080</v>
      </c>
      <c r="E58" s="10"/>
      <c r="F58" s="10"/>
      <c r="G58" s="10"/>
      <c r="H58" s="103" t="s">
        <v>891</v>
      </c>
      <c r="I58" s="103" t="s">
        <v>992</v>
      </c>
      <c r="J58" s="103" t="s">
        <v>1056</v>
      </c>
      <c r="K58" s="10"/>
      <c r="L58" s="10"/>
      <c r="M58" s="103" t="s">
        <v>1007</v>
      </c>
      <c r="N58" s="90">
        <v>8000</v>
      </c>
      <c r="O58" s="10"/>
      <c r="P58" s="103">
        <v>15</v>
      </c>
      <c r="Q58" s="10"/>
      <c r="R58" s="10"/>
      <c r="S58" s="103" t="s">
        <v>1037</v>
      </c>
      <c r="T58" s="10"/>
      <c r="U58" s="10"/>
      <c r="V58" s="103" t="s">
        <v>1008</v>
      </c>
      <c r="W58" s="10"/>
    </row>
    <row r="59" spans="1:23" ht="13">
      <c r="A59" s="10" t="s">
        <v>1054</v>
      </c>
      <c r="B59" s="10" t="s">
        <v>433</v>
      </c>
      <c r="C59" s="10" t="s">
        <v>437</v>
      </c>
      <c r="D59" s="10" t="s">
        <v>1081</v>
      </c>
      <c r="E59" s="10"/>
      <c r="F59" s="10"/>
      <c r="G59" s="10"/>
      <c r="H59" s="103" t="s">
        <v>891</v>
      </c>
      <c r="I59" s="103" t="s">
        <v>992</v>
      </c>
      <c r="J59" s="103" t="s">
        <v>1056</v>
      </c>
      <c r="K59" s="10"/>
      <c r="L59" s="10"/>
      <c r="M59" s="103" t="s">
        <v>889</v>
      </c>
      <c r="N59" s="90">
        <v>6500</v>
      </c>
      <c r="O59" s="10"/>
      <c r="P59" s="103">
        <v>15</v>
      </c>
      <c r="Q59" s="10"/>
      <c r="R59" s="10"/>
      <c r="S59" s="103" t="s">
        <v>1037</v>
      </c>
      <c r="T59" s="10"/>
      <c r="U59" s="10"/>
      <c r="V59" s="103" t="s">
        <v>1008</v>
      </c>
      <c r="W59" s="10"/>
    </row>
    <row r="60" spans="1:23" ht="13">
      <c r="A60" s="10" t="s">
        <v>1054</v>
      </c>
      <c r="B60" s="10" t="s">
        <v>433</v>
      </c>
      <c r="C60" s="10" t="s">
        <v>437</v>
      </c>
      <c r="D60" s="10" t="s">
        <v>1082</v>
      </c>
      <c r="E60" s="10"/>
      <c r="F60" s="10"/>
      <c r="G60" s="10"/>
      <c r="H60" s="103" t="s">
        <v>891</v>
      </c>
      <c r="I60" s="103" t="s">
        <v>992</v>
      </c>
      <c r="J60" s="103" t="s">
        <v>1056</v>
      </c>
      <c r="K60" s="10"/>
      <c r="L60" s="10"/>
      <c r="M60" s="103" t="s">
        <v>1007</v>
      </c>
      <c r="N60" s="90">
        <v>8000</v>
      </c>
      <c r="O60" s="10"/>
      <c r="P60" s="103">
        <v>15</v>
      </c>
      <c r="Q60" s="10"/>
      <c r="R60" s="10"/>
      <c r="S60" s="103" t="s">
        <v>1037</v>
      </c>
      <c r="T60" s="10"/>
      <c r="U60" s="10"/>
      <c r="V60" s="103" t="s">
        <v>1008</v>
      </c>
      <c r="W60" s="10"/>
    </row>
    <row r="61" spans="1:23" ht="13">
      <c r="A61" s="10" t="s">
        <v>1054</v>
      </c>
      <c r="B61" s="10" t="s">
        <v>433</v>
      </c>
      <c r="C61" s="10" t="s">
        <v>437</v>
      </c>
      <c r="D61" s="10" t="s">
        <v>1083</v>
      </c>
      <c r="E61" s="10"/>
      <c r="F61" s="10"/>
      <c r="G61" s="10"/>
      <c r="H61" s="103" t="s">
        <v>891</v>
      </c>
      <c r="I61" s="103" t="s">
        <v>992</v>
      </c>
      <c r="J61" s="103" t="s">
        <v>1056</v>
      </c>
      <c r="K61" s="10"/>
      <c r="L61" s="10"/>
      <c r="M61" s="103" t="s">
        <v>889</v>
      </c>
      <c r="N61" s="90">
        <v>8000</v>
      </c>
      <c r="O61" s="10"/>
      <c r="P61" s="103">
        <v>15</v>
      </c>
      <c r="Q61" s="10"/>
      <c r="R61" s="10"/>
      <c r="S61" s="103" t="s">
        <v>1037</v>
      </c>
      <c r="T61" s="10"/>
      <c r="U61" s="10"/>
      <c r="V61" s="103" t="s">
        <v>1008</v>
      </c>
      <c r="W61" s="10"/>
    </row>
    <row r="62" spans="1:23" ht="1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</row>
    <row r="63" spans="1:23" ht="13">
      <c r="A63" s="10" t="s">
        <v>1084</v>
      </c>
      <c r="B63" s="10" t="s">
        <v>433</v>
      </c>
      <c r="C63" s="10" t="s">
        <v>437</v>
      </c>
      <c r="D63" s="10" t="s">
        <v>1085</v>
      </c>
      <c r="E63" s="10"/>
      <c r="F63" s="10"/>
      <c r="G63" s="10"/>
      <c r="H63" s="103" t="s">
        <v>891</v>
      </c>
      <c r="I63" s="103" t="s">
        <v>992</v>
      </c>
      <c r="J63" s="103" t="s">
        <v>1056</v>
      </c>
      <c r="K63" s="10"/>
      <c r="L63" s="10"/>
      <c r="M63" s="103" t="s">
        <v>315</v>
      </c>
      <c r="N63" s="90">
        <v>20000</v>
      </c>
      <c r="O63" s="10"/>
      <c r="P63" s="103">
        <v>15</v>
      </c>
      <c r="Q63" s="10"/>
      <c r="R63" s="103" t="s">
        <v>1058</v>
      </c>
      <c r="S63" s="103" t="s">
        <v>1037</v>
      </c>
      <c r="T63" s="10"/>
      <c r="U63" s="10"/>
      <c r="V63" s="103" t="s">
        <v>1008</v>
      </c>
      <c r="W63" s="10"/>
    </row>
    <row r="64" spans="1:23" ht="13">
      <c r="A64" s="10" t="s">
        <v>1084</v>
      </c>
      <c r="B64" s="10" t="s">
        <v>433</v>
      </c>
      <c r="C64" s="10" t="s">
        <v>437</v>
      </c>
      <c r="D64" s="10" t="s">
        <v>1086</v>
      </c>
      <c r="E64" s="10"/>
      <c r="F64" s="10"/>
      <c r="G64" s="10"/>
      <c r="H64" s="103" t="s">
        <v>891</v>
      </c>
      <c r="I64" s="103" t="s">
        <v>992</v>
      </c>
      <c r="J64" s="103" t="s">
        <v>1056</v>
      </c>
      <c r="K64" s="10"/>
      <c r="L64" s="10"/>
      <c r="M64" s="103" t="s">
        <v>315</v>
      </c>
      <c r="N64" s="90">
        <v>20000</v>
      </c>
      <c r="O64" s="10"/>
      <c r="P64" s="103">
        <v>15</v>
      </c>
      <c r="Q64" s="10"/>
      <c r="R64" s="103" t="s">
        <v>1058</v>
      </c>
      <c r="S64" s="103" t="s">
        <v>1037</v>
      </c>
      <c r="T64" s="10"/>
      <c r="U64" s="10"/>
      <c r="V64" s="103" t="s">
        <v>1008</v>
      </c>
      <c r="W64" s="10"/>
    </row>
    <row r="65" spans="1:23" ht="13">
      <c r="A65" s="10" t="s">
        <v>1084</v>
      </c>
      <c r="B65" s="10" t="s">
        <v>433</v>
      </c>
      <c r="C65" s="10" t="s">
        <v>437</v>
      </c>
      <c r="D65" s="10" t="s">
        <v>1087</v>
      </c>
      <c r="E65" s="10"/>
      <c r="F65" s="10"/>
      <c r="G65" s="10"/>
      <c r="H65" s="103" t="s">
        <v>891</v>
      </c>
      <c r="I65" s="103" t="s">
        <v>992</v>
      </c>
      <c r="J65" s="103" t="s">
        <v>1056</v>
      </c>
      <c r="K65" s="10"/>
      <c r="L65" s="10"/>
      <c r="M65" s="103" t="s">
        <v>315</v>
      </c>
      <c r="N65" s="90">
        <v>22000</v>
      </c>
      <c r="O65" s="10"/>
      <c r="P65" s="103">
        <v>15</v>
      </c>
      <c r="Q65" s="10"/>
      <c r="R65" s="103" t="s">
        <v>1058</v>
      </c>
      <c r="S65" s="103" t="s">
        <v>1037</v>
      </c>
      <c r="T65" s="10"/>
      <c r="U65" s="10"/>
      <c r="V65" s="103" t="s">
        <v>1008</v>
      </c>
      <c r="W65" s="10"/>
    </row>
    <row r="66" spans="1:23" ht="13">
      <c r="A66" s="10" t="s">
        <v>1084</v>
      </c>
      <c r="B66" s="10" t="s">
        <v>433</v>
      </c>
      <c r="C66" s="10" t="s">
        <v>437</v>
      </c>
      <c r="D66" s="10" t="s">
        <v>1088</v>
      </c>
      <c r="E66" s="10"/>
      <c r="F66" s="10"/>
      <c r="G66" s="10"/>
      <c r="H66" s="103" t="s">
        <v>891</v>
      </c>
      <c r="I66" s="103" t="s">
        <v>992</v>
      </c>
      <c r="J66" s="103" t="s">
        <v>1056</v>
      </c>
      <c r="K66" s="10"/>
      <c r="L66" s="10"/>
      <c r="M66" s="103" t="s">
        <v>315</v>
      </c>
      <c r="N66" s="90">
        <v>22000</v>
      </c>
      <c r="O66" s="10"/>
      <c r="P66" s="103">
        <v>15</v>
      </c>
      <c r="Q66" s="10"/>
      <c r="R66" s="103" t="s">
        <v>1058</v>
      </c>
      <c r="S66" s="103" t="s">
        <v>1037</v>
      </c>
      <c r="T66" s="10"/>
      <c r="U66" s="10"/>
      <c r="V66" s="103" t="s">
        <v>1008</v>
      </c>
      <c r="W66" s="10"/>
    </row>
    <row r="67" spans="1:23" ht="13">
      <c r="A67" s="10" t="s">
        <v>1084</v>
      </c>
      <c r="B67" s="10" t="s">
        <v>433</v>
      </c>
      <c r="C67" s="10" t="s">
        <v>437</v>
      </c>
      <c r="D67" s="10" t="s">
        <v>1089</v>
      </c>
      <c r="E67" s="10"/>
      <c r="F67" s="10"/>
      <c r="G67" s="10"/>
      <c r="H67" s="103" t="s">
        <v>891</v>
      </c>
      <c r="I67" s="103" t="s">
        <v>992</v>
      </c>
      <c r="J67" s="103" t="s">
        <v>1056</v>
      </c>
      <c r="K67" s="10"/>
      <c r="L67" s="10"/>
      <c r="M67" s="103" t="s">
        <v>315</v>
      </c>
      <c r="N67" s="90">
        <v>14000</v>
      </c>
      <c r="O67" s="10"/>
      <c r="P67" s="103">
        <v>15</v>
      </c>
      <c r="Q67" s="10"/>
      <c r="R67" s="10"/>
      <c r="S67" s="103" t="s">
        <v>1037</v>
      </c>
      <c r="T67" s="10"/>
      <c r="U67" s="10"/>
      <c r="V67" s="103" t="s">
        <v>1008</v>
      </c>
      <c r="W67" s="10"/>
    </row>
    <row r="68" spans="1:23" ht="13">
      <c r="A68" s="10" t="s">
        <v>1084</v>
      </c>
      <c r="B68" s="10" t="s">
        <v>433</v>
      </c>
      <c r="C68" s="10" t="s">
        <v>437</v>
      </c>
      <c r="D68" s="10" t="s">
        <v>1090</v>
      </c>
      <c r="E68" s="10"/>
      <c r="F68" s="10"/>
      <c r="G68" s="10"/>
      <c r="H68" s="103" t="s">
        <v>891</v>
      </c>
      <c r="I68" s="103" t="s">
        <v>992</v>
      </c>
      <c r="J68" s="103" t="s">
        <v>1056</v>
      </c>
      <c r="K68" s="10"/>
      <c r="L68" s="10"/>
      <c r="M68" s="103" t="s">
        <v>315</v>
      </c>
      <c r="N68" s="90">
        <v>14000</v>
      </c>
      <c r="O68" s="10"/>
      <c r="P68" s="103">
        <v>15</v>
      </c>
      <c r="Q68" s="10"/>
      <c r="R68" s="10"/>
      <c r="S68" s="103" t="s">
        <v>1037</v>
      </c>
      <c r="T68" s="10"/>
      <c r="U68" s="10"/>
      <c r="V68" s="103" t="s">
        <v>1008</v>
      </c>
      <c r="W68" s="10"/>
    </row>
    <row r="69" spans="1:23" ht="1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</row>
    <row r="70" spans="1:23" ht="13">
      <c r="A70" s="10" t="s">
        <v>1091</v>
      </c>
      <c r="B70" s="10" t="s">
        <v>1092</v>
      </c>
      <c r="C70" s="10" t="s">
        <v>1093</v>
      </c>
      <c r="D70" s="10" t="s">
        <v>1094</v>
      </c>
      <c r="E70" s="10"/>
      <c r="F70" s="10"/>
      <c r="G70" s="10"/>
      <c r="H70" s="103" t="s">
        <v>895</v>
      </c>
      <c r="I70" s="103" t="s">
        <v>992</v>
      </c>
      <c r="J70" s="103" t="s">
        <v>993</v>
      </c>
      <c r="K70" s="103"/>
      <c r="L70" s="103"/>
      <c r="M70" s="103" t="s">
        <v>1007</v>
      </c>
      <c r="N70" s="90">
        <v>30000</v>
      </c>
      <c r="O70" s="10"/>
      <c r="P70" s="103">
        <v>15</v>
      </c>
      <c r="Q70" s="90">
        <v>25000</v>
      </c>
      <c r="R70" s="10"/>
      <c r="S70" s="103" t="s">
        <v>0</v>
      </c>
      <c r="T70" s="10"/>
      <c r="U70" s="103" t="s">
        <v>462</v>
      </c>
      <c r="V70" s="103" t="s">
        <v>1095</v>
      </c>
      <c r="W70" s="10"/>
    </row>
    <row r="71" spans="1:23" ht="13">
      <c r="A71" s="10" t="s">
        <v>1091</v>
      </c>
      <c r="B71" s="10" t="s">
        <v>1092</v>
      </c>
      <c r="C71" s="10" t="s">
        <v>1093</v>
      </c>
      <c r="D71" s="10" t="s">
        <v>1096</v>
      </c>
      <c r="E71" s="10"/>
      <c r="F71" s="10"/>
      <c r="G71" s="10"/>
      <c r="H71" s="103" t="s">
        <v>895</v>
      </c>
      <c r="I71" s="103" t="s">
        <v>992</v>
      </c>
      <c r="J71" s="103" t="s">
        <v>993</v>
      </c>
      <c r="K71" s="103"/>
      <c r="L71" s="103"/>
      <c r="M71" s="103" t="s">
        <v>1007</v>
      </c>
      <c r="N71" s="90">
        <v>30000</v>
      </c>
      <c r="O71" s="10"/>
      <c r="P71" s="103">
        <v>15</v>
      </c>
      <c r="Q71" s="90">
        <v>25000</v>
      </c>
      <c r="R71" s="10"/>
      <c r="S71" s="103" t="s">
        <v>0</v>
      </c>
      <c r="T71" s="10"/>
      <c r="U71" s="103" t="s">
        <v>462</v>
      </c>
      <c r="V71" s="103" t="s">
        <v>1095</v>
      </c>
      <c r="W71" s="10"/>
    </row>
    <row r="72" spans="1:23" ht="13">
      <c r="A72" s="10" t="s">
        <v>1091</v>
      </c>
      <c r="B72" s="10" t="s">
        <v>1092</v>
      </c>
      <c r="C72" s="10" t="s">
        <v>1093</v>
      </c>
      <c r="D72" s="10" t="s">
        <v>1097</v>
      </c>
      <c r="E72" s="10"/>
      <c r="F72" s="10"/>
      <c r="G72" s="10"/>
      <c r="H72" s="103" t="s">
        <v>895</v>
      </c>
      <c r="I72" s="103" t="s">
        <v>992</v>
      </c>
      <c r="J72" s="103" t="s">
        <v>993</v>
      </c>
      <c r="K72" s="103"/>
      <c r="L72" s="103"/>
      <c r="M72" s="103" t="s">
        <v>889</v>
      </c>
      <c r="N72" s="90">
        <v>30000</v>
      </c>
      <c r="O72" s="10"/>
      <c r="P72" s="103">
        <v>15</v>
      </c>
      <c r="Q72" s="90">
        <v>50000</v>
      </c>
      <c r="R72" s="10"/>
      <c r="S72" s="103" t="s">
        <v>0</v>
      </c>
      <c r="T72" s="10"/>
      <c r="U72" s="103" t="s">
        <v>462</v>
      </c>
      <c r="V72" s="103" t="s">
        <v>1095</v>
      </c>
      <c r="W72" s="10"/>
    </row>
    <row r="73" spans="1:23" ht="13">
      <c r="A73" s="10" t="s">
        <v>1091</v>
      </c>
      <c r="B73" s="10" t="s">
        <v>1092</v>
      </c>
      <c r="C73" s="10" t="s">
        <v>1093</v>
      </c>
      <c r="D73" s="10" t="s">
        <v>1098</v>
      </c>
      <c r="E73" s="10"/>
      <c r="F73" s="10"/>
      <c r="G73" s="10"/>
      <c r="H73" s="103" t="s">
        <v>895</v>
      </c>
      <c r="I73" s="103" t="s">
        <v>992</v>
      </c>
      <c r="J73" s="103" t="s">
        <v>993</v>
      </c>
      <c r="K73" s="103"/>
      <c r="L73" s="103"/>
      <c r="M73" s="103" t="s">
        <v>1007</v>
      </c>
      <c r="N73" s="90">
        <v>30000</v>
      </c>
      <c r="O73" s="10"/>
      <c r="P73" s="103">
        <v>15</v>
      </c>
      <c r="Q73" s="90">
        <v>25000</v>
      </c>
      <c r="R73" s="10"/>
      <c r="S73" s="103" t="s">
        <v>0</v>
      </c>
      <c r="T73" s="10"/>
      <c r="U73" s="103" t="s">
        <v>462</v>
      </c>
      <c r="V73" s="103" t="s">
        <v>1095</v>
      </c>
      <c r="W73" s="10"/>
    </row>
    <row r="74" spans="1:23" ht="13">
      <c r="A74" s="10" t="s">
        <v>1091</v>
      </c>
      <c r="B74" s="10" t="s">
        <v>1092</v>
      </c>
      <c r="C74" s="10" t="s">
        <v>1093</v>
      </c>
      <c r="D74" s="10" t="s">
        <v>1099</v>
      </c>
      <c r="E74" s="10"/>
      <c r="F74" s="10"/>
      <c r="G74" s="10"/>
      <c r="H74" s="103" t="s">
        <v>895</v>
      </c>
      <c r="I74" s="103" t="s">
        <v>992</v>
      </c>
      <c r="J74" s="103" t="s">
        <v>993</v>
      </c>
      <c r="K74" s="103"/>
      <c r="L74" s="103"/>
      <c r="M74" s="103" t="s">
        <v>1007</v>
      </c>
      <c r="N74" s="90">
        <v>30000</v>
      </c>
      <c r="O74" s="10"/>
      <c r="P74" s="103">
        <v>15</v>
      </c>
      <c r="Q74" s="90">
        <v>25000</v>
      </c>
      <c r="R74" s="10"/>
      <c r="S74" s="103" t="s">
        <v>0</v>
      </c>
      <c r="T74" s="10"/>
      <c r="U74" s="103" t="s">
        <v>462</v>
      </c>
      <c r="V74" s="103" t="s">
        <v>1095</v>
      </c>
      <c r="W74" s="10"/>
    </row>
    <row r="75" spans="1:23" ht="13">
      <c r="A75" s="10" t="s">
        <v>1091</v>
      </c>
      <c r="B75" s="10" t="s">
        <v>1092</v>
      </c>
      <c r="C75" s="10" t="s">
        <v>1093</v>
      </c>
      <c r="D75" s="10" t="s">
        <v>1100</v>
      </c>
      <c r="E75" s="10"/>
      <c r="F75" s="10"/>
      <c r="G75" s="10"/>
      <c r="H75" s="103" t="s">
        <v>895</v>
      </c>
      <c r="I75" s="103" t="s">
        <v>992</v>
      </c>
      <c r="J75" s="103" t="s">
        <v>993</v>
      </c>
      <c r="K75" s="103"/>
      <c r="L75" s="103"/>
      <c r="M75" s="103" t="s">
        <v>1007</v>
      </c>
      <c r="N75" s="90">
        <v>30000</v>
      </c>
      <c r="O75" s="10"/>
      <c r="P75" s="103">
        <v>15</v>
      </c>
      <c r="Q75" s="90">
        <v>25000</v>
      </c>
      <c r="R75" s="10"/>
      <c r="S75" s="103" t="s">
        <v>0</v>
      </c>
      <c r="T75" s="10"/>
      <c r="U75" s="103" t="s">
        <v>462</v>
      </c>
      <c r="V75" s="103" t="s">
        <v>1095</v>
      </c>
      <c r="W75" s="10"/>
    </row>
    <row r="76" spans="1:23" ht="13">
      <c r="A76" s="10" t="s">
        <v>1091</v>
      </c>
      <c r="B76" s="10" t="s">
        <v>1092</v>
      </c>
      <c r="C76" s="10" t="s">
        <v>1093</v>
      </c>
      <c r="D76" s="10" t="s">
        <v>1101</v>
      </c>
      <c r="E76" s="10"/>
      <c r="F76" s="10"/>
      <c r="G76" s="10"/>
      <c r="H76" s="103" t="s">
        <v>895</v>
      </c>
      <c r="I76" s="103" t="s">
        <v>992</v>
      </c>
      <c r="J76" s="103" t="s">
        <v>993</v>
      </c>
      <c r="K76" s="103"/>
      <c r="L76" s="103"/>
      <c r="M76" s="103" t="s">
        <v>1007</v>
      </c>
      <c r="N76" s="90">
        <v>30000</v>
      </c>
      <c r="O76" s="10"/>
      <c r="P76" s="103">
        <v>15</v>
      </c>
      <c r="Q76" s="90">
        <v>25000</v>
      </c>
      <c r="R76" s="10"/>
      <c r="S76" s="103" t="s">
        <v>0</v>
      </c>
      <c r="T76" s="10"/>
      <c r="U76" s="103" t="s">
        <v>462</v>
      </c>
      <c r="V76" s="103" t="s">
        <v>1095</v>
      </c>
      <c r="W76" s="10"/>
    </row>
    <row r="77" spans="1:23" ht="13">
      <c r="A77" s="10" t="s">
        <v>1091</v>
      </c>
      <c r="B77" s="10" t="s">
        <v>1092</v>
      </c>
      <c r="C77" s="10" t="s">
        <v>1093</v>
      </c>
      <c r="D77" s="10" t="s">
        <v>1102</v>
      </c>
      <c r="E77" s="10"/>
      <c r="F77" s="10"/>
      <c r="G77" s="10"/>
      <c r="H77" s="103" t="s">
        <v>895</v>
      </c>
      <c r="I77" s="103" t="s">
        <v>992</v>
      </c>
      <c r="J77" s="103" t="s">
        <v>993</v>
      </c>
      <c r="K77" s="103"/>
      <c r="L77" s="103"/>
      <c r="M77" s="103" t="s">
        <v>1007</v>
      </c>
      <c r="N77" s="90">
        <v>30000</v>
      </c>
      <c r="O77" s="10"/>
      <c r="P77" s="103">
        <v>15</v>
      </c>
      <c r="Q77" s="90">
        <v>25000</v>
      </c>
      <c r="R77" s="10"/>
      <c r="S77" s="103" t="s">
        <v>0</v>
      </c>
      <c r="T77" s="10"/>
      <c r="U77" s="103" t="s">
        <v>462</v>
      </c>
      <c r="V77" s="103" t="s">
        <v>1095</v>
      </c>
      <c r="W77" s="10"/>
    </row>
    <row r="78" spans="1:23" ht="13">
      <c r="A78" s="10" t="s">
        <v>1091</v>
      </c>
      <c r="B78" s="10" t="s">
        <v>1092</v>
      </c>
      <c r="C78" s="10" t="s">
        <v>1093</v>
      </c>
      <c r="D78" s="10" t="s">
        <v>1103</v>
      </c>
      <c r="E78" s="10"/>
      <c r="F78" s="10"/>
      <c r="G78" s="10"/>
      <c r="H78" s="103" t="s">
        <v>895</v>
      </c>
      <c r="I78" s="103" t="s">
        <v>992</v>
      </c>
      <c r="J78" s="103" t="s">
        <v>993</v>
      </c>
      <c r="K78" s="103"/>
      <c r="L78" s="103"/>
      <c r="M78" s="103" t="s">
        <v>1007</v>
      </c>
      <c r="N78" s="90">
        <v>30000</v>
      </c>
      <c r="O78" s="10"/>
      <c r="P78" s="103">
        <v>15</v>
      </c>
      <c r="Q78" s="90">
        <v>25000</v>
      </c>
      <c r="R78" s="10"/>
      <c r="S78" s="103" t="s">
        <v>0</v>
      </c>
      <c r="T78" s="10"/>
      <c r="U78" s="103" t="s">
        <v>462</v>
      </c>
      <c r="V78" s="103" t="s">
        <v>1095</v>
      </c>
      <c r="W78" s="10"/>
    </row>
    <row r="79" spans="1:23" ht="13">
      <c r="A79" s="10" t="s">
        <v>1091</v>
      </c>
      <c r="B79" s="10" t="s">
        <v>1092</v>
      </c>
      <c r="C79" s="10" t="s">
        <v>1093</v>
      </c>
      <c r="D79" s="10" t="s">
        <v>1104</v>
      </c>
      <c r="E79" s="10"/>
      <c r="F79" s="10"/>
      <c r="G79" s="10"/>
      <c r="H79" s="103" t="s">
        <v>895</v>
      </c>
      <c r="I79" s="103" t="s">
        <v>992</v>
      </c>
      <c r="J79" s="103" t="s">
        <v>993</v>
      </c>
      <c r="K79" s="103"/>
      <c r="L79" s="103"/>
      <c r="M79" s="103" t="s">
        <v>1007</v>
      </c>
      <c r="N79" s="90">
        <v>30000</v>
      </c>
      <c r="O79" s="10"/>
      <c r="P79" s="103">
        <v>15</v>
      </c>
      <c r="Q79" s="90">
        <v>25000</v>
      </c>
      <c r="R79" s="10"/>
      <c r="S79" s="103" t="s">
        <v>0</v>
      </c>
      <c r="T79" s="10"/>
      <c r="U79" s="103" t="s">
        <v>462</v>
      </c>
      <c r="V79" s="103" t="s">
        <v>1095</v>
      </c>
      <c r="W79" s="10"/>
    </row>
    <row r="80" spans="1:23" ht="13">
      <c r="A80" s="10" t="s">
        <v>1091</v>
      </c>
      <c r="B80" s="10" t="s">
        <v>1092</v>
      </c>
      <c r="C80" s="10" t="s">
        <v>1093</v>
      </c>
      <c r="D80" s="10" t="s">
        <v>1105</v>
      </c>
      <c r="E80" s="10"/>
      <c r="F80" s="10"/>
      <c r="G80" s="10"/>
      <c r="H80" s="103" t="s">
        <v>895</v>
      </c>
      <c r="I80" s="103" t="s">
        <v>992</v>
      </c>
      <c r="J80" s="103" t="s">
        <v>993</v>
      </c>
      <c r="K80" s="103"/>
      <c r="L80" s="103"/>
      <c r="M80" s="103" t="s">
        <v>1007</v>
      </c>
      <c r="N80" s="90">
        <v>30000</v>
      </c>
      <c r="O80" s="10"/>
      <c r="P80" s="103">
        <v>15</v>
      </c>
      <c r="Q80" s="90">
        <v>25000</v>
      </c>
      <c r="R80" s="10"/>
      <c r="S80" s="103" t="s">
        <v>0</v>
      </c>
      <c r="T80" s="10"/>
      <c r="U80" s="103" t="s">
        <v>462</v>
      </c>
      <c r="V80" s="103" t="s">
        <v>1095</v>
      </c>
      <c r="W80" s="10"/>
    </row>
    <row r="81" spans="1:23" ht="1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90"/>
      <c r="O81" s="10"/>
      <c r="P81" s="10"/>
      <c r="Q81" s="90"/>
      <c r="R81" s="10"/>
      <c r="S81" s="10"/>
      <c r="T81" s="10"/>
      <c r="U81" s="10"/>
      <c r="V81" s="10"/>
      <c r="W81" s="10"/>
    </row>
    <row r="82" spans="1:23" ht="13">
      <c r="A82" s="10" t="s">
        <v>1106</v>
      </c>
      <c r="B82" s="10" t="s">
        <v>1107</v>
      </c>
      <c r="C82" s="10"/>
      <c r="D82" s="10" t="s">
        <v>1108</v>
      </c>
      <c r="E82" s="10" t="s">
        <v>472</v>
      </c>
      <c r="F82" s="10"/>
      <c r="G82" s="10"/>
      <c r="H82" s="103" t="s">
        <v>895</v>
      </c>
      <c r="I82" s="103" t="s">
        <v>992</v>
      </c>
      <c r="J82" s="103" t="s">
        <v>993</v>
      </c>
      <c r="K82" s="10"/>
      <c r="L82" s="23" t="s">
        <v>1035</v>
      </c>
      <c r="M82" s="103" t="s">
        <v>882</v>
      </c>
      <c r="N82" s="90">
        <v>40000</v>
      </c>
      <c r="O82" s="10"/>
      <c r="P82" s="103">
        <v>15</v>
      </c>
      <c r="Q82" s="90">
        <v>25000</v>
      </c>
      <c r="R82" s="103" t="s">
        <v>1058</v>
      </c>
      <c r="S82" s="103" t="s">
        <v>1037</v>
      </c>
      <c r="T82" s="10"/>
      <c r="U82" s="103" t="s">
        <v>366</v>
      </c>
      <c r="V82" s="103" t="s">
        <v>1109</v>
      </c>
      <c r="W82" s="10"/>
    </row>
    <row r="83" spans="1:23" ht="14">
      <c r="A83" s="10" t="s">
        <v>1106</v>
      </c>
      <c r="B83" s="10" t="s">
        <v>1107</v>
      </c>
      <c r="C83" s="10"/>
      <c r="D83" s="10" t="s">
        <v>1110</v>
      </c>
      <c r="E83" s="10" t="s">
        <v>472</v>
      </c>
      <c r="F83" s="10"/>
      <c r="G83" s="10"/>
      <c r="H83" s="103" t="s">
        <v>895</v>
      </c>
      <c r="I83" s="103" t="s">
        <v>992</v>
      </c>
      <c r="J83" s="103" t="s">
        <v>993</v>
      </c>
      <c r="K83" s="10"/>
      <c r="L83" s="23" t="s">
        <v>1035</v>
      </c>
      <c r="M83" s="83" t="s">
        <v>1111</v>
      </c>
      <c r="N83" s="90">
        <v>40000</v>
      </c>
      <c r="O83" s="10"/>
      <c r="P83" s="103">
        <v>15</v>
      </c>
      <c r="Q83" s="90">
        <v>30000</v>
      </c>
      <c r="R83" s="103" t="s">
        <v>1058</v>
      </c>
      <c r="S83" s="103" t="s">
        <v>1037</v>
      </c>
      <c r="T83" s="10"/>
      <c r="U83" s="103" t="s">
        <v>366</v>
      </c>
      <c r="V83" s="103" t="s">
        <v>1109</v>
      </c>
      <c r="W83" s="10"/>
    </row>
    <row r="84" spans="1:23" ht="13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</row>
    <row r="85" spans="1:23" ht="13">
      <c r="A85" s="10" t="s">
        <v>1112</v>
      </c>
      <c r="B85" s="10"/>
      <c r="C85" s="10"/>
      <c r="D85" s="10" t="s">
        <v>1113</v>
      </c>
      <c r="E85" s="10" t="s">
        <v>1114</v>
      </c>
      <c r="F85" s="10"/>
      <c r="G85" s="10"/>
      <c r="H85" s="103" t="s">
        <v>895</v>
      </c>
      <c r="I85" s="103" t="s">
        <v>992</v>
      </c>
      <c r="J85" s="103" t="s">
        <v>993</v>
      </c>
      <c r="K85" s="10"/>
      <c r="L85" s="23" t="s">
        <v>248</v>
      </c>
      <c r="M85" s="103" t="s">
        <v>882</v>
      </c>
      <c r="N85" s="90">
        <v>25000</v>
      </c>
      <c r="O85" s="10"/>
      <c r="P85" s="103">
        <v>15</v>
      </c>
      <c r="Q85" s="10"/>
      <c r="R85" s="10"/>
      <c r="S85" s="103" t="s">
        <v>0</v>
      </c>
      <c r="T85" s="10"/>
      <c r="U85" s="103" t="s">
        <v>341</v>
      </c>
      <c r="V85" s="103" t="s">
        <v>343</v>
      </c>
      <c r="W85" s="10"/>
    </row>
    <row r="86" spans="1:23" ht="13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</row>
    <row r="87" spans="1:23" ht="13">
      <c r="A87" s="10" t="s">
        <v>1115</v>
      </c>
      <c r="B87" s="10" t="s">
        <v>713</v>
      </c>
      <c r="C87" s="10" t="s">
        <v>714</v>
      </c>
      <c r="D87" s="10" t="s">
        <v>1116</v>
      </c>
      <c r="E87" s="10"/>
      <c r="F87" s="10"/>
      <c r="G87" s="10"/>
      <c r="H87" s="103" t="s">
        <v>895</v>
      </c>
      <c r="I87" s="103" t="s">
        <v>992</v>
      </c>
      <c r="J87" s="103" t="s">
        <v>993</v>
      </c>
      <c r="K87" s="10"/>
      <c r="L87" s="10"/>
      <c r="M87" s="103" t="s">
        <v>882</v>
      </c>
      <c r="N87" s="90">
        <v>10000</v>
      </c>
      <c r="O87" s="10"/>
      <c r="P87" s="103">
        <v>15</v>
      </c>
      <c r="Q87" s="10"/>
      <c r="R87" s="10"/>
      <c r="S87" s="103" t="s">
        <v>0</v>
      </c>
      <c r="T87" s="10"/>
      <c r="U87" s="103" t="s">
        <v>1117</v>
      </c>
      <c r="V87" s="103" t="s">
        <v>1008</v>
      </c>
      <c r="W87" s="10"/>
    </row>
    <row r="88" spans="1:23" ht="13">
      <c r="A88" s="10" t="s">
        <v>1115</v>
      </c>
      <c r="B88" s="10" t="s">
        <v>713</v>
      </c>
      <c r="C88" s="10" t="s">
        <v>714</v>
      </c>
      <c r="D88" s="10" t="s">
        <v>1118</v>
      </c>
      <c r="E88" s="10"/>
      <c r="F88" s="10"/>
      <c r="G88" s="10"/>
      <c r="H88" s="103" t="s">
        <v>895</v>
      </c>
      <c r="I88" s="103" t="s">
        <v>992</v>
      </c>
      <c r="J88" s="103" t="s">
        <v>993</v>
      </c>
      <c r="K88" s="10"/>
      <c r="L88" s="10"/>
      <c r="M88" s="103" t="s">
        <v>882</v>
      </c>
      <c r="N88" s="90">
        <v>10000</v>
      </c>
      <c r="O88" s="10"/>
      <c r="P88" s="103">
        <v>15</v>
      </c>
      <c r="Q88" s="10"/>
      <c r="R88" s="10"/>
      <c r="S88" s="103" t="s">
        <v>0</v>
      </c>
      <c r="T88" s="10"/>
      <c r="U88" s="103" t="s">
        <v>1117</v>
      </c>
      <c r="V88" s="103" t="s">
        <v>1008</v>
      </c>
      <c r="W88" s="10"/>
    </row>
    <row r="89" spans="1:23" ht="13">
      <c r="A89" s="10" t="s">
        <v>1115</v>
      </c>
      <c r="B89" s="10" t="s">
        <v>713</v>
      </c>
      <c r="C89" s="10" t="s">
        <v>714</v>
      </c>
      <c r="D89" s="10" t="s">
        <v>1119</v>
      </c>
      <c r="E89" s="10"/>
      <c r="F89" s="10"/>
      <c r="G89" s="10"/>
      <c r="H89" s="103" t="s">
        <v>895</v>
      </c>
      <c r="I89" s="103" t="s">
        <v>992</v>
      </c>
      <c r="J89" s="103" t="s">
        <v>993</v>
      </c>
      <c r="K89" s="10"/>
      <c r="L89" s="10"/>
      <c r="M89" s="103" t="s">
        <v>889</v>
      </c>
      <c r="N89" s="90">
        <v>10000</v>
      </c>
      <c r="O89" s="10"/>
      <c r="P89" s="103">
        <v>15</v>
      </c>
      <c r="Q89" s="10"/>
      <c r="R89" s="10"/>
      <c r="S89" s="103" t="s">
        <v>0</v>
      </c>
      <c r="T89" s="10"/>
      <c r="U89" s="103" t="s">
        <v>1117</v>
      </c>
      <c r="V89" s="103" t="s">
        <v>1008</v>
      </c>
      <c r="W89" s="10"/>
    </row>
    <row r="90" spans="1:23" ht="13">
      <c r="A90" s="10" t="s">
        <v>1115</v>
      </c>
      <c r="B90" s="10" t="s">
        <v>713</v>
      </c>
      <c r="C90" s="10" t="s">
        <v>714</v>
      </c>
      <c r="D90" s="10" t="s">
        <v>1120</v>
      </c>
      <c r="E90" s="10"/>
      <c r="F90" s="10"/>
      <c r="G90" s="10"/>
      <c r="H90" s="103" t="s">
        <v>895</v>
      </c>
      <c r="I90" s="103" t="s">
        <v>992</v>
      </c>
      <c r="J90" s="103" t="s">
        <v>993</v>
      </c>
      <c r="K90" s="10"/>
      <c r="L90" s="10"/>
      <c r="M90" s="103" t="s">
        <v>1121</v>
      </c>
      <c r="N90" s="90">
        <v>22000</v>
      </c>
      <c r="O90" s="10"/>
      <c r="P90" s="103">
        <v>15</v>
      </c>
      <c r="Q90" s="10"/>
      <c r="R90" s="10"/>
      <c r="S90" s="103" t="s">
        <v>0</v>
      </c>
      <c r="T90" s="10"/>
      <c r="U90" s="103" t="s">
        <v>1117</v>
      </c>
      <c r="V90" s="103" t="s">
        <v>1008</v>
      </c>
      <c r="W90" s="10"/>
    </row>
    <row r="91" spans="1:23" ht="13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</row>
    <row r="92" spans="1:23" ht="28">
      <c r="A92" s="10" t="s">
        <v>1122</v>
      </c>
      <c r="B92" s="10"/>
      <c r="C92" s="10"/>
      <c r="D92" s="10" t="s">
        <v>1123</v>
      </c>
      <c r="E92" s="10" t="s">
        <v>1124</v>
      </c>
      <c r="F92" s="10"/>
      <c r="G92" s="10"/>
      <c r="H92" s="103" t="s">
        <v>897</v>
      </c>
      <c r="I92" s="165">
        <v>43417</v>
      </c>
      <c r="J92" s="103" t="s">
        <v>1125</v>
      </c>
      <c r="K92" s="10"/>
      <c r="L92" s="10"/>
      <c r="M92" s="83" t="s">
        <v>1126</v>
      </c>
      <c r="N92" s="10"/>
      <c r="O92" s="10"/>
      <c r="P92" s="10"/>
      <c r="Q92" s="10"/>
      <c r="R92" s="10"/>
      <c r="S92" s="10"/>
      <c r="T92" s="10"/>
      <c r="U92" s="10"/>
      <c r="V92" s="10"/>
      <c r="W92" s="10"/>
    </row>
    <row r="93" spans="1:23" ht="1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</row>
    <row r="94" spans="1:23" ht="13">
      <c r="A94" s="10" t="s">
        <v>1127</v>
      </c>
      <c r="B94" s="10" t="s">
        <v>1128</v>
      </c>
      <c r="C94" s="10" t="s">
        <v>1129</v>
      </c>
      <c r="D94" s="10" t="s">
        <v>1130</v>
      </c>
      <c r="E94" s="10"/>
      <c r="F94" s="10"/>
      <c r="G94" s="10"/>
      <c r="H94" s="103" t="s">
        <v>895</v>
      </c>
      <c r="I94" s="103" t="s">
        <v>992</v>
      </c>
      <c r="J94" s="103" t="s">
        <v>993</v>
      </c>
      <c r="K94" s="10"/>
      <c r="L94" s="23" t="s">
        <v>248</v>
      </c>
      <c r="M94" s="103" t="s">
        <v>1007</v>
      </c>
      <c r="N94" s="90">
        <v>8000</v>
      </c>
      <c r="O94" s="10"/>
      <c r="P94" s="103">
        <v>15</v>
      </c>
      <c r="Q94" s="10"/>
      <c r="R94" s="10"/>
      <c r="S94" s="103" t="s">
        <v>0</v>
      </c>
      <c r="T94" s="10"/>
      <c r="U94" s="103" t="s">
        <v>1131</v>
      </c>
      <c r="V94" s="103" t="s">
        <v>1008</v>
      </c>
      <c r="W94" s="10"/>
    </row>
    <row r="95" spans="1:23" ht="13">
      <c r="A95" s="10" t="s">
        <v>1127</v>
      </c>
      <c r="B95" s="10" t="s">
        <v>1128</v>
      </c>
      <c r="C95" s="10" t="s">
        <v>1129</v>
      </c>
      <c r="D95" s="10" t="s">
        <v>1132</v>
      </c>
      <c r="E95" s="10"/>
      <c r="F95" s="10"/>
      <c r="G95" s="10"/>
      <c r="H95" s="103" t="s">
        <v>895</v>
      </c>
      <c r="I95" s="103" t="s">
        <v>992</v>
      </c>
      <c r="J95" s="103" t="s">
        <v>993</v>
      </c>
      <c r="K95" s="10"/>
      <c r="L95" s="23" t="s">
        <v>248</v>
      </c>
      <c r="M95" s="103" t="s">
        <v>315</v>
      </c>
      <c r="N95" s="90">
        <v>15000</v>
      </c>
      <c r="O95" s="10"/>
      <c r="P95" s="103">
        <v>15</v>
      </c>
      <c r="Q95" s="10"/>
      <c r="R95" s="10"/>
      <c r="S95" s="103" t="s">
        <v>0</v>
      </c>
      <c r="T95" s="10"/>
      <c r="U95" s="103" t="s">
        <v>1131</v>
      </c>
      <c r="V95" s="103" t="s">
        <v>1008</v>
      </c>
      <c r="W95" s="10"/>
    </row>
    <row r="96" spans="1:23" ht="1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</row>
    <row r="97" spans="1:23" ht="13">
      <c r="A97" s="10" t="s">
        <v>1139</v>
      </c>
      <c r="B97" s="10" t="s">
        <v>844</v>
      </c>
      <c r="C97" s="10"/>
      <c r="D97" s="10" t="s">
        <v>1140</v>
      </c>
      <c r="E97" s="10"/>
      <c r="F97" s="10"/>
      <c r="G97" s="10"/>
      <c r="H97" s="103" t="s">
        <v>891</v>
      </c>
      <c r="I97" s="103" t="s">
        <v>992</v>
      </c>
      <c r="J97" s="103" t="s">
        <v>1056</v>
      </c>
      <c r="K97" s="10"/>
      <c r="L97" s="23" t="s">
        <v>1035</v>
      </c>
      <c r="M97" s="103" t="s">
        <v>1141</v>
      </c>
      <c r="N97" s="90">
        <v>45000</v>
      </c>
      <c r="O97" s="10"/>
      <c r="P97" s="103">
        <v>14</v>
      </c>
      <c r="Q97" s="90">
        <v>45000</v>
      </c>
      <c r="R97" s="103" t="s">
        <v>1058</v>
      </c>
      <c r="S97" s="103" t="s">
        <v>1037</v>
      </c>
      <c r="T97" s="10"/>
      <c r="U97" s="103" t="s">
        <v>1142</v>
      </c>
      <c r="V97" s="103" t="s">
        <v>1095</v>
      </c>
      <c r="W97" s="10"/>
    </row>
    <row r="98" spans="1:23" ht="1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3"/>
      <c r="N98" s="10"/>
      <c r="O98" s="10"/>
      <c r="P98" s="10"/>
      <c r="Q98" s="10"/>
      <c r="R98" s="10"/>
      <c r="S98" s="10"/>
      <c r="T98" s="10"/>
      <c r="U98" s="10"/>
      <c r="V98" s="10"/>
      <c r="W98" s="10"/>
    </row>
    <row r="99" spans="1:23" ht="13">
      <c r="A99" s="10" t="s">
        <v>1143</v>
      </c>
      <c r="B99" s="10" t="s">
        <v>1024</v>
      </c>
      <c r="C99" s="10" t="s">
        <v>1025</v>
      </c>
      <c r="D99" s="10" t="s">
        <v>1144</v>
      </c>
      <c r="E99" s="10"/>
      <c r="F99" s="10"/>
      <c r="G99" s="10"/>
      <c r="H99" s="103" t="s">
        <v>1145</v>
      </c>
      <c r="I99" s="103" t="s">
        <v>992</v>
      </c>
      <c r="J99" s="103" t="s">
        <v>1056</v>
      </c>
      <c r="K99" s="10"/>
      <c r="L99" s="23" t="s">
        <v>248</v>
      </c>
      <c r="M99" s="103" t="s">
        <v>882</v>
      </c>
      <c r="N99" s="90">
        <v>8000</v>
      </c>
      <c r="O99" s="10"/>
      <c r="P99" s="103">
        <v>15</v>
      </c>
      <c r="Q99" s="10"/>
      <c r="R99" s="10"/>
      <c r="S99" s="103" t="s">
        <v>0</v>
      </c>
      <c r="T99" s="10"/>
      <c r="U99" s="103" t="s">
        <v>1146</v>
      </c>
      <c r="V99" s="103" t="s">
        <v>1008</v>
      </c>
      <c r="W99" s="10"/>
    </row>
    <row r="100" spans="1:23" ht="1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</row>
    <row r="101" spans="1:23" ht="13">
      <c r="A101" s="10" t="s">
        <v>1148</v>
      </c>
      <c r="B101" s="10" t="s">
        <v>1024</v>
      </c>
      <c r="C101" s="10" t="s">
        <v>1025</v>
      </c>
      <c r="D101" s="10" t="s">
        <v>1026</v>
      </c>
      <c r="E101" s="10"/>
      <c r="F101" s="10"/>
      <c r="G101" s="10"/>
      <c r="H101" s="103" t="s">
        <v>891</v>
      </c>
      <c r="I101" s="103" t="s">
        <v>992</v>
      </c>
      <c r="J101" s="103" t="s">
        <v>1056</v>
      </c>
      <c r="K101" s="10"/>
      <c r="L101" s="23" t="s">
        <v>248</v>
      </c>
      <c r="M101" s="103" t="s">
        <v>315</v>
      </c>
      <c r="N101" s="90">
        <v>20000</v>
      </c>
      <c r="O101" s="10"/>
      <c r="P101" s="103">
        <v>15</v>
      </c>
      <c r="Q101" s="10"/>
      <c r="R101" s="10"/>
      <c r="S101" s="103" t="s">
        <v>0</v>
      </c>
      <c r="T101" s="10"/>
      <c r="U101" s="103" t="s">
        <v>1146</v>
      </c>
      <c r="V101" s="103" t="s">
        <v>1008</v>
      </c>
      <c r="W101" s="10"/>
    </row>
    <row r="102" spans="1:23" ht="1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</row>
    <row r="103" spans="1:23" ht="13">
      <c r="A103" s="10" t="s">
        <v>1149</v>
      </c>
      <c r="B103" s="10" t="s">
        <v>1150</v>
      </c>
      <c r="C103" s="10"/>
      <c r="D103" s="10" t="s">
        <v>1151</v>
      </c>
      <c r="E103" s="10"/>
      <c r="F103" s="10"/>
      <c r="G103" s="10"/>
      <c r="H103" s="103" t="s">
        <v>891</v>
      </c>
      <c r="I103" s="103" t="s">
        <v>1152</v>
      </c>
      <c r="J103" s="103" t="s">
        <v>1153</v>
      </c>
      <c r="K103" s="10"/>
      <c r="L103" s="23" t="s">
        <v>248</v>
      </c>
      <c r="M103" s="103" t="s">
        <v>1007</v>
      </c>
      <c r="N103" s="90">
        <v>10000</v>
      </c>
      <c r="O103" s="10"/>
      <c r="P103" s="103">
        <v>15</v>
      </c>
      <c r="Q103" s="10"/>
      <c r="R103" s="10"/>
      <c r="S103" s="103" t="s">
        <v>0</v>
      </c>
      <c r="T103" s="10"/>
      <c r="U103" s="103" t="s">
        <v>1155</v>
      </c>
      <c r="V103" s="103" t="s">
        <v>1157</v>
      </c>
      <c r="W103" s="10"/>
    </row>
    <row r="104" spans="1:23" ht="1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</row>
    <row r="105" spans="1:23" ht="13">
      <c r="A105" s="10" t="s">
        <v>1158</v>
      </c>
      <c r="B105" s="10"/>
      <c r="C105" s="10"/>
      <c r="D105" s="10" t="s">
        <v>1159</v>
      </c>
      <c r="E105" s="10" t="s">
        <v>1160</v>
      </c>
      <c r="F105" s="10"/>
      <c r="G105" s="10"/>
      <c r="H105" s="103" t="s">
        <v>1161</v>
      </c>
      <c r="I105" s="125">
        <v>43556</v>
      </c>
      <c r="J105" s="103" t="s">
        <v>1162</v>
      </c>
      <c r="K105" s="10"/>
      <c r="L105" s="10"/>
      <c r="M105" s="103" t="s">
        <v>1163</v>
      </c>
      <c r="N105" s="10"/>
      <c r="O105" s="90">
        <v>10000000</v>
      </c>
      <c r="P105" s="103">
        <v>15</v>
      </c>
      <c r="Q105" s="10"/>
      <c r="R105" s="10"/>
      <c r="S105" s="10"/>
      <c r="T105" s="10"/>
      <c r="U105" s="10"/>
      <c r="V105" s="10"/>
      <c r="W105" s="10"/>
    </row>
    <row r="106" spans="1:23" ht="13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</row>
    <row r="107" spans="1:23" ht="28">
      <c r="A107" s="10" t="s">
        <v>1165</v>
      </c>
      <c r="B107" s="10" t="s">
        <v>1166</v>
      </c>
      <c r="C107" s="10" t="s">
        <v>1167</v>
      </c>
      <c r="D107" s="10"/>
      <c r="E107" s="10"/>
      <c r="F107" s="10"/>
      <c r="G107" s="10"/>
      <c r="H107" s="103" t="s">
        <v>1161</v>
      </c>
      <c r="I107" s="125">
        <v>43556</v>
      </c>
      <c r="J107" s="103" t="s">
        <v>1162</v>
      </c>
      <c r="K107" s="10"/>
      <c r="L107" s="10"/>
      <c r="M107" s="83" t="s">
        <v>1168</v>
      </c>
      <c r="N107" s="103"/>
      <c r="O107" s="90">
        <v>5000000</v>
      </c>
      <c r="P107" s="10"/>
      <c r="Q107" s="10"/>
      <c r="R107" s="10"/>
      <c r="S107" s="10"/>
      <c r="T107" s="10"/>
      <c r="U107" s="10"/>
      <c r="V107" s="10"/>
      <c r="W107" s="10"/>
    </row>
    <row r="108" spans="1:23" ht="13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</row>
    <row r="109" spans="1:23" ht="13">
      <c r="A109" s="10" t="s">
        <v>1169</v>
      </c>
      <c r="B109" s="10" t="s">
        <v>279</v>
      </c>
      <c r="C109" s="10" t="s">
        <v>280</v>
      </c>
      <c r="D109" s="10" t="s">
        <v>223</v>
      </c>
      <c r="E109" s="10"/>
      <c r="F109" s="10"/>
      <c r="G109" s="10"/>
      <c r="H109" s="103" t="s">
        <v>895</v>
      </c>
      <c r="I109" s="103" t="s">
        <v>992</v>
      </c>
      <c r="J109" s="103" t="s">
        <v>993</v>
      </c>
      <c r="K109" s="10"/>
      <c r="L109" s="23" t="s">
        <v>1035</v>
      </c>
      <c r="M109" s="103" t="s">
        <v>882</v>
      </c>
      <c r="N109" s="90">
        <v>25000</v>
      </c>
      <c r="O109" s="10"/>
      <c r="P109" s="103">
        <v>20</v>
      </c>
      <c r="Q109" s="10"/>
      <c r="R109" s="103" t="s">
        <v>1045</v>
      </c>
      <c r="S109" s="103" t="s">
        <v>1037</v>
      </c>
      <c r="T109" s="10"/>
      <c r="U109" s="10"/>
      <c r="V109" s="10"/>
      <c r="W109" s="10"/>
    </row>
    <row r="110" spans="1:23" ht="13">
      <c r="A110" s="10" t="s">
        <v>1169</v>
      </c>
      <c r="B110" s="10" t="s">
        <v>279</v>
      </c>
      <c r="C110" s="10" t="s">
        <v>280</v>
      </c>
      <c r="D110" s="10" t="s">
        <v>73</v>
      </c>
      <c r="E110" s="10"/>
      <c r="F110" s="10"/>
      <c r="G110" s="10"/>
      <c r="H110" s="103" t="s">
        <v>895</v>
      </c>
      <c r="I110" s="122" t="s">
        <v>992</v>
      </c>
      <c r="J110" s="127" t="s">
        <v>993</v>
      </c>
      <c r="K110" s="10"/>
      <c r="L110" s="23" t="s">
        <v>1035</v>
      </c>
      <c r="M110" s="103" t="s">
        <v>882</v>
      </c>
      <c r="N110" s="90">
        <v>47500</v>
      </c>
      <c r="O110" s="10"/>
      <c r="P110" s="103">
        <v>20</v>
      </c>
      <c r="Q110" s="10"/>
      <c r="R110" s="103" t="s">
        <v>1045</v>
      </c>
      <c r="S110" s="103" t="s">
        <v>1037</v>
      </c>
      <c r="T110" s="10"/>
      <c r="U110" s="10"/>
      <c r="V110" s="10"/>
      <c r="W110" s="10"/>
    </row>
    <row r="111" spans="1:23" ht="13">
      <c r="A111" s="10" t="s">
        <v>1169</v>
      </c>
      <c r="B111" s="10" t="s">
        <v>279</v>
      </c>
      <c r="C111" s="10" t="s">
        <v>280</v>
      </c>
      <c r="D111" s="10" t="s">
        <v>169</v>
      </c>
      <c r="E111" s="10"/>
      <c r="F111" s="10"/>
      <c r="G111" s="10"/>
      <c r="H111" s="103" t="s">
        <v>895</v>
      </c>
      <c r="I111" s="122" t="s">
        <v>992</v>
      </c>
      <c r="J111" s="127" t="s">
        <v>993</v>
      </c>
      <c r="K111" s="10"/>
      <c r="L111" s="23" t="s">
        <v>1035</v>
      </c>
      <c r="M111" s="103" t="s">
        <v>889</v>
      </c>
      <c r="N111" s="90">
        <v>50000</v>
      </c>
      <c r="O111" s="10"/>
      <c r="P111" s="103">
        <v>20</v>
      </c>
      <c r="Q111" s="10"/>
      <c r="R111" s="103" t="s">
        <v>1045</v>
      </c>
      <c r="S111" s="103" t="s">
        <v>1037</v>
      </c>
      <c r="T111" s="10"/>
      <c r="U111" s="10"/>
      <c r="V111" s="10"/>
      <c r="W111" s="10"/>
    </row>
    <row r="112" spans="1:23" ht="13">
      <c r="A112" s="10" t="s">
        <v>1169</v>
      </c>
      <c r="B112" s="10" t="s">
        <v>279</v>
      </c>
      <c r="C112" s="10" t="s">
        <v>280</v>
      </c>
      <c r="D112" s="10" t="s">
        <v>117</v>
      </c>
      <c r="E112" s="10"/>
      <c r="F112" s="10"/>
      <c r="G112" s="10"/>
      <c r="H112" s="103" t="s">
        <v>895</v>
      </c>
      <c r="I112" s="122" t="s">
        <v>992</v>
      </c>
      <c r="J112" s="127" t="s">
        <v>993</v>
      </c>
      <c r="K112" s="10"/>
      <c r="L112" s="23" t="s">
        <v>1035</v>
      </c>
      <c r="M112" s="103" t="s">
        <v>889</v>
      </c>
      <c r="N112" s="10"/>
      <c r="O112" s="10"/>
      <c r="P112" s="103">
        <v>20</v>
      </c>
      <c r="Q112" s="10"/>
      <c r="R112" s="103" t="s">
        <v>1045</v>
      </c>
      <c r="S112" s="103" t="s">
        <v>1037</v>
      </c>
      <c r="T112" s="10"/>
      <c r="U112" s="10"/>
      <c r="V112" s="10"/>
      <c r="W112" s="10"/>
    </row>
    <row r="113" spans="1:23" ht="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</row>
    <row r="114" spans="1:23" ht="13">
      <c r="A114" s="10" t="s">
        <v>1175</v>
      </c>
      <c r="B114" s="10" t="s">
        <v>1176</v>
      </c>
      <c r="C114" s="10" t="s">
        <v>1177</v>
      </c>
      <c r="D114" s="10" t="s">
        <v>1178</v>
      </c>
      <c r="E114" s="10"/>
      <c r="F114" s="10"/>
      <c r="G114" s="10"/>
      <c r="H114" s="103" t="s">
        <v>895</v>
      </c>
      <c r="I114" s="103" t="s">
        <v>992</v>
      </c>
      <c r="J114" s="103" t="s">
        <v>993</v>
      </c>
      <c r="K114" s="10"/>
      <c r="L114" s="23" t="s">
        <v>1035</v>
      </c>
      <c r="M114" s="103" t="s">
        <v>882</v>
      </c>
      <c r="N114" s="90">
        <v>42500</v>
      </c>
      <c r="O114" s="10"/>
      <c r="P114" s="103">
        <v>15</v>
      </c>
      <c r="Q114" s="10"/>
      <c r="R114" s="103" t="s">
        <v>1058</v>
      </c>
      <c r="S114" s="103" t="s">
        <v>1037</v>
      </c>
      <c r="T114" s="10"/>
      <c r="U114" s="103" t="s">
        <v>341</v>
      </c>
      <c r="V114" s="103" t="s">
        <v>752</v>
      </c>
      <c r="W114" s="10"/>
    </row>
    <row r="115" spans="1:23" ht="13">
      <c r="A115" s="10" t="s">
        <v>1175</v>
      </c>
      <c r="B115" s="10" t="s">
        <v>1176</v>
      </c>
      <c r="C115" s="10" t="s">
        <v>1177</v>
      </c>
      <c r="D115" s="10" t="s">
        <v>1182</v>
      </c>
      <c r="E115" s="10"/>
      <c r="F115" s="10"/>
      <c r="G115" s="10"/>
      <c r="H115" s="103" t="s">
        <v>895</v>
      </c>
      <c r="I115" s="103" t="s">
        <v>992</v>
      </c>
      <c r="J115" s="103" t="s">
        <v>993</v>
      </c>
      <c r="K115" s="10"/>
      <c r="L115" s="23" t="s">
        <v>1035</v>
      </c>
      <c r="M115" s="103" t="s">
        <v>882</v>
      </c>
      <c r="N115" s="90">
        <v>42500</v>
      </c>
      <c r="O115" s="10"/>
      <c r="P115" s="103">
        <v>15</v>
      </c>
      <c r="Q115" s="10"/>
      <c r="R115" s="103"/>
      <c r="S115" s="103" t="s">
        <v>1037</v>
      </c>
      <c r="T115" s="10"/>
      <c r="U115" s="103" t="s">
        <v>341</v>
      </c>
      <c r="V115" s="103" t="s">
        <v>752</v>
      </c>
      <c r="W115" s="10"/>
    </row>
    <row r="116" spans="1:23" ht="13">
      <c r="A116" s="10" t="s">
        <v>1175</v>
      </c>
      <c r="B116" s="10" t="s">
        <v>1176</v>
      </c>
      <c r="C116" s="10" t="s">
        <v>1177</v>
      </c>
      <c r="D116" s="10" t="s">
        <v>1185</v>
      </c>
      <c r="E116" s="10"/>
      <c r="F116" s="10"/>
      <c r="G116" s="10"/>
      <c r="H116" s="103" t="s">
        <v>895</v>
      </c>
      <c r="I116" s="103" t="s">
        <v>992</v>
      </c>
      <c r="J116" s="103" t="s">
        <v>993</v>
      </c>
      <c r="K116" s="10"/>
      <c r="L116" s="23" t="s">
        <v>1035</v>
      </c>
      <c r="M116" s="103" t="s">
        <v>889</v>
      </c>
      <c r="N116" s="90">
        <v>42500</v>
      </c>
      <c r="O116" s="10"/>
      <c r="P116" s="103">
        <v>15</v>
      </c>
      <c r="Q116" s="10"/>
      <c r="R116" s="103" t="s">
        <v>1058</v>
      </c>
      <c r="S116" s="103" t="s">
        <v>1037</v>
      </c>
      <c r="T116" s="10"/>
      <c r="U116" s="103" t="s">
        <v>341</v>
      </c>
      <c r="V116" s="103" t="s">
        <v>752</v>
      </c>
      <c r="W116" s="10"/>
    </row>
    <row r="117" spans="1:23" ht="13">
      <c r="A117" s="10" t="s">
        <v>1175</v>
      </c>
      <c r="B117" s="10" t="s">
        <v>1176</v>
      </c>
      <c r="C117" s="10" t="s">
        <v>1177</v>
      </c>
      <c r="D117" s="10" t="s">
        <v>1187</v>
      </c>
      <c r="E117" s="10"/>
      <c r="F117" s="10"/>
      <c r="G117" s="10"/>
      <c r="H117" s="103" t="s">
        <v>895</v>
      </c>
      <c r="I117" s="103" t="s">
        <v>992</v>
      </c>
      <c r="J117" s="103" t="s">
        <v>993</v>
      </c>
      <c r="K117" s="10"/>
      <c r="L117" s="23" t="s">
        <v>1035</v>
      </c>
      <c r="M117" s="103" t="s">
        <v>889</v>
      </c>
      <c r="N117" s="90">
        <v>42500</v>
      </c>
      <c r="O117" s="10"/>
      <c r="P117" s="103">
        <v>15</v>
      </c>
      <c r="Q117" s="10"/>
      <c r="R117" s="10"/>
      <c r="S117" s="103" t="s">
        <v>1037</v>
      </c>
      <c r="T117" s="10"/>
      <c r="U117" s="103" t="s">
        <v>341</v>
      </c>
      <c r="V117" s="103" t="s">
        <v>752</v>
      </c>
      <c r="W117" s="10"/>
    </row>
    <row r="118" spans="1:23" ht="13">
      <c r="A118" s="10"/>
      <c r="B118" s="10"/>
      <c r="C118" s="10"/>
      <c r="D118" s="10"/>
      <c r="E118" s="10"/>
      <c r="F118" s="10"/>
      <c r="G118" s="10"/>
      <c r="H118" s="103"/>
      <c r="I118" s="103"/>
      <c r="J118" s="103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</row>
    <row r="119" spans="1:23" ht="13">
      <c r="A119" s="10" t="s">
        <v>1189</v>
      </c>
      <c r="B119" s="10" t="s">
        <v>1190</v>
      </c>
      <c r="C119" s="10" t="s">
        <v>1191</v>
      </c>
      <c r="D119" s="10" t="s">
        <v>1192</v>
      </c>
      <c r="E119" s="10"/>
      <c r="F119" s="10"/>
      <c r="G119" s="10"/>
      <c r="H119" s="10"/>
      <c r="I119" s="103" t="s">
        <v>1193</v>
      </c>
      <c r="J119" s="125">
        <v>44652</v>
      </c>
      <c r="K119" s="10"/>
      <c r="L119" s="23" t="s">
        <v>248</v>
      </c>
      <c r="M119" s="103" t="s">
        <v>882</v>
      </c>
      <c r="N119" s="90">
        <v>15000</v>
      </c>
      <c r="O119" s="10"/>
      <c r="P119" s="103">
        <v>15</v>
      </c>
      <c r="Q119" s="10"/>
      <c r="R119" s="10"/>
      <c r="S119" s="103" t="s">
        <v>0</v>
      </c>
      <c r="T119" s="10"/>
      <c r="U119" s="103" t="s">
        <v>945</v>
      </c>
      <c r="V119" s="103" t="s">
        <v>1147</v>
      </c>
      <c r="W119" s="10"/>
    </row>
    <row r="120" spans="1:23" ht="13">
      <c r="A120" s="10" t="s">
        <v>1189</v>
      </c>
      <c r="B120" s="10" t="s">
        <v>1190</v>
      </c>
      <c r="C120" s="10" t="s">
        <v>1191</v>
      </c>
      <c r="D120" s="10" t="s">
        <v>1195</v>
      </c>
      <c r="E120" s="10"/>
      <c r="F120" s="10"/>
      <c r="G120" s="10"/>
      <c r="H120" s="10"/>
      <c r="I120" s="103" t="s">
        <v>1193</v>
      </c>
      <c r="J120" s="125">
        <v>44652</v>
      </c>
      <c r="K120" s="10"/>
      <c r="L120" s="23" t="s">
        <v>248</v>
      </c>
      <c r="M120" s="103" t="s">
        <v>882</v>
      </c>
      <c r="N120" s="90">
        <v>15000</v>
      </c>
      <c r="O120" s="10"/>
      <c r="P120" s="103">
        <v>15</v>
      </c>
      <c r="Q120" s="10"/>
      <c r="R120" s="10"/>
      <c r="S120" s="103" t="s">
        <v>0</v>
      </c>
      <c r="T120" s="10"/>
      <c r="U120" s="103" t="s">
        <v>945</v>
      </c>
      <c r="V120" s="103" t="s">
        <v>1147</v>
      </c>
      <c r="W120" s="10"/>
    </row>
    <row r="121" spans="1:23" ht="13">
      <c r="A121" s="10" t="s">
        <v>1189</v>
      </c>
      <c r="B121" s="10" t="s">
        <v>1190</v>
      </c>
      <c r="C121" s="10" t="s">
        <v>1191</v>
      </c>
      <c r="D121" s="10" t="s">
        <v>1197</v>
      </c>
      <c r="E121" s="10"/>
      <c r="F121" s="10"/>
      <c r="G121" s="10"/>
      <c r="H121" s="10"/>
      <c r="I121" s="103" t="s">
        <v>1193</v>
      </c>
      <c r="J121" s="125">
        <v>44652</v>
      </c>
      <c r="K121" s="10"/>
      <c r="L121" s="23" t="s">
        <v>248</v>
      </c>
      <c r="M121" s="103" t="s">
        <v>315</v>
      </c>
      <c r="N121" s="90">
        <v>20000</v>
      </c>
      <c r="O121" s="10"/>
      <c r="P121" s="103">
        <v>15</v>
      </c>
      <c r="Q121" s="10"/>
      <c r="R121" s="10"/>
      <c r="S121" s="103" t="s">
        <v>0</v>
      </c>
      <c r="T121" s="10"/>
      <c r="U121" s="103" t="s">
        <v>945</v>
      </c>
      <c r="V121" s="103" t="s">
        <v>1147</v>
      </c>
      <c r="W121" s="10"/>
    </row>
    <row r="122" spans="1:23" ht="13">
      <c r="A122" s="10" t="s">
        <v>1189</v>
      </c>
      <c r="B122" s="10" t="s">
        <v>1190</v>
      </c>
      <c r="C122" s="10" t="s">
        <v>1191</v>
      </c>
      <c r="D122" s="10" t="s">
        <v>1198</v>
      </c>
      <c r="E122" s="10"/>
      <c r="F122" s="10"/>
      <c r="G122" s="10"/>
      <c r="H122" s="10"/>
      <c r="I122" s="103" t="s">
        <v>1193</v>
      </c>
      <c r="J122" s="125">
        <v>44652</v>
      </c>
      <c r="K122" s="10"/>
      <c r="L122" s="23" t="s">
        <v>248</v>
      </c>
      <c r="M122" s="103" t="s">
        <v>315</v>
      </c>
      <c r="N122" s="90">
        <v>20000</v>
      </c>
      <c r="O122" s="10"/>
      <c r="P122" s="103">
        <v>15</v>
      </c>
      <c r="Q122" s="10"/>
      <c r="R122" s="10"/>
      <c r="S122" s="103" t="s">
        <v>0</v>
      </c>
      <c r="T122" s="10"/>
      <c r="U122" s="103" t="s">
        <v>945</v>
      </c>
      <c r="V122" s="103" t="s">
        <v>1147</v>
      </c>
      <c r="W122" s="10"/>
    </row>
    <row r="123" spans="1:23" ht="1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</row>
    <row r="124" spans="1:23" ht="13">
      <c r="A124" s="10" t="s">
        <v>1200</v>
      </c>
      <c r="B124" s="10" t="s">
        <v>1201</v>
      </c>
      <c r="C124" s="10" t="s">
        <v>1202</v>
      </c>
      <c r="D124" s="10" t="s">
        <v>1203</v>
      </c>
      <c r="E124" s="10"/>
      <c r="F124" s="10"/>
      <c r="G124" s="10"/>
      <c r="H124" s="103" t="s">
        <v>895</v>
      </c>
      <c r="I124" s="103" t="s">
        <v>1152</v>
      </c>
      <c r="J124" s="103" t="s">
        <v>1204</v>
      </c>
      <c r="K124" s="10"/>
      <c r="L124" s="23" t="s">
        <v>1035</v>
      </c>
      <c r="M124" s="103" t="s">
        <v>1007</v>
      </c>
      <c r="N124" s="10"/>
      <c r="O124" s="90">
        <v>8500000</v>
      </c>
      <c r="P124" s="103">
        <v>15</v>
      </c>
      <c r="Q124" s="10"/>
      <c r="R124" s="103" t="s">
        <v>1058</v>
      </c>
      <c r="S124" s="103" t="s">
        <v>1037</v>
      </c>
      <c r="T124" s="10"/>
      <c r="U124" s="103" t="s">
        <v>945</v>
      </c>
      <c r="V124" s="103" t="s">
        <v>1095</v>
      </c>
      <c r="W124" s="10"/>
    </row>
    <row r="125" spans="1:23" ht="13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</row>
    <row r="126" spans="1:23" ht="13">
      <c r="A126" s="10" t="s">
        <v>1206</v>
      </c>
      <c r="B126" s="10" t="s">
        <v>1207</v>
      </c>
      <c r="C126" s="10" t="s">
        <v>1208</v>
      </c>
      <c r="D126" s="10" t="s">
        <v>1209</v>
      </c>
      <c r="E126" s="10"/>
      <c r="F126" s="10"/>
      <c r="G126" s="10"/>
      <c r="H126" s="103" t="s">
        <v>895</v>
      </c>
      <c r="I126" s="103" t="s">
        <v>992</v>
      </c>
      <c r="J126" s="103" t="s">
        <v>1210</v>
      </c>
      <c r="K126" s="10"/>
      <c r="L126" s="23" t="s">
        <v>248</v>
      </c>
      <c r="M126" s="103" t="s">
        <v>1007</v>
      </c>
      <c r="N126" s="90">
        <v>7000</v>
      </c>
      <c r="O126" s="10"/>
      <c r="P126" s="103">
        <v>15</v>
      </c>
      <c r="Q126" s="10"/>
      <c r="R126" s="10"/>
      <c r="S126" s="103" t="s">
        <v>0</v>
      </c>
      <c r="T126" s="10"/>
      <c r="U126" s="103" t="s">
        <v>1146</v>
      </c>
      <c r="V126" s="103" t="s">
        <v>1008</v>
      </c>
      <c r="W126" s="10"/>
    </row>
    <row r="127" spans="1:23" ht="13">
      <c r="A127" s="10" t="s">
        <v>1206</v>
      </c>
      <c r="B127" s="10" t="s">
        <v>1207</v>
      </c>
      <c r="C127" s="10" t="s">
        <v>1208</v>
      </c>
      <c r="D127" s="10" t="s">
        <v>1213</v>
      </c>
      <c r="E127" s="10"/>
      <c r="F127" s="10"/>
      <c r="G127" s="10"/>
      <c r="H127" s="103" t="s">
        <v>895</v>
      </c>
      <c r="I127" s="103" t="s">
        <v>992</v>
      </c>
      <c r="J127" s="103" t="s">
        <v>1210</v>
      </c>
      <c r="K127" s="10"/>
      <c r="L127" s="23" t="s">
        <v>248</v>
      </c>
      <c r="M127" s="103" t="s">
        <v>1007</v>
      </c>
      <c r="N127" s="90">
        <v>7000</v>
      </c>
      <c r="O127" s="10"/>
      <c r="P127" s="103">
        <v>15</v>
      </c>
      <c r="Q127" s="10"/>
      <c r="R127" s="10"/>
      <c r="S127" s="103" t="s">
        <v>0</v>
      </c>
      <c r="T127" s="10"/>
      <c r="U127" s="103" t="s">
        <v>1146</v>
      </c>
      <c r="V127" s="103" t="s">
        <v>1008</v>
      </c>
      <c r="W127" s="10"/>
    </row>
    <row r="128" spans="1:23" ht="13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3"/>
      <c r="V128" s="103"/>
      <c r="W128" s="10"/>
    </row>
    <row r="129" spans="1:23" ht="13">
      <c r="A129" s="10" t="s">
        <v>1217</v>
      </c>
      <c r="B129" s="10"/>
      <c r="C129" s="10" t="s">
        <v>302</v>
      </c>
      <c r="D129" s="10" t="s">
        <v>1218</v>
      </c>
      <c r="E129" s="10"/>
      <c r="F129" s="10"/>
      <c r="G129" s="10"/>
      <c r="H129" s="103" t="s">
        <v>886</v>
      </c>
      <c r="I129" s="103" t="s">
        <v>992</v>
      </c>
      <c r="J129" s="103" t="s">
        <v>1138</v>
      </c>
      <c r="K129" s="23" t="s">
        <v>940</v>
      </c>
      <c r="L129" s="23" t="s">
        <v>1035</v>
      </c>
      <c r="M129" s="103" t="s">
        <v>1111</v>
      </c>
      <c r="N129" s="90">
        <v>87000</v>
      </c>
      <c r="O129" s="10"/>
      <c r="P129" s="103">
        <v>15</v>
      </c>
      <c r="Q129" s="10"/>
      <c r="R129" s="103" t="s">
        <v>1058</v>
      </c>
      <c r="S129" s="103" t="s">
        <v>1037</v>
      </c>
      <c r="T129" s="10"/>
      <c r="U129" s="103" t="s">
        <v>945</v>
      </c>
      <c r="V129" s="103" t="s">
        <v>1109</v>
      </c>
      <c r="W129" s="10"/>
    </row>
    <row r="130" spans="1:23" ht="13">
      <c r="A130" s="10" t="s">
        <v>1217</v>
      </c>
      <c r="B130" s="10"/>
      <c r="C130" s="10" t="s">
        <v>302</v>
      </c>
      <c r="D130" s="10" t="s">
        <v>1223</v>
      </c>
      <c r="E130" s="10"/>
      <c r="F130" s="10"/>
      <c r="G130" s="10"/>
      <c r="H130" s="103" t="s">
        <v>886</v>
      </c>
      <c r="I130" s="103" t="s">
        <v>992</v>
      </c>
      <c r="J130" s="103" t="s">
        <v>1138</v>
      </c>
      <c r="K130" s="23" t="s">
        <v>940</v>
      </c>
      <c r="L130" s="23" t="s">
        <v>1035</v>
      </c>
      <c r="M130" s="103" t="s">
        <v>1111</v>
      </c>
      <c r="N130" s="90">
        <v>87000</v>
      </c>
      <c r="O130" s="10"/>
      <c r="P130" s="103">
        <v>15</v>
      </c>
      <c r="Q130" s="10"/>
      <c r="R130" s="103" t="s">
        <v>1058</v>
      </c>
      <c r="S130" s="103" t="s">
        <v>1037</v>
      </c>
      <c r="T130" s="10"/>
      <c r="U130" s="103" t="s">
        <v>945</v>
      </c>
      <c r="V130" s="103" t="s">
        <v>1109</v>
      </c>
      <c r="W130" s="10"/>
    </row>
    <row r="131" spans="1:23" ht="13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3"/>
      <c r="S131" s="10"/>
      <c r="T131" s="10"/>
      <c r="U131" s="103"/>
      <c r="V131" s="103"/>
      <c r="W131" s="10"/>
    </row>
    <row r="132" spans="1:23" ht="13">
      <c r="A132" s="10" t="s">
        <v>1224</v>
      </c>
      <c r="B132" s="10" t="s">
        <v>1225</v>
      </c>
      <c r="C132" s="10"/>
      <c r="D132" s="10" t="s">
        <v>1226</v>
      </c>
      <c r="E132" s="10" t="s">
        <v>1227</v>
      </c>
      <c r="F132" s="10"/>
      <c r="G132" s="10"/>
      <c r="H132" s="103" t="s">
        <v>895</v>
      </c>
      <c r="I132" s="103" t="s">
        <v>992</v>
      </c>
      <c r="J132" s="103" t="s">
        <v>993</v>
      </c>
      <c r="K132" s="10"/>
      <c r="L132" s="23" t="s">
        <v>1035</v>
      </c>
      <c r="M132" s="103" t="s">
        <v>1229</v>
      </c>
      <c r="N132" s="90">
        <v>20000</v>
      </c>
      <c r="O132" s="10"/>
      <c r="P132" s="103">
        <v>30</v>
      </c>
      <c r="Q132" s="90">
        <v>30000</v>
      </c>
      <c r="R132" s="103" t="s">
        <v>1058</v>
      </c>
      <c r="S132" s="103" t="s">
        <v>1037</v>
      </c>
      <c r="T132" s="10"/>
      <c r="U132" s="103" t="s">
        <v>945</v>
      </c>
      <c r="V132" s="103" t="s">
        <v>1109</v>
      </c>
      <c r="W132" s="10"/>
    </row>
    <row r="133" spans="1:23" ht="13">
      <c r="A133" s="10" t="s">
        <v>1224</v>
      </c>
      <c r="B133" s="10" t="s">
        <v>1225</v>
      </c>
      <c r="C133" s="10"/>
      <c r="D133" s="10" t="s">
        <v>1230</v>
      </c>
      <c r="E133" s="10" t="s">
        <v>1227</v>
      </c>
      <c r="F133" s="10"/>
      <c r="G133" s="10"/>
      <c r="H133" s="103" t="s">
        <v>895</v>
      </c>
      <c r="I133" s="103" t="s">
        <v>992</v>
      </c>
      <c r="J133" s="103" t="s">
        <v>993</v>
      </c>
      <c r="K133" s="10"/>
      <c r="L133" s="23" t="s">
        <v>1035</v>
      </c>
      <c r="M133" s="103" t="s">
        <v>1229</v>
      </c>
      <c r="N133" s="90">
        <v>20000</v>
      </c>
      <c r="O133" s="10"/>
      <c r="P133" s="103">
        <v>30</v>
      </c>
      <c r="Q133" s="90">
        <v>30000</v>
      </c>
      <c r="R133" s="103"/>
      <c r="S133" s="103" t="s">
        <v>1037</v>
      </c>
      <c r="T133" s="10"/>
      <c r="U133" s="103" t="s">
        <v>945</v>
      </c>
      <c r="V133" s="103" t="s">
        <v>1109</v>
      </c>
      <c r="W133" s="10"/>
    </row>
    <row r="134" spans="1:23" ht="13">
      <c r="A134" s="10" t="s">
        <v>1224</v>
      </c>
      <c r="B134" s="10" t="s">
        <v>1225</v>
      </c>
      <c r="C134" s="10"/>
      <c r="D134" s="10" t="s">
        <v>1234</v>
      </c>
      <c r="E134" s="10" t="s">
        <v>1227</v>
      </c>
      <c r="F134" s="10"/>
      <c r="G134" s="10"/>
      <c r="H134" s="103" t="s">
        <v>895</v>
      </c>
      <c r="I134" s="103" t="s">
        <v>992</v>
      </c>
      <c r="J134" s="103" t="s">
        <v>993</v>
      </c>
      <c r="K134" s="10"/>
      <c r="L134" s="23" t="s">
        <v>1035</v>
      </c>
      <c r="M134" s="103" t="s">
        <v>315</v>
      </c>
      <c r="N134" s="90">
        <v>20000</v>
      </c>
      <c r="O134" s="10"/>
      <c r="P134" s="103">
        <v>30</v>
      </c>
      <c r="Q134" s="90">
        <v>30000</v>
      </c>
      <c r="R134" s="103" t="s">
        <v>1058</v>
      </c>
      <c r="S134" s="103" t="s">
        <v>1037</v>
      </c>
      <c r="T134" s="10"/>
      <c r="U134" s="103" t="s">
        <v>945</v>
      </c>
      <c r="V134" s="103" t="s">
        <v>1109</v>
      </c>
      <c r="W134" s="10"/>
    </row>
    <row r="135" spans="1:23" ht="13">
      <c r="A135" s="10" t="s">
        <v>1224</v>
      </c>
      <c r="B135" s="10" t="s">
        <v>1225</v>
      </c>
      <c r="C135" s="10"/>
      <c r="D135" s="10" t="s">
        <v>1236</v>
      </c>
      <c r="E135" s="10" t="s">
        <v>1227</v>
      </c>
      <c r="F135" s="10"/>
      <c r="G135" s="10"/>
      <c r="H135" s="103" t="s">
        <v>895</v>
      </c>
      <c r="I135" s="103" t="s">
        <v>992</v>
      </c>
      <c r="J135" s="103" t="s">
        <v>993</v>
      </c>
      <c r="K135" s="10"/>
      <c r="L135" s="23" t="s">
        <v>1035</v>
      </c>
      <c r="M135" s="103" t="s">
        <v>315</v>
      </c>
      <c r="N135" s="90">
        <v>20000</v>
      </c>
      <c r="O135" s="10"/>
      <c r="P135" s="103">
        <v>30</v>
      </c>
      <c r="Q135" s="90">
        <v>30000</v>
      </c>
      <c r="R135" s="10"/>
      <c r="S135" s="103" t="s">
        <v>1037</v>
      </c>
      <c r="T135" s="10"/>
      <c r="U135" s="103" t="s">
        <v>945</v>
      </c>
      <c r="V135" s="103" t="s">
        <v>1109</v>
      </c>
      <c r="W135" s="10"/>
    </row>
    <row r="136" spans="1:23" ht="13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</row>
    <row r="137" spans="1:23" ht="13">
      <c r="A137" s="10" t="s">
        <v>1239</v>
      </c>
      <c r="B137" s="10" t="s">
        <v>608</v>
      </c>
      <c r="C137" s="10" t="s">
        <v>1240</v>
      </c>
      <c r="D137" s="10" t="s">
        <v>1241</v>
      </c>
      <c r="E137" s="10"/>
      <c r="F137" s="10"/>
      <c r="G137" s="10"/>
      <c r="H137" s="103" t="s">
        <v>895</v>
      </c>
      <c r="I137" s="103" t="s">
        <v>1152</v>
      </c>
      <c r="J137" s="103" t="s">
        <v>993</v>
      </c>
      <c r="K137" s="10"/>
      <c r="L137" s="23" t="s">
        <v>248</v>
      </c>
      <c r="M137" s="103" t="s">
        <v>1007</v>
      </c>
      <c r="N137" s="90">
        <v>15000</v>
      </c>
      <c r="O137" s="10"/>
      <c r="P137" s="103">
        <v>15</v>
      </c>
      <c r="Q137" s="10"/>
      <c r="R137" s="10"/>
      <c r="S137" s="103" t="s">
        <v>0</v>
      </c>
      <c r="T137" s="10"/>
      <c r="U137" s="103" t="s">
        <v>366</v>
      </c>
      <c r="V137" s="103" t="s">
        <v>1109</v>
      </c>
      <c r="W137" s="10"/>
    </row>
    <row r="138" spans="1:23" ht="13">
      <c r="A138" s="10" t="s">
        <v>1239</v>
      </c>
      <c r="B138" s="10" t="s">
        <v>608</v>
      </c>
      <c r="C138" s="10" t="s">
        <v>1240</v>
      </c>
      <c r="D138" s="10" t="s">
        <v>1243</v>
      </c>
      <c r="E138" s="10"/>
      <c r="F138" s="10"/>
      <c r="G138" s="10"/>
      <c r="H138" s="103" t="s">
        <v>895</v>
      </c>
      <c r="I138" s="103" t="s">
        <v>1152</v>
      </c>
      <c r="J138" s="103" t="s">
        <v>993</v>
      </c>
      <c r="K138" s="10"/>
      <c r="L138" s="23" t="s">
        <v>248</v>
      </c>
      <c r="M138" s="103" t="s">
        <v>1007</v>
      </c>
      <c r="N138" s="90">
        <v>15000</v>
      </c>
      <c r="O138" s="10"/>
      <c r="P138" s="103">
        <v>15</v>
      </c>
      <c r="Q138" s="10"/>
      <c r="R138" s="10"/>
      <c r="S138" s="103" t="s">
        <v>0</v>
      </c>
      <c r="T138" s="10"/>
      <c r="U138" s="103" t="s">
        <v>366</v>
      </c>
      <c r="V138" s="103" t="s">
        <v>1109</v>
      </c>
      <c r="W138" s="10"/>
    </row>
    <row r="139" spans="1:23" ht="13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</row>
    <row r="140" spans="1:23" ht="13">
      <c r="A140" s="10" t="s">
        <v>1248</v>
      </c>
      <c r="B140" s="10" t="s">
        <v>613</v>
      </c>
      <c r="C140" s="10" t="s">
        <v>614</v>
      </c>
      <c r="D140" s="10" t="s">
        <v>1249</v>
      </c>
      <c r="E140" s="10"/>
      <c r="F140" s="10"/>
      <c r="G140" s="10"/>
      <c r="H140" s="103" t="s">
        <v>895</v>
      </c>
      <c r="I140" s="165">
        <v>43709</v>
      </c>
      <c r="J140" s="103" t="s">
        <v>1250</v>
      </c>
      <c r="K140" s="10"/>
      <c r="L140" s="23" t="s">
        <v>248</v>
      </c>
      <c r="M140" s="23" t="s">
        <v>1111</v>
      </c>
      <c r="N140" s="90">
        <v>35000</v>
      </c>
      <c r="O140" s="10"/>
      <c r="P140" s="103">
        <v>15</v>
      </c>
      <c r="Q140" s="90">
        <v>35000</v>
      </c>
      <c r="R140" s="10"/>
      <c r="S140" s="103" t="s">
        <v>0</v>
      </c>
      <c r="T140" s="10"/>
      <c r="U140" s="103" t="s">
        <v>1001</v>
      </c>
      <c r="V140" s="103" t="s">
        <v>1109</v>
      </c>
      <c r="W140" s="10"/>
    </row>
    <row r="141" spans="1:23" ht="13">
      <c r="A141" s="10" t="s">
        <v>1248</v>
      </c>
      <c r="B141" s="10" t="s">
        <v>613</v>
      </c>
      <c r="C141" s="10" t="s">
        <v>614</v>
      </c>
      <c r="D141" s="10" t="s">
        <v>1253</v>
      </c>
      <c r="E141" s="10"/>
      <c r="F141" s="10"/>
      <c r="G141" s="10"/>
      <c r="H141" s="103" t="s">
        <v>895</v>
      </c>
      <c r="I141" s="165">
        <v>43709</v>
      </c>
      <c r="J141" s="103" t="s">
        <v>1250</v>
      </c>
      <c r="K141" s="10"/>
      <c r="L141" s="23" t="s">
        <v>248</v>
      </c>
      <c r="M141" s="23" t="s">
        <v>1111</v>
      </c>
      <c r="N141" s="90">
        <v>35000</v>
      </c>
      <c r="O141" s="10"/>
      <c r="P141" s="103">
        <v>15</v>
      </c>
      <c r="Q141" s="90">
        <v>35000</v>
      </c>
      <c r="R141" s="10"/>
      <c r="S141" s="103" t="s">
        <v>0</v>
      </c>
      <c r="T141" s="10"/>
      <c r="U141" s="103" t="s">
        <v>1001</v>
      </c>
      <c r="V141" s="103" t="s">
        <v>1109</v>
      </c>
      <c r="W141" s="10"/>
    </row>
    <row r="142" spans="1:23" ht="13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23"/>
      <c r="N142" s="10"/>
      <c r="O142" s="10"/>
      <c r="P142" s="10"/>
      <c r="Q142" s="10"/>
      <c r="R142" s="10"/>
      <c r="S142" s="10"/>
      <c r="T142" s="10"/>
      <c r="U142" s="10"/>
      <c r="V142" s="10"/>
      <c r="W142" s="10"/>
    </row>
    <row r="143" spans="1:23" ht="13">
      <c r="A143" s="10" t="s">
        <v>1254</v>
      </c>
      <c r="B143" s="10" t="s">
        <v>478</v>
      </c>
      <c r="C143" s="10" t="s">
        <v>1255</v>
      </c>
      <c r="D143" s="10" t="s">
        <v>1256</v>
      </c>
      <c r="E143" s="10"/>
      <c r="F143" s="10"/>
      <c r="G143" s="10"/>
      <c r="H143" s="103" t="s">
        <v>895</v>
      </c>
      <c r="I143" s="103" t="s">
        <v>992</v>
      </c>
      <c r="J143" s="103" t="s">
        <v>993</v>
      </c>
      <c r="K143" s="10"/>
      <c r="L143" s="23" t="s">
        <v>1035</v>
      </c>
      <c r="M143" s="23" t="s">
        <v>1229</v>
      </c>
      <c r="N143" s="10"/>
      <c r="O143" s="90">
        <v>37500000</v>
      </c>
      <c r="P143" s="103">
        <v>15</v>
      </c>
      <c r="Q143" s="10"/>
      <c r="R143" s="103" t="s">
        <v>1058</v>
      </c>
      <c r="S143" s="103" t="s">
        <v>1037</v>
      </c>
      <c r="T143" s="10"/>
      <c r="U143" s="103" t="s">
        <v>1001</v>
      </c>
      <c r="V143" s="103" t="s">
        <v>1257</v>
      </c>
      <c r="W143" s="10"/>
    </row>
    <row r="144" spans="1:23" ht="13">
      <c r="A144" s="10" t="s">
        <v>1254</v>
      </c>
      <c r="B144" s="10" t="s">
        <v>478</v>
      </c>
      <c r="C144" s="10" t="s">
        <v>1255</v>
      </c>
      <c r="D144" s="10" t="s">
        <v>1259</v>
      </c>
      <c r="E144" s="10"/>
      <c r="F144" s="10"/>
      <c r="G144" s="10"/>
      <c r="H144" s="103" t="s">
        <v>895</v>
      </c>
      <c r="I144" s="103" t="s">
        <v>992</v>
      </c>
      <c r="J144" s="103" t="s">
        <v>993</v>
      </c>
      <c r="K144" s="10"/>
      <c r="L144" s="23" t="s">
        <v>1035</v>
      </c>
      <c r="M144" s="23" t="s">
        <v>1229</v>
      </c>
      <c r="N144" s="10"/>
      <c r="O144" s="90">
        <v>37500000</v>
      </c>
      <c r="P144" s="103">
        <v>15</v>
      </c>
      <c r="Q144" s="10"/>
      <c r="R144" s="103" t="s">
        <v>1058</v>
      </c>
      <c r="S144" s="103" t="s">
        <v>1037</v>
      </c>
      <c r="T144" s="10"/>
      <c r="U144" s="103" t="s">
        <v>1001</v>
      </c>
      <c r="V144" s="103" t="s">
        <v>1257</v>
      </c>
      <c r="W144" s="10"/>
    </row>
    <row r="145" spans="1:23" ht="13">
      <c r="A145" s="10" t="s">
        <v>1254</v>
      </c>
      <c r="B145" s="10" t="s">
        <v>478</v>
      </c>
      <c r="C145" s="10" t="s">
        <v>1255</v>
      </c>
      <c r="D145" s="10" t="s">
        <v>1261</v>
      </c>
      <c r="E145" s="10"/>
      <c r="F145" s="10"/>
      <c r="G145" s="10"/>
      <c r="H145" s="103" t="s">
        <v>895</v>
      </c>
      <c r="I145" s="103" t="s">
        <v>992</v>
      </c>
      <c r="J145" s="103" t="s">
        <v>993</v>
      </c>
      <c r="K145" s="10"/>
      <c r="L145" s="23" t="s">
        <v>1035</v>
      </c>
      <c r="M145" s="23" t="s">
        <v>889</v>
      </c>
      <c r="N145" s="10"/>
      <c r="O145" s="90">
        <v>37500000</v>
      </c>
      <c r="P145" s="103">
        <v>15</v>
      </c>
      <c r="Q145" s="10"/>
      <c r="R145" s="103" t="s">
        <v>1058</v>
      </c>
      <c r="S145" s="103" t="s">
        <v>1037</v>
      </c>
      <c r="T145" s="10"/>
      <c r="U145" s="103" t="s">
        <v>1001</v>
      </c>
      <c r="V145" s="103" t="s">
        <v>1257</v>
      </c>
      <c r="W145" s="10"/>
    </row>
    <row r="146" spans="1:23" ht="13">
      <c r="A146" s="10" t="s">
        <v>1254</v>
      </c>
      <c r="B146" s="10" t="s">
        <v>478</v>
      </c>
      <c r="C146" s="10" t="s">
        <v>1255</v>
      </c>
      <c r="D146" s="10" t="s">
        <v>1263</v>
      </c>
      <c r="E146" s="10"/>
      <c r="F146" s="10"/>
      <c r="G146" s="10"/>
      <c r="H146" s="103" t="s">
        <v>895</v>
      </c>
      <c r="I146" s="103" t="s">
        <v>992</v>
      </c>
      <c r="J146" s="103" t="s">
        <v>993</v>
      </c>
      <c r="K146" s="10"/>
      <c r="L146" s="23" t="s">
        <v>1035</v>
      </c>
      <c r="M146" s="23" t="s">
        <v>315</v>
      </c>
      <c r="N146" s="10"/>
      <c r="O146" s="90">
        <v>37500000</v>
      </c>
      <c r="P146" s="103">
        <v>15</v>
      </c>
      <c r="Q146" s="10"/>
      <c r="R146" s="103"/>
      <c r="S146" s="103" t="s">
        <v>1037</v>
      </c>
      <c r="T146" s="10"/>
      <c r="U146" s="103" t="s">
        <v>1001</v>
      </c>
      <c r="V146" s="103" t="s">
        <v>1257</v>
      </c>
      <c r="W146" s="10"/>
    </row>
    <row r="147" spans="1:23" ht="28">
      <c r="A147" s="10" t="s">
        <v>1254</v>
      </c>
      <c r="B147" s="10" t="s">
        <v>478</v>
      </c>
      <c r="C147" s="10" t="s">
        <v>1255</v>
      </c>
      <c r="D147" s="37" t="s">
        <v>1265</v>
      </c>
      <c r="E147" s="10"/>
      <c r="F147" s="10"/>
      <c r="G147" s="10"/>
      <c r="H147" s="103" t="s">
        <v>895</v>
      </c>
      <c r="I147" s="103" t="s">
        <v>992</v>
      </c>
      <c r="J147" s="103" t="s">
        <v>993</v>
      </c>
      <c r="K147" s="10"/>
      <c r="L147" s="23" t="s">
        <v>1035</v>
      </c>
      <c r="M147" s="23" t="s">
        <v>1111</v>
      </c>
      <c r="N147" s="10"/>
      <c r="O147" s="90">
        <v>37500000</v>
      </c>
      <c r="P147" s="103">
        <v>15</v>
      </c>
      <c r="Q147" s="10"/>
      <c r="R147" s="103" t="s">
        <v>1058</v>
      </c>
      <c r="S147" s="103" t="s">
        <v>1037</v>
      </c>
      <c r="T147" s="10"/>
      <c r="U147" s="103" t="s">
        <v>1001</v>
      </c>
      <c r="V147" s="103" t="s">
        <v>1257</v>
      </c>
      <c r="W147" s="10"/>
    </row>
    <row r="148" spans="1:23" ht="28">
      <c r="A148" s="10" t="s">
        <v>1254</v>
      </c>
      <c r="B148" s="10" t="s">
        <v>478</v>
      </c>
      <c r="C148" s="10" t="s">
        <v>1255</v>
      </c>
      <c r="D148" s="37" t="s">
        <v>1266</v>
      </c>
      <c r="E148" s="10"/>
      <c r="F148" s="10"/>
      <c r="G148" s="10"/>
      <c r="H148" s="103" t="s">
        <v>895</v>
      </c>
      <c r="I148" s="103" t="s">
        <v>992</v>
      </c>
      <c r="J148" s="103" t="s">
        <v>993</v>
      </c>
      <c r="K148" s="10"/>
      <c r="L148" s="23" t="s">
        <v>1035</v>
      </c>
      <c r="M148" s="23" t="s">
        <v>1111</v>
      </c>
      <c r="N148" s="10"/>
      <c r="O148" s="90">
        <v>37500000</v>
      </c>
      <c r="P148" s="103">
        <v>15</v>
      </c>
      <c r="Q148" s="10"/>
      <c r="R148" s="103" t="s">
        <v>1058</v>
      </c>
      <c r="S148" s="103" t="s">
        <v>1037</v>
      </c>
      <c r="T148" s="10"/>
      <c r="U148" s="103" t="s">
        <v>1001</v>
      </c>
      <c r="V148" s="103" t="s">
        <v>1257</v>
      </c>
      <c r="W148" s="10"/>
    </row>
    <row r="149" spans="1:23" ht="1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68"/>
      <c r="P149" s="10"/>
      <c r="Q149" s="10"/>
      <c r="R149" s="10"/>
      <c r="S149" s="10"/>
      <c r="T149" s="10"/>
      <c r="U149" s="10"/>
      <c r="V149" s="10"/>
      <c r="W149" s="10"/>
    </row>
    <row r="150" spans="1:23" ht="13">
      <c r="A150" s="10" t="s">
        <v>1267</v>
      </c>
      <c r="B150" s="10" t="s">
        <v>649</v>
      </c>
      <c r="C150" s="10" t="s">
        <v>650</v>
      </c>
      <c r="D150" s="10" t="s">
        <v>1268</v>
      </c>
      <c r="E150" s="10"/>
      <c r="F150" s="10"/>
      <c r="G150" s="10"/>
      <c r="H150" s="103" t="s">
        <v>895</v>
      </c>
      <c r="I150" s="103" t="s">
        <v>992</v>
      </c>
      <c r="J150" s="103" t="s">
        <v>993</v>
      </c>
      <c r="K150" s="10"/>
      <c r="L150" s="23" t="s">
        <v>248</v>
      </c>
      <c r="M150" s="103" t="s">
        <v>882</v>
      </c>
      <c r="N150" s="90">
        <v>9000</v>
      </c>
      <c r="O150" s="10"/>
      <c r="P150" s="103">
        <v>15</v>
      </c>
      <c r="Q150" s="90">
        <v>20000</v>
      </c>
      <c r="R150" s="10"/>
      <c r="S150" s="103" t="s">
        <v>0</v>
      </c>
      <c r="T150" s="10"/>
      <c r="U150" s="103" t="s">
        <v>710</v>
      </c>
      <c r="V150" s="103" t="s">
        <v>1269</v>
      </c>
      <c r="W150" s="10"/>
    </row>
    <row r="151" spans="1:23" ht="13">
      <c r="A151" s="10" t="s">
        <v>1267</v>
      </c>
      <c r="B151" s="10" t="s">
        <v>649</v>
      </c>
      <c r="C151" s="10" t="s">
        <v>650</v>
      </c>
      <c r="D151" s="10" t="s">
        <v>1270</v>
      </c>
      <c r="E151" s="10"/>
      <c r="F151" s="10"/>
      <c r="G151" s="10"/>
      <c r="H151" s="103" t="s">
        <v>895</v>
      </c>
      <c r="I151" s="103" t="s">
        <v>992</v>
      </c>
      <c r="J151" s="103" t="s">
        <v>993</v>
      </c>
      <c r="K151" s="10"/>
      <c r="L151" s="23" t="s">
        <v>248</v>
      </c>
      <c r="M151" s="103" t="s">
        <v>882</v>
      </c>
      <c r="N151" s="90">
        <v>9000</v>
      </c>
      <c r="O151" s="10"/>
      <c r="P151" s="103">
        <v>15</v>
      </c>
      <c r="Q151" s="90">
        <v>20000</v>
      </c>
      <c r="R151" s="10"/>
      <c r="S151" s="103" t="s">
        <v>0</v>
      </c>
      <c r="T151" s="10"/>
      <c r="U151" s="103" t="s">
        <v>710</v>
      </c>
      <c r="V151" s="103" t="s">
        <v>1269</v>
      </c>
      <c r="W151" s="10"/>
    </row>
    <row r="152" spans="1:23" ht="13">
      <c r="A152" s="10" t="s">
        <v>1267</v>
      </c>
      <c r="B152" s="10" t="s">
        <v>649</v>
      </c>
      <c r="C152" s="10" t="s">
        <v>650</v>
      </c>
      <c r="D152" s="10" t="s">
        <v>88</v>
      </c>
      <c r="E152" s="10"/>
      <c r="F152" s="10"/>
      <c r="G152" s="10"/>
      <c r="H152" s="103" t="s">
        <v>895</v>
      </c>
      <c r="I152" s="103" t="s">
        <v>992</v>
      </c>
      <c r="J152" s="103" t="s">
        <v>993</v>
      </c>
      <c r="K152" s="10"/>
      <c r="L152" s="23" t="s">
        <v>248</v>
      </c>
      <c r="M152" s="103" t="s">
        <v>882</v>
      </c>
      <c r="N152" s="90">
        <v>9000</v>
      </c>
      <c r="O152" s="10"/>
      <c r="P152" s="103">
        <v>15</v>
      </c>
      <c r="Q152" s="90">
        <v>20000</v>
      </c>
      <c r="R152" s="10"/>
      <c r="S152" s="103" t="s">
        <v>0</v>
      </c>
      <c r="T152" s="10"/>
      <c r="U152" s="103" t="s">
        <v>710</v>
      </c>
      <c r="V152" s="103" t="s">
        <v>1269</v>
      </c>
      <c r="W152" s="10"/>
    </row>
    <row r="153" spans="1:23" ht="1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</row>
    <row r="154" spans="1:23" ht="13">
      <c r="A154" s="10" t="s">
        <v>648</v>
      </c>
      <c r="B154" s="10" t="s">
        <v>649</v>
      </c>
      <c r="C154" s="10" t="s">
        <v>650</v>
      </c>
      <c r="D154" s="10" t="s">
        <v>1271</v>
      </c>
      <c r="E154" s="10"/>
      <c r="F154" s="10"/>
      <c r="G154" s="10"/>
      <c r="H154" s="103" t="s">
        <v>895</v>
      </c>
      <c r="I154" s="103" t="s">
        <v>992</v>
      </c>
      <c r="J154" s="103" t="s">
        <v>993</v>
      </c>
      <c r="K154" s="10"/>
      <c r="L154" s="23" t="s">
        <v>248</v>
      </c>
      <c r="M154" s="103" t="s">
        <v>315</v>
      </c>
      <c r="N154" s="90">
        <v>10000</v>
      </c>
      <c r="O154" s="10"/>
      <c r="P154" s="103">
        <v>15</v>
      </c>
      <c r="Q154" s="90">
        <v>24000</v>
      </c>
      <c r="R154" s="10"/>
      <c r="S154" s="103" t="s">
        <v>0</v>
      </c>
      <c r="T154" s="10"/>
      <c r="U154" s="103" t="s">
        <v>710</v>
      </c>
      <c r="V154" s="103" t="s">
        <v>1269</v>
      </c>
      <c r="W154" s="10"/>
    </row>
    <row r="155" spans="1:23" ht="13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</row>
    <row r="156" spans="1:23" ht="13">
      <c r="A156" s="10" t="s">
        <v>1272</v>
      </c>
      <c r="B156" s="10" t="s">
        <v>820</v>
      </c>
      <c r="C156" s="10" t="s">
        <v>496</v>
      </c>
      <c r="D156" s="10" t="s">
        <v>1273</v>
      </c>
      <c r="E156" s="10"/>
      <c r="F156" s="10"/>
      <c r="G156" s="10"/>
      <c r="H156" s="103" t="s">
        <v>886</v>
      </c>
      <c r="I156" s="103" t="s">
        <v>992</v>
      </c>
      <c r="J156" s="103" t="s">
        <v>1138</v>
      </c>
      <c r="K156" s="23" t="s">
        <v>940</v>
      </c>
      <c r="L156" s="23" t="s">
        <v>1035</v>
      </c>
      <c r="M156" s="103" t="s">
        <v>882</v>
      </c>
      <c r="N156" s="90">
        <v>27000</v>
      </c>
      <c r="P156" s="103">
        <v>15</v>
      </c>
      <c r="Q156" s="10"/>
      <c r="R156" s="103" t="s">
        <v>1058</v>
      </c>
      <c r="S156" s="103" t="s">
        <v>1037</v>
      </c>
      <c r="T156" s="10"/>
      <c r="U156" s="10"/>
      <c r="V156" s="10"/>
      <c r="W156" s="10"/>
    </row>
    <row r="157" spans="1:23" ht="13">
      <c r="A157" s="10" t="s">
        <v>1272</v>
      </c>
      <c r="B157" s="10" t="s">
        <v>820</v>
      </c>
      <c r="C157" s="10" t="s">
        <v>496</v>
      </c>
      <c r="D157" s="10" t="s">
        <v>1274</v>
      </c>
      <c r="E157" s="10"/>
      <c r="F157" s="10"/>
      <c r="G157" s="10"/>
      <c r="H157" s="103" t="s">
        <v>886</v>
      </c>
      <c r="I157" s="103" t="s">
        <v>992</v>
      </c>
      <c r="J157" s="103" t="s">
        <v>1138</v>
      </c>
      <c r="K157" s="23" t="s">
        <v>940</v>
      </c>
      <c r="L157" s="23" t="s">
        <v>1035</v>
      </c>
      <c r="M157" s="103" t="s">
        <v>882</v>
      </c>
      <c r="N157" s="90">
        <v>27000</v>
      </c>
      <c r="O157" s="10"/>
      <c r="P157" s="103">
        <v>15</v>
      </c>
      <c r="Q157" s="90">
        <v>25000</v>
      </c>
      <c r="R157" s="103" t="s">
        <v>1058</v>
      </c>
      <c r="S157" s="103" t="s">
        <v>1037</v>
      </c>
      <c r="T157" s="10"/>
      <c r="U157" s="10"/>
      <c r="V157" s="10"/>
      <c r="W157" s="10"/>
    </row>
    <row r="158" spans="1:23" ht="13">
      <c r="A158" s="10" t="s">
        <v>1272</v>
      </c>
      <c r="B158" s="10" t="s">
        <v>820</v>
      </c>
      <c r="C158" s="10" t="s">
        <v>496</v>
      </c>
      <c r="D158" s="10" t="s">
        <v>1275</v>
      </c>
      <c r="E158" s="10"/>
      <c r="F158" s="10"/>
      <c r="G158" s="10"/>
      <c r="H158" s="103" t="s">
        <v>886</v>
      </c>
      <c r="I158" s="103" t="s">
        <v>992</v>
      </c>
      <c r="J158" s="103" t="s">
        <v>1138</v>
      </c>
      <c r="K158" s="23" t="s">
        <v>940</v>
      </c>
      <c r="L158" s="23" t="s">
        <v>1035</v>
      </c>
      <c r="M158" s="103" t="s">
        <v>315</v>
      </c>
      <c r="N158" s="90">
        <v>31000</v>
      </c>
      <c r="O158" s="10"/>
      <c r="P158" s="103">
        <v>15</v>
      </c>
      <c r="Q158" s="90">
        <v>25000</v>
      </c>
      <c r="R158" s="10"/>
      <c r="S158" s="103" t="s">
        <v>1037</v>
      </c>
      <c r="T158" s="10"/>
      <c r="U158" s="10"/>
      <c r="V158" s="10"/>
      <c r="W158" s="10"/>
    </row>
    <row r="159" spans="1:23" ht="13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</row>
    <row r="160" spans="1:23" ht="13">
      <c r="A160" s="10" t="s">
        <v>1276</v>
      </c>
      <c r="B160" s="10" t="s">
        <v>717</v>
      </c>
      <c r="C160" s="10" t="s">
        <v>1277</v>
      </c>
      <c r="D160" s="10" t="s">
        <v>1278</v>
      </c>
      <c r="E160" s="10"/>
      <c r="F160" s="10"/>
      <c r="G160" s="10"/>
      <c r="H160" s="103" t="s">
        <v>895</v>
      </c>
      <c r="I160" s="103" t="s">
        <v>992</v>
      </c>
      <c r="J160" s="103" t="s">
        <v>993</v>
      </c>
      <c r="K160" s="10"/>
      <c r="L160" s="23" t="s">
        <v>248</v>
      </c>
      <c r="M160" s="103" t="s">
        <v>315</v>
      </c>
      <c r="N160" s="90">
        <v>25000</v>
      </c>
      <c r="O160" s="10"/>
      <c r="P160" s="103">
        <v>15</v>
      </c>
      <c r="Q160" s="90">
        <v>50000</v>
      </c>
      <c r="R160" s="10"/>
      <c r="S160" s="103" t="s">
        <v>0</v>
      </c>
      <c r="T160" s="10"/>
      <c r="U160" s="103" t="s">
        <v>462</v>
      </c>
      <c r="V160" s="103" t="s">
        <v>1279</v>
      </c>
      <c r="W160" s="10"/>
    </row>
    <row r="161" spans="1:23" ht="13">
      <c r="A161" s="10" t="s">
        <v>1276</v>
      </c>
      <c r="B161" s="10" t="s">
        <v>717</v>
      </c>
      <c r="C161" s="10" t="s">
        <v>1277</v>
      </c>
      <c r="D161" s="10" t="s">
        <v>1280</v>
      </c>
      <c r="E161" s="10"/>
      <c r="F161" s="10"/>
      <c r="G161" s="10"/>
      <c r="H161" s="103" t="s">
        <v>895</v>
      </c>
      <c r="I161" s="103" t="s">
        <v>992</v>
      </c>
      <c r="J161" s="103" t="s">
        <v>993</v>
      </c>
      <c r="K161" s="10"/>
      <c r="L161" s="23" t="s">
        <v>248</v>
      </c>
      <c r="M161" s="103" t="s">
        <v>315</v>
      </c>
      <c r="N161" s="90">
        <v>25000</v>
      </c>
      <c r="O161" s="10"/>
      <c r="P161" s="103">
        <v>15</v>
      </c>
      <c r="Q161" s="90">
        <v>50000</v>
      </c>
      <c r="R161" s="10"/>
      <c r="S161" s="103" t="s">
        <v>0</v>
      </c>
      <c r="T161" s="10"/>
      <c r="U161" s="103" t="s">
        <v>462</v>
      </c>
      <c r="V161" s="103" t="s">
        <v>1279</v>
      </c>
      <c r="W161" s="10"/>
    </row>
    <row r="162" spans="1:23" ht="13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</row>
    <row r="163" spans="1:23" ht="13">
      <c r="A163" s="10" t="s">
        <v>1281</v>
      </c>
      <c r="B163" s="10" t="s">
        <v>873</v>
      </c>
      <c r="C163" s="10" t="s">
        <v>1282</v>
      </c>
      <c r="D163" s="10" t="s">
        <v>1283</v>
      </c>
      <c r="E163" s="10"/>
      <c r="F163" s="10"/>
      <c r="G163" s="10"/>
      <c r="H163" s="103" t="s">
        <v>895</v>
      </c>
      <c r="I163" s="103" t="s">
        <v>992</v>
      </c>
      <c r="J163" s="103" t="s">
        <v>993</v>
      </c>
      <c r="K163" s="10"/>
      <c r="L163" s="23" t="s">
        <v>248</v>
      </c>
      <c r="M163" s="103" t="s">
        <v>1007</v>
      </c>
      <c r="N163" s="90">
        <v>8500</v>
      </c>
      <c r="O163" s="10"/>
      <c r="P163" s="103">
        <v>15</v>
      </c>
      <c r="Q163" s="10"/>
      <c r="R163" s="10"/>
      <c r="S163" s="103" t="s">
        <v>0</v>
      </c>
      <c r="T163" s="10"/>
      <c r="U163" s="103" t="s">
        <v>710</v>
      </c>
      <c r="V163" s="103" t="s">
        <v>1269</v>
      </c>
      <c r="W163" s="10"/>
    </row>
    <row r="164" spans="1:23" ht="13">
      <c r="A164" s="10" t="s">
        <v>1281</v>
      </c>
      <c r="B164" s="10" t="s">
        <v>873</v>
      </c>
      <c r="C164" s="10" t="s">
        <v>1282</v>
      </c>
      <c r="D164" s="10" t="s">
        <v>1284</v>
      </c>
      <c r="E164" s="10"/>
      <c r="F164" s="10"/>
      <c r="G164" s="10"/>
      <c r="H164" s="103" t="s">
        <v>895</v>
      </c>
      <c r="I164" s="103" t="s">
        <v>992</v>
      </c>
      <c r="J164" s="103" t="s">
        <v>993</v>
      </c>
      <c r="K164" s="10"/>
      <c r="L164" s="23" t="s">
        <v>248</v>
      </c>
      <c r="M164" s="103" t="s">
        <v>1007</v>
      </c>
      <c r="N164" s="90">
        <v>8500</v>
      </c>
      <c r="O164" s="10"/>
      <c r="P164" s="103">
        <v>15</v>
      </c>
      <c r="Q164" s="10"/>
      <c r="R164" s="10"/>
      <c r="S164" s="103" t="s">
        <v>0</v>
      </c>
      <c r="T164" s="10"/>
      <c r="U164" s="103" t="s">
        <v>710</v>
      </c>
      <c r="V164" s="103" t="s">
        <v>1269</v>
      </c>
      <c r="W164" s="10"/>
    </row>
    <row r="165" spans="1:23" ht="13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</row>
    <row r="166" spans="1:23" ht="13">
      <c r="A166" s="10" t="s">
        <v>1285</v>
      </c>
      <c r="B166" s="10" t="s">
        <v>873</v>
      </c>
      <c r="C166" s="10" t="s">
        <v>1282</v>
      </c>
      <c r="D166" s="10" t="s">
        <v>853</v>
      </c>
      <c r="E166" s="10"/>
      <c r="F166" s="10"/>
      <c r="G166" s="10"/>
      <c r="H166" s="103" t="s">
        <v>895</v>
      </c>
      <c r="I166" s="103" t="s">
        <v>992</v>
      </c>
      <c r="J166" s="103" t="s">
        <v>993</v>
      </c>
      <c r="K166" s="10"/>
      <c r="L166" s="23" t="s">
        <v>248</v>
      </c>
      <c r="M166" s="103" t="s">
        <v>1286</v>
      </c>
      <c r="N166" s="90">
        <v>8500</v>
      </c>
      <c r="O166" s="10"/>
      <c r="P166" s="103">
        <v>15</v>
      </c>
      <c r="Q166" s="90">
        <v>19500</v>
      </c>
      <c r="R166" s="10"/>
      <c r="S166" s="103" t="s">
        <v>0</v>
      </c>
      <c r="T166" s="10"/>
      <c r="U166" s="103" t="s">
        <v>710</v>
      </c>
      <c r="V166" s="103" t="s">
        <v>1269</v>
      </c>
      <c r="W166" s="10"/>
    </row>
    <row r="167" spans="1:23" ht="13">
      <c r="A167" s="10" t="s">
        <v>1285</v>
      </c>
      <c r="B167" s="10" t="s">
        <v>873</v>
      </c>
      <c r="C167" s="10" t="s">
        <v>1282</v>
      </c>
      <c r="D167" s="10" t="s">
        <v>1287</v>
      </c>
      <c r="E167" s="10"/>
      <c r="F167" s="10"/>
      <c r="G167" s="10"/>
      <c r="H167" s="103" t="s">
        <v>895</v>
      </c>
      <c r="I167" s="103" t="s">
        <v>992</v>
      </c>
      <c r="J167" s="103" t="s">
        <v>993</v>
      </c>
      <c r="K167" s="10"/>
      <c r="L167" s="23" t="s">
        <v>248</v>
      </c>
      <c r="M167" s="103" t="s">
        <v>1286</v>
      </c>
      <c r="N167" s="90">
        <v>8500</v>
      </c>
      <c r="O167" s="10"/>
      <c r="P167" s="103">
        <v>15</v>
      </c>
      <c r="Q167" s="90">
        <v>19500</v>
      </c>
      <c r="R167" s="10"/>
      <c r="S167" s="103" t="s">
        <v>0</v>
      </c>
      <c r="T167" s="10"/>
      <c r="U167" s="103" t="s">
        <v>710</v>
      </c>
      <c r="V167" s="103" t="s">
        <v>1269</v>
      </c>
      <c r="W167" s="10"/>
    </row>
    <row r="168" spans="1:23" ht="13">
      <c r="A168" s="10" t="s">
        <v>1285</v>
      </c>
      <c r="B168" s="10" t="s">
        <v>873</v>
      </c>
      <c r="C168" s="10" t="s">
        <v>1282</v>
      </c>
      <c r="D168" s="10" t="s">
        <v>1288</v>
      </c>
      <c r="E168" s="10"/>
      <c r="F168" s="10"/>
      <c r="G168" s="10"/>
      <c r="H168" s="103" t="s">
        <v>895</v>
      </c>
      <c r="I168" s="103" t="s">
        <v>992</v>
      </c>
      <c r="J168" s="103" t="s">
        <v>993</v>
      </c>
      <c r="K168" s="10"/>
      <c r="L168" s="23" t="s">
        <v>248</v>
      </c>
      <c r="M168" s="103" t="s">
        <v>1286</v>
      </c>
      <c r="N168" s="90">
        <v>8500</v>
      </c>
      <c r="O168" s="10"/>
      <c r="P168" s="103">
        <v>15</v>
      </c>
      <c r="Q168" s="90">
        <v>19500</v>
      </c>
      <c r="R168" s="10"/>
      <c r="S168" s="103" t="s">
        <v>0</v>
      </c>
      <c r="T168" s="10"/>
      <c r="U168" s="103" t="s">
        <v>710</v>
      </c>
      <c r="V168" s="103" t="s">
        <v>1269</v>
      </c>
      <c r="W168" s="10"/>
    </row>
    <row r="169" spans="1:23" ht="13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</row>
    <row r="170" spans="1:23" ht="13">
      <c r="A170" s="10" t="s">
        <v>1289</v>
      </c>
      <c r="B170" s="10" t="s">
        <v>721</v>
      </c>
      <c r="C170" s="10"/>
      <c r="D170" s="10" t="s">
        <v>931</v>
      </c>
      <c r="E170" s="10" t="s">
        <v>1290</v>
      </c>
      <c r="F170" s="10"/>
      <c r="G170" s="10"/>
      <c r="H170" s="103" t="s">
        <v>895</v>
      </c>
      <c r="I170" s="103" t="s">
        <v>992</v>
      </c>
      <c r="J170" s="103" t="s">
        <v>993</v>
      </c>
      <c r="K170" s="10"/>
      <c r="L170" s="23" t="s">
        <v>248</v>
      </c>
      <c r="M170" s="103" t="s">
        <v>882</v>
      </c>
      <c r="N170" s="90">
        <v>8000</v>
      </c>
      <c r="O170" s="10"/>
      <c r="P170" s="103">
        <v>20</v>
      </c>
      <c r="Q170" s="10"/>
      <c r="R170" s="10"/>
      <c r="S170" s="103" t="s">
        <v>0</v>
      </c>
      <c r="T170" s="10"/>
      <c r="U170" s="103" t="s">
        <v>366</v>
      </c>
      <c r="V170" s="103" t="s">
        <v>1147</v>
      </c>
      <c r="W170" s="10"/>
    </row>
    <row r="171" spans="1:23" ht="13">
      <c r="A171" s="10" t="s">
        <v>1289</v>
      </c>
      <c r="B171" s="10" t="s">
        <v>721</v>
      </c>
      <c r="C171" s="10"/>
      <c r="D171" s="10" t="s">
        <v>1291</v>
      </c>
      <c r="E171" s="10" t="s">
        <v>1290</v>
      </c>
      <c r="F171" s="10"/>
      <c r="G171" s="10"/>
      <c r="H171" s="103" t="s">
        <v>895</v>
      </c>
      <c r="I171" s="103" t="s">
        <v>992</v>
      </c>
      <c r="J171" s="103" t="s">
        <v>993</v>
      </c>
      <c r="K171" s="10"/>
      <c r="L171" s="23" t="s">
        <v>248</v>
      </c>
      <c r="M171" s="103" t="s">
        <v>882</v>
      </c>
      <c r="N171" s="90">
        <v>8000</v>
      </c>
      <c r="O171" s="10"/>
      <c r="P171" s="103">
        <v>20</v>
      </c>
      <c r="Q171" s="10"/>
      <c r="R171" s="10"/>
      <c r="S171" s="103" t="s">
        <v>0</v>
      </c>
      <c r="T171" s="10"/>
      <c r="U171" s="103" t="s">
        <v>366</v>
      </c>
      <c r="V171" s="103" t="s">
        <v>1147</v>
      </c>
      <c r="W171" s="10"/>
    </row>
    <row r="172" spans="1:23" ht="13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</row>
    <row r="173" spans="1:23" ht="13">
      <c r="A173" s="10" t="s">
        <v>1292</v>
      </c>
      <c r="B173" s="10" t="s">
        <v>1293</v>
      </c>
      <c r="C173" s="10"/>
      <c r="D173" s="10" t="s">
        <v>1294</v>
      </c>
      <c r="E173" s="10" t="s">
        <v>1295</v>
      </c>
      <c r="F173" s="10"/>
      <c r="G173" s="10"/>
      <c r="H173" s="103" t="s">
        <v>891</v>
      </c>
      <c r="I173" s="103" t="s">
        <v>1152</v>
      </c>
      <c r="J173" s="103" t="s">
        <v>1296</v>
      </c>
      <c r="K173" s="10"/>
      <c r="L173" s="23" t="s">
        <v>248</v>
      </c>
      <c r="M173" s="103" t="s">
        <v>882</v>
      </c>
      <c r="N173" s="90">
        <v>12500</v>
      </c>
      <c r="O173" s="10"/>
      <c r="P173" s="103">
        <v>15</v>
      </c>
      <c r="Q173" s="10"/>
      <c r="R173" s="10"/>
      <c r="S173" s="103" t="s">
        <v>0</v>
      </c>
      <c r="T173" s="10"/>
      <c r="U173" s="103" t="s">
        <v>462</v>
      </c>
      <c r="V173" s="103" t="s">
        <v>1279</v>
      </c>
      <c r="W173" s="10"/>
    </row>
    <row r="174" spans="1:23" ht="13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</row>
    <row r="175" spans="1:23" ht="13">
      <c r="A175" s="10" t="s">
        <v>1297</v>
      </c>
      <c r="B175" s="10" t="s">
        <v>577</v>
      </c>
      <c r="C175" s="10" t="s">
        <v>1298</v>
      </c>
      <c r="D175" s="10" t="s">
        <v>1299</v>
      </c>
      <c r="E175" s="10"/>
      <c r="F175" s="10"/>
      <c r="G175" s="10"/>
      <c r="H175" s="103" t="s">
        <v>895</v>
      </c>
      <c r="I175" s="103" t="s">
        <v>1152</v>
      </c>
      <c r="J175" s="103" t="s">
        <v>993</v>
      </c>
      <c r="K175" s="10"/>
      <c r="L175" s="23" t="s">
        <v>1035</v>
      </c>
      <c r="M175" s="103" t="s">
        <v>1007</v>
      </c>
      <c r="N175" s="10"/>
      <c r="O175" s="90">
        <v>9750000</v>
      </c>
      <c r="P175" s="103">
        <v>15</v>
      </c>
      <c r="Q175" s="10"/>
      <c r="R175" s="103" t="s">
        <v>1058</v>
      </c>
      <c r="S175" s="103" t="s">
        <v>1037</v>
      </c>
      <c r="T175" s="10"/>
      <c r="U175" s="103" t="s">
        <v>945</v>
      </c>
      <c r="V175" s="103" t="s">
        <v>1300</v>
      </c>
      <c r="W175" s="10"/>
    </row>
    <row r="176" spans="1:23" ht="13">
      <c r="A176" s="10" t="s">
        <v>1297</v>
      </c>
      <c r="B176" s="10" t="s">
        <v>577</v>
      </c>
      <c r="C176" s="10" t="s">
        <v>1298</v>
      </c>
      <c r="D176" s="10" t="s">
        <v>1301</v>
      </c>
      <c r="E176" s="10"/>
      <c r="F176" s="10"/>
      <c r="G176" s="10"/>
      <c r="H176" s="103" t="s">
        <v>895</v>
      </c>
      <c r="I176" s="103" t="s">
        <v>1152</v>
      </c>
      <c r="J176" s="103" t="s">
        <v>993</v>
      </c>
      <c r="K176" s="10"/>
      <c r="L176" s="23" t="s">
        <v>1035</v>
      </c>
      <c r="M176" s="103" t="s">
        <v>1007</v>
      </c>
      <c r="N176" s="10"/>
      <c r="O176" s="90">
        <v>9750000</v>
      </c>
      <c r="P176" s="103">
        <v>15</v>
      </c>
      <c r="Q176" s="10"/>
      <c r="R176" s="103"/>
      <c r="S176" s="103" t="s">
        <v>1037</v>
      </c>
      <c r="T176" s="10"/>
      <c r="U176" s="103" t="s">
        <v>945</v>
      </c>
      <c r="V176" s="103" t="s">
        <v>1300</v>
      </c>
      <c r="W176" s="10"/>
    </row>
    <row r="177" spans="1:23" ht="13">
      <c r="A177" s="10" t="s">
        <v>1297</v>
      </c>
      <c r="B177" s="10" t="s">
        <v>577</v>
      </c>
      <c r="C177" s="10" t="s">
        <v>1298</v>
      </c>
      <c r="D177" s="10" t="s">
        <v>1302</v>
      </c>
      <c r="E177" s="10"/>
      <c r="F177" s="10"/>
      <c r="G177" s="10"/>
      <c r="H177" s="103" t="s">
        <v>895</v>
      </c>
      <c r="I177" s="103" t="s">
        <v>1152</v>
      </c>
      <c r="J177" s="103" t="s">
        <v>993</v>
      </c>
      <c r="K177" s="10"/>
      <c r="L177" s="23" t="s">
        <v>1035</v>
      </c>
      <c r="M177" s="103" t="s">
        <v>315</v>
      </c>
      <c r="N177" s="10"/>
      <c r="O177" s="90">
        <v>10250000</v>
      </c>
      <c r="P177" s="103">
        <v>15</v>
      </c>
      <c r="Q177" s="10"/>
      <c r="R177" s="103" t="s">
        <v>1058</v>
      </c>
      <c r="S177" s="103" t="s">
        <v>1037</v>
      </c>
      <c r="T177" s="10"/>
      <c r="U177" s="103" t="s">
        <v>945</v>
      </c>
      <c r="V177" s="103" t="s">
        <v>1300</v>
      </c>
      <c r="W177" s="10"/>
    </row>
    <row r="178" spans="1:23" ht="13">
      <c r="A178" s="10" t="s">
        <v>1297</v>
      </c>
      <c r="B178" s="10" t="s">
        <v>577</v>
      </c>
      <c r="C178" s="10" t="s">
        <v>1298</v>
      </c>
      <c r="D178" s="10" t="s">
        <v>1303</v>
      </c>
      <c r="E178" s="10"/>
      <c r="F178" s="10"/>
      <c r="G178" s="10"/>
      <c r="H178" s="103" t="s">
        <v>895</v>
      </c>
      <c r="I178" s="103" t="s">
        <v>1152</v>
      </c>
      <c r="J178" s="103" t="s">
        <v>993</v>
      </c>
      <c r="K178" s="10"/>
      <c r="L178" s="23" t="s">
        <v>1035</v>
      </c>
      <c r="M178" s="103" t="s">
        <v>315</v>
      </c>
      <c r="N178" s="10"/>
      <c r="O178" s="90">
        <v>10250000</v>
      </c>
      <c r="P178" s="103">
        <v>15</v>
      </c>
      <c r="Q178" s="10"/>
      <c r="R178" s="103"/>
      <c r="S178" s="103" t="s">
        <v>1037</v>
      </c>
      <c r="T178" s="10"/>
      <c r="U178" s="103" t="s">
        <v>945</v>
      </c>
      <c r="V178" s="103" t="s">
        <v>1300</v>
      </c>
      <c r="W178" s="10"/>
    </row>
    <row r="179" spans="1:23" ht="13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3"/>
      <c r="S179" s="10"/>
      <c r="T179" s="10"/>
      <c r="U179" s="10"/>
      <c r="V179" s="10"/>
      <c r="W179" s="10"/>
    </row>
    <row r="180" spans="1:23" ht="13">
      <c r="A180" s="10" t="s">
        <v>1304</v>
      </c>
      <c r="B180" s="10" t="s">
        <v>1305</v>
      </c>
      <c r="C180" s="10" t="s">
        <v>1306</v>
      </c>
      <c r="D180" s="10" t="s">
        <v>1307</v>
      </c>
      <c r="E180" s="10"/>
      <c r="F180" s="10"/>
      <c r="G180" s="10"/>
      <c r="H180" s="103" t="s">
        <v>895</v>
      </c>
      <c r="I180" s="103" t="s">
        <v>992</v>
      </c>
      <c r="J180" s="103" t="s">
        <v>993</v>
      </c>
      <c r="K180" s="10"/>
      <c r="L180" s="23" t="s">
        <v>248</v>
      </c>
      <c r="M180" s="103" t="s">
        <v>882</v>
      </c>
      <c r="N180" s="90">
        <v>35000</v>
      </c>
      <c r="O180" s="10"/>
      <c r="P180" s="103">
        <v>15</v>
      </c>
      <c r="Q180" s="10"/>
      <c r="R180" s="103"/>
      <c r="S180" s="103" t="s">
        <v>0</v>
      </c>
      <c r="T180" s="10"/>
      <c r="U180" s="103" t="s">
        <v>837</v>
      </c>
      <c r="V180" s="61" t="s">
        <v>1039</v>
      </c>
      <c r="W180" s="10"/>
    </row>
    <row r="181" spans="1:23" ht="13">
      <c r="A181" s="10" t="s">
        <v>1304</v>
      </c>
      <c r="B181" s="10" t="s">
        <v>1305</v>
      </c>
      <c r="C181" s="10" t="s">
        <v>1306</v>
      </c>
      <c r="D181" s="10" t="s">
        <v>1310</v>
      </c>
      <c r="E181" s="10"/>
      <c r="F181" s="10"/>
      <c r="G181" s="10"/>
      <c r="H181" s="103" t="s">
        <v>895</v>
      </c>
      <c r="I181" s="103" t="s">
        <v>992</v>
      </c>
      <c r="J181" s="103" t="s">
        <v>993</v>
      </c>
      <c r="K181" s="10"/>
      <c r="L181" s="23" t="s">
        <v>248</v>
      </c>
      <c r="M181" s="103" t="s">
        <v>882</v>
      </c>
      <c r="N181" s="90">
        <v>35000</v>
      </c>
      <c r="O181" s="10"/>
      <c r="P181" s="103">
        <v>15</v>
      </c>
      <c r="Q181" s="10"/>
      <c r="R181" s="103"/>
      <c r="S181" s="103" t="s">
        <v>0</v>
      </c>
      <c r="T181" s="10"/>
      <c r="U181" s="103" t="s">
        <v>837</v>
      </c>
      <c r="V181" s="61" t="s">
        <v>1039</v>
      </c>
      <c r="W181" s="10"/>
    </row>
    <row r="182" spans="1:23" ht="13">
      <c r="A182" s="10" t="s">
        <v>1304</v>
      </c>
      <c r="B182" s="10" t="s">
        <v>1305</v>
      </c>
      <c r="C182" s="10" t="s">
        <v>1306</v>
      </c>
      <c r="D182" s="10" t="s">
        <v>1311</v>
      </c>
      <c r="E182" s="10"/>
      <c r="F182" s="10"/>
      <c r="G182" s="10"/>
      <c r="H182" s="103" t="s">
        <v>895</v>
      </c>
      <c r="I182" s="103" t="s">
        <v>992</v>
      </c>
      <c r="J182" s="103" t="s">
        <v>993</v>
      </c>
      <c r="K182" s="10"/>
      <c r="L182" s="23" t="s">
        <v>248</v>
      </c>
      <c r="M182" s="103" t="s">
        <v>315</v>
      </c>
      <c r="N182" s="90">
        <v>35000</v>
      </c>
      <c r="O182" s="10"/>
      <c r="P182" s="103">
        <v>15</v>
      </c>
      <c r="Q182" s="10"/>
      <c r="R182" s="103"/>
      <c r="S182" s="103" t="s">
        <v>0</v>
      </c>
      <c r="T182" s="10"/>
      <c r="U182" s="103" t="s">
        <v>837</v>
      </c>
      <c r="V182" s="61" t="s">
        <v>1039</v>
      </c>
      <c r="W182" s="10"/>
    </row>
    <row r="183" spans="1:23" ht="1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3"/>
      <c r="S183" s="10"/>
      <c r="T183" s="10"/>
      <c r="U183" s="10"/>
      <c r="V183" s="10"/>
      <c r="W183" s="10"/>
    </row>
    <row r="184" spans="1:23" ht="13">
      <c r="A184" s="10" t="s">
        <v>1313</v>
      </c>
      <c r="B184" s="10" t="s">
        <v>721</v>
      </c>
      <c r="C184" s="10"/>
      <c r="D184" s="10" t="s">
        <v>1314</v>
      </c>
      <c r="E184" s="10" t="s">
        <v>1290</v>
      </c>
      <c r="F184" s="10"/>
      <c r="G184" s="10"/>
      <c r="H184" s="103" t="s">
        <v>891</v>
      </c>
      <c r="I184" s="103" t="s">
        <v>1152</v>
      </c>
      <c r="J184" s="103" t="s">
        <v>1056</v>
      </c>
      <c r="K184" s="10"/>
      <c r="L184" s="23" t="s">
        <v>248</v>
      </c>
      <c r="M184" s="103" t="s">
        <v>889</v>
      </c>
      <c r="N184" s="90">
        <v>6000</v>
      </c>
      <c r="O184" s="10"/>
      <c r="P184" s="103">
        <v>20</v>
      </c>
      <c r="Q184" s="10"/>
      <c r="R184" s="103"/>
      <c r="S184" s="103" t="s">
        <v>0</v>
      </c>
      <c r="T184" s="10"/>
      <c r="U184" s="103" t="s">
        <v>366</v>
      </c>
      <c r="V184" s="103" t="s">
        <v>1147</v>
      </c>
      <c r="W184" s="10"/>
    </row>
    <row r="185" spans="1:23" ht="13">
      <c r="A185" s="10" t="s">
        <v>1313</v>
      </c>
      <c r="B185" s="10" t="s">
        <v>721</v>
      </c>
      <c r="C185" s="10"/>
      <c r="D185" s="10" t="s">
        <v>1317</v>
      </c>
      <c r="E185" s="10" t="s">
        <v>1290</v>
      </c>
      <c r="F185" s="10"/>
      <c r="G185" s="10"/>
      <c r="H185" s="103" t="s">
        <v>891</v>
      </c>
      <c r="I185" s="103" t="s">
        <v>1152</v>
      </c>
      <c r="J185" s="103" t="s">
        <v>1056</v>
      </c>
      <c r="K185" s="10"/>
      <c r="L185" s="23" t="s">
        <v>248</v>
      </c>
      <c r="M185" s="103" t="s">
        <v>889</v>
      </c>
      <c r="N185" s="90">
        <v>6000</v>
      </c>
      <c r="O185" s="10"/>
      <c r="P185" s="103">
        <v>20</v>
      </c>
      <c r="Q185" s="10"/>
      <c r="R185" s="103"/>
      <c r="S185" s="103" t="s">
        <v>0</v>
      </c>
      <c r="T185" s="10"/>
      <c r="U185" s="103" t="s">
        <v>366</v>
      </c>
      <c r="V185" s="103" t="s">
        <v>1147</v>
      </c>
      <c r="W185" s="10"/>
    </row>
    <row r="186" spans="1:23" ht="13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3"/>
      <c r="S186" s="10"/>
      <c r="T186" s="10"/>
      <c r="U186" s="10"/>
      <c r="V186" s="10"/>
      <c r="W186" s="10"/>
    </row>
    <row r="187" spans="1:23" ht="14">
      <c r="A187" s="10" t="s">
        <v>1318</v>
      </c>
      <c r="B187" s="10"/>
      <c r="C187" s="10"/>
      <c r="D187" s="10" t="s">
        <v>1319</v>
      </c>
      <c r="E187" s="10" t="s">
        <v>1320</v>
      </c>
      <c r="F187" s="10"/>
      <c r="G187" s="10"/>
      <c r="H187" s="103" t="s">
        <v>891</v>
      </c>
      <c r="I187" s="103" t="s">
        <v>992</v>
      </c>
      <c r="J187" s="103" t="s">
        <v>1056</v>
      </c>
      <c r="K187" s="10"/>
      <c r="L187" s="23" t="s">
        <v>248</v>
      </c>
      <c r="M187" s="83" t="s">
        <v>1321</v>
      </c>
      <c r="N187" s="90">
        <v>17000</v>
      </c>
      <c r="O187" s="10"/>
      <c r="P187" s="103">
        <v>15</v>
      </c>
      <c r="Q187" s="10"/>
      <c r="R187" s="103"/>
      <c r="S187" s="103" t="s">
        <v>0</v>
      </c>
      <c r="T187" s="10"/>
      <c r="U187" s="103" t="s">
        <v>1038</v>
      </c>
      <c r="V187" s="103" t="s">
        <v>1322</v>
      </c>
      <c r="W187" s="10"/>
    </row>
    <row r="188" spans="1:23" ht="13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3"/>
      <c r="S188" s="10"/>
      <c r="T188" s="10"/>
      <c r="U188" s="10"/>
      <c r="V188" s="10"/>
      <c r="W188" s="10"/>
    </row>
    <row r="189" spans="1:23" ht="13">
      <c r="A189" s="10" t="s">
        <v>1327</v>
      </c>
      <c r="B189" s="10" t="s">
        <v>717</v>
      </c>
      <c r="C189" s="10" t="s">
        <v>1277</v>
      </c>
      <c r="D189" s="10" t="s">
        <v>1328</v>
      </c>
      <c r="E189" s="10"/>
      <c r="F189" s="10"/>
      <c r="G189" s="10"/>
      <c r="H189" s="103" t="s">
        <v>895</v>
      </c>
      <c r="I189" s="103" t="s">
        <v>992</v>
      </c>
      <c r="J189" s="103" t="s">
        <v>993</v>
      </c>
      <c r="K189" s="10"/>
      <c r="L189" s="23" t="s">
        <v>248</v>
      </c>
      <c r="M189" s="103" t="s">
        <v>1329</v>
      </c>
      <c r="N189" s="90">
        <v>15000</v>
      </c>
      <c r="O189" s="10"/>
      <c r="P189" s="103">
        <v>15</v>
      </c>
      <c r="Q189" s="10"/>
      <c r="R189" s="103"/>
      <c r="S189" s="103" t="s">
        <v>0</v>
      </c>
      <c r="T189" s="10"/>
      <c r="U189" s="103" t="s">
        <v>462</v>
      </c>
      <c r="V189" s="103" t="s">
        <v>1279</v>
      </c>
      <c r="W189" s="10"/>
    </row>
    <row r="190" spans="1:23" ht="13">
      <c r="A190" s="10" t="s">
        <v>1327</v>
      </c>
      <c r="B190" s="10" t="s">
        <v>717</v>
      </c>
      <c r="C190" s="10" t="s">
        <v>1277</v>
      </c>
      <c r="D190" s="10" t="s">
        <v>1330</v>
      </c>
      <c r="E190" s="10"/>
      <c r="F190" s="10"/>
      <c r="G190" s="10"/>
      <c r="H190" s="103" t="s">
        <v>895</v>
      </c>
      <c r="I190" s="103" t="s">
        <v>992</v>
      </c>
      <c r="J190" s="103" t="s">
        <v>993</v>
      </c>
      <c r="K190" s="10"/>
      <c r="L190" s="23" t="s">
        <v>248</v>
      </c>
      <c r="M190" s="103" t="s">
        <v>1331</v>
      </c>
      <c r="N190" s="90">
        <v>15000</v>
      </c>
      <c r="O190" s="10"/>
      <c r="P190" s="103">
        <v>15</v>
      </c>
      <c r="Q190" s="10"/>
      <c r="R190" s="103"/>
      <c r="S190" s="103" t="s">
        <v>0</v>
      </c>
      <c r="T190" s="10"/>
      <c r="U190" s="103" t="s">
        <v>462</v>
      </c>
      <c r="V190" s="103" t="s">
        <v>1279</v>
      </c>
      <c r="W190" s="10"/>
    </row>
    <row r="191" spans="1:23" ht="13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3"/>
      <c r="S191" s="10"/>
      <c r="T191" s="10"/>
      <c r="U191" s="10"/>
      <c r="V191" s="10"/>
      <c r="W191" s="10"/>
    </row>
    <row r="192" spans="1:23" ht="13">
      <c r="A192" s="10" t="s">
        <v>1333</v>
      </c>
      <c r="B192" s="10" t="s">
        <v>1293</v>
      </c>
      <c r="C192" s="10"/>
      <c r="D192" s="10" t="s">
        <v>1334</v>
      </c>
      <c r="E192" s="10" t="s">
        <v>1335</v>
      </c>
      <c r="F192" s="10"/>
      <c r="G192" s="10"/>
      <c r="H192" s="103" t="s">
        <v>1336</v>
      </c>
      <c r="I192" s="103" t="s">
        <v>1152</v>
      </c>
      <c r="J192" s="103" t="s">
        <v>1296</v>
      </c>
      <c r="K192" s="10"/>
      <c r="L192" s="23" t="s">
        <v>248</v>
      </c>
      <c r="M192" s="103" t="s">
        <v>1007</v>
      </c>
      <c r="N192" s="90">
        <v>12500</v>
      </c>
      <c r="O192" s="10"/>
      <c r="P192" s="103">
        <v>15</v>
      </c>
      <c r="Q192" s="10"/>
      <c r="R192" s="103"/>
      <c r="S192" s="103" t="s">
        <v>0</v>
      </c>
      <c r="T192" s="10"/>
      <c r="U192" s="103" t="s">
        <v>462</v>
      </c>
      <c r="V192" s="103" t="s">
        <v>1279</v>
      </c>
      <c r="W192" s="10"/>
    </row>
    <row r="193" spans="1:23" ht="1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3"/>
      <c r="S193" s="10"/>
      <c r="T193" s="10"/>
      <c r="U193" s="10"/>
      <c r="V193" s="10"/>
      <c r="W193" s="10"/>
    </row>
    <row r="194" spans="1:23" ht="13">
      <c r="A194" s="10" t="s">
        <v>1337</v>
      </c>
      <c r="B194" s="10"/>
      <c r="C194" s="10"/>
      <c r="D194" s="10" t="s">
        <v>1339</v>
      </c>
      <c r="E194" s="10" t="s">
        <v>1340</v>
      </c>
      <c r="F194" s="10"/>
      <c r="G194" s="10"/>
      <c r="H194" s="103" t="s">
        <v>895</v>
      </c>
      <c r="I194" s="165">
        <v>43709</v>
      </c>
      <c r="J194" s="103" t="s">
        <v>1204</v>
      </c>
      <c r="K194" s="10"/>
      <c r="L194" s="23" t="s">
        <v>248</v>
      </c>
      <c r="M194" s="103" t="s">
        <v>1007</v>
      </c>
      <c r="N194" s="10"/>
      <c r="O194" s="90">
        <v>1700000</v>
      </c>
      <c r="P194" s="103">
        <v>15</v>
      </c>
      <c r="Q194" s="10"/>
      <c r="R194" s="103"/>
      <c r="S194" s="103" t="s">
        <v>0</v>
      </c>
      <c r="T194" s="10"/>
      <c r="U194" s="103" t="s">
        <v>945</v>
      </c>
      <c r="V194" s="103" t="s">
        <v>1300</v>
      </c>
      <c r="W194" s="10"/>
    </row>
    <row r="195" spans="1:23" ht="13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3"/>
      <c r="S195" s="10"/>
      <c r="T195" s="10"/>
      <c r="U195" s="10"/>
      <c r="V195" s="10"/>
      <c r="W195" s="10"/>
    </row>
    <row r="196" spans="1:23" ht="13">
      <c r="A196" s="10" t="s">
        <v>1343</v>
      </c>
      <c r="B196" s="10" t="s">
        <v>1344</v>
      </c>
      <c r="C196" s="10"/>
      <c r="D196" s="10" t="s">
        <v>232</v>
      </c>
      <c r="E196" s="10" t="s">
        <v>681</v>
      </c>
      <c r="F196" s="10"/>
      <c r="G196" s="10"/>
      <c r="H196" s="103" t="s">
        <v>897</v>
      </c>
      <c r="I196" s="103" t="s">
        <v>1152</v>
      </c>
      <c r="J196" s="103" t="s">
        <v>1000</v>
      </c>
      <c r="K196" s="10"/>
      <c r="L196" s="23" t="s">
        <v>248</v>
      </c>
      <c r="M196" s="103" t="s">
        <v>882</v>
      </c>
      <c r="N196" s="90">
        <v>17000</v>
      </c>
      <c r="O196" s="10"/>
      <c r="P196" s="103">
        <v>15</v>
      </c>
      <c r="Q196" s="90">
        <v>25000</v>
      </c>
      <c r="R196" s="103"/>
      <c r="S196" s="103" t="s">
        <v>0</v>
      </c>
      <c r="T196" s="10"/>
      <c r="U196" s="103" t="s">
        <v>710</v>
      </c>
      <c r="V196" s="103" t="s">
        <v>1257</v>
      </c>
      <c r="W196" s="10"/>
    </row>
    <row r="197" spans="1:23" ht="13">
      <c r="A197" s="10" t="s">
        <v>1343</v>
      </c>
      <c r="B197" s="10" t="s">
        <v>1344</v>
      </c>
      <c r="C197" s="10"/>
      <c r="D197" s="10" t="s">
        <v>1346</v>
      </c>
      <c r="E197" s="10" t="s">
        <v>681</v>
      </c>
      <c r="F197" s="10"/>
      <c r="G197" s="10"/>
      <c r="H197" s="103" t="s">
        <v>897</v>
      </c>
      <c r="I197" s="103" t="s">
        <v>1152</v>
      </c>
      <c r="J197" s="103" t="s">
        <v>1000</v>
      </c>
      <c r="K197" s="10"/>
      <c r="L197" s="23" t="s">
        <v>248</v>
      </c>
      <c r="M197" s="103" t="s">
        <v>882</v>
      </c>
      <c r="N197" s="90">
        <v>17000</v>
      </c>
      <c r="O197" s="10"/>
      <c r="P197" s="103">
        <v>15</v>
      </c>
      <c r="Q197" s="90">
        <v>25000</v>
      </c>
      <c r="R197" s="103"/>
      <c r="S197" s="103" t="s">
        <v>0</v>
      </c>
      <c r="T197" s="10"/>
      <c r="U197" s="103" t="s">
        <v>710</v>
      </c>
      <c r="V197" s="103" t="s">
        <v>1257</v>
      </c>
      <c r="W197" s="10"/>
    </row>
    <row r="198" spans="1:23" ht="1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3"/>
      <c r="S198" s="10"/>
      <c r="T198" s="10"/>
      <c r="U198" s="10"/>
      <c r="V198" s="10"/>
      <c r="W198" s="10"/>
    </row>
    <row r="199" spans="1:23" ht="13">
      <c r="A199" s="10" t="s">
        <v>1348</v>
      </c>
      <c r="B199" s="10" t="s">
        <v>1324</v>
      </c>
      <c r="C199" s="10" t="s">
        <v>1349</v>
      </c>
      <c r="D199" s="10" t="s">
        <v>1350</v>
      </c>
      <c r="E199" s="10"/>
      <c r="F199" s="10"/>
      <c r="G199" s="10"/>
      <c r="H199" s="103" t="s">
        <v>895</v>
      </c>
      <c r="I199" s="103" t="s">
        <v>992</v>
      </c>
      <c r="J199" s="103" t="s">
        <v>993</v>
      </c>
      <c r="K199" s="10"/>
      <c r="L199" s="23" t="s">
        <v>248</v>
      </c>
      <c r="M199" s="103" t="s">
        <v>1321</v>
      </c>
      <c r="N199" s="90">
        <v>12000</v>
      </c>
      <c r="O199" s="10"/>
      <c r="P199" s="103">
        <v>15</v>
      </c>
      <c r="Q199" s="10"/>
      <c r="R199" s="103"/>
      <c r="S199" s="103" t="s">
        <v>0</v>
      </c>
      <c r="T199" s="10"/>
      <c r="U199" s="103" t="s">
        <v>462</v>
      </c>
      <c r="V199" s="103" t="s">
        <v>1147</v>
      </c>
      <c r="W199" s="10"/>
    </row>
    <row r="200" spans="1:23" ht="1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3"/>
      <c r="S200" s="10"/>
      <c r="T200" s="10"/>
      <c r="U200" s="10"/>
      <c r="V200" s="10"/>
      <c r="W200" s="10"/>
    </row>
    <row r="201" spans="1:23" ht="13">
      <c r="A201" s="10" t="s">
        <v>1352</v>
      </c>
      <c r="B201" s="10" t="s">
        <v>1353</v>
      </c>
      <c r="C201" s="10" t="s">
        <v>550</v>
      </c>
      <c r="D201" s="10" t="s">
        <v>1354</v>
      </c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3"/>
      <c r="S201" s="10"/>
      <c r="T201" s="10"/>
      <c r="U201" s="10"/>
      <c r="V201" s="10"/>
      <c r="W201" s="10"/>
    </row>
    <row r="202" spans="1:23" ht="13">
      <c r="A202" s="10" t="s">
        <v>1352</v>
      </c>
      <c r="B202" s="10" t="s">
        <v>1353</v>
      </c>
      <c r="C202" s="10" t="s">
        <v>550</v>
      </c>
      <c r="D202" s="10" t="s">
        <v>1356</v>
      </c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3"/>
      <c r="S202" s="10"/>
      <c r="T202" s="10"/>
      <c r="U202" s="10"/>
      <c r="V202" s="10"/>
      <c r="W202" s="10"/>
    </row>
    <row r="203" spans="1:23" ht="13">
      <c r="A203" s="10" t="s">
        <v>1352</v>
      </c>
      <c r="B203" s="10" t="s">
        <v>1353</v>
      </c>
      <c r="C203" s="10" t="s">
        <v>550</v>
      </c>
      <c r="D203" s="10" t="s">
        <v>1358</v>
      </c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3"/>
      <c r="S203" s="10"/>
      <c r="T203" s="10"/>
      <c r="U203" s="10"/>
      <c r="V203" s="10"/>
      <c r="W203" s="10"/>
    </row>
    <row r="204" spans="1:23" ht="1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3"/>
      <c r="S204" s="10"/>
      <c r="T204" s="10"/>
      <c r="U204" s="10"/>
      <c r="V204" s="10"/>
      <c r="W204" s="10"/>
    </row>
    <row r="205" spans="1:23" ht="13">
      <c r="A205" s="10" t="s">
        <v>1360</v>
      </c>
      <c r="B205" s="10" t="s">
        <v>1353</v>
      </c>
      <c r="C205" s="10" t="s">
        <v>550</v>
      </c>
      <c r="D205" s="10" t="s">
        <v>1354</v>
      </c>
      <c r="E205" s="10"/>
      <c r="F205" s="10"/>
      <c r="G205" s="10"/>
      <c r="H205" s="103" t="s">
        <v>895</v>
      </c>
      <c r="I205" s="103" t="s">
        <v>992</v>
      </c>
      <c r="J205" s="103" t="s">
        <v>993</v>
      </c>
      <c r="K205" s="10"/>
      <c r="L205" s="23" t="s">
        <v>248</v>
      </c>
      <c r="M205" s="103" t="s">
        <v>1007</v>
      </c>
      <c r="N205" s="90">
        <v>8000</v>
      </c>
      <c r="O205" s="10"/>
      <c r="P205" s="103">
        <v>15</v>
      </c>
      <c r="Q205" s="10"/>
      <c r="R205" s="103"/>
      <c r="S205" s="103" t="s">
        <v>0</v>
      </c>
      <c r="T205" s="10"/>
      <c r="U205" s="103" t="s">
        <v>1038</v>
      </c>
      <c r="V205" s="103" t="s">
        <v>1039</v>
      </c>
      <c r="W205" s="10"/>
    </row>
    <row r="206" spans="1:23" ht="13">
      <c r="A206" s="10" t="s">
        <v>1360</v>
      </c>
      <c r="B206" s="10" t="s">
        <v>1353</v>
      </c>
      <c r="C206" s="10" t="s">
        <v>550</v>
      </c>
      <c r="D206" s="10" t="s">
        <v>1356</v>
      </c>
      <c r="E206" s="10"/>
      <c r="F206" s="10"/>
      <c r="G206" s="10"/>
      <c r="H206" s="103" t="s">
        <v>895</v>
      </c>
      <c r="I206" s="103" t="s">
        <v>992</v>
      </c>
      <c r="J206" s="103" t="s">
        <v>993</v>
      </c>
      <c r="K206" s="10"/>
      <c r="L206" s="23" t="s">
        <v>248</v>
      </c>
      <c r="M206" s="103" t="s">
        <v>1007</v>
      </c>
      <c r="N206" s="90">
        <v>8000</v>
      </c>
      <c r="O206" s="10"/>
      <c r="P206" s="103">
        <v>15</v>
      </c>
      <c r="Q206" s="10"/>
      <c r="R206" s="103"/>
      <c r="S206" s="103" t="s">
        <v>0</v>
      </c>
      <c r="T206" s="10"/>
      <c r="U206" s="103" t="s">
        <v>1038</v>
      </c>
      <c r="V206" s="103" t="s">
        <v>1039</v>
      </c>
      <c r="W206" s="10"/>
    </row>
    <row r="207" spans="1:23" ht="1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3"/>
      <c r="S207" s="10"/>
      <c r="T207" s="10"/>
      <c r="U207" s="10"/>
      <c r="V207" s="10"/>
      <c r="W207" s="10"/>
    </row>
    <row r="208" spans="1:23" ht="13">
      <c r="A208" s="10" t="s">
        <v>1362</v>
      </c>
      <c r="B208" s="10" t="s">
        <v>1353</v>
      </c>
      <c r="C208" s="10" t="s">
        <v>550</v>
      </c>
      <c r="D208" s="10" t="s">
        <v>1358</v>
      </c>
      <c r="E208" s="10"/>
      <c r="F208" s="10"/>
      <c r="G208" s="10"/>
      <c r="H208" s="103" t="s">
        <v>895</v>
      </c>
      <c r="I208" s="103" t="s">
        <v>992</v>
      </c>
      <c r="J208" s="103" t="s">
        <v>993</v>
      </c>
      <c r="K208" s="10"/>
      <c r="L208" s="23" t="s">
        <v>248</v>
      </c>
      <c r="M208" s="103" t="s">
        <v>315</v>
      </c>
      <c r="N208" s="90">
        <v>11000</v>
      </c>
      <c r="O208" s="10"/>
      <c r="P208" s="103">
        <v>15</v>
      </c>
      <c r="Q208" s="10"/>
      <c r="R208" s="103"/>
      <c r="S208" s="103" t="s">
        <v>0</v>
      </c>
      <c r="T208" s="10"/>
      <c r="U208" s="103" t="s">
        <v>1038</v>
      </c>
      <c r="V208" s="103" t="s">
        <v>1039</v>
      </c>
      <c r="W208" s="10"/>
    </row>
    <row r="209" spans="1:23" ht="13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3"/>
      <c r="S209" s="10"/>
      <c r="T209" s="10"/>
      <c r="U209" s="10"/>
      <c r="V209" s="10"/>
      <c r="W209" s="10"/>
    </row>
    <row r="210" spans="1:23" ht="13">
      <c r="A210" s="10" t="s">
        <v>1370</v>
      </c>
      <c r="B210" s="10" t="s">
        <v>1353</v>
      </c>
      <c r="C210" s="10" t="s">
        <v>550</v>
      </c>
      <c r="D210" s="10" t="s">
        <v>1372</v>
      </c>
      <c r="E210" s="10"/>
      <c r="F210" s="10"/>
      <c r="G210" s="10"/>
      <c r="H210" s="103" t="s">
        <v>895</v>
      </c>
      <c r="I210" s="103" t="s">
        <v>992</v>
      </c>
      <c r="J210" s="103" t="s">
        <v>993</v>
      </c>
      <c r="K210" s="10"/>
      <c r="L210" s="23" t="s">
        <v>248</v>
      </c>
      <c r="M210" s="103" t="s">
        <v>315</v>
      </c>
      <c r="N210" s="90">
        <v>12000</v>
      </c>
      <c r="O210" s="10"/>
      <c r="P210" s="103">
        <v>15</v>
      </c>
      <c r="Q210" s="90">
        <v>24000</v>
      </c>
      <c r="R210" s="103"/>
      <c r="S210" s="103" t="s">
        <v>0</v>
      </c>
      <c r="T210" s="10"/>
      <c r="U210" s="103" t="s">
        <v>1038</v>
      </c>
      <c r="V210" s="103" t="s">
        <v>1039</v>
      </c>
      <c r="W210" s="10"/>
    </row>
    <row r="211" spans="1:23" ht="13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3"/>
      <c r="S211" s="10"/>
      <c r="T211" s="10"/>
      <c r="U211" s="10"/>
      <c r="V211" s="10"/>
      <c r="W211" s="10"/>
    </row>
    <row r="212" spans="1:23" ht="13">
      <c r="A212" s="10" t="s">
        <v>1374</v>
      </c>
      <c r="B212" s="1" t="s">
        <v>1375</v>
      </c>
      <c r="C212" s="10" t="s">
        <v>1376</v>
      </c>
      <c r="D212" s="10" t="s">
        <v>1377</v>
      </c>
      <c r="E212" s="10"/>
      <c r="F212" s="10"/>
      <c r="G212" s="10"/>
      <c r="H212" s="103" t="s">
        <v>895</v>
      </c>
      <c r="I212" s="103" t="s">
        <v>1378</v>
      </c>
      <c r="J212" s="103" t="s">
        <v>993</v>
      </c>
      <c r="K212" s="10"/>
      <c r="L212" s="23" t="s">
        <v>248</v>
      </c>
      <c r="M212" s="103" t="s">
        <v>1379</v>
      </c>
      <c r="N212" s="10"/>
      <c r="O212" s="90">
        <v>4000000</v>
      </c>
      <c r="P212" s="103">
        <v>15</v>
      </c>
      <c r="Q212" s="10"/>
      <c r="R212" s="103"/>
      <c r="S212" s="103" t="s">
        <v>0</v>
      </c>
      <c r="T212" s="10"/>
      <c r="U212" s="103" t="s">
        <v>945</v>
      </c>
      <c r="V212" s="103" t="s">
        <v>1257</v>
      </c>
      <c r="W212" s="10"/>
    </row>
    <row r="213" spans="1:23" ht="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3"/>
      <c r="S213" s="10"/>
      <c r="T213" s="10"/>
      <c r="U213" s="10"/>
      <c r="V213" s="10"/>
      <c r="W213" s="10"/>
    </row>
    <row r="214" spans="1:23" ht="13">
      <c r="A214" s="10" t="s">
        <v>555</v>
      </c>
      <c r="B214" s="10" t="s">
        <v>1381</v>
      </c>
      <c r="C214" s="10" t="s">
        <v>557</v>
      </c>
      <c r="D214" s="10" t="s">
        <v>1382</v>
      </c>
      <c r="E214" s="10"/>
      <c r="F214" s="10"/>
      <c r="G214" s="10"/>
      <c r="H214" s="103" t="s">
        <v>897</v>
      </c>
      <c r="I214" s="103" t="s">
        <v>1152</v>
      </c>
      <c r="J214" s="103" t="s">
        <v>1383</v>
      </c>
      <c r="K214" s="10"/>
      <c r="L214" s="23" t="s">
        <v>1035</v>
      </c>
      <c r="M214" s="103" t="s">
        <v>1007</v>
      </c>
      <c r="N214" s="90">
        <v>23000</v>
      </c>
      <c r="O214" s="10"/>
      <c r="P214" s="103">
        <v>15</v>
      </c>
      <c r="Q214" s="10"/>
      <c r="R214" s="103" t="s">
        <v>1058</v>
      </c>
      <c r="S214" s="103" t="s">
        <v>1037</v>
      </c>
      <c r="T214" s="10"/>
      <c r="U214" s="103" t="s">
        <v>945</v>
      </c>
      <c r="V214" s="103" t="s">
        <v>1039</v>
      </c>
      <c r="W214" s="10"/>
    </row>
    <row r="215" spans="1:23" ht="13">
      <c r="A215" s="10" t="s">
        <v>555</v>
      </c>
      <c r="B215" s="10" t="s">
        <v>1381</v>
      </c>
      <c r="C215" s="10" t="s">
        <v>557</v>
      </c>
      <c r="D215" s="10" t="s">
        <v>1386</v>
      </c>
      <c r="E215" s="10"/>
      <c r="F215" s="10"/>
      <c r="G215" s="10"/>
      <c r="H215" s="103" t="s">
        <v>897</v>
      </c>
      <c r="I215" s="103" t="s">
        <v>1152</v>
      </c>
      <c r="J215" s="103" t="s">
        <v>1383</v>
      </c>
      <c r="K215" s="10"/>
      <c r="L215" s="23" t="s">
        <v>1035</v>
      </c>
      <c r="M215" s="103" t="s">
        <v>1007</v>
      </c>
      <c r="N215" s="90">
        <v>23000</v>
      </c>
      <c r="O215" s="10"/>
      <c r="P215" s="103">
        <v>15</v>
      </c>
      <c r="Q215" s="10"/>
      <c r="R215" s="103"/>
      <c r="S215" s="103" t="s">
        <v>1037</v>
      </c>
      <c r="T215" s="10"/>
      <c r="U215" s="103" t="s">
        <v>945</v>
      </c>
      <c r="V215" s="103" t="s">
        <v>1039</v>
      </c>
      <c r="W215" s="10"/>
    </row>
    <row r="216" spans="1:23" ht="13">
      <c r="A216" s="10" t="s">
        <v>555</v>
      </c>
      <c r="B216" s="10" t="s">
        <v>1381</v>
      </c>
      <c r="C216" s="10" t="s">
        <v>557</v>
      </c>
      <c r="D216" s="10" t="s">
        <v>1387</v>
      </c>
      <c r="E216" s="10"/>
      <c r="F216" s="10"/>
      <c r="G216" s="10"/>
      <c r="H216" s="103" t="s">
        <v>897</v>
      </c>
      <c r="I216" s="103" t="s">
        <v>1152</v>
      </c>
      <c r="J216" s="103" t="s">
        <v>1383</v>
      </c>
      <c r="K216" s="10"/>
      <c r="L216" s="23" t="s">
        <v>1035</v>
      </c>
      <c r="M216" s="103" t="s">
        <v>889</v>
      </c>
      <c r="N216" s="90">
        <v>23000</v>
      </c>
      <c r="O216" s="10"/>
      <c r="P216" s="103">
        <v>15</v>
      </c>
      <c r="Q216" s="10"/>
      <c r="R216" s="103" t="s">
        <v>1058</v>
      </c>
      <c r="S216" s="103" t="s">
        <v>1037</v>
      </c>
      <c r="T216" s="10"/>
      <c r="U216" s="103" t="s">
        <v>945</v>
      </c>
      <c r="V216" s="103" t="s">
        <v>1039</v>
      </c>
      <c r="W216" s="10"/>
    </row>
    <row r="217" spans="1:23" ht="13">
      <c r="A217" s="10" t="s">
        <v>555</v>
      </c>
      <c r="B217" s="10" t="s">
        <v>1381</v>
      </c>
      <c r="C217" s="10" t="s">
        <v>557</v>
      </c>
      <c r="D217" s="10" t="s">
        <v>1389</v>
      </c>
      <c r="E217" s="10"/>
      <c r="F217" s="10"/>
      <c r="G217" s="10"/>
      <c r="H217" s="103" t="s">
        <v>897</v>
      </c>
      <c r="I217" s="103" t="s">
        <v>1152</v>
      </c>
      <c r="J217" s="103" t="s">
        <v>1383</v>
      </c>
      <c r="K217" s="10"/>
      <c r="L217" s="23" t="s">
        <v>1035</v>
      </c>
      <c r="M217" s="103" t="s">
        <v>889</v>
      </c>
      <c r="N217" s="90">
        <v>23000</v>
      </c>
      <c r="O217" s="10"/>
      <c r="P217" s="103">
        <v>15</v>
      </c>
      <c r="Q217" s="10"/>
      <c r="R217" s="103"/>
      <c r="S217" s="103" t="s">
        <v>1037</v>
      </c>
      <c r="T217" s="10"/>
      <c r="U217" s="103" t="s">
        <v>945</v>
      </c>
      <c r="V217" s="103" t="s">
        <v>1039</v>
      </c>
      <c r="W217" s="10"/>
    </row>
    <row r="218" spans="1:23" ht="13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</row>
    <row r="219" spans="1:23" ht="13">
      <c r="A219" s="10" t="s">
        <v>1391</v>
      </c>
      <c r="B219" s="10" t="s">
        <v>1392</v>
      </c>
      <c r="C219" s="10" t="s">
        <v>1393</v>
      </c>
      <c r="D219" s="10" t="s">
        <v>1394</v>
      </c>
      <c r="E219" s="10"/>
      <c r="F219" s="10"/>
      <c r="G219" s="10"/>
      <c r="H219" s="103" t="s">
        <v>895</v>
      </c>
      <c r="I219" s="103" t="s">
        <v>992</v>
      </c>
      <c r="J219" s="103" t="s">
        <v>993</v>
      </c>
      <c r="K219" s="10"/>
      <c r="L219" s="23" t="s">
        <v>248</v>
      </c>
      <c r="M219" s="103" t="s">
        <v>882</v>
      </c>
      <c r="N219" s="90">
        <v>25000</v>
      </c>
      <c r="O219" s="10"/>
      <c r="P219" s="103">
        <v>15</v>
      </c>
      <c r="Q219" s="90">
        <v>15000</v>
      </c>
      <c r="R219" s="10"/>
      <c r="S219" s="103" t="s">
        <v>0</v>
      </c>
      <c r="T219" s="10"/>
      <c r="U219" s="103" t="s">
        <v>837</v>
      </c>
      <c r="V219" s="103" t="s">
        <v>1147</v>
      </c>
      <c r="W219" s="10"/>
    </row>
    <row r="220" spans="1:23" ht="13">
      <c r="A220" s="10" t="s">
        <v>1391</v>
      </c>
      <c r="B220" s="10" t="s">
        <v>1392</v>
      </c>
      <c r="C220" s="10" t="s">
        <v>1393</v>
      </c>
      <c r="D220" s="10" t="s">
        <v>1398</v>
      </c>
      <c r="E220" s="10"/>
      <c r="F220" s="10"/>
      <c r="G220" s="10"/>
      <c r="H220" s="103" t="s">
        <v>895</v>
      </c>
      <c r="I220" s="103" t="s">
        <v>992</v>
      </c>
      <c r="J220" s="103" t="s">
        <v>993</v>
      </c>
      <c r="K220" s="10"/>
      <c r="L220" s="23" t="s">
        <v>248</v>
      </c>
      <c r="M220" s="103" t="s">
        <v>882</v>
      </c>
      <c r="N220" s="90">
        <v>25000</v>
      </c>
      <c r="O220" s="10"/>
      <c r="P220" s="103">
        <v>15</v>
      </c>
      <c r="Q220" s="90">
        <v>15000</v>
      </c>
      <c r="R220" s="10"/>
      <c r="S220" s="103" t="s">
        <v>0</v>
      </c>
      <c r="T220" s="10"/>
      <c r="U220" s="103" t="s">
        <v>837</v>
      </c>
      <c r="V220" s="103" t="s">
        <v>1147</v>
      </c>
      <c r="W220" s="10"/>
    </row>
    <row r="221" spans="1:23" ht="13">
      <c r="A221" s="10" t="s">
        <v>1391</v>
      </c>
      <c r="B221" s="10" t="s">
        <v>1392</v>
      </c>
      <c r="C221" s="10" t="s">
        <v>1393</v>
      </c>
      <c r="D221" s="10" t="s">
        <v>1399</v>
      </c>
      <c r="E221" s="10"/>
      <c r="F221" s="10"/>
      <c r="G221" s="10"/>
      <c r="H221" s="103" t="s">
        <v>895</v>
      </c>
      <c r="I221" s="103" t="s">
        <v>992</v>
      </c>
      <c r="J221" s="103" t="s">
        <v>993</v>
      </c>
      <c r="K221" s="10"/>
      <c r="L221" s="23" t="s">
        <v>248</v>
      </c>
      <c r="M221" s="103" t="s">
        <v>315</v>
      </c>
      <c r="N221" s="90">
        <v>25000</v>
      </c>
      <c r="O221" s="10"/>
      <c r="P221" s="103">
        <v>15</v>
      </c>
      <c r="Q221" s="90">
        <v>20000</v>
      </c>
      <c r="R221" s="10"/>
      <c r="S221" s="103" t="s">
        <v>0</v>
      </c>
      <c r="T221" s="10"/>
      <c r="U221" s="103" t="s">
        <v>837</v>
      </c>
      <c r="V221" s="103" t="s">
        <v>1147</v>
      </c>
      <c r="W221" s="10"/>
    </row>
    <row r="222" spans="1:23" ht="13">
      <c r="A222" s="10" t="s">
        <v>1391</v>
      </c>
      <c r="B222" s="10" t="s">
        <v>1392</v>
      </c>
      <c r="C222" s="10" t="s">
        <v>1393</v>
      </c>
      <c r="D222" s="10" t="s">
        <v>870</v>
      </c>
      <c r="E222" s="10"/>
      <c r="F222" s="10"/>
      <c r="G222" s="10"/>
      <c r="H222" s="103" t="s">
        <v>895</v>
      </c>
      <c r="I222" s="103" t="s">
        <v>992</v>
      </c>
      <c r="J222" s="103" t="s">
        <v>993</v>
      </c>
      <c r="K222" s="10"/>
      <c r="L222" s="23" t="s">
        <v>248</v>
      </c>
      <c r="M222" s="103" t="s">
        <v>315</v>
      </c>
      <c r="N222" s="90">
        <v>25000</v>
      </c>
      <c r="O222" s="10"/>
      <c r="P222" s="103">
        <v>15</v>
      </c>
      <c r="Q222" s="90">
        <v>20000</v>
      </c>
      <c r="R222" s="10"/>
      <c r="S222" s="103" t="s">
        <v>0</v>
      </c>
      <c r="T222" s="10"/>
      <c r="U222" s="103" t="s">
        <v>837</v>
      </c>
      <c r="V222" s="103" t="s">
        <v>1147</v>
      </c>
      <c r="W222" s="10"/>
    </row>
    <row r="223" spans="1:23" ht="13">
      <c r="A223" s="10" t="s">
        <v>1391</v>
      </c>
      <c r="B223" s="10" t="s">
        <v>1392</v>
      </c>
      <c r="C223" s="10" t="s">
        <v>1393</v>
      </c>
      <c r="D223" s="10" t="s">
        <v>1402</v>
      </c>
      <c r="E223" s="10"/>
      <c r="F223" s="10"/>
      <c r="G223" s="10"/>
      <c r="H223" s="103" t="s">
        <v>895</v>
      </c>
      <c r="I223" s="103" t="s">
        <v>992</v>
      </c>
      <c r="J223" s="103" t="s">
        <v>993</v>
      </c>
      <c r="K223" s="10"/>
      <c r="L223" s="23" t="s">
        <v>248</v>
      </c>
      <c r="M223" s="103" t="s">
        <v>882</v>
      </c>
      <c r="N223" s="90">
        <v>25000</v>
      </c>
      <c r="O223" s="10"/>
      <c r="P223" s="103">
        <v>15</v>
      </c>
      <c r="Q223" s="90">
        <v>15000</v>
      </c>
      <c r="R223" s="10"/>
      <c r="S223" s="103" t="s">
        <v>0</v>
      </c>
      <c r="T223" s="10"/>
      <c r="U223" s="103" t="s">
        <v>837</v>
      </c>
      <c r="V223" s="103" t="s">
        <v>1147</v>
      </c>
      <c r="W223" s="10"/>
    </row>
    <row r="224" spans="1:23" ht="13">
      <c r="A224" s="10" t="s">
        <v>1391</v>
      </c>
      <c r="B224" s="10" t="s">
        <v>1392</v>
      </c>
      <c r="C224" s="10" t="s">
        <v>1393</v>
      </c>
      <c r="D224" s="10" t="s">
        <v>871</v>
      </c>
      <c r="E224" s="10"/>
      <c r="F224" s="10"/>
      <c r="G224" s="10"/>
      <c r="H224" s="103" t="s">
        <v>895</v>
      </c>
      <c r="I224" s="103" t="s">
        <v>992</v>
      </c>
      <c r="J224" s="103" t="s">
        <v>993</v>
      </c>
      <c r="K224" s="10"/>
      <c r="L224" s="23" t="s">
        <v>248</v>
      </c>
      <c r="M224" s="103" t="s">
        <v>882</v>
      </c>
      <c r="N224" s="90">
        <v>25000</v>
      </c>
      <c r="O224" s="10"/>
      <c r="P224" s="103">
        <v>15</v>
      </c>
      <c r="Q224" s="90">
        <v>15000</v>
      </c>
      <c r="R224" s="10"/>
      <c r="S224" s="103" t="s">
        <v>0</v>
      </c>
      <c r="T224" s="10"/>
      <c r="U224" s="103" t="s">
        <v>837</v>
      </c>
      <c r="V224" s="103" t="s">
        <v>1147</v>
      </c>
      <c r="W224" s="10"/>
    </row>
    <row r="225" spans="1:23" ht="13">
      <c r="A225" s="10" t="s">
        <v>1391</v>
      </c>
      <c r="B225" s="10" t="s">
        <v>1392</v>
      </c>
      <c r="C225" s="10" t="s">
        <v>1393</v>
      </c>
      <c r="D225" s="10" t="s">
        <v>1404</v>
      </c>
      <c r="E225" s="10"/>
      <c r="F225" s="10"/>
      <c r="G225" s="10"/>
      <c r="H225" s="103" t="s">
        <v>895</v>
      </c>
      <c r="I225" s="103" t="s">
        <v>992</v>
      </c>
      <c r="J225" s="103" t="s">
        <v>993</v>
      </c>
      <c r="K225" s="10"/>
      <c r="L225" s="23" t="s">
        <v>248</v>
      </c>
      <c r="M225" s="103" t="s">
        <v>882</v>
      </c>
      <c r="N225" s="90">
        <v>25000</v>
      </c>
      <c r="O225" s="10"/>
      <c r="P225" s="103">
        <v>15</v>
      </c>
      <c r="Q225" s="90">
        <v>15000</v>
      </c>
      <c r="R225" s="10"/>
      <c r="S225" s="103" t="s">
        <v>0</v>
      </c>
      <c r="T225" s="10"/>
      <c r="U225" s="103" t="s">
        <v>837</v>
      </c>
      <c r="V225" s="103" t="s">
        <v>1147</v>
      </c>
      <c r="W225" s="10"/>
    </row>
    <row r="226" spans="1:23" ht="13">
      <c r="A226" s="10" t="s">
        <v>1391</v>
      </c>
      <c r="B226" s="10" t="s">
        <v>1392</v>
      </c>
      <c r="C226" s="10" t="s">
        <v>1393</v>
      </c>
      <c r="D226" s="10" t="s">
        <v>1409</v>
      </c>
      <c r="E226" s="10"/>
      <c r="F226" s="10"/>
      <c r="G226" s="10"/>
      <c r="H226" s="103" t="s">
        <v>895</v>
      </c>
      <c r="I226" s="103" t="s">
        <v>992</v>
      </c>
      <c r="J226" s="103" t="s">
        <v>993</v>
      </c>
      <c r="K226" s="10"/>
      <c r="L226" s="23" t="s">
        <v>248</v>
      </c>
      <c r="M226" s="103" t="s">
        <v>882</v>
      </c>
      <c r="N226" s="90">
        <v>25000</v>
      </c>
      <c r="O226" s="10"/>
      <c r="P226" s="103">
        <v>15</v>
      </c>
      <c r="Q226" s="90">
        <v>15000</v>
      </c>
      <c r="R226" s="10"/>
      <c r="S226" s="103" t="s">
        <v>0</v>
      </c>
      <c r="T226" s="10"/>
      <c r="U226" s="103" t="s">
        <v>837</v>
      </c>
      <c r="V226" s="103" t="s">
        <v>1147</v>
      </c>
      <c r="W226" s="10"/>
    </row>
    <row r="227" spans="1:23" ht="13">
      <c r="A227" s="10" t="s">
        <v>1391</v>
      </c>
      <c r="B227" s="10" t="s">
        <v>1392</v>
      </c>
      <c r="C227" s="10" t="s">
        <v>1393</v>
      </c>
      <c r="D227" s="10" t="s">
        <v>1410</v>
      </c>
      <c r="E227" s="10"/>
      <c r="F227" s="10"/>
      <c r="G227" s="10"/>
      <c r="H227" s="103" t="s">
        <v>895</v>
      </c>
      <c r="I227" s="103" t="s">
        <v>992</v>
      </c>
      <c r="J227" s="103" t="s">
        <v>993</v>
      </c>
      <c r="K227" s="10"/>
      <c r="L227" s="23" t="s">
        <v>248</v>
      </c>
      <c r="M227" s="103" t="s">
        <v>882</v>
      </c>
      <c r="N227" s="90">
        <v>25000</v>
      </c>
      <c r="O227" s="10"/>
      <c r="P227" s="103">
        <v>15</v>
      </c>
      <c r="Q227" s="90">
        <v>15000</v>
      </c>
      <c r="R227" s="10"/>
      <c r="S227" s="103" t="s">
        <v>0</v>
      </c>
      <c r="T227" s="10"/>
      <c r="U227" s="103" t="s">
        <v>837</v>
      </c>
      <c r="V227" s="103" t="s">
        <v>1147</v>
      </c>
      <c r="W227" s="10"/>
    </row>
    <row r="228" spans="1:23" ht="13">
      <c r="A228" s="10" t="s">
        <v>1391</v>
      </c>
      <c r="B228" s="10" t="s">
        <v>1392</v>
      </c>
      <c r="C228" s="10" t="s">
        <v>1393</v>
      </c>
      <c r="D228" s="10" t="s">
        <v>1411</v>
      </c>
      <c r="E228" s="10"/>
      <c r="F228" s="10"/>
      <c r="G228" s="10"/>
      <c r="H228" s="103" t="s">
        <v>895</v>
      </c>
      <c r="I228" s="103" t="s">
        <v>992</v>
      </c>
      <c r="J228" s="103" t="s">
        <v>993</v>
      </c>
      <c r="K228" s="10"/>
      <c r="L228" s="23" t="s">
        <v>248</v>
      </c>
      <c r="M228" s="103" t="s">
        <v>315</v>
      </c>
      <c r="N228" s="90">
        <v>25000</v>
      </c>
      <c r="O228" s="10"/>
      <c r="P228" s="103">
        <v>15</v>
      </c>
      <c r="Q228" s="90">
        <v>20000</v>
      </c>
      <c r="R228" s="10"/>
      <c r="S228" s="103" t="s">
        <v>0</v>
      </c>
      <c r="T228" s="10"/>
      <c r="U228" s="103" t="s">
        <v>837</v>
      </c>
      <c r="V228" s="103" t="s">
        <v>1147</v>
      </c>
      <c r="W228" s="10"/>
    </row>
    <row r="229" spans="1:23" ht="13">
      <c r="A229" s="10" t="s">
        <v>1391</v>
      </c>
      <c r="B229" s="10" t="s">
        <v>1392</v>
      </c>
      <c r="C229" s="10" t="s">
        <v>1393</v>
      </c>
      <c r="D229" s="10" t="s">
        <v>1415</v>
      </c>
      <c r="E229" s="10"/>
      <c r="F229" s="10"/>
      <c r="G229" s="10"/>
      <c r="H229" s="103" t="s">
        <v>895</v>
      </c>
      <c r="I229" s="103" t="s">
        <v>992</v>
      </c>
      <c r="J229" s="103" t="s">
        <v>993</v>
      </c>
      <c r="K229" s="10"/>
      <c r="L229" s="23" t="s">
        <v>248</v>
      </c>
      <c r="M229" s="103" t="s">
        <v>882</v>
      </c>
      <c r="N229" s="90">
        <v>25000</v>
      </c>
      <c r="O229" s="10"/>
      <c r="P229" s="103">
        <v>15</v>
      </c>
      <c r="Q229" s="90">
        <v>15000</v>
      </c>
      <c r="R229" s="10"/>
      <c r="S229" s="103" t="s">
        <v>0</v>
      </c>
      <c r="T229" s="10"/>
      <c r="U229" s="103" t="s">
        <v>837</v>
      </c>
      <c r="V229" s="103" t="s">
        <v>1147</v>
      </c>
      <c r="W229" s="10"/>
    </row>
    <row r="230" spans="1:23" ht="13">
      <c r="A230" s="10" t="s">
        <v>1391</v>
      </c>
      <c r="B230" s="10" t="s">
        <v>1392</v>
      </c>
      <c r="C230" s="10" t="s">
        <v>1393</v>
      </c>
      <c r="D230" s="10" t="s">
        <v>1416</v>
      </c>
      <c r="E230" s="10"/>
      <c r="F230" s="10"/>
      <c r="G230" s="10"/>
      <c r="H230" s="103" t="s">
        <v>895</v>
      </c>
      <c r="I230" s="103" t="s">
        <v>992</v>
      </c>
      <c r="J230" s="103" t="s">
        <v>993</v>
      </c>
      <c r="K230" s="10"/>
      <c r="L230" s="23" t="s">
        <v>248</v>
      </c>
      <c r="M230" s="103" t="s">
        <v>882</v>
      </c>
      <c r="N230" s="90">
        <v>25000</v>
      </c>
      <c r="O230" s="10"/>
      <c r="P230" s="103">
        <v>15</v>
      </c>
      <c r="Q230" s="90">
        <v>15000</v>
      </c>
      <c r="R230" s="10"/>
      <c r="S230" s="103" t="s">
        <v>0</v>
      </c>
      <c r="T230" s="10"/>
      <c r="U230" s="103" t="s">
        <v>837</v>
      </c>
      <c r="V230" s="103" t="s">
        <v>1147</v>
      </c>
      <c r="W230" s="10"/>
    </row>
    <row r="231" spans="1:23" ht="13">
      <c r="A231" s="10" t="s">
        <v>1391</v>
      </c>
      <c r="B231" s="10" t="s">
        <v>1392</v>
      </c>
      <c r="C231" s="10" t="s">
        <v>1393</v>
      </c>
      <c r="D231" s="10" t="s">
        <v>1420</v>
      </c>
      <c r="E231" s="10"/>
      <c r="F231" s="10"/>
      <c r="G231" s="10"/>
      <c r="H231" s="103" t="s">
        <v>895</v>
      </c>
      <c r="I231" s="103" t="s">
        <v>992</v>
      </c>
      <c r="J231" s="103" t="s">
        <v>993</v>
      </c>
      <c r="K231" s="10"/>
      <c r="L231" s="23" t="s">
        <v>248</v>
      </c>
      <c r="M231" s="103" t="s">
        <v>882</v>
      </c>
      <c r="N231" s="90">
        <v>10000</v>
      </c>
      <c r="O231" s="10"/>
      <c r="P231" s="103">
        <v>15</v>
      </c>
      <c r="Q231" s="90">
        <v>15000</v>
      </c>
      <c r="R231" s="10"/>
      <c r="S231" s="103" t="s">
        <v>0</v>
      </c>
      <c r="T231" s="10"/>
      <c r="U231" s="103" t="s">
        <v>837</v>
      </c>
      <c r="V231" s="103" t="s">
        <v>1147</v>
      </c>
      <c r="W231" s="10"/>
    </row>
    <row r="232" spans="1:23" ht="13">
      <c r="A232" s="10" t="s">
        <v>1391</v>
      </c>
      <c r="B232" s="10" t="s">
        <v>1392</v>
      </c>
      <c r="C232" s="10" t="s">
        <v>1393</v>
      </c>
      <c r="D232" s="10" t="s">
        <v>1421</v>
      </c>
      <c r="E232" s="10"/>
      <c r="F232" s="10"/>
      <c r="G232" s="10"/>
      <c r="H232" s="103" t="s">
        <v>895</v>
      </c>
      <c r="I232" s="103" t="s">
        <v>992</v>
      </c>
      <c r="J232" s="103" t="s">
        <v>993</v>
      </c>
      <c r="K232" s="10"/>
      <c r="L232" s="23" t="s">
        <v>248</v>
      </c>
      <c r="M232" s="103" t="s">
        <v>882</v>
      </c>
      <c r="N232" s="90">
        <v>10000</v>
      </c>
      <c r="O232" s="10"/>
      <c r="P232" s="103">
        <v>15</v>
      </c>
      <c r="Q232" s="90">
        <v>15000</v>
      </c>
      <c r="R232" s="10"/>
      <c r="S232" s="103" t="s">
        <v>0</v>
      </c>
      <c r="T232" s="10"/>
      <c r="U232" s="103" t="s">
        <v>837</v>
      </c>
      <c r="V232" s="103" t="s">
        <v>1147</v>
      </c>
      <c r="W232" s="10"/>
    </row>
    <row r="233" spans="1:23" ht="13">
      <c r="A233" s="10" t="s">
        <v>1391</v>
      </c>
      <c r="B233" s="10" t="s">
        <v>1392</v>
      </c>
      <c r="C233" s="10" t="s">
        <v>1393</v>
      </c>
      <c r="D233" s="10" t="s">
        <v>229</v>
      </c>
      <c r="E233" s="10"/>
      <c r="F233" s="10"/>
      <c r="G233" s="10"/>
      <c r="H233" s="103" t="s">
        <v>895</v>
      </c>
      <c r="I233" s="103" t="s">
        <v>992</v>
      </c>
      <c r="J233" s="103" t="s">
        <v>993</v>
      </c>
      <c r="K233" s="10"/>
      <c r="L233" s="23" t="s">
        <v>248</v>
      </c>
      <c r="M233" s="103" t="s">
        <v>882</v>
      </c>
      <c r="N233" s="90">
        <v>10000</v>
      </c>
      <c r="O233" s="10"/>
      <c r="P233" s="103">
        <v>15</v>
      </c>
      <c r="Q233" s="90">
        <v>15000</v>
      </c>
      <c r="R233" s="10"/>
      <c r="S233" s="103" t="s">
        <v>0</v>
      </c>
      <c r="T233" s="10"/>
      <c r="U233" s="103" t="s">
        <v>837</v>
      </c>
      <c r="V233" s="103" t="s">
        <v>1147</v>
      </c>
      <c r="W233" s="10"/>
    </row>
    <row r="234" spans="1:23" ht="13">
      <c r="A234" s="10" t="s">
        <v>1391</v>
      </c>
      <c r="B234" s="10" t="s">
        <v>1392</v>
      </c>
      <c r="C234" s="10" t="s">
        <v>1393</v>
      </c>
      <c r="D234" s="10" t="s">
        <v>78</v>
      </c>
      <c r="E234" s="10"/>
      <c r="F234" s="10"/>
      <c r="G234" s="10"/>
      <c r="H234" s="103" t="s">
        <v>895</v>
      </c>
      <c r="I234" s="103" t="s">
        <v>992</v>
      </c>
      <c r="J234" s="103" t="s">
        <v>993</v>
      </c>
      <c r="K234" s="10"/>
      <c r="L234" s="23" t="s">
        <v>248</v>
      </c>
      <c r="M234" s="103" t="s">
        <v>882</v>
      </c>
      <c r="N234" s="90">
        <v>10000</v>
      </c>
      <c r="O234" s="10"/>
      <c r="P234" s="103">
        <v>15</v>
      </c>
      <c r="Q234" s="90">
        <v>15000</v>
      </c>
      <c r="R234" s="10"/>
      <c r="S234" s="103" t="s">
        <v>0</v>
      </c>
      <c r="T234" s="10"/>
      <c r="U234" s="103" t="s">
        <v>837</v>
      </c>
      <c r="V234" s="103" t="s">
        <v>1147</v>
      </c>
      <c r="W234" s="10"/>
    </row>
    <row r="235" spans="1:23" ht="13">
      <c r="A235" s="10" t="s">
        <v>1391</v>
      </c>
      <c r="B235" s="10" t="s">
        <v>1392</v>
      </c>
      <c r="C235" s="10" t="s">
        <v>1393</v>
      </c>
      <c r="D235" s="10" t="s">
        <v>1428</v>
      </c>
      <c r="E235" s="10"/>
      <c r="F235" s="10"/>
      <c r="G235" s="10"/>
      <c r="H235" s="103" t="s">
        <v>895</v>
      </c>
      <c r="I235" s="103" t="s">
        <v>992</v>
      </c>
      <c r="J235" s="103" t="s">
        <v>993</v>
      </c>
      <c r="K235" s="10"/>
      <c r="L235" s="23" t="s">
        <v>248</v>
      </c>
      <c r="M235" s="103" t="s">
        <v>315</v>
      </c>
      <c r="N235" s="90">
        <v>15000</v>
      </c>
      <c r="O235" s="10"/>
      <c r="P235" s="103">
        <v>15</v>
      </c>
      <c r="Q235" s="90">
        <v>20000</v>
      </c>
      <c r="R235" s="10"/>
      <c r="S235" s="103" t="s">
        <v>0</v>
      </c>
      <c r="T235" s="10"/>
      <c r="U235" s="103" t="s">
        <v>837</v>
      </c>
      <c r="V235" s="103" t="s">
        <v>1147</v>
      </c>
      <c r="W235" s="10"/>
    </row>
    <row r="236" spans="1:23" ht="13">
      <c r="A236" s="10" t="s">
        <v>1391</v>
      </c>
      <c r="B236" s="10" t="s">
        <v>1392</v>
      </c>
      <c r="C236" s="10" t="s">
        <v>1393</v>
      </c>
      <c r="D236" s="10" t="s">
        <v>1430</v>
      </c>
      <c r="E236" s="10"/>
      <c r="F236" s="10"/>
      <c r="G236" s="10"/>
      <c r="H236" s="103" t="s">
        <v>895</v>
      </c>
      <c r="I236" s="103" t="s">
        <v>992</v>
      </c>
      <c r="J236" s="103" t="s">
        <v>993</v>
      </c>
      <c r="K236" s="10"/>
      <c r="L236" s="23" t="s">
        <v>248</v>
      </c>
      <c r="M236" s="103" t="s">
        <v>882</v>
      </c>
      <c r="N236" s="90">
        <v>10000</v>
      </c>
      <c r="O236" s="10"/>
      <c r="P236" s="103">
        <v>15</v>
      </c>
      <c r="Q236" s="90">
        <v>15000</v>
      </c>
      <c r="R236" s="10"/>
      <c r="S236" s="103" t="s">
        <v>0</v>
      </c>
      <c r="T236" s="10"/>
      <c r="U236" s="103" t="s">
        <v>837</v>
      </c>
      <c r="V236" s="103" t="s">
        <v>1147</v>
      </c>
      <c r="W236" s="10"/>
    </row>
    <row r="237" spans="1:23" ht="13">
      <c r="A237" s="10" t="s">
        <v>1391</v>
      </c>
      <c r="B237" s="10" t="s">
        <v>1392</v>
      </c>
      <c r="C237" s="10" t="s">
        <v>1393</v>
      </c>
      <c r="D237" s="10" t="s">
        <v>1432</v>
      </c>
      <c r="E237" s="10"/>
      <c r="F237" s="10"/>
      <c r="G237" s="10"/>
      <c r="H237" s="103" t="s">
        <v>895</v>
      </c>
      <c r="I237" s="103" t="s">
        <v>992</v>
      </c>
      <c r="J237" s="103" t="s">
        <v>993</v>
      </c>
      <c r="K237" s="10"/>
      <c r="L237" s="23" t="s">
        <v>248</v>
      </c>
      <c r="M237" s="103" t="s">
        <v>882</v>
      </c>
      <c r="N237" s="90">
        <v>10000</v>
      </c>
      <c r="O237" s="10"/>
      <c r="P237" s="103">
        <v>15</v>
      </c>
      <c r="Q237" s="90">
        <v>15000</v>
      </c>
      <c r="R237" s="10"/>
      <c r="S237" s="103" t="s">
        <v>0</v>
      </c>
      <c r="T237" s="10"/>
      <c r="U237" s="103" t="s">
        <v>837</v>
      </c>
      <c r="V237" s="103" t="s">
        <v>1147</v>
      </c>
      <c r="W237" s="10"/>
    </row>
    <row r="238" spans="1:23" ht="13">
      <c r="A238" s="10" t="s">
        <v>1391</v>
      </c>
      <c r="B238" s="10" t="s">
        <v>1392</v>
      </c>
      <c r="C238" s="10" t="s">
        <v>1393</v>
      </c>
      <c r="D238" s="10" t="s">
        <v>1435</v>
      </c>
      <c r="E238" s="10"/>
      <c r="F238" s="10"/>
      <c r="G238" s="10"/>
      <c r="H238" s="103" t="s">
        <v>895</v>
      </c>
      <c r="I238" s="103" t="s">
        <v>992</v>
      </c>
      <c r="J238" s="103" t="s">
        <v>993</v>
      </c>
      <c r="K238" s="10"/>
      <c r="L238" s="23" t="s">
        <v>248</v>
      </c>
      <c r="M238" s="103" t="s">
        <v>882</v>
      </c>
      <c r="N238" s="90">
        <v>10000</v>
      </c>
      <c r="O238" s="10"/>
      <c r="P238" s="103">
        <v>15</v>
      </c>
      <c r="Q238" s="90">
        <v>15000</v>
      </c>
      <c r="R238" s="10"/>
      <c r="S238" s="103" t="s">
        <v>0</v>
      </c>
      <c r="T238" s="10"/>
      <c r="U238" s="103" t="s">
        <v>837</v>
      </c>
      <c r="V238" s="103" t="s">
        <v>1147</v>
      </c>
      <c r="W238" s="10"/>
    </row>
    <row r="239" spans="1:23" ht="1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</row>
    <row r="240" spans="1:23" ht="13">
      <c r="A240" s="10" t="s">
        <v>1438</v>
      </c>
      <c r="B240" s="10" t="s">
        <v>1439</v>
      </c>
      <c r="C240" s="10"/>
      <c r="D240" s="10" t="s">
        <v>1441</v>
      </c>
      <c r="E240" s="10" t="s">
        <v>1443</v>
      </c>
      <c r="F240" s="10"/>
      <c r="G240" s="10"/>
      <c r="H240" s="103" t="s">
        <v>897</v>
      </c>
      <c r="I240" s="103" t="s">
        <v>992</v>
      </c>
      <c r="J240" s="103" t="s">
        <v>1000</v>
      </c>
      <c r="K240" s="10"/>
      <c r="L240" s="23" t="s">
        <v>248</v>
      </c>
      <c r="M240" s="103" t="s">
        <v>1445</v>
      </c>
      <c r="N240" s="90">
        <v>10000</v>
      </c>
      <c r="O240" s="10"/>
      <c r="P240" s="90">
        <v>15</v>
      </c>
      <c r="Q240" s="10"/>
      <c r="R240" s="10"/>
      <c r="S240" s="103" t="s">
        <v>0</v>
      </c>
      <c r="T240" s="10"/>
      <c r="U240" s="103" t="s">
        <v>1172</v>
      </c>
      <c r="V240" s="103" t="s">
        <v>1109</v>
      </c>
      <c r="W240" s="10"/>
    </row>
    <row r="241" spans="1:23" ht="1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</row>
    <row r="242" spans="1:23" ht="13">
      <c r="A242" s="10" t="s">
        <v>1447</v>
      </c>
      <c r="B242" s="10" t="s">
        <v>1439</v>
      </c>
      <c r="C242" s="10"/>
      <c r="D242" s="10" t="s">
        <v>1441</v>
      </c>
      <c r="E242" s="10" t="s">
        <v>1443</v>
      </c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</row>
    <row r="243" spans="1:23" ht="1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</row>
    <row r="244" spans="1:23" ht="13">
      <c r="A244" s="10" t="s">
        <v>1450</v>
      </c>
      <c r="B244" s="10" t="s">
        <v>1451</v>
      </c>
      <c r="C244" s="10" t="s">
        <v>1452</v>
      </c>
      <c r="D244" s="10" t="s">
        <v>1453</v>
      </c>
      <c r="E244" s="10"/>
      <c r="F244" s="10"/>
      <c r="G244" s="10"/>
      <c r="H244" s="103" t="s">
        <v>891</v>
      </c>
      <c r="I244" s="103" t="s">
        <v>992</v>
      </c>
      <c r="J244" s="103" t="s">
        <v>1056</v>
      </c>
      <c r="K244" s="10"/>
      <c r="L244" s="23" t="s">
        <v>1035</v>
      </c>
      <c r="M244" s="103" t="s">
        <v>889</v>
      </c>
      <c r="N244" s="90">
        <v>45000</v>
      </c>
      <c r="O244" s="10"/>
      <c r="P244" s="103">
        <v>15</v>
      </c>
      <c r="Q244" s="10"/>
      <c r="R244" s="103" t="s">
        <v>1058</v>
      </c>
      <c r="S244" s="103" t="s">
        <v>1037</v>
      </c>
      <c r="T244" s="10"/>
      <c r="U244" s="103" t="s">
        <v>710</v>
      </c>
      <c r="V244" s="103" t="s">
        <v>1109</v>
      </c>
      <c r="W244" s="10"/>
    </row>
    <row r="245" spans="1:23" ht="1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</row>
    <row r="246" spans="1:23" ht="13">
      <c r="A246" s="10" t="s">
        <v>1456</v>
      </c>
      <c r="B246" s="10"/>
      <c r="C246" s="10"/>
      <c r="D246" s="10" t="s">
        <v>1457</v>
      </c>
      <c r="E246" s="10" t="s">
        <v>1443</v>
      </c>
      <c r="F246" s="10"/>
      <c r="G246" s="10"/>
      <c r="H246" s="103" t="s">
        <v>897</v>
      </c>
      <c r="I246" s="103" t="s">
        <v>992</v>
      </c>
      <c r="J246" s="103" t="s">
        <v>1000</v>
      </c>
      <c r="K246" s="10"/>
      <c r="L246" s="23" t="s">
        <v>248</v>
      </c>
      <c r="M246" s="103" t="s">
        <v>882</v>
      </c>
      <c r="N246" s="90">
        <v>19000</v>
      </c>
      <c r="O246" s="10"/>
      <c r="P246" s="103">
        <v>15</v>
      </c>
      <c r="Q246" s="10"/>
      <c r="R246" s="10"/>
      <c r="S246" s="103" t="s">
        <v>0</v>
      </c>
      <c r="T246" s="10"/>
      <c r="U246" s="103" t="s">
        <v>1172</v>
      </c>
      <c r="V246" s="103" t="s">
        <v>1109</v>
      </c>
      <c r="W246" s="10"/>
    </row>
    <row r="247" spans="1:23" ht="1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</row>
    <row r="248" spans="1:23" ht="13">
      <c r="A248" s="10" t="s">
        <v>1460</v>
      </c>
      <c r="B248" s="10"/>
      <c r="C248" s="10"/>
      <c r="D248" s="10" t="s">
        <v>1461</v>
      </c>
      <c r="E248" s="10" t="s">
        <v>1463</v>
      </c>
      <c r="F248" s="10"/>
      <c r="G248" s="10"/>
      <c r="H248" s="103" t="s">
        <v>897</v>
      </c>
      <c r="I248" s="103" t="s">
        <v>992</v>
      </c>
      <c r="J248" s="103" t="s">
        <v>1000</v>
      </c>
      <c r="K248" s="10"/>
      <c r="L248" s="23" t="s">
        <v>248</v>
      </c>
      <c r="M248" s="103" t="s">
        <v>882</v>
      </c>
      <c r="N248" s="90">
        <v>12500</v>
      </c>
      <c r="O248" s="10"/>
      <c r="P248" s="103">
        <v>15</v>
      </c>
      <c r="Q248" s="90">
        <v>25000</v>
      </c>
      <c r="R248" s="10"/>
      <c r="S248" s="103" t="s">
        <v>0</v>
      </c>
      <c r="T248" s="10"/>
      <c r="U248" s="103" t="s">
        <v>1001</v>
      </c>
      <c r="V248" s="103" t="s">
        <v>1109</v>
      </c>
      <c r="W248" s="10"/>
    </row>
    <row r="249" spans="1:23" ht="1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</row>
    <row r="250" spans="1:23" ht="13">
      <c r="A250" s="10" t="s">
        <v>1467</v>
      </c>
      <c r="B250" s="10" t="s">
        <v>1468</v>
      </c>
      <c r="C250" s="10" t="s">
        <v>1469</v>
      </c>
      <c r="D250" s="10" t="s">
        <v>1470</v>
      </c>
      <c r="E250" s="10" t="s">
        <v>1471</v>
      </c>
      <c r="F250" s="10"/>
      <c r="G250" s="10"/>
      <c r="H250" s="103" t="s">
        <v>897</v>
      </c>
      <c r="I250" s="103" t="s">
        <v>992</v>
      </c>
      <c r="J250" s="103" t="s">
        <v>1000</v>
      </c>
      <c r="K250" s="103"/>
      <c r="L250" s="23" t="s">
        <v>248</v>
      </c>
      <c r="M250" s="103" t="s">
        <v>315</v>
      </c>
      <c r="N250" s="90">
        <v>18000</v>
      </c>
      <c r="O250" s="10"/>
      <c r="P250" s="103">
        <v>25</v>
      </c>
      <c r="Q250" s="10"/>
      <c r="R250" s="10"/>
      <c r="S250" s="103" t="s">
        <v>0</v>
      </c>
      <c r="T250" s="10"/>
      <c r="U250" s="103" t="s">
        <v>1172</v>
      </c>
      <c r="V250" s="103" t="s">
        <v>1008</v>
      </c>
      <c r="W250" s="10"/>
    </row>
    <row r="251" spans="1:23" ht="1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</row>
    <row r="252" spans="1:23" ht="13">
      <c r="A252" s="10" t="s">
        <v>1474</v>
      </c>
      <c r="B252" s="10" t="s">
        <v>649</v>
      </c>
      <c r="C252" s="10" t="s">
        <v>650</v>
      </c>
      <c r="D252" s="10" t="s">
        <v>915</v>
      </c>
      <c r="E252" s="10"/>
      <c r="F252" s="10"/>
      <c r="G252" s="10"/>
      <c r="H252" s="103" t="s">
        <v>895</v>
      </c>
      <c r="I252" s="103" t="s">
        <v>992</v>
      </c>
      <c r="J252" s="103" t="s">
        <v>993</v>
      </c>
      <c r="K252" s="10"/>
      <c r="L252" s="23" t="s">
        <v>248</v>
      </c>
      <c r="M252" s="103" t="s">
        <v>315</v>
      </c>
      <c r="N252" s="90">
        <v>13000</v>
      </c>
      <c r="O252" s="10"/>
      <c r="P252" s="103">
        <v>15</v>
      </c>
      <c r="Q252" s="90">
        <v>24000</v>
      </c>
      <c r="R252" s="10"/>
      <c r="S252" s="103" t="s">
        <v>0</v>
      </c>
      <c r="T252" s="10"/>
      <c r="U252" s="103" t="s">
        <v>710</v>
      </c>
      <c r="V252" s="103" t="s">
        <v>1257</v>
      </c>
      <c r="W252" s="10"/>
    </row>
    <row r="253" spans="1:23" ht="1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</row>
    <row r="254" spans="1:23" ht="13">
      <c r="A254" s="10" t="s">
        <v>1476</v>
      </c>
      <c r="B254" s="10"/>
      <c r="C254" s="10"/>
      <c r="D254" s="10" t="s">
        <v>1457</v>
      </c>
      <c r="E254" s="10" t="s">
        <v>1443</v>
      </c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</row>
    <row r="255" spans="1:23" ht="1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</row>
    <row r="256" spans="1:23" ht="13">
      <c r="A256" s="10" t="s">
        <v>1477</v>
      </c>
      <c r="B256" s="10" t="s">
        <v>1478</v>
      </c>
      <c r="C256" s="10" t="s">
        <v>1397</v>
      </c>
      <c r="D256" s="10" t="s">
        <v>922</v>
      </c>
      <c r="E256" s="10"/>
      <c r="F256" s="10"/>
      <c r="G256" s="10"/>
      <c r="H256" s="103" t="s">
        <v>891</v>
      </c>
      <c r="I256" s="103" t="s">
        <v>1152</v>
      </c>
      <c r="J256" s="103" t="s">
        <v>1153</v>
      </c>
      <c r="K256" s="10"/>
      <c r="L256" s="23" t="s">
        <v>248</v>
      </c>
      <c r="M256" s="103" t="s">
        <v>882</v>
      </c>
      <c r="N256" s="10"/>
      <c r="O256" s="90">
        <v>75500000</v>
      </c>
      <c r="P256" s="103">
        <v>25</v>
      </c>
      <c r="Q256" s="10"/>
      <c r="R256" s="103" t="s">
        <v>1058</v>
      </c>
      <c r="S256" s="103" t="s">
        <v>1037</v>
      </c>
      <c r="T256" s="10"/>
      <c r="U256" s="10"/>
      <c r="V256" s="10"/>
      <c r="W256" s="10"/>
    </row>
    <row r="257" spans="1:23" ht="13">
      <c r="A257" s="10" t="s">
        <v>1477</v>
      </c>
      <c r="B257" s="10" t="s">
        <v>1478</v>
      </c>
      <c r="C257" s="10" t="s">
        <v>1397</v>
      </c>
      <c r="D257" s="10" t="s">
        <v>923</v>
      </c>
      <c r="E257" s="10"/>
      <c r="F257" s="10"/>
      <c r="G257" s="10"/>
      <c r="H257" s="103" t="s">
        <v>891</v>
      </c>
      <c r="I257" s="103" t="s">
        <v>1152</v>
      </c>
      <c r="J257" s="103" t="s">
        <v>1153</v>
      </c>
      <c r="K257" s="10"/>
      <c r="L257" s="23" t="s">
        <v>248</v>
      </c>
      <c r="M257" s="103" t="s">
        <v>882</v>
      </c>
      <c r="N257" s="10"/>
      <c r="O257" s="90">
        <v>75500000</v>
      </c>
      <c r="P257" s="103">
        <v>25</v>
      </c>
      <c r="Q257" s="10"/>
      <c r="R257" s="10"/>
      <c r="S257" s="103" t="s">
        <v>1037</v>
      </c>
      <c r="T257" s="10"/>
      <c r="U257" s="10"/>
      <c r="V257" s="10"/>
      <c r="W257" s="10"/>
    </row>
    <row r="258" spans="1:23" ht="1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</row>
    <row r="259" spans="1:23" ht="28">
      <c r="A259" s="10" t="s">
        <v>1481</v>
      </c>
      <c r="B259" s="10" t="s">
        <v>1482</v>
      </c>
      <c r="C259" s="10" t="s">
        <v>1483</v>
      </c>
      <c r="D259" s="10"/>
      <c r="E259" s="10"/>
      <c r="F259" s="10" t="s">
        <v>1483</v>
      </c>
      <c r="G259" s="37" t="s">
        <v>1484</v>
      </c>
      <c r="H259" s="10"/>
      <c r="I259" s="10"/>
      <c r="J259" s="10"/>
      <c r="K259" s="10"/>
      <c r="L259" s="10"/>
      <c r="M259" s="103" t="s">
        <v>1485</v>
      </c>
      <c r="N259" s="10"/>
      <c r="O259" s="10"/>
      <c r="P259" s="10"/>
      <c r="Q259" s="10"/>
      <c r="R259" s="10"/>
      <c r="S259" s="10"/>
      <c r="T259" s="10"/>
      <c r="U259" s="10"/>
      <c r="V259" s="10"/>
      <c r="W259" s="10"/>
    </row>
    <row r="260" spans="1:23" ht="1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</row>
    <row r="261" spans="1:23" ht="13">
      <c r="A261" s="10" t="s">
        <v>1487</v>
      </c>
      <c r="B261" s="10"/>
      <c r="C261" s="10"/>
      <c r="D261" s="10" t="s">
        <v>1489</v>
      </c>
      <c r="E261" s="10" t="s">
        <v>1490</v>
      </c>
      <c r="F261" s="10"/>
      <c r="G261" s="10"/>
      <c r="H261" s="103" t="s">
        <v>895</v>
      </c>
      <c r="I261" s="103" t="s">
        <v>992</v>
      </c>
      <c r="J261" s="103" t="s">
        <v>993</v>
      </c>
      <c r="K261" s="10"/>
      <c r="L261" s="23" t="s">
        <v>1035</v>
      </c>
      <c r="M261" s="103" t="s">
        <v>882</v>
      </c>
      <c r="N261" s="90">
        <v>19000</v>
      </c>
      <c r="O261" s="10"/>
      <c r="P261" s="103">
        <v>15</v>
      </c>
      <c r="Q261" s="10"/>
      <c r="R261" s="103" t="s">
        <v>1058</v>
      </c>
      <c r="S261" s="103" t="s">
        <v>1037</v>
      </c>
      <c r="T261" s="10"/>
      <c r="U261" s="103" t="s">
        <v>819</v>
      </c>
      <c r="V261" s="103" t="s">
        <v>1368</v>
      </c>
      <c r="W261" s="10"/>
    </row>
    <row r="262" spans="1:23" ht="1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</row>
    <row r="263" spans="1:23" ht="13">
      <c r="A263" s="30" t="s">
        <v>1493</v>
      </c>
      <c r="B263" s="30" t="s">
        <v>1053</v>
      </c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</row>
    <row r="264" spans="1:23" ht="1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</row>
    <row r="265" spans="1:23" ht="13">
      <c r="A265" s="10" t="s">
        <v>1496</v>
      </c>
      <c r="B265" s="10" t="s">
        <v>1497</v>
      </c>
      <c r="C265" s="10"/>
      <c r="D265" s="10" t="s">
        <v>1498</v>
      </c>
      <c r="E265" s="10" t="s">
        <v>1499</v>
      </c>
      <c r="F265" s="10"/>
      <c r="G265" s="10"/>
      <c r="H265" s="103" t="s">
        <v>895</v>
      </c>
      <c r="I265" s="103" t="s">
        <v>992</v>
      </c>
      <c r="J265" s="103" t="s">
        <v>993</v>
      </c>
      <c r="K265" s="10"/>
      <c r="L265" s="23" t="s">
        <v>1035</v>
      </c>
      <c r="M265" s="103" t="s">
        <v>1286</v>
      </c>
      <c r="N265" s="90">
        <v>23000</v>
      </c>
      <c r="O265" s="10"/>
      <c r="P265" s="103">
        <v>10</v>
      </c>
      <c r="Q265" s="174" t="s">
        <v>1500</v>
      </c>
      <c r="R265" s="103" t="s">
        <v>1045</v>
      </c>
      <c r="S265" s="103" t="s">
        <v>1037</v>
      </c>
      <c r="T265" s="10"/>
      <c r="U265" s="103" t="s">
        <v>361</v>
      </c>
      <c r="V265" s="103" t="s">
        <v>1269</v>
      </c>
      <c r="W265" s="10"/>
    </row>
    <row r="266" spans="1:23" ht="1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</row>
    <row r="267" spans="1:23" ht="13">
      <c r="A267" s="10" t="s">
        <v>1507</v>
      </c>
      <c r="B267" s="10" t="s">
        <v>898</v>
      </c>
      <c r="C267" s="10" t="s">
        <v>1508</v>
      </c>
      <c r="D267" s="10"/>
      <c r="E267" s="10"/>
      <c r="F267" s="10"/>
      <c r="G267" s="10"/>
      <c r="H267" s="103" t="s">
        <v>895</v>
      </c>
      <c r="I267" s="103" t="s">
        <v>992</v>
      </c>
      <c r="J267" s="103" t="s">
        <v>993</v>
      </c>
      <c r="K267" s="10"/>
      <c r="L267" s="23" t="s">
        <v>1035</v>
      </c>
      <c r="M267" s="103" t="s">
        <v>790</v>
      </c>
      <c r="N267" s="10"/>
      <c r="O267" s="90">
        <v>9000000</v>
      </c>
      <c r="P267" s="103">
        <v>15</v>
      </c>
      <c r="Q267" s="10"/>
      <c r="R267" s="103" t="s">
        <v>1036</v>
      </c>
      <c r="S267" s="103" t="s">
        <v>1037</v>
      </c>
      <c r="T267" s="10"/>
      <c r="U267" s="103" t="s">
        <v>1509</v>
      </c>
      <c r="V267" s="103" t="s">
        <v>1183</v>
      </c>
      <c r="W267" s="10"/>
    </row>
    <row r="268" spans="1:23" ht="1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</row>
    <row r="269" spans="1:23" ht="13">
      <c r="A269" s="10" t="s">
        <v>1514</v>
      </c>
      <c r="B269" s="10" t="s">
        <v>433</v>
      </c>
      <c r="C269" s="10" t="s">
        <v>437</v>
      </c>
      <c r="D269" s="10" t="s">
        <v>1085</v>
      </c>
      <c r="E269" s="10"/>
      <c r="F269" s="10"/>
      <c r="G269" s="10"/>
      <c r="H269" s="10"/>
      <c r="I269" s="10"/>
      <c r="J269" s="10"/>
      <c r="K269" s="10"/>
      <c r="L269" s="10"/>
      <c r="M269" s="103" t="s">
        <v>315</v>
      </c>
      <c r="N269" s="90">
        <v>20000</v>
      </c>
      <c r="O269" s="10"/>
      <c r="P269" s="103">
        <v>15</v>
      </c>
      <c r="Q269" s="10"/>
      <c r="R269" s="103" t="s">
        <v>1058</v>
      </c>
      <c r="S269" s="103" t="s">
        <v>1037</v>
      </c>
      <c r="T269" s="10"/>
      <c r="U269" s="10"/>
      <c r="V269" s="10"/>
      <c r="W269" s="10"/>
    </row>
    <row r="270" spans="1:23" ht="13">
      <c r="A270" s="10" t="s">
        <v>1514</v>
      </c>
      <c r="B270" s="10" t="s">
        <v>433</v>
      </c>
      <c r="C270" s="10" t="s">
        <v>437</v>
      </c>
      <c r="D270" s="10" t="s">
        <v>1086</v>
      </c>
      <c r="E270" s="10"/>
      <c r="F270" s="10"/>
      <c r="G270" s="10"/>
      <c r="H270" s="10"/>
      <c r="I270" s="10"/>
      <c r="J270" s="10"/>
      <c r="K270" s="10"/>
      <c r="L270" s="10"/>
      <c r="M270" s="103" t="s">
        <v>315</v>
      </c>
      <c r="N270" s="90">
        <v>14000</v>
      </c>
      <c r="O270" s="10"/>
      <c r="P270" s="103">
        <v>15</v>
      </c>
      <c r="Q270" s="10"/>
      <c r="R270" s="103"/>
      <c r="S270" s="103" t="s">
        <v>1037</v>
      </c>
      <c r="T270" s="10"/>
      <c r="U270" s="10"/>
      <c r="V270" s="10"/>
      <c r="W270" s="10"/>
    </row>
    <row r="271" spans="1:23" ht="13">
      <c r="A271" s="10" t="s">
        <v>1514</v>
      </c>
      <c r="B271" s="10" t="s">
        <v>433</v>
      </c>
      <c r="C271" s="10" t="s">
        <v>437</v>
      </c>
      <c r="D271" s="10" t="s">
        <v>1087</v>
      </c>
      <c r="E271" s="10"/>
      <c r="F271" s="10"/>
      <c r="G271" s="10"/>
      <c r="H271" s="10"/>
      <c r="I271" s="10"/>
      <c r="J271" s="10"/>
      <c r="K271" s="10"/>
      <c r="L271" s="10"/>
      <c r="M271" s="103" t="s">
        <v>315</v>
      </c>
      <c r="N271" s="90">
        <v>22000</v>
      </c>
      <c r="O271" s="10"/>
      <c r="P271" s="103">
        <v>15</v>
      </c>
      <c r="Q271" s="10"/>
      <c r="R271" s="103" t="s">
        <v>1058</v>
      </c>
      <c r="S271" s="103" t="s">
        <v>1037</v>
      </c>
      <c r="T271" s="10"/>
      <c r="U271" s="10"/>
      <c r="V271" s="10"/>
      <c r="W271" s="10"/>
    </row>
    <row r="272" spans="1:23" ht="13">
      <c r="A272" s="10" t="s">
        <v>1514</v>
      </c>
      <c r="B272" s="10" t="s">
        <v>433</v>
      </c>
      <c r="C272" s="10" t="s">
        <v>437</v>
      </c>
      <c r="D272" s="10" t="s">
        <v>1088</v>
      </c>
      <c r="E272" s="10"/>
      <c r="F272" s="10"/>
      <c r="G272" s="10"/>
      <c r="H272" s="10"/>
      <c r="I272" s="10"/>
      <c r="J272" s="10"/>
      <c r="K272" s="10"/>
      <c r="L272" s="10"/>
      <c r="M272" s="103" t="s">
        <v>315</v>
      </c>
      <c r="N272" s="90">
        <v>22000</v>
      </c>
      <c r="O272" s="10"/>
      <c r="P272" s="103">
        <v>15</v>
      </c>
      <c r="Q272" s="10"/>
      <c r="R272" s="103" t="s">
        <v>1058</v>
      </c>
      <c r="S272" s="103" t="s">
        <v>1037</v>
      </c>
      <c r="T272" s="10"/>
      <c r="U272" s="10"/>
      <c r="V272" s="10"/>
      <c r="W272" s="10"/>
    </row>
    <row r="273" spans="1:23" ht="13">
      <c r="A273" s="10" t="s">
        <v>1514</v>
      </c>
      <c r="B273" s="10" t="s">
        <v>433</v>
      </c>
      <c r="C273" s="10" t="s">
        <v>437</v>
      </c>
      <c r="D273" s="10" t="s">
        <v>1089</v>
      </c>
      <c r="E273" s="10"/>
      <c r="F273" s="10"/>
      <c r="G273" s="10"/>
      <c r="H273" s="10"/>
      <c r="I273" s="10"/>
      <c r="J273" s="10"/>
      <c r="K273" s="10"/>
      <c r="L273" s="10"/>
      <c r="M273" s="103" t="s">
        <v>315</v>
      </c>
      <c r="N273" s="90">
        <v>14000</v>
      </c>
      <c r="O273" s="10"/>
      <c r="P273" s="103">
        <v>15</v>
      </c>
      <c r="Q273" s="10"/>
      <c r="R273" s="10"/>
      <c r="S273" s="103" t="s">
        <v>1037</v>
      </c>
      <c r="T273" s="10"/>
      <c r="U273" s="10"/>
      <c r="V273" s="10"/>
      <c r="W273" s="10"/>
    </row>
    <row r="274" spans="1:23" ht="13">
      <c r="A274" s="10" t="s">
        <v>1514</v>
      </c>
      <c r="B274" s="10" t="s">
        <v>433</v>
      </c>
      <c r="C274" s="10" t="s">
        <v>437</v>
      </c>
      <c r="D274" s="10" t="s">
        <v>1090</v>
      </c>
      <c r="E274" s="10"/>
      <c r="F274" s="10"/>
      <c r="G274" s="10"/>
      <c r="H274" s="10"/>
      <c r="I274" s="10"/>
      <c r="J274" s="10"/>
      <c r="K274" s="10"/>
      <c r="L274" s="10"/>
      <c r="M274" s="103" t="s">
        <v>315</v>
      </c>
      <c r="N274" s="90">
        <v>14000</v>
      </c>
      <c r="O274" s="10"/>
      <c r="P274" s="103">
        <v>15</v>
      </c>
      <c r="Q274" s="10"/>
      <c r="R274" s="10"/>
      <c r="S274" s="103" t="s">
        <v>1037</v>
      </c>
      <c r="T274" s="10"/>
      <c r="U274" s="10"/>
      <c r="V274" s="10"/>
      <c r="W274" s="10"/>
    </row>
    <row r="275" spans="1:23" ht="13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</row>
    <row r="276" spans="1:23" ht="13">
      <c r="A276" s="30" t="s">
        <v>1522</v>
      </c>
      <c r="B276" s="30" t="s">
        <v>1053</v>
      </c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</row>
    <row r="277" spans="1:23" ht="13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</row>
    <row r="278" spans="1:23" ht="13">
      <c r="A278" s="10" t="s">
        <v>1525</v>
      </c>
      <c r="B278" s="10" t="s">
        <v>626</v>
      </c>
      <c r="C278" s="10" t="s">
        <v>627</v>
      </c>
      <c r="D278" s="10" t="s">
        <v>1526</v>
      </c>
      <c r="E278" s="10"/>
      <c r="F278" s="10"/>
      <c r="G278" s="10"/>
      <c r="H278" s="103" t="s">
        <v>895</v>
      </c>
      <c r="I278" s="103" t="s">
        <v>992</v>
      </c>
      <c r="J278" s="103" t="s">
        <v>993</v>
      </c>
      <c r="K278" s="10"/>
      <c r="L278" s="23" t="s">
        <v>1035</v>
      </c>
      <c r="M278" s="103" t="s">
        <v>882</v>
      </c>
      <c r="N278" s="90">
        <v>22000</v>
      </c>
      <c r="O278" s="10"/>
      <c r="P278" s="103">
        <v>15</v>
      </c>
      <c r="Q278" s="90">
        <v>20000</v>
      </c>
      <c r="R278" s="103" t="s">
        <v>1058</v>
      </c>
      <c r="S278" s="103" t="s">
        <v>1037</v>
      </c>
      <c r="T278" s="10"/>
      <c r="U278" s="103" t="s">
        <v>366</v>
      </c>
      <c r="V278" s="103" t="s">
        <v>1109</v>
      </c>
      <c r="W278" s="10"/>
    </row>
    <row r="279" spans="1:23" ht="13">
      <c r="A279" s="10" t="s">
        <v>1525</v>
      </c>
      <c r="B279" s="10" t="s">
        <v>626</v>
      </c>
      <c r="C279" s="10" t="s">
        <v>627</v>
      </c>
      <c r="D279" s="10" t="s">
        <v>1527</v>
      </c>
      <c r="E279" s="10"/>
      <c r="F279" s="10"/>
      <c r="G279" s="10"/>
      <c r="H279" s="103" t="s">
        <v>895</v>
      </c>
      <c r="I279" s="103" t="s">
        <v>992</v>
      </c>
      <c r="J279" s="103" t="s">
        <v>993</v>
      </c>
      <c r="K279" s="10"/>
      <c r="L279" s="23" t="s">
        <v>1035</v>
      </c>
      <c r="M279" s="103" t="s">
        <v>889</v>
      </c>
      <c r="N279" s="90">
        <v>22000</v>
      </c>
      <c r="O279" s="10"/>
      <c r="P279" s="103">
        <v>15</v>
      </c>
      <c r="Q279" s="90">
        <v>25000</v>
      </c>
      <c r="R279" s="103" t="s">
        <v>1058</v>
      </c>
      <c r="S279" s="103" t="s">
        <v>1037</v>
      </c>
      <c r="T279" s="10"/>
      <c r="U279" s="103" t="s">
        <v>366</v>
      </c>
      <c r="V279" s="103" t="s">
        <v>1109</v>
      </c>
      <c r="W279" s="10"/>
    </row>
    <row r="280" spans="1:23" ht="13">
      <c r="A280" s="10" t="s">
        <v>1525</v>
      </c>
      <c r="B280" s="10" t="s">
        <v>626</v>
      </c>
      <c r="C280" s="10" t="s">
        <v>627</v>
      </c>
      <c r="D280" s="10" t="s">
        <v>1530</v>
      </c>
      <c r="E280" s="10"/>
      <c r="F280" s="10"/>
      <c r="G280" s="10"/>
      <c r="H280" s="103" t="s">
        <v>895</v>
      </c>
      <c r="I280" s="103" t="s">
        <v>992</v>
      </c>
      <c r="J280" s="103" t="s">
        <v>993</v>
      </c>
      <c r="K280" s="10"/>
      <c r="L280" s="23" t="s">
        <v>1035</v>
      </c>
      <c r="M280" s="103" t="s">
        <v>889</v>
      </c>
      <c r="N280" s="90">
        <v>22000</v>
      </c>
      <c r="O280" s="10"/>
      <c r="P280" s="103">
        <v>15</v>
      </c>
      <c r="Q280" s="90">
        <v>25000</v>
      </c>
      <c r="R280" s="10"/>
      <c r="S280" s="103" t="s">
        <v>1037</v>
      </c>
      <c r="T280" s="10"/>
      <c r="U280" s="103" t="s">
        <v>366</v>
      </c>
      <c r="V280" s="103" t="s">
        <v>1109</v>
      </c>
      <c r="W280" s="10"/>
    </row>
    <row r="281" spans="1:23" ht="13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3"/>
      <c r="V281" s="103"/>
      <c r="W281" s="10"/>
    </row>
    <row r="282" spans="1:23" ht="13">
      <c r="A282" s="10" t="s">
        <v>1533</v>
      </c>
      <c r="B282" s="10"/>
      <c r="C282" s="10"/>
      <c r="D282" s="10" t="s">
        <v>1534</v>
      </c>
      <c r="E282" s="10" t="s">
        <v>1535</v>
      </c>
      <c r="F282" s="10"/>
      <c r="G282" s="10"/>
      <c r="H282" s="103" t="s">
        <v>897</v>
      </c>
      <c r="I282" s="103" t="s">
        <v>992</v>
      </c>
      <c r="J282" s="103" t="s">
        <v>1000</v>
      </c>
      <c r="K282" s="10"/>
      <c r="L282" s="23" t="s">
        <v>283</v>
      </c>
      <c r="M282" s="103" t="s">
        <v>1536</v>
      </c>
      <c r="N282" s="10"/>
      <c r="O282" s="90">
        <v>20000000</v>
      </c>
      <c r="P282" s="10"/>
      <c r="Q282" s="10"/>
      <c r="R282" s="10"/>
      <c r="S282" s="10"/>
      <c r="T282" s="10"/>
      <c r="U282" s="103" t="s">
        <v>1312</v>
      </c>
      <c r="V282" s="103" t="s">
        <v>1538</v>
      </c>
      <c r="W282" s="10"/>
    </row>
    <row r="283" spans="1:23" ht="13">
      <c r="A283" s="10"/>
      <c r="B283" s="10"/>
      <c r="C283" s="10"/>
      <c r="D283" s="10"/>
      <c r="E283" s="10"/>
      <c r="F283" s="10"/>
      <c r="G283" s="10"/>
      <c r="H283" s="103"/>
      <c r="I283" s="103"/>
      <c r="J283" s="103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</row>
    <row r="284" spans="1:23" ht="13">
      <c r="A284" s="10" t="s">
        <v>1540</v>
      </c>
      <c r="B284" s="10" t="s">
        <v>1541</v>
      </c>
      <c r="C284" s="10" t="s">
        <v>1542</v>
      </c>
      <c r="D284" s="10" t="s">
        <v>1543</v>
      </c>
      <c r="E284" s="10"/>
      <c r="F284" s="10"/>
      <c r="G284" s="10"/>
      <c r="H284" s="103" t="s">
        <v>891</v>
      </c>
      <c r="I284" s="103" t="s">
        <v>1152</v>
      </c>
      <c r="J284" s="103" t="s">
        <v>1153</v>
      </c>
      <c r="K284" s="10"/>
      <c r="L284" s="23" t="s">
        <v>248</v>
      </c>
      <c r="M284" s="103" t="s">
        <v>882</v>
      </c>
      <c r="N284" s="90">
        <v>11000</v>
      </c>
      <c r="O284" s="10"/>
      <c r="P284" s="103">
        <v>20</v>
      </c>
      <c r="Q284" s="10"/>
      <c r="R284" s="10"/>
      <c r="S284" s="103" t="s">
        <v>0</v>
      </c>
      <c r="T284" s="10"/>
      <c r="U284" s="103" t="s">
        <v>366</v>
      </c>
      <c r="V284" s="103" t="s">
        <v>1095</v>
      </c>
      <c r="W284" s="10"/>
    </row>
    <row r="285" spans="1:23" ht="13">
      <c r="A285" s="10" t="s">
        <v>1540</v>
      </c>
      <c r="B285" s="10" t="s">
        <v>1541</v>
      </c>
      <c r="C285" s="10" t="s">
        <v>1542</v>
      </c>
      <c r="D285" s="10" t="s">
        <v>1546</v>
      </c>
      <c r="E285" s="10"/>
      <c r="F285" s="10"/>
      <c r="G285" s="10"/>
      <c r="H285" s="103" t="s">
        <v>891</v>
      </c>
      <c r="I285" s="103" t="s">
        <v>1152</v>
      </c>
      <c r="J285" s="103" t="s">
        <v>1153</v>
      </c>
      <c r="K285" s="10"/>
      <c r="L285" s="23" t="s">
        <v>248</v>
      </c>
      <c r="M285" s="103" t="s">
        <v>882</v>
      </c>
      <c r="N285" s="90">
        <v>11000</v>
      </c>
      <c r="O285" s="10"/>
      <c r="P285" s="103">
        <v>20</v>
      </c>
      <c r="Q285" s="10"/>
      <c r="R285" s="10"/>
      <c r="S285" s="103" t="s">
        <v>0</v>
      </c>
      <c r="T285" s="10"/>
      <c r="U285" s="103" t="s">
        <v>366</v>
      </c>
      <c r="V285" s="103" t="s">
        <v>1095</v>
      </c>
      <c r="W285" s="10"/>
    </row>
    <row r="286" spans="1:23" ht="13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</row>
    <row r="287" spans="1:23" ht="13">
      <c r="A287" s="10" t="s">
        <v>1547</v>
      </c>
      <c r="B287" s="10" t="s">
        <v>1442</v>
      </c>
      <c r="C287" s="81" t="s">
        <v>1549</v>
      </c>
      <c r="D287" s="10" t="s">
        <v>1554</v>
      </c>
      <c r="E287" s="10"/>
      <c r="F287" s="10"/>
      <c r="G287" s="10"/>
      <c r="H287" s="103" t="s">
        <v>891</v>
      </c>
      <c r="I287" s="103" t="s">
        <v>1152</v>
      </c>
      <c r="J287" s="103" t="s">
        <v>1056</v>
      </c>
      <c r="K287" s="10"/>
      <c r="L287" s="23" t="s">
        <v>1035</v>
      </c>
      <c r="M287" s="103" t="s">
        <v>1007</v>
      </c>
      <c r="N287" s="10"/>
      <c r="O287" s="90">
        <v>10000000</v>
      </c>
      <c r="P287" s="103">
        <v>25</v>
      </c>
      <c r="Q287" s="10"/>
      <c r="R287" s="103" t="s">
        <v>1058</v>
      </c>
      <c r="S287" s="103" t="s">
        <v>1037</v>
      </c>
      <c r="T287" s="10"/>
      <c r="U287" s="103" t="s">
        <v>837</v>
      </c>
      <c r="V287" s="103" t="s">
        <v>1257</v>
      </c>
      <c r="W287" s="10"/>
    </row>
    <row r="288" spans="1:23" ht="13">
      <c r="A288" s="10" t="s">
        <v>1547</v>
      </c>
      <c r="B288" s="10" t="s">
        <v>1442</v>
      </c>
      <c r="C288" s="81" t="s">
        <v>1557</v>
      </c>
      <c r="D288" s="10" t="s">
        <v>1559</v>
      </c>
      <c r="E288" s="10"/>
      <c r="F288" s="10"/>
      <c r="G288" s="10"/>
      <c r="H288" s="103" t="s">
        <v>891</v>
      </c>
      <c r="I288" s="103" t="s">
        <v>1152</v>
      </c>
      <c r="J288" s="103" t="s">
        <v>1056</v>
      </c>
      <c r="K288" s="10"/>
      <c r="L288" s="23" t="s">
        <v>1035</v>
      </c>
      <c r="M288" s="103" t="s">
        <v>1007</v>
      </c>
      <c r="N288" s="10"/>
      <c r="O288" s="90">
        <v>10000000</v>
      </c>
      <c r="P288" s="103">
        <v>25</v>
      </c>
      <c r="Q288" s="10"/>
      <c r="R288" s="103"/>
      <c r="S288" s="103" t="s">
        <v>1037</v>
      </c>
      <c r="T288" s="10"/>
      <c r="U288" s="103" t="s">
        <v>837</v>
      </c>
      <c r="V288" s="103" t="s">
        <v>1257</v>
      </c>
      <c r="W288" s="10"/>
    </row>
    <row r="289" spans="1:23" ht="28">
      <c r="A289" s="10" t="s">
        <v>1547</v>
      </c>
      <c r="B289" s="10" t="s">
        <v>1442</v>
      </c>
      <c r="C289" s="81" t="s">
        <v>1560</v>
      </c>
      <c r="D289" s="37" t="s">
        <v>1561</v>
      </c>
      <c r="E289" s="10"/>
      <c r="F289" s="10"/>
      <c r="G289" s="10"/>
      <c r="H289" s="103" t="s">
        <v>891</v>
      </c>
      <c r="I289" s="103" t="s">
        <v>1152</v>
      </c>
      <c r="J289" s="103" t="s">
        <v>1056</v>
      </c>
      <c r="K289" s="10"/>
      <c r="L289" s="23" t="s">
        <v>1035</v>
      </c>
      <c r="M289" s="103" t="s">
        <v>889</v>
      </c>
      <c r="N289" s="10"/>
      <c r="O289" s="90">
        <v>10000000</v>
      </c>
      <c r="P289" s="103">
        <v>25</v>
      </c>
      <c r="Q289" s="10"/>
      <c r="R289" s="103"/>
      <c r="S289" s="103" t="s">
        <v>1037</v>
      </c>
      <c r="T289" s="10"/>
      <c r="U289" s="103" t="s">
        <v>837</v>
      </c>
      <c r="V289" s="103" t="s">
        <v>1257</v>
      </c>
      <c r="W289" s="10"/>
    </row>
    <row r="290" spans="1:23" ht="28">
      <c r="A290" s="10" t="s">
        <v>1547</v>
      </c>
      <c r="B290" s="10" t="s">
        <v>1442</v>
      </c>
      <c r="C290" s="81" t="s">
        <v>1563</v>
      </c>
      <c r="D290" s="37" t="s">
        <v>1564</v>
      </c>
      <c r="E290" s="10"/>
      <c r="F290" s="10"/>
      <c r="G290" s="10"/>
      <c r="H290" s="103" t="s">
        <v>891</v>
      </c>
      <c r="I290" s="103" t="s">
        <v>1152</v>
      </c>
      <c r="J290" s="103" t="s">
        <v>1056</v>
      </c>
      <c r="K290" s="10"/>
      <c r="L290" s="23" t="s">
        <v>1035</v>
      </c>
      <c r="M290" s="103" t="s">
        <v>1007</v>
      </c>
      <c r="N290" s="10"/>
      <c r="O290" s="90">
        <v>10000000</v>
      </c>
      <c r="P290" s="103">
        <v>25</v>
      </c>
      <c r="Q290" s="10"/>
      <c r="R290" s="103" t="s">
        <v>1058</v>
      </c>
      <c r="S290" s="103" t="s">
        <v>1037</v>
      </c>
      <c r="T290" s="10"/>
      <c r="U290" s="103" t="s">
        <v>837</v>
      </c>
      <c r="V290" s="103" t="s">
        <v>1257</v>
      </c>
      <c r="W290" s="10"/>
    </row>
    <row r="291" spans="1:23" ht="28">
      <c r="A291" s="10" t="s">
        <v>1547</v>
      </c>
      <c r="B291" s="10" t="s">
        <v>1442</v>
      </c>
      <c r="C291" s="81" t="s">
        <v>1565</v>
      </c>
      <c r="D291" s="37" t="s">
        <v>1569</v>
      </c>
      <c r="E291" s="10"/>
      <c r="F291" s="10"/>
      <c r="G291" s="10"/>
      <c r="H291" s="103" t="s">
        <v>891</v>
      </c>
      <c r="I291" s="103" t="s">
        <v>1152</v>
      </c>
      <c r="J291" s="103" t="s">
        <v>1056</v>
      </c>
      <c r="K291" s="10"/>
      <c r="L291" s="23" t="s">
        <v>1035</v>
      </c>
      <c r="M291" s="103" t="s">
        <v>1007</v>
      </c>
      <c r="N291" s="10"/>
      <c r="O291" s="90">
        <v>10000000</v>
      </c>
      <c r="P291" s="103">
        <v>25</v>
      </c>
      <c r="Q291" s="10"/>
      <c r="R291" s="10"/>
      <c r="S291" s="103" t="s">
        <v>1037</v>
      </c>
      <c r="T291" s="10"/>
      <c r="U291" s="103" t="s">
        <v>837</v>
      </c>
      <c r="V291" s="103" t="s">
        <v>1257</v>
      </c>
      <c r="W291" s="10"/>
    </row>
    <row r="292" spans="1:23" ht="28">
      <c r="A292" s="10" t="s">
        <v>1547</v>
      </c>
      <c r="B292" s="10" t="s">
        <v>1442</v>
      </c>
      <c r="C292" s="81" t="s">
        <v>1572</v>
      </c>
      <c r="D292" s="37" t="s">
        <v>1573</v>
      </c>
      <c r="E292" s="10"/>
      <c r="F292" s="10"/>
      <c r="G292" s="10"/>
      <c r="H292" s="103" t="s">
        <v>891</v>
      </c>
      <c r="I292" s="103" t="s">
        <v>1152</v>
      </c>
      <c r="J292" s="103" t="s">
        <v>1056</v>
      </c>
      <c r="K292" s="10"/>
      <c r="L292" s="23" t="s">
        <v>1035</v>
      </c>
      <c r="M292" s="103" t="s">
        <v>889</v>
      </c>
      <c r="N292" s="10"/>
      <c r="O292" s="90">
        <v>10000000</v>
      </c>
      <c r="P292" s="103">
        <v>25</v>
      </c>
      <c r="Q292" s="10"/>
      <c r="R292" s="10"/>
      <c r="S292" s="103" t="s">
        <v>1037</v>
      </c>
      <c r="T292" s="10"/>
      <c r="U292" s="103" t="s">
        <v>837</v>
      </c>
      <c r="V292" s="103" t="s">
        <v>1257</v>
      </c>
      <c r="W292" s="10"/>
    </row>
    <row r="293" spans="1:23" ht="1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</row>
    <row r="294" spans="1:23" ht="13">
      <c r="A294" s="10" t="s">
        <v>1575</v>
      </c>
      <c r="B294" s="10" t="s">
        <v>1576</v>
      </c>
      <c r="C294" s="10"/>
      <c r="D294" s="10" t="s">
        <v>1577</v>
      </c>
      <c r="E294" s="10" t="s">
        <v>1578</v>
      </c>
      <c r="F294" s="10"/>
      <c r="G294" s="10"/>
      <c r="H294" s="103" t="s">
        <v>895</v>
      </c>
      <c r="I294" s="103" t="s">
        <v>992</v>
      </c>
      <c r="J294" s="103" t="s">
        <v>993</v>
      </c>
      <c r="K294" s="10"/>
      <c r="L294" s="23" t="s">
        <v>1035</v>
      </c>
      <c r="M294" s="103" t="s">
        <v>882</v>
      </c>
      <c r="N294" s="10"/>
      <c r="O294" s="90">
        <v>27000000</v>
      </c>
      <c r="P294" s="103">
        <v>15</v>
      </c>
      <c r="Q294" s="10"/>
      <c r="R294" s="103" t="s">
        <v>1058</v>
      </c>
      <c r="S294" s="103" t="s">
        <v>1037</v>
      </c>
      <c r="T294" s="10"/>
      <c r="U294" s="10"/>
      <c r="V294" s="10"/>
      <c r="W294" s="10"/>
    </row>
    <row r="295" spans="1:23" ht="13">
      <c r="A295" s="10" t="s">
        <v>1575</v>
      </c>
      <c r="B295" s="10" t="s">
        <v>1576</v>
      </c>
      <c r="C295" s="10"/>
      <c r="D295" s="10" t="s">
        <v>1579</v>
      </c>
      <c r="E295" s="10" t="s">
        <v>1578</v>
      </c>
      <c r="F295" s="10"/>
      <c r="G295" s="10"/>
      <c r="H295" s="103" t="s">
        <v>895</v>
      </c>
      <c r="I295" s="103" t="s">
        <v>992</v>
      </c>
      <c r="J295" s="103" t="s">
        <v>993</v>
      </c>
      <c r="K295" s="10"/>
      <c r="L295" s="23" t="s">
        <v>1035</v>
      </c>
      <c r="M295" s="103" t="s">
        <v>889</v>
      </c>
      <c r="N295" s="10"/>
      <c r="O295" s="90">
        <v>7600000</v>
      </c>
      <c r="P295" s="103">
        <v>15</v>
      </c>
      <c r="Q295" s="10"/>
      <c r="R295" s="10"/>
      <c r="S295" s="103" t="s">
        <v>1037</v>
      </c>
      <c r="T295" s="10"/>
      <c r="U295" s="10"/>
      <c r="V295" s="10"/>
      <c r="W295" s="10"/>
    </row>
    <row r="296" spans="1:23" ht="13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</row>
    <row r="297" spans="1:23" ht="28">
      <c r="A297" s="10" t="s">
        <v>1580</v>
      </c>
      <c r="B297" s="10"/>
      <c r="C297" s="10"/>
      <c r="D297" s="10" t="s">
        <v>1581</v>
      </c>
      <c r="E297" s="10" t="s">
        <v>1582</v>
      </c>
      <c r="F297" s="10"/>
      <c r="G297" s="10"/>
      <c r="H297" s="103" t="s">
        <v>897</v>
      </c>
      <c r="I297" s="103" t="s">
        <v>1583</v>
      </c>
      <c r="J297" s="103" t="s">
        <v>1584</v>
      </c>
      <c r="K297" s="10"/>
      <c r="L297" s="23" t="s">
        <v>248</v>
      </c>
      <c r="M297" s="83" t="s">
        <v>1585</v>
      </c>
      <c r="N297" s="10"/>
      <c r="O297" s="90">
        <v>58000000</v>
      </c>
      <c r="P297" s="10"/>
      <c r="Q297" s="10"/>
      <c r="R297" s="10"/>
      <c r="S297" s="10"/>
      <c r="T297" s="10"/>
      <c r="U297" s="10"/>
      <c r="V297" s="10"/>
      <c r="W297" s="10"/>
    </row>
    <row r="298" spans="1:23" ht="13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</row>
    <row r="299" spans="1:23" ht="13">
      <c r="A299" s="10" t="s">
        <v>1586</v>
      </c>
      <c r="B299" s="10" t="s">
        <v>1587</v>
      </c>
      <c r="C299" s="10" t="s">
        <v>1588</v>
      </c>
      <c r="D299" s="10" t="s">
        <v>1589</v>
      </c>
      <c r="E299" s="10"/>
      <c r="F299" s="10"/>
      <c r="G299" s="10"/>
      <c r="H299" s="10"/>
      <c r="I299" s="10"/>
      <c r="J299" s="10"/>
      <c r="K299" s="10"/>
      <c r="L299" s="23" t="s">
        <v>244</v>
      </c>
      <c r="M299" s="103" t="s">
        <v>1590</v>
      </c>
      <c r="N299" s="10"/>
      <c r="O299" s="90">
        <v>45500000</v>
      </c>
      <c r="P299" s="103">
        <v>15</v>
      </c>
      <c r="Q299" s="10"/>
      <c r="R299" s="10"/>
      <c r="S299" s="10"/>
      <c r="T299" s="10"/>
      <c r="U299" s="10"/>
      <c r="V299" s="10"/>
      <c r="W299" s="10"/>
    </row>
    <row r="300" spans="1:23" ht="1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</row>
    <row r="301" spans="1:23" ht="13">
      <c r="A301" s="10" t="s">
        <v>1591</v>
      </c>
      <c r="B301" s="10" t="s">
        <v>1592</v>
      </c>
      <c r="C301" s="10"/>
      <c r="D301" s="10" t="s">
        <v>1593</v>
      </c>
      <c r="E301" s="10"/>
      <c r="F301" s="10"/>
      <c r="G301" s="10"/>
      <c r="H301" s="103" t="s">
        <v>895</v>
      </c>
      <c r="I301" s="103" t="s">
        <v>1152</v>
      </c>
      <c r="J301" s="103" t="s">
        <v>993</v>
      </c>
      <c r="K301" s="10"/>
      <c r="L301" s="23" t="s">
        <v>1035</v>
      </c>
      <c r="M301" s="103" t="s">
        <v>1229</v>
      </c>
      <c r="N301" s="90">
        <v>35000</v>
      </c>
      <c r="O301" s="10"/>
      <c r="P301" s="103">
        <v>5</v>
      </c>
      <c r="Q301" s="10"/>
      <c r="R301" s="103" t="s">
        <v>1058</v>
      </c>
      <c r="S301" s="103" t="s">
        <v>1037</v>
      </c>
      <c r="T301" s="10"/>
      <c r="U301" s="103" t="s">
        <v>1001</v>
      </c>
      <c r="V301" s="103" t="s">
        <v>1109</v>
      </c>
      <c r="W301" s="10"/>
    </row>
    <row r="302" spans="1:23" ht="13">
      <c r="A302" s="10" t="s">
        <v>1591</v>
      </c>
      <c r="B302" s="10" t="s">
        <v>1592</v>
      </c>
      <c r="C302" s="10"/>
      <c r="D302" s="10" t="s">
        <v>1594</v>
      </c>
      <c r="E302" s="10"/>
      <c r="F302" s="10"/>
      <c r="G302" s="10"/>
      <c r="H302" s="103" t="s">
        <v>895</v>
      </c>
      <c r="I302" s="103" t="s">
        <v>1152</v>
      </c>
      <c r="J302" s="103" t="s">
        <v>993</v>
      </c>
      <c r="K302" s="10"/>
      <c r="L302" s="23" t="s">
        <v>1035</v>
      </c>
      <c r="M302" s="103" t="s">
        <v>1595</v>
      </c>
      <c r="N302" s="90" t="s">
        <v>1596</v>
      </c>
      <c r="O302" s="10"/>
      <c r="P302" s="103">
        <v>5</v>
      </c>
      <c r="Q302" s="90">
        <v>35000</v>
      </c>
      <c r="R302" s="10"/>
      <c r="S302" s="103" t="s">
        <v>1037</v>
      </c>
      <c r="T302" s="10"/>
      <c r="U302" s="103" t="s">
        <v>1001</v>
      </c>
      <c r="V302" s="103" t="s">
        <v>1109</v>
      </c>
      <c r="W302" s="10"/>
    </row>
    <row r="303" spans="1:23" ht="13">
      <c r="A303" s="10" t="s">
        <v>1591</v>
      </c>
      <c r="B303" s="10" t="s">
        <v>1592</v>
      </c>
      <c r="C303" s="10"/>
      <c r="D303" s="10" t="s">
        <v>1597</v>
      </c>
      <c r="E303" s="10"/>
      <c r="F303" s="10"/>
      <c r="G303" s="10"/>
      <c r="H303" s="103" t="s">
        <v>895</v>
      </c>
      <c r="I303" s="103" t="s">
        <v>1152</v>
      </c>
      <c r="J303" s="103" t="s">
        <v>993</v>
      </c>
      <c r="K303" s="10"/>
      <c r="L303" s="23" t="s">
        <v>1035</v>
      </c>
      <c r="M303" s="103" t="s">
        <v>889</v>
      </c>
      <c r="N303" s="90">
        <v>35000</v>
      </c>
      <c r="O303" s="10"/>
      <c r="P303" s="103">
        <v>5</v>
      </c>
      <c r="Q303" s="90">
        <v>35000</v>
      </c>
      <c r="R303" s="10"/>
      <c r="S303" s="103" t="s">
        <v>1037</v>
      </c>
      <c r="T303" s="10"/>
      <c r="U303" s="103" t="s">
        <v>1001</v>
      </c>
      <c r="V303" s="103" t="s">
        <v>1109</v>
      </c>
      <c r="W303" s="10"/>
    </row>
    <row r="304" spans="1:23" ht="13">
      <c r="A304" s="10" t="s">
        <v>1591</v>
      </c>
      <c r="B304" s="10" t="s">
        <v>1592</v>
      </c>
      <c r="C304" s="10"/>
      <c r="D304" s="10" t="s">
        <v>1598</v>
      </c>
      <c r="E304" s="10"/>
      <c r="F304" s="10"/>
      <c r="G304" s="10"/>
      <c r="H304" s="103" t="s">
        <v>895</v>
      </c>
      <c r="I304" s="103" t="s">
        <v>1152</v>
      </c>
      <c r="J304" s="103" t="s">
        <v>993</v>
      </c>
      <c r="K304" s="10"/>
      <c r="L304" s="23" t="s">
        <v>1035</v>
      </c>
      <c r="M304" s="103" t="s">
        <v>1599</v>
      </c>
      <c r="N304" s="90">
        <v>45000</v>
      </c>
      <c r="O304" s="10"/>
      <c r="P304" s="103">
        <v>5</v>
      </c>
      <c r="Q304" s="10"/>
      <c r="R304" s="10"/>
      <c r="S304" s="103" t="s">
        <v>1037</v>
      </c>
      <c r="T304" s="10"/>
      <c r="U304" s="103" t="s">
        <v>1001</v>
      </c>
      <c r="V304" s="103" t="s">
        <v>1109</v>
      </c>
      <c r="W304" s="10"/>
    </row>
    <row r="305" spans="1:23" ht="1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</row>
    <row r="306" spans="1:23" ht="13">
      <c r="A306" s="10" t="s">
        <v>1600</v>
      </c>
      <c r="B306" s="10" t="s">
        <v>592</v>
      </c>
      <c r="C306" s="10"/>
      <c r="D306" s="10" t="s">
        <v>1601</v>
      </c>
      <c r="E306" s="10" t="s">
        <v>1602</v>
      </c>
      <c r="F306" s="10"/>
      <c r="G306" s="10"/>
      <c r="H306" s="103" t="s">
        <v>895</v>
      </c>
      <c r="I306" s="103" t="s">
        <v>992</v>
      </c>
      <c r="J306" s="103" t="s">
        <v>993</v>
      </c>
      <c r="K306" s="10"/>
      <c r="L306" s="23" t="s">
        <v>248</v>
      </c>
      <c r="M306" s="103" t="s">
        <v>882</v>
      </c>
      <c r="N306" s="90">
        <v>12000</v>
      </c>
      <c r="O306" s="10"/>
      <c r="P306" s="103">
        <v>15</v>
      </c>
      <c r="Q306" s="10"/>
      <c r="R306" s="10"/>
      <c r="S306" s="103" t="s">
        <v>0</v>
      </c>
      <c r="T306" s="10"/>
      <c r="U306" s="103" t="s">
        <v>462</v>
      </c>
      <c r="V306" s="103" t="s">
        <v>1516</v>
      </c>
      <c r="W306" s="10"/>
    </row>
    <row r="307" spans="1:23" ht="13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</row>
    <row r="308" spans="1:23" ht="13">
      <c r="A308" s="10" t="s">
        <v>1603</v>
      </c>
      <c r="B308" s="10" t="s">
        <v>1604</v>
      </c>
      <c r="C308" s="10" t="s">
        <v>1605</v>
      </c>
      <c r="D308" s="10" t="s">
        <v>1606</v>
      </c>
      <c r="E308" s="10"/>
      <c r="F308" s="10"/>
      <c r="G308" s="10"/>
      <c r="H308" s="103" t="s">
        <v>895</v>
      </c>
      <c r="I308" s="103" t="s">
        <v>1152</v>
      </c>
      <c r="J308" s="103" t="s">
        <v>993</v>
      </c>
      <c r="K308" s="10"/>
      <c r="L308" s="23" t="s">
        <v>248</v>
      </c>
      <c r="M308" s="103" t="s">
        <v>315</v>
      </c>
      <c r="N308" s="90">
        <v>18000</v>
      </c>
      <c r="O308" s="10"/>
      <c r="P308" s="103">
        <v>15</v>
      </c>
      <c r="Q308" s="90"/>
      <c r="R308" s="10"/>
      <c r="S308" s="103" t="s">
        <v>0</v>
      </c>
      <c r="T308" s="10"/>
      <c r="U308" s="103" t="s">
        <v>1607</v>
      </c>
      <c r="V308" s="103" t="s">
        <v>1269</v>
      </c>
      <c r="W308" s="10"/>
    </row>
    <row r="309" spans="1:23" ht="13">
      <c r="A309" s="10" t="s">
        <v>1603</v>
      </c>
      <c r="B309" s="10" t="s">
        <v>1604</v>
      </c>
      <c r="C309" s="10" t="s">
        <v>1605</v>
      </c>
      <c r="D309" s="10" t="s">
        <v>1608</v>
      </c>
      <c r="E309" s="10"/>
      <c r="F309" s="10"/>
      <c r="G309" s="10"/>
      <c r="H309" s="103" t="s">
        <v>895</v>
      </c>
      <c r="I309" s="103" t="s">
        <v>1152</v>
      </c>
      <c r="J309" s="103" t="s">
        <v>993</v>
      </c>
      <c r="K309" s="10"/>
      <c r="L309" s="23" t="s">
        <v>248</v>
      </c>
      <c r="M309" s="103" t="s">
        <v>315</v>
      </c>
      <c r="N309" s="90">
        <v>18000</v>
      </c>
      <c r="O309" s="10"/>
      <c r="P309" s="103">
        <v>15</v>
      </c>
      <c r="Q309" s="10"/>
      <c r="R309" s="10"/>
      <c r="S309" s="103" t="s">
        <v>0</v>
      </c>
      <c r="T309" s="10"/>
      <c r="U309" s="103" t="s">
        <v>1607</v>
      </c>
      <c r="V309" s="103" t="s">
        <v>1269</v>
      </c>
      <c r="W309" s="10"/>
    </row>
    <row r="310" spans="1:23" ht="13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</row>
    <row r="311" spans="1:23" ht="13">
      <c r="A311" s="30" t="s">
        <v>1609</v>
      </c>
      <c r="B311" s="30" t="s">
        <v>1053</v>
      </c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</row>
    <row r="312" spans="1:23" ht="13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</row>
    <row r="313" spans="1:23" ht="28">
      <c r="A313" s="10" t="s">
        <v>1610</v>
      </c>
      <c r="B313" s="10" t="s">
        <v>802</v>
      </c>
      <c r="C313" s="37" t="s">
        <v>1611</v>
      </c>
      <c r="D313" s="10" t="s">
        <v>1612</v>
      </c>
      <c r="E313" s="10"/>
      <c r="F313" s="10"/>
      <c r="G313" s="10"/>
      <c r="H313" s="23" t="s">
        <v>891</v>
      </c>
      <c r="I313" s="23" t="s">
        <v>1613</v>
      </c>
      <c r="J313" s="23" t="s">
        <v>1296</v>
      </c>
      <c r="K313" s="10"/>
      <c r="L313" s="23" t="s">
        <v>1035</v>
      </c>
      <c r="M313" s="103" t="s">
        <v>882</v>
      </c>
      <c r="N313" s="90">
        <v>6000</v>
      </c>
      <c r="O313" s="10"/>
      <c r="P313" s="103">
        <v>15</v>
      </c>
      <c r="Q313" s="10"/>
      <c r="R313" s="103" t="s">
        <v>1058</v>
      </c>
      <c r="S313" s="103" t="s">
        <v>1037</v>
      </c>
      <c r="T313" s="10"/>
      <c r="U313" s="103" t="s">
        <v>1607</v>
      </c>
      <c r="V313" s="103" t="s">
        <v>1039</v>
      </c>
      <c r="W313" s="10"/>
    </row>
    <row r="314" spans="1:23" ht="28">
      <c r="A314" s="10" t="s">
        <v>1610</v>
      </c>
      <c r="B314" s="10" t="s">
        <v>802</v>
      </c>
      <c r="C314" s="37" t="s">
        <v>1611</v>
      </c>
      <c r="D314" s="10" t="s">
        <v>1614</v>
      </c>
      <c r="E314" s="10"/>
      <c r="F314" s="10"/>
      <c r="G314" s="10"/>
      <c r="H314" s="23" t="s">
        <v>891</v>
      </c>
      <c r="I314" s="23" t="s">
        <v>1613</v>
      </c>
      <c r="J314" s="23" t="s">
        <v>1296</v>
      </c>
      <c r="K314" s="10"/>
      <c r="L314" s="23" t="s">
        <v>1035</v>
      </c>
      <c r="M314" s="103" t="s">
        <v>882</v>
      </c>
      <c r="N314" s="90">
        <v>6000</v>
      </c>
      <c r="O314" s="10"/>
      <c r="P314" s="103">
        <v>15</v>
      </c>
      <c r="Q314" s="10"/>
      <c r="R314" s="103" t="s">
        <v>1058</v>
      </c>
      <c r="S314" s="103" t="s">
        <v>1037</v>
      </c>
      <c r="T314" s="10"/>
      <c r="U314" s="103" t="s">
        <v>1607</v>
      </c>
      <c r="V314" s="103" t="s">
        <v>1039</v>
      </c>
      <c r="W314" s="10"/>
    </row>
    <row r="315" spans="1:23" ht="13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</row>
    <row r="316" spans="1:23" ht="13">
      <c r="A316" s="10" t="s">
        <v>1615</v>
      </c>
      <c r="B316" s="10" t="s">
        <v>1567</v>
      </c>
      <c r="C316" s="10" t="s">
        <v>1568</v>
      </c>
      <c r="D316" s="10" t="s">
        <v>1616</v>
      </c>
      <c r="E316" s="10"/>
      <c r="F316" s="10"/>
      <c r="G316" s="10"/>
      <c r="H316" s="103" t="s">
        <v>895</v>
      </c>
      <c r="I316" s="103" t="s">
        <v>992</v>
      </c>
      <c r="J316" s="103" t="s">
        <v>993</v>
      </c>
      <c r="K316" s="10"/>
      <c r="L316" s="23" t="s">
        <v>248</v>
      </c>
      <c r="M316" s="103" t="s">
        <v>315</v>
      </c>
      <c r="N316" s="90">
        <v>12500</v>
      </c>
      <c r="O316" s="10"/>
      <c r="P316" s="103">
        <v>15</v>
      </c>
      <c r="Q316" s="90">
        <v>40000</v>
      </c>
      <c r="R316" s="10"/>
      <c r="S316" s="103" t="s">
        <v>0</v>
      </c>
      <c r="T316" s="10"/>
      <c r="U316" s="103" t="s">
        <v>1607</v>
      </c>
      <c r="V316" s="103" t="s">
        <v>1147</v>
      </c>
      <c r="W316" s="10"/>
    </row>
    <row r="317" spans="1:23" ht="13">
      <c r="A317" s="10" t="s">
        <v>1615</v>
      </c>
      <c r="B317" s="10" t="s">
        <v>1567</v>
      </c>
      <c r="C317" s="10" t="s">
        <v>1568</v>
      </c>
      <c r="D317" s="10" t="s">
        <v>1617</v>
      </c>
      <c r="E317" s="10"/>
      <c r="F317" s="10"/>
      <c r="G317" s="10"/>
      <c r="H317" s="103" t="s">
        <v>895</v>
      </c>
      <c r="I317" s="103" t="s">
        <v>992</v>
      </c>
      <c r="J317" s="103" t="s">
        <v>993</v>
      </c>
      <c r="K317" s="10"/>
      <c r="L317" s="23" t="s">
        <v>248</v>
      </c>
      <c r="M317" s="103" t="s">
        <v>315</v>
      </c>
      <c r="N317" s="90">
        <v>12500</v>
      </c>
      <c r="O317" s="10"/>
      <c r="P317" s="103">
        <v>15</v>
      </c>
      <c r="Q317" s="90">
        <v>40000</v>
      </c>
      <c r="R317" s="10"/>
      <c r="S317" s="103" t="s">
        <v>0</v>
      </c>
      <c r="T317" s="10"/>
      <c r="U317" s="103" t="s">
        <v>1607</v>
      </c>
      <c r="V317" s="103" t="s">
        <v>1147</v>
      </c>
      <c r="W317" s="10"/>
    </row>
    <row r="318" spans="1:23" ht="13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</row>
    <row r="319" spans="1:23" ht="13">
      <c r="A319" s="10" t="s">
        <v>1618</v>
      </c>
      <c r="B319" s="10" t="s">
        <v>371</v>
      </c>
      <c r="C319" s="10" t="s">
        <v>372</v>
      </c>
      <c r="D319" s="10" t="s">
        <v>1619</v>
      </c>
      <c r="E319" s="10"/>
      <c r="F319" s="10"/>
      <c r="G319" s="10"/>
      <c r="H319" s="103" t="s">
        <v>895</v>
      </c>
      <c r="I319" s="103" t="s">
        <v>1152</v>
      </c>
      <c r="J319" s="103" t="s">
        <v>993</v>
      </c>
      <c r="K319" s="10"/>
      <c r="L319" s="23" t="s">
        <v>1035</v>
      </c>
      <c r="M319" s="103" t="s">
        <v>315</v>
      </c>
      <c r="N319" s="90">
        <v>48000</v>
      </c>
      <c r="O319" s="10"/>
      <c r="P319" s="103">
        <v>15</v>
      </c>
      <c r="Q319" s="10"/>
      <c r="R319" s="103" t="s">
        <v>1058</v>
      </c>
      <c r="S319" s="103" t="s">
        <v>1037</v>
      </c>
      <c r="T319" s="10"/>
      <c r="U319" s="103" t="s">
        <v>837</v>
      </c>
      <c r="V319" s="103" t="s">
        <v>1039</v>
      </c>
      <c r="W319" s="10"/>
    </row>
    <row r="320" spans="1:23" ht="13">
      <c r="A320" s="10" t="s">
        <v>1618</v>
      </c>
      <c r="B320" s="10" t="s">
        <v>371</v>
      </c>
      <c r="C320" s="10" t="s">
        <v>372</v>
      </c>
      <c r="D320" s="10" t="s">
        <v>1620</v>
      </c>
      <c r="E320" s="10"/>
      <c r="F320" s="10"/>
      <c r="G320" s="10"/>
      <c r="H320" s="103" t="s">
        <v>895</v>
      </c>
      <c r="I320" s="103" t="s">
        <v>1152</v>
      </c>
      <c r="J320" s="103" t="s">
        <v>993</v>
      </c>
      <c r="K320" s="10"/>
      <c r="L320" s="23" t="s">
        <v>1035</v>
      </c>
      <c r="M320" s="103" t="s">
        <v>315</v>
      </c>
      <c r="N320" s="90">
        <v>48000</v>
      </c>
      <c r="O320" s="10"/>
      <c r="P320" s="103">
        <v>15</v>
      </c>
      <c r="Q320" s="10"/>
      <c r="R320" s="103"/>
      <c r="S320" s="103" t="s">
        <v>1037</v>
      </c>
      <c r="T320" s="10"/>
      <c r="U320" s="103" t="s">
        <v>837</v>
      </c>
      <c r="V320" s="103" t="s">
        <v>1039</v>
      </c>
      <c r="W320" s="10"/>
    </row>
    <row r="321" spans="1:23" ht="13">
      <c r="A321" s="10" t="s">
        <v>1618</v>
      </c>
      <c r="B321" s="10" t="s">
        <v>371</v>
      </c>
      <c r="C321" s="10" t="s">
        <v>372</v>
      </c>
      <c r="D321" s="10" t="s">
        <v>1621</v>
      </c>
      <c r="E321" s="10"/>
      <c r="F321" s="10"/>
      <c r="G321" s="10"/>
      <c r="H321" s="103" t="s">
        <v>895</v>
      </c>
      <c r="I321" s="103" t="s">
        <v>1152</v>
      </c>
      <c r="J321" s="103" t="s">
        <v>993</v>
      </c>
      <c r="K321" s="10"/>
      <c r="L321" s="23" t="s">
        <v>1035</v>
      </c>
      <c r="M321" s="103" t="s">
        <v>882</v>
      </c>
      <c r="N321" s="90">
        <v>45000</v>
      </c>
      <c r="O321" s="10"/>
      <c r="P321" s="103">
        <v>15</v>
      </c>
      <c r="Q321" s="10"/>
      <c r="R321" s="103" t="s">
        <v>1058</v>
      </c>
      <c r="S321" s="103" t="s">
        <v>1037</v>
      </c>
      <c r="T321" s="10"/>
      <c r="U321" s="103" t="s">
        <v>837</v>
      </c>
      <c r="V321" s="103" t="s">
        <v>1039</v>
      </c>
      <c r="W321" s="10"/>
    </row>
    <row r="322" spans="1:23" ht="13">
      <c r="A322" s="10" t="s">
        <v>1618</v>
      </c>
      <c r="B322" s="10" t="s">
        <v>371</v>
      </c>
      <c r="C322" s="10" t="s">
        <v>372</v>
      </c>
      <c r="D322" s="10" t="s">
        <v>1622</v>
      </c>
      <c r="E322" s="10"/>
      <c r="F322" s="10"/>
      <c r="G322" s="10"/>
      <c r="H322" s="103" t="s">
        <v>895</v>
      </c>
      <c r="I322" s="103" t="s">
        <v>1152</v>
      </c>
      <c r="J322" s="103" t="s">
        <v>993</v>
      </c>
      <c r="K322" s="10"/>
      <c r="L322" s="23" t="s">
        <v>1035</v>
      </c>
      <c r="M322" s="103" t="s">
        <v>882</v>
      </c>
      <c r="N322" s="90">
        <v>48000</v>
      </c>
      <c r="O322" s="10"/>
      <c r="P322" s="103">
        <v>15</v>
      </c>
      <c r="Q322" s="10"/>
      <c r="R322" s="103"/>
      <c r="S322" s="103" t="s">
        <v>1037</v>
      </c>
      <c r="T322" s="10"/>
      <c r="U322" s="103" t="s">
        <v>837</v>
      </c>
      <c r="V322" s="103" t="s">
        <v>1039</v>
      </c>
      <c r="W322" s="10"/>
    </row>
    <row r="323" spans="1:23" ht="13">
      <c r="A323" s="10" t="s">
        <v>1618</v>
      </c>
      <c r="B323" s="10" t="s">
        <v>371</v>
      </c>
      <c r="C323" s="10" t="s">
        <v>372</v>
      </c>
      <c r="D323" s="10" t="s">
        <v>1623</v>
      </c>
      <c r="E323" s="10"/>
      <c r="F323" s="10"/>
      <c r="G323" s="10"/>
      <c r="H323" s="103" t="s">
        <v>895</v>
      </c>
      <c r="I323" s="103" t="s">
        <v>1152</v>
      </c>
      <c r="J323" s="103" t="s">
        <v>993</v>
      </c>
      <c r="K323" s="10"/>
      <c r="L323" s="23" t="s">
        <v>1035</v>
      </c>
      <c r="M323" s="103" t="s">
        <v>315</v>
      </c>
      <c r="N323" s="90">
        <v>48000</v>
      </c>
      <c r="O323" s="10"/>
      <c r="P323" s="103">
        <v>15</v>
      </c>
      <c r="Q323" s="10"/>
      <c r="R323" s="103"/>
      <c r="S323" s="103" t="s">
        <v>1037</v>
      </c>
      <c r="T323" s="10"/>
      <c r="U323" s="103" t="s">
        <v>837</v>
      </c>
      <c r="V323" s="103" t="s">
        <v>1039</v>
      </c>
      <c r="W323" s="10"/>
    </row>
    <row r="324" spans="1:23" ht="13">
      <c r="A324" s="10" t="s">
        <v>1618</v>
      </c>
      <c r="B324" s="10" t="s">
        <v>371</v>
      </c>
      <c r="C324" s="10" t="s">
        <v>372</v>
      </c>
      <c r="D324" s="10" t="s">
        <v>1624</v>
      </c>
      <c r="E324" s="10"/>
      <c r="F324" s="10"/>
      <c r="G324" s="10"/>
      <c r="H324" s="103" t="s">
        <v>895</v>
      </c>
      <c r="I324" s="103" t="s">
        <v>1152</v>
      </c>
      <c r="J324" s="103" t="s">
        <v>993</v>
      </c>
      <c r="K324" s="10"/>
      <c r="L324" s="23" t="s">
        <v>1035</v>
      </c>
      <c r="M324" s="103" t="s">
        <v>315</v>
      </c>
      <c r="N324" s="90">
        <v>48000</v>
      </c>
      <c r="O324" s="10"/>
      <c r="P324" s="103">
        <v>15</v>
      </c>
      <c r="Q324" s="10"/>
      <c r="R324" s="103" t="s">
        <v>1058</v>
      </c>
      <c r="S324" s="103" t="s">
        <v>1037</v>
      </c>
      <c r="T324" s="10"/>
      <c r="U324" s="103" t="s">
        <v>837</v>
      </c>
      <c r="V324" s="103" t="s">
        <v>1039</v>
      </c>
      <c r="W324" s="10"/>
    </row>
    <row r="325" spans="1:23" ht="13">
      <c r="A325" s="10" t="s">
        <v>1618</v>
      </c>
      <c r="B325" s="10" t="s">
        <v>371</v>
      </c>
      <c r="C325" s="10" t="s">
        <v>372</v>
      </c>
      <c r="D325" s="10" t="s">
        <v>1625</v>
      </c>
      <c r="E325" s="10"/>
      <c r="F325" s="10"/>
      <c r="G325" s="10"/>
      <c r="H325" s="103" t="s">
        <v>895</v>
      </c>
      <c r="I325" s="103" t="s">
        <v>1152</v>
      </c>
      <c r="J325" s="103" t="s">
        <v>993</v>
      </c>
      <c r="K325" s="10"/>
      <c r="L325" s="23" t="s">
        <v>1035</v>
      </c>
      <c r="M325" s="103" t="s">
        <v>315</v>
      </c>
      <c r="N325" s="90">
        <v>48000</v>
      </c>
      <c r="O325" s="10"/>
      <c r="P325" s="103">
        <v>15</v>
      </c>
      <c r="Q325" s="10"/>
      <c r="R325" s="103"/>
      <c r="S325" s="103" t="s">
        <v>1037</v>
      </c>
      <c r="T325" s="10"/>
      <c r="U325" s="103" t="s">
        <v>837</v>
      </c>
      <c r="V325" s="103" t="s">
        <v>1039</v>
      </c>
      <c r="W325" s="10"/>
    </row>
    <row r="326" spans="1:23" ht="13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</row>
    <row r="327" spans="1:23" ht="13">
      <c r="A327" s="10" t="s">
        <v>1626</v>
      </c>
      <c r="B327" s="10"/>
      <c r="C327" s="10"/>
      <c r="D327" s="10" t="s">
        <v>1627</v>
      </c>
      <c r="E327" s="10" t="s">
        <v>784</v>
      </c>
      <c r="F327" s="10"/>
      <c r="G327" s="10"/>
      <c r="H327" s="103" t="s">
        <v>895</v>
      </c>
      <c r="I327" s="103" t="s">
        <v>1152</v>
      </c>
      <c r="J327" s="103" t="s">
        <v>993</v>
      </c>
      <c r="K327" s="10"/>
      <c r="L327" s="23" t="s">
        <v>248</v>
      </c>
      <c r="M327" s="103" t="s">
        <v>315</v>
      </c>
      <c r="N327" s="90">
        <v>29000</v>
      </c>
      <c r="O327" s="10"/>
      <c r="P327" s="103">
        <v>15</v>
      </c>
      <c r="Q327" s="10"/>
      <c r="R327" s="10"/>
      <c r="S327" s="103" t="s">
        <v>0</v>
      </c>
      <c r="T327" s="10"/>
      <c r="U327" s="103" t="s">
        <v>361</v>
      </c>
      <c r="V327" s="103" t="s">
        <v>1516</v>
      </c>
      <c r="W327" s="10"/>
    </row>
    <row r="328" spans="1:23" ht="13">
      <c r="A328" s="10" t="s">
        <v>1626</v>
      </c>
      <c r="B328" s="10"/>
      <c r="C328" s="10"/>
      <c r="D328" s="10" t="s">
        <v>1628</v>
      </c>
      <c r="E328" s="10" t="s">
        <v>784</v>
      </c>
      <c r="F328" s="10"/>
      <c r="G328" s="10"/>
      <c r="H328" s="103" t="s">
        <v>895</v>
      </c>
      <c r="I328" s="103" t="s">
        <v>1152</v>
      </c>
      <c r="J328" s="103" t="s">
        <v>993</v>
      </c>
      <c r="K328" s="10"/>
      <c r="L328" s="23" t="s">
        <v>248</v>
      </c>
      <c r="M328" s="103" t="s">
        <v>315</v>
      </c>
      <c r="N328" s="90">
        <v>29000</v>
      </c>
      <c r="O328" s="10"/>
      <c r="P328" s="103">
        <v>15</v>
      </c>
      <c r="Q328" s="10"/>
      <c r="R328" s="10"/>
      <c r="S328" s="103" t="s">
        <v>0</v>
      </c>
      <c r="T328" s="10"/>
      <c r="U328" s="103" t="s">
        <v>361</v>
      </c>
      <c r="V328" s="103" t="s">
        <v>1516</v>
      </c>
      <c r="W328" s="10"/>
    </row>
    <row r="329" spans="1:23" ht="13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90"/>
      <c r="O329" s="10"/>
      <c r="P329" s="10"/>
      <c r="Q329" s="10"/>
      <c r="R329" s="10"/>
      <c r="S329" s="10"/>
      <c r="T329" s="10"/>
      <c r="U329" s="10"/>
      <c r="V329" s="10"/>
      <c r="W329" s="10"/>
    </row>
    <row r="330" spans="1:23" ht="13">
      <c r="A330" s="10" t="s">
        <v>1629</v>
      </c>
      <c r="B330" s="10"/>
      <c r="C330" s="10"/>
      <c r="D330" s="10" t="s">
        <v>1630</v>
      </c>
      <c r="E330" s="10" t="s">
        <v>1631</v>
      </c>
      <c r="F330" s="10"/>
      <c r="G330" s="10"/>
      <c r="H330" s="103" t="s">
        <v>897</v>
      </c>
      <c r="I330" s="103" t="s">
        <v>1632</v>
      </c>
      <c r="J330" s="103" t="s">
        <v>1633</v>
      </c>
      <c r="K330" s="10"/>
      <c r="L330" s="10"/>
      <c r="M330" s="103" t="s">
        <v>1634</v>
      </c>
      <c r="N330" s="10"/>
      <c r="O330" s="90">
        <v>63500000</v>
      </c>
      <c r="P330" s="10"/>
      <c r="Q330" s="10"/>
      <c r="R330" s="10"/>
      <c r="S330" s="10"/>
      <c r="T330" s="10"/>
      <c r="U330" s="10"/>
      <c r="V330" s="10"/>
      <c r="W330" s="10"/>
    </row>
    <row r="331" spans="1:23" ht="13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</row>
    <row r="332" spans="1:23" ht="13">
      <c r="A332" s="10" t="s">
        <v>1635</v>
      </c>
      <c r="B332" s="10" t="s">
        <v>792</v>
      </c>
      <c r="C332" s="10"/>
      <c r="D332" s="10" t="s">
        <v>794</v>
      </c>
      <c r="E332" s="10"/>
      <c r="F332" s="10"/>
      <c r="G332" s="10"/>
      <c r="H332" s="103" t="s">
        <v>891</v>
      </c>
      <c r="I332" s="103" t="s">
        <v>1152</v>
      </c>
      <c r="J332" s="103" t="s">
        <v>1056</v>
      </c>
      <c r="K332" s="10"/>
      <c r="L332" s="23" t="s">
        <v>1035</v>
      </c>
      <c r="M332" s="103" t="s">
        <v>1636</v>
      </c>
      <c r="N332" s="90">
        <v>35000</v>
      </c>
      <c r="O332" s="10"/>
      <c r="P332" s="103">
        <v>10</v>
      </c>
      <c r="Q332" s="10"/>
      <c r="R332" s="103" t="s">
        <v>1058</v>
      </c>
      <c r="S332" s="103" t="s">
        <v>1037</v>
      </c>
      <c r="T332" s="10"/>
      <c r="U332" s="103" t="s">
        <v>361</v>
      </c>
      <c r="V332" s="103" t="s">
        <v>1279</v>
      </c>
      <c r="W332" s="10"/>
    </row>
    <row r="333" spans="1:23" ht="1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</row>
    <row r="334" spans="1:23" ht="13">
      <c r="A334" s="10" t="s">
        <v>1637</v>
      </c>
      <c r="B334" s="10" t="s">
        <v>1638</v>
      </c>
      <c r="C334" s="10" t="s">
        <v>1639</v>
      </c>
      <c r="D334" s="10" t="s">
        <v>1640</v>
      </c>
      <c r="E334" s="10"/>
      <c r="F334" s="10"/>
      <c r="G334" s="10"/>
      <c r="H334" s="10"/>
      <c r="I334" s="10"/>
      <c r="J334" s="10"/>
      <c r="K334" s="10"/>
      <c r="L334" s="10"/>
      <c r="M334" s="10"/>
      <c r="N334" s="90">
        <v>15000</v>
      </c>
      <c r="O334" s="103"/>
      <c r="P334" s="103">
        <v>15</v>
      </c>
      <c r="Q334" s="10"/>
      <c r="R334" s="10"/>
      <c r="S334" s="10"/>
      <c r="T334" s="10"/>
      <c r="U334" s="10"/>
      <c r="V334" s="10"/>
      <c r="W334" s="10"/>
    </row>
    <row r="335" spans="1:23" ht="13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</row>
    <row r="336" spans="1:23" ht="13">
      <c r="A336" s="10" t="s">
        <v>1641</v>
      </c>
      <c r="B336" s="10" t="s">
        <v>371</v>
      </c>
      <c r="C336" s="10" t="s">
        <v>372</v>
      </c>
      <c r="D336" s="10" t="s">
        <v>1619</v>
      </c>
      <c r="E336" s="10"/>
      <c r="F336" s="10"/>
      <c r="G336" s="10"/>
      <c r="H336" s="10"/>
      <c r="I336" s="103" t="s">
        <v>1642</v>
      </c>
      <c r="J336" s="103" t="s">
        <v>1643</v>
      </c>
      <c r="K336" s="10"/>
      <c r="L336" s="10"/>
      <c r="M336" s="103" t="s">
        <v>315</v>
      </c>
      <c r="N336" s="90"/>
      <c r="O336" s="90">
        <v>3500000</v>
      </c>
      <c r="P336" s="103">
        <v>15</v>
      </c>
      <c r="Q336" s="10"/>
      <c r="R336" s="10"/>
      <c r="S336" s="10"/>
      <c r="T336" s="10"/>
      <c r="U336" s="10"/>
      <c r="V336" s="10"/>
      <c r="W336" s="10"/>
    </row>
    <row r="337" spans="1:23" ht="13">
      <c r="A337" s="10" t="s">
        <v>1641</v>
      </c>
      <c r="B337" s="10" t="s">
        <v>371</v>
      </c>
      <c r="C337" s="10" t="s">
        <v>372</v>
      </c>
      <c r="D337" s="10" t="s">
        <v>1620</v>
      </c>
      <c r="E337" s="10"/>
      <c r="F337" s="10"/>
      <c r="G337" s="10"/>
      <c r="H337" s="10"/>
      <c r="I337" s="103" t="s">
        <v>1642</v>
      </c>
      <c r="J337" s="103" t="s">
        <v>1643</v>
      </c>
      <c r="K337" s="10"/>
      <c r="L337" s="10"/>
      <c r="M337" s="103" t="s">
        <v>315</v>
      </c>
      <c r="N337" s="90"/>
      <c r="O337" s="90">
        <v>3500000</v>
      </c>
      <c r="P337" s="103">
        <v>15</v>
      </c>
      <c r="Q337" s="10"/>
      <c r="R337" s="10"/>
      <c r="S337" s="10"/>
      <c r="T337" s="10"/>
      <c r="U337" s="10"/>
      <c r="V337" s="10"/>
      <c r="W337" s="10"/>
    </row>
    <row r="338" spans="1:23" ht="13">
      <c r="A338" s="10" t="s">
        <v>1641</v>
      </c>
      <c r="B338" s="10" t="s">
        <v>371</v>
      </c>
      <c r="C338" s="10" t="s">
        <v>372</v>
      </c>
      <c r="D338" s="10" t="s">
        <v>1621</v>
      </c>
      <c r="E338" s="10"/>
      <c r="F338" s="10"/>
      <c r="G338" s="10"/>
      <c r="H338" s="10"/>
      <c r="I338" s="103" t="s">
        <v>1642</v>
      </c>
      <c r="J338" s="103" t="s">
        <v>1643</v>
      </c>
      <c r="K338" s="10"/>
      <c r="L338" s="10"/>
      <c r="M338" s="103" t="s">
        <v>882</v>
      </c>
      <c r="N338" s="90"/>
      <c r="O338" s="90">
        <v>3500000</v>
      </c>
      <c r="P338" s="103">
        <v>15</v>
      </c>
      <c r="Q338" s="10"/>
      <c r="R338" s="10"/>
      <c r="S338" s="10"/>
      <c r="T338" s="10"/>
      <c r="U338" s="10"/>
      <c r="V338" s="10"/>
      <c r="W338" s="10"/>
    </row>
    <row r="339" spans="1:23" ht="13">
      <c r="A339" s="10" t="s">
        <v>1641</v>
      </c>
      <c r="B339" s="10" t="s">
        <v>371</v>
      </c>
      <c r="C339" s="10" t="s">
        <v>372</v>
      </c>
      <c r="D339" s="10" t="s">
        <v>1622</v>
      </c>
      <c r="E339" s="10"/>
      <c r="F339" s="10"/>
      <c r="G339" s="10"/>
      <c r="H339" s="10"/>
      <c r="I339" s="103" t="s">
        <v>1642</v>
      </c>
      <c r="J339" s="103" t="s">
        <v>1643</v>
      </c>
      <c r="K339" s="10"/>
      <c r="L339" s="10"/>
      <c r="M339" s="103" t="s">
        <v>882</v>
      </c>
      <c r="N339" s="90"/>
      <c r="O339" s="90">
        <v>3500000</v>
      </c>
      <c r="P339" s="103">
        <v>15</v>
      </c>
      <c r="Q339" s="10"/>
      <c r="R339" s="10"/>
      <c r="S339" s="10"/>
      <c r="T339" s="10"/>
      <c r="U339" s="10"/>
      <c r="V339" s="10"/>
      <c r="W339" s="10"/>
    </row>
    <row r="340" spans="1:23" ht="13">
      <c r="A340" s="10" t="s">
        <v>1641</v>
      </c>
      <c r="B340" s="10" t="s">
        <v>371</v>
      </c>
      <c r="C340" s="10" t="s">
        <v>372</v>
      </c>
      <c r="D340" s="10" t="s">
        <v>1623</v>
      </c>
      <c r="E340" s="10"/>
      <c r="F340" s="10"/>
      <c r="G340" s="10"/>
      <c r="H340" s="10"/>
      <c r="I340" s="103" t="s">
        <v>1642</v>
      </c>
      <c r="J340" s="103" t="s">
        <v>1643</v>
      </c>
      <c r="K340" s="10"/>
      <c r="L340" s="10"/>
      <c r="M340" s="103" t="s">
        <v>315</v>
      </c>
      <c r="N340" s="90"/>
      <c r="O340" s="90">
        <v>3500000</v>
      </c>
      <c r="P340" s="103">
        <v>15</v>
      </c>
      <c r="Q340" s="10"/>
      <c r="R340" s="10"/>
      <c r="S340" s="10"/>
      <c r="T340" s="10"/>
      <c r="U340" s="10"/>
      <c r="V340" s="10"/>
      <c r="W340" s="10"/>
    </row>
    <row r="341" spans="1:23" ht="13">
      <c r="A341" s="10" t="s">
        <v>1641</v>
      </c>
      <c r="B341" s="10" t="s">
        <v>371</v>
      </c>
      <c r="C341" s="10" t="s">
        <v>372</v>
      </c>
      <c r="D341" s="10" t="s">
        <v>1624</v>
      </c>
      <c r="E341" s="10"/>
      <c r="F341" s="10"/>
      <c r="G341" s="10"/>
      <c r="H341" s="10"/>
      <c r="I341" s="103" t="s">
        <v>1642</v>
      </c>
      <c r="J341" s="103" t="s">
        <v>1643</v>
      </c>
      <c r="K341" s="10"/>
      <c r="L341" s="10"/>
      <c r="M341" s="103" t="s">
        <v>315</v>
      </c>
      <c r="N341" s="90"/>
      <c r="O341" s="90">
        <v>3500000</v>
      </c>
      <c r="P341" s="103">
        <v>15</v>
      </c>
      <c r="Q341" s="10"/>
      <c r="R341" s="10"/>
      <c r="S341" s="10"/>
      <c r="T341" s="10"/>
      <c r="U341" s="10"/>
      <c r="V341" s="10"/>
      <c r="W341" s="10"/>
    </row>
    <row r="342" spans="1:23" ht="13">
      <c r="A342" s="10" t="s">
        <v>1641</v>
      </c>
      <c r="B342" s="10" t="s">
        <v>371</v>
      </c>
      <c r="C342" s="10" t="s">
        <v>372</v>
      </c>
      <c r="D342" s="10" t="s">
        <v>1625</v>
      </c>
      <c r="E342" s="10"/>
      <c r="F342" s="10"/>
      <c r="G342" s="10"/>
      <c r="H342" s="10"/>
      <c r="I342" s="103" t="s">
        <v>1642</v>
      </c>
      <c r="J342" s="103" t="s">
        <v>1643</v>
      </c>
      <c r="K342" s="10"/>
      <c r="L342" s="10"/>
      <c r="M342" s="103" t="s">
        <v>315</v>
      </c>
      <c r="N342" s="90"/>
      <c r="O342" s="90">
        <v>3500000</v>
      </c>
      <c r="P342" s="103">
        <v>15</v>
      </c>
      <c r="Q342" s="10"/>
      <c r="R342" s="10"/>
      <c r="S342" s="10"/>
      <c r="T342" s="10"/>
      <c r="U342" s="10"/>
      <c r="V342" s="10"/>
      <c r="W342" s="10"/>
    </row>
    <row r="343" spans="1:23" ht="1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</row>
    <row r="344" spans="1:23" ht="13">
      <c r="A344" s="10" t="s">
        <v>1644</v>
      </c>
      <c r="B344" s="10"/>
      <c r="C344" s="10"/>
      <c r="D344" s="10" t="s">
        <v>92</v>
      </c>
      <c r="E344" s="10" t="s">
        <v>747</v>
      </c>
      <c r="F344" s="10"/>
      <c r="G344" s="10"/>
      <c r="H344" s="103" t="s">
        <v>895</v>
      </c>
      <c r="I344" s="165">
        <v>43709</v>
      </c>
      <c r="J344" s="103" t="s">
        <v>993</v>
      </c>
      <c r="K344" s="10"/>
      <c r="L344" s="23" t="s">
        <v>248</v>
      </c>
      <c r="M344" s="103" t="s">
        <v>882</v>
      </c>
      <c r="N344" s="90">
        <v>15000</v>
      </c>
      <c r="O344" s="10"/>
      <c r="P344" s="103">
        <v>15</v>
      </c>
      <c r="Q344" s="10"/>
      <c r="R344" s="10"/>
      <c r="S344" s="103" t="s">
        <v>0</v>
      </c>
      <c r="T344" s="10"/>
      <c r="U344" s="103" t="s">
        <v>819</v>
      </c>
      <c r="V344" s="103" t="s">
        <v>1368</v>
      </c>
      <c r="W344" s="10"/>
    </row>
    <row r="345" spans="1:23" ht="13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</row>
    <row r="346" spans="1:23" ht="13">
      <c r="A346" s="10" t="s">
        <v>1645</v>
      </c>
      <c r="B346" s="10"/>
      <c r="C346" s="10"/>
      <c r="D346" s="10" t="s">
        <v>92</v>
      </c>
      <c r="E346" s="10" t="s">
        <v>747</v>
      </c>
      <c r="F346" s="10"/>
      <c r="G346" s="10"/>
      <c r="H346" s="103" t="s">
        <v>895</v>
      </c>
      <c r="I346" s="165">
        <v>43709</v>
      </c>
      <c r="J346" s="103" t="s">
        <v>993</v>
      </c>
      <c r="K346" s="10"/>
      <c r="L346" s="23" t="s">
        <v>248</v>
      </c>
      <c r="M346" s="103" t="s">
        <v>1636</v>
      </c>
      <c r="N346" s="90">
        <v>15000</v>
      </c>
      <c r="O346" s="10"/>
      <c r="P346" s="103">
        <v>15</v>
      </c>
      <c r="Q346" s="10"/>
      <c r="R346" s="10"/>
      <c r="S346" s="103" t="s">
        <v>0</v>
      </c>
      <c r="T346" s="10"/>
      <c r="U346" s="103" t="s">
        <v>1183</v>
      </c>
      <c r="V346" s="103" t="s">
        <v>1646</v>
      </c>
      <c r="W346" s="10"/>
    </row>
    <row r="347" spans="1:23" ht="13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</row>
    <row r="348" spans="1:23" ht="13">
      <c r="A348" s="10" t="s">
        <v>1647</v>
      </c>
      <c r="B348" s="10" t="s">
        <v>351</v>
      </c>
      <c r="C348" s="10" t="s">
        <v>954</v>
      </c>
      <c r="D348" s="10" t="s">
        <v>1648</v>
      </c>
      <c r="E348" s="10"/>
      <c r="F348" s="10"/>
      <c r="G348" s="10"/>
      <c r="H348" s="103" t="s">
        <v>886</v>
      </c>
      <c r="I348" s="103" t="s">
        <v>992</v>
      </c>
      <c r="J348" s="103" t="s">
        <v>1138</v>
      </c>
      <c r="K348" s="23" t="s">
        <v>940</v>
      </c>
      <c r="L348" s="23" t="s">
        <v>1035</v>
      </c>
      <c r="M348" s="103" t="s">
        <v>315</v>
      </c>
      <c r="N348" s="90">
        <v>40000</v>
      </c>
      <c r="O348" s="10"/>
      <c r="P348" s="103">
        <v>15</v>
      </c>
      <c r="Q348" s="10"/>
      <c r="R348" s="103" t="s">
        <v>1045</v>
      </c>
      <c r="S348" s="103" t="s">
        <v>1037</v>
      </c>
      <c r="T348" s="10"/>
      <c r="U348" s="103" t="s">
        <v>837</v>
      </c>
      <c r="V348" s="103" t="s">
        <v>1039</v>
      </c>
      <c r="W348" s="10"/>
    </row>
    <row r="349" spans="1:23" ht="13">
      <c r="A349" s="10" t="s">
        <v>1647</v>
      </c>
      <c r="B349" s="10" t="s">
        <v>351</v>
      </c>
      <c r="C349" s="10" t="s">
        <v>954</v>
      </c>
      <c r="D349" s="10" t="s">
        <v>1649</v>
      </c>
      <c r="E349" s="10"/>
      <c r="F349" s="10"/>
      <c r="G349" s="10"/>
      <c r="H349" s="103" t="s">
        <v>886</v>
      </c>
      <c r="I349" s="103" t="s">
        <v>992</v>
      </c>
      <c r="J349" s="103" t="s">
        <v>1138</v>
      </c>
      <c r="K349" s="23" t="s">
        <v>940</v>
      </c>
      <c r="L349" s="23" t="s">
        <v>1035</v>
      </c>
      <c r="M349" s="103" t="s">
        <v>315</v>
      </c>
      <c r="N349" s="90">
        <v>40000</v>
      </c>
      <c r="O349" s="10"/>
      <c r="P349" s="103">
        <v>15</v>
      </c>
      <c r="Q349" s="10"/>
      <c r="R349" s="103" t="s">
        <v>1045</v>
      </c>
      <c r="S349" s="103" t="s">
        <v>1037</v>
      </c>
      <c r="T349" s="10"/>
      <c r="U349" s="103" t="s">
        <v>837</v>
      </c>
      <c r="V349" s="103" t="s">
        <v>1039</v>
      </c>
      <c r="W349" s="10"/>
    </row>
    <row r="350" spans="1:23" ht="13">
      <c r="A350" s="10" t="s">
        <v>1647</v>
      </c>
      <c r="B350" s="10" t="s">
        <v>351</v>
      </c>
      <c r="C350" s="10" t="s">
        <v>954</v>
      </c>
      <c r="D350" s="10" t="s">
        <v>1650</v>
      </c>
      <c r="E350" s="10"/>
      <c r="F350" s="10"/>
      <c r="G350" s="10"/>
      <c r="H350" s="103" t="s">
        <v>886</v>
      </c>
      <c r="I350" s="103" t="s">
        <v>992</v>
      </c>
      <c r="J350" s="103" t="s">
        <v>1138</v>
      </c>
      <c r="K350" s="23" t="s">
        <v>940</v>
      </c>
      <c r="L350" s="23" t="s">
        <v>1035</v>
      </c>
      <c r="M350" s="103" t="s">
        <v>315</v>
      </c>
      <c r="N350" s="90">
        <v>40000</v>
      </c>
      <c r="O350" s="10"/>
      <c r="P350" s="103">
        <v>15</v>
      </c>
      <c r="Q350" s="10"/>
      <c r="R350" s="103" t="s">
        <v>1058</v>
      </c>
      <c r="S350" s="103" t="s">
        <v>1037</v>
      </c>
      <c r="T350" s="10"/>
      <c r="U350" s="103" t="s">
        <v>837</v>
      </c>
      <c r="V350" s="103" t="s">
        <v>1039</v>
      </c>
      <c r="W350" s="10"/>
    </row>
    <row r="351" spans="1:23" ht="13">
      <c r="A351" s="10" t="s">
        <v>1647</v>
      </c>
      <c r="B351" s="10" t="s">
        <v>351</v>
      </c>
      <c r="C351" s="10" t="s">
        <v>954</v>
      </c>
      <c r="D351" s="10" t="s">
        <v>1651</v>
      </c>
      <c r="E351" s="10"/>
      <c r="F351" s="10"/>
      <c r="G351" s="10"/>
      <c r="H351" s="103" t="s">
        <v>886</v>
      </c>
      <c r="I351" s="103" t="s">
        <v>992</v>
      </c>
      <c r="J351" s="103" t="s">
        <v>1138</v>
      </c>
      <c r="K351" s="23" t="s">
        <v>940</v>
      </c>
      <c r="L351" s="23" t="s">
        <v>1035</v>
      </c>
      <c r="M351" s="103" t="s">
        <v>315</v>
      </c>
      <c r="N351" s="90">
        <v>40000</v>
      </c>
      <c r="O351" s="10"/>
      <c r="P351" s="103">
        <v>15</v>
      </c>
      <c r="Q351" s="10"/>
      <c r="R351" s="103" t="s">
        <v>1058</v>
      </c>
      <c r="S351" s="103" t="s">
        <v>1037</v>
      </c>
      <c r="T351" s="10"/>
      <c r="U351" s="103" t="s">
        <v>837</v>
      </c>
      <c r="V351" s="103" t="s">
        <v>1039</v>
      </c>
      <c r="W351" s="10"/>
    </row>
    <row r="352" spans="1:23" ht="1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</row>
    <row r="353" spans="1:23" ht="13">
      <c r="A353" s="10" t="s">
        <v>1652</v>
      </c>
      <c r="B353" s="10" t="s">
        <v>566</v>
      </c>
      <c r="C353" s="10" t="s">
        <v>1653</v>
      </c>
      <c r="D353" s="10" t="s">
        <v>1488</v>
      </c>
      <c r="E353" s="10"/>
      <c r="F353" s="10"/>
      <c r="G353" s="10"/>
      <c r="H353" s="10"/>
      <c r="I353" s="10"/>
      <c r="J353" s="10"/>
      <c r="K353" s="10"/>
      <c r="L353" s="10"/>
      <c r="M353" s="103" t="s">
        <v>882</v>
      </c>
      <c r="N353" s="90">
        <v>28000</v>
      </c>
      <c r="O353" s="10"/>
      <c r="P353" s="103">
        <v>15</v>
      </c>
      <c r="Q353" s="10"/>
      <c r="R353" s="10"/>
      <c r="S353" s="10"/>
      <c r="T353" s="10"/>
      <c r="U353" s="103" t="s">
        <v>837</v>
      </c>
      <c r="V353" s="103" t="s">
        <v>1039</v>
      </c>
      <c r="W353" s="10"/>
    </row>
    <row r="354" spans="1:23" ht="13">
      <c r="A354" s="10" t="s">
        <v>1652</v>
      </c>
      <c r="B354" s="10" t="s">
        <v>566</v>
      </c>
      <c r="C354" s="10" t="s">
        <v>1653</v>
      </c>
      <c r="D354" s="10" t="s">
        <v>1492</v>
      </c>
      <c r="E354" s="10"/>
      <c r="F354" s="10"/>
      <c r="G354" s="10"/>
      <c r="H354" s="10"/>
      <c r="I354" s="10"/>
      <c r="J354" s="10"/>
      <c r="K354" s="10"/>
      <c r="L354" s="10"/>
      <c r="M354" s="103" t="s">
        <v>315</v>
      </c>
      <c r="N354" s="90">
        <v>28000</v>
      </c>
      <c r="O354" s="10"/>
      <c r="P354" s="103">
        <v>15</v>
      </c>
      <c r="Q354" s="10"/>
      <c r="R354" s="10"/>
      <c r="S354" s="10"/>
      <c r="T354" s="10"/>
      <c r="U354" s="103" t="s">
        <v>837</v>
      </c>
      <c r="V354" s="103" t="s">
        <v>1039</v>
      </c>
      <c r="W354" s="10"/>
    </row>
    <row r="355" spans="1:23" ht="13">
      <c r="A355" s="10" t="s">
        <v>1652</v>
      </c>
      <c r="B355" s="10" t="s">
        <v>566</v>
      </c>
      <c r="C355" s="10" t="s">
        <v>1653</v>
      </c>
      <c r="D355" s="10" t="s">
        <v>1494</v>
      </c>
      <c r="E355" s="10"/>
      <c r="F355" s="10"/>
      <c r="G355" s="10"/>
      <c r="H355" s="10"/>
      <c r="I355" s="10"/>
      <c r="J355" s="10"/>
      <c r="K355" s="10"/>
      <c r="L355" s="10"/>
      <c r="M355" s="103" t="s">
        <v>315</v>
      </c>
      <c r="N355" s="90">
        <v>28000</v>
      </c>
      <c r="O355" s="10"/>
      <c r="P355" s="103">
        <v>15</v>
      </c>
      <c r="Q355" s="10"/>
      <c r="R355" s="10"/>
      <c r="S355" s="10"/>
      <c r="T355" s="10"/>
      <c r="U355" s="103" t="s">
        <v>837</v>
      </c>
      <c r="V355" s="103" t="s">
        <v>1039</v>
      </c>
      <c r="W355" s="10"/>
    </row>
    <row r="356" spans="1:23" ht="1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</row>
    <row r="357" spans="1:23" ht="13">
      <c r="A357" s="10" t="s">
        <v>1654</v>
      </c>
      <c r="B357" s="10" t="s">
        <v>1655</v>
      </c>
      <c r="C357" s="10" t="s">
        <v>1656</v>
      </c>
      <c r="D357" s="10" t="s">
        <v>1657</v>
      </c>
      <c r="E357" s="10"/>
      <c r="G357" s="10"/>
      <c r="H357" s="103" t="s">
        <v>891</v>
      </c>
      <c r="I357" s="165">
        <v>43709</v>
      </c>
      <c r="J357" s="103" t="s">
        <v>1056</v>
      </c>
      <c r="K357" s="10"/>
      <c r="L357" s="23" t="s">
        <v>248</v>
      </c>
      <c r="M357" s="103" t="s">
        <v>1007</v>
      </c>
      <c r="N357" s="90">
        <v>17500</v>
      </c>
      <c r="O357" s="10"/>
      <c r="P357" s="103">
        <v>15</v>
      </c>
      <c r="Q357" s="10"/>
      <c r="R357" s="10"/>
      <c r="S357" s="10"/>
      <c r="T357" s="10"/>
      <c r="U357" s="103" t="s">
        <v>1001</v>
      </c>
      <c r="V357" s="103" t="s">
        <v>1095</v>
      </c>
      <c r="W357" s="10"/>
    </row>
    <row r="358" spans="1:23" ht="13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</row>
    <row r="359" spans="1:23" ht="13">
      <c r="A359" s="10" t="s">
        <v>1658</v>
      </c>
      <c r="B359" s="10"/>
      <c r="C359" s="10"/>
      <c r="D359" s="10" t="s">
        <v>1659</v>
      </c>
      <c r="E359" s="10"/>
      <c r="F359" s="1" t="s">
        <v>1660</v>
      </c>
      <c r="G359" s="10" t="s">
        <v>1661</v>
      </c>
      <c r="H359" s="10"/>
      <c r="I359" s="10"/>
      <c r="J359" s="10"/>
      <c r="K359" s="10"/>
      <c r="L359" s="10"/>
      <c r="M359" s="103" t="s">
        <v>1485</v>
      </c>
      <c r="N359" s="10"/>
      <c r="O359" s="90">
        <v>5000000</v>
      </c>
      <c r="P359" s="10"/>
      <c r="Q359" s="10"/>
      <c r="R359" s="10"/>
      <c r="S359" s="10"/>
      <c r="T359" s="10"/>
      <c r="U359" s="10"/>
      <c r="V359" s="103" t="s">
        <v>1147</v>
      </c>
      <c r="W359" s="10"/>
    </row>
    <row r="360" spans="1:23" ht="1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</row>
    <row r="361" spans="1:23" ht="13">
      <c r="A361" s="10" t="s">
        <v>1662</v>
      </c>
      <c r="B361" s="10"/>
      <c r="C361" s="10"/>
      <c r="D361" s="10" t="s">
        <v>811</v>
      </c>
      <c r="E361" s="10" t="s">
        <v>1663</v>
      </c>
      <c r="F361" s="10" t="s">
        <v>295</v>
      </c>
      <c r="G361" s="10" t="s">
        <v>1664</v>
      </c>
      <c r="H361" s="10"/>
      <c r="I361" s="10"/>
      <c r="J361" s="10"/>
      <c r="K361" s="10"/>
      <c r="L361" s="10"/>
      <c r="M361" s="103" t="s">
        <v>1665</v>
      </c>
      <c r="N361" s="10"/>
      <c r="O361" s="90">
        <v>10000000</v>
      </c>
      <c r="P361" s="10"/>
      <c r="Q361" s="10"/>
      <c r="R361" s="10"/>
      <c r="S361" s="10"/>
      <c r="T361" s="10"/>
      <c r="U361" s="10"/>
      <c r="V361" s="10"/>
      <c r="W361" s="10"/>
    </row>
    <row r="362" spans="1:23" ht="13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</row>
    <row r="363" spans="1:23" ht="13">
      <c r="A363" s="10" t="s">
        <v>1666</v>
      </c>
      <c r="B363" s="10"/>
      <c r="C363" s="10"/>
      <c r="D363" s="10" t="s">
        <v>831</v>
      </c>
      <c r="E363" s="10" t="s">
        <v>1667</v>
      </c>
      <c r="F363" s="10"/>
      <c r="G363" s="10"/>
      <c r="H363" s="103" t="s">
        <v>1668</v>
      </c>
      <c r="I363" s="165">
        <v>43770</v>
      </c>
      <c r="J363" s="165">
        <v>43799</v>
      </c>
      <c r="K363" s="10"/>
      <c r="L363" s="23" t="s">
        <v>1035</v>
      </c>
      <c r="M363" s="103" t="s">
        <v>315</v>
      </c>
      <c r="N363" s="90">
        <v>350000</v>
      </c>
      <c r="O363" s="10"/>
      <c r="P363" s="10"/>
      <c r="Q363" s="10"/>
      <c r="R363" s="103" t="s">
        <v>1669</v>
      </c>
      <c r="S363" s="103" t="s">
        <v>1037</v>
      </c>
      <c r="T363" s="10"/>
      <c r="U363" s="103" t="s">
        <v>1117</v>
      </c>
      <c r="V363" s="103" t="s">
        <v>1300</v>
      </c>
      <c r="W363" s="10"/>
    </row>
    <row r="364" spans="1:23" ht="13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</row>
    <row r="365" spans="1:23" ht="13">
      <c r="A365" s="30" t="s">
        <v>1670</v>
      </c>
      <c r="B365" s="30" t="s">
        <v>1053</v>
      </c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</row>
    <row r="366" spans="1:23" ht="13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</row>
    <row r="367" spans="1:23" ht="28">
      <c r="A367" s="10" t="s">
        <v>1671</v>
      </c>
      <c r="B367" s="10"/>
      <c r="C367" s="10"/>
      <c r="D367" s="10" t="s">
        <v>1672</v>
      </c>
      <c r="E367" s="37" t="s">
        <v>1673</v>
      </c>
      <c r="F367" s="10"/>
      <c r="G367" s="10"/>
      <c r="H367" s="103" t="s">
        <v>895</v>
      </c>
      <c r="I367" s="165">
        <v>43770</v>
      </c>
      <c r="J367" s="103" t="s">
        <v>1204</v>
      </c>
      <c r="K367" s="10"/>
      <c r="L367" s="10"/>
      <c r="M367" s="23" t="s">
        <v>1674</v>
      </c>
      <c r="N367" s="10"/>
      <c r="O367" s="90">
        <v>6000000</v>
      </c>
      <c r="P367" s="103">
        <v>15</v>
      </c>
      <c r="Q367" s="10"/>
      <c r="R367" s="10"/>
      <c r="S367" s="10"/>
      <c r="T367" s="10"/>
      <c r="U367" s="10"/>
      <c r="V367" s="10"/>
      <c r="W367" s="10"/>
    </row>
    <row r="368" spans="1:23" ht="1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</row>
    <row r="369" spans="1:23" ht="13">
      <c r="A369" s="10" t="s">
        <v>1675</v>
      </c>
      <c r="B369" s="10" t="s">
        <v>676</v>
      </c>
      <c r="C369" s="81" t="s">
        <v>1676</v>
      </c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</row>
    <row r="370" spans="1:23" ht="13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</row>
    <row r="371" spans="1:23" ht="13">
      <c r="A371" s="10" t="s">
        <v>1677</v>
      </c>
      <c r="B371" s="10" t="s">
        <v>1678</v>
      </c>
      <c r="C371" s="81" t="s">
        <v>1679</v>
      </c>
      <c r="D371" s="10" t="s">
        <v>1680</v>
      </c>
      <c r="E371" s="10"/>
      <c r="F371" s="10"/>
      <c r="G371" s="10"/>
      <c r="H371" s="103" t="s">
        <v>895</v>
      </c>
      <c r="I371" s="103" t="s">
        <v>1152</v>
      </c>
      <c r="J371" s="103" t="s">
        <v>993</v>
      </c>
      <c r="K371" s="10"/>
      <c r="L371" s="23" t="s">
        <v>248</v>
      </c>
      <c r="M371" s="103" t="s">
        <v>1007</v>
      </c>
      <c r="N371" s="90">
        <v>12000</v>
      </c>
      <c r="O371" s="10"/>
      <c r="P371" s="103">
        <v>15</v>
      </c>
      <c r="Q371" s="10"/>
      <c r="R371" s="10"/>
      <c r="S371" s="103" t="s">
        <v>0</v>
      </c>
      <c r="T371" s="10"/>
      <c r="U371" s="103" t="s">
        <v>710</v>
      </c>
      <c r="V371" s="103" t="s">
        <v>1109</v>
      </c>
      <c r="W371" s="10"/>
    </row>
    <row r="372" spans="1:23" ht="13">
      <c r="A372" s="10" t="s">
        <v>1677</v>
      </c>
      <c r="B372" s="10" t="s">
        <v>1678</v>
      </c>
      <c r="C372" s="81" t="s">
        <v>1682</v>
      </c>
      <c r="D372" s="10" t="s">
        <v>1683</v>
      </c>
      <c r="E372" s="10"/>
      <c r="F372" s="10"/>
      <c r="G372" s="10"/>
      <c r="H372" s="103" t="s">
        <v>895</v>
      </c>
      <c r="I372" s="103" t="s">
        <v>1152</v>
      </c>
      <c r="J372" s="103" t="s">
        <v>993</v>
      </c>
      <c r="K372" s="10"/>
      <c r="L372" s="23" t="s">
        <v>248</v>
      </c>
      <c r="M372" s="103" t="s">
        <v>882</v>
      </c>
      <c r="N372" s="90">
        <v>12000</v>
      </c>
      <c r="O372" s="10"/>
      <c r="P372" s="103">
        <v>15</v>
      </c>
      <c r="Q372" s="10"/>
      <c r="R372" s="10"/>
      <c r="S372" s="103" t="s">
        <v>0</v>
      </c>
      <c r="T372" s="10"/>
      <c r="U372" s="103" t="s">
        <v>710</v>
      </c>
      <c r="V372" s="103" t="s">
        <v>1109</v>
      </c>
      <c r="W372" s="10"/>
    </row>
    <row r="373" spans="1:23" ht="13">
      <c r="A373" s="10" t="s">
        <v>1677</v>
      </c>
      <c r="B373" s="10" t="s">
        <v>1678</v>
      </c>
      <c r="C373" s="81" t="s">
        <v>1684</v>
      </c>
      <c r="D373" s="10" t="s">
        <v>1685</v>
      </c>
      <c r="E373" s="10"/>
      <c r="F373" s="10"/>
      <c r="G373" s="10"/>
      <c r="H373" s="103" t="s">
        <v>895</v>
      </c>
      <c r="I373" s="103" t="s">
        <v>1152</v>
      </c>
      <c r="J373" s="103" t="s">
        <v>993</v>
      </c>
      <c r="K373" s="10"/>
      <c r="L373" s="23" t="s">
        <v>248</v>
      </c>
      <c r="M373" s="103" t="s">
        <v>315</v>
      </c>
      <c r="N373" s="90">
        <v>12000</v>
      </c>
      <c r="O373" s="10"/>
      <c r="P373" s="103">
        <v>15</v>
      </c>
      <c r="Q373" s="10"/>
      <c r="R373" s="10"/>
      <c r="S373" s="103" t="s">
        <v>0</v>
      </c>
      <c r="T373" s="10"/>
      <c r="U373" s="103" t="s">
        <v>710</v>
      </c>
      <c r="V373" s="103" t="s">
        <v>1109</v>
      </c>
      <c r="W373" s="10"/>
    </row>
    <row r="374" spans="1:23" ht="13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</row>
    <row r="375" spans="1:23" ht="13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</row>
    <row r="376" spans="1:23" ht="13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</row>
    <row r="377" spans="1:23" ht="13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</row>
    <row r="378" spans="1:23" ht="13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</row>
    <row r="379" spans="1:23" ht="13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</row>
    <row r="380" spans="1:23" ht="13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</row>
    <row r="381" spans="1:23" ht="13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</row>
    <row r="382" spans="1:23" ht="13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</row>
    <row r="383" spans="1:23" ht="1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</row>
    <row r="384" spans="1:23" ht="13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</row>
  </sheetData>
  <dataValidations count="3">
    <dataValidation type="list" allowBlank="1" sqref="L2 L4 L6:L7 L16 L18 L20 L24 L29:L30 L82:L83 L85 L94:L95 L97 L99 L101 L103 L109:L112 L114:L117 L119:L122 L124 L126:L127 L129:L130 L132:L135 L137:L138 L140:L141 L143:L148 L150:L152 L154 L156:L158 L160:L161 L163:L164 L166:L168 L170:L171 L173 L175:L178 L180:L182 L184:L185 L187 L189:L190 L192 L194 L196:L197 L199 L205:L206 L208 L210 L212 L214:L217 L219:L238 L240 L244 L246 L248 L250 L252 L256:L257 L261 L265 L267 L278:L280 L282 L284:L285 L287:L292 L294:L295 L297 L299 L301:L304 L306 L308:L309 L313:L314 L316:L317 L319:L325 L327:L328 L332 L344 L346 L348:L351 L357 L363 L371:L373" xr:uid="{00000000-0002-0000-0900-000000000000}">
      <formula1>"Sewa Pinjam,Sewa Beli,Lisensi,Lisensi + Guru"</formula1>
    </dataValidation>
    <dataValidation type="list" allowBlank="1" sqref="S2 S4 S6:S7 S24 S29:S30 S36:S61 S63:S68 S70:S80 S82:S83 S85 S87:S90 S94:S95 S97 S99 S101 S103 S109:S112 S114:S117 S119:S122 S124 S126:S127 S129:S130 S132:S135 S137:S138 S140:S141 S143:S148 S150:S152 S154 S156:S158 S160:S161 S163:S164 S166:S168 S170:S171 S173 S175:S178 S180:S182 S184:S185 S187 S189:S190 S192 S194 S196:S197 S199 S205:S206 S208 S210 S212 S214:S217 S219:S238 S240 S244 S246 S248 S250 S252 S256:S257 S261 S265 S267 S269:S274 S278:S280 S284:S285 S287:S292 S294:S295 S301:S304 S306 S308:S309 S313:S314 S316:S317 S319:S325 S327:S328 S332 S344 S346 S348:S351 S363 S371:S373" xr:uid="{00000000-0002-0000-0900-000001000000}">
      <formula1>"Diginusa,Sekolah"</formula1>
    </dataValidation>
    <dataValidation type="list" allowBlank="1" sqref="K2 K4 K129:K130 K156:K158 K348:K351" xr:uid="{00000000-0002-0000-0900-000002000000}">
      <formula1>"Retention,Existing,New"</formula1>
    </dataValidation>
  </dataValidations>
  <hyperlinks>
    <hyperlink ref="C287" r:id="rId1" xr:uid="{00000000-0004-0000-0900-000000000000}"/>
    <hyperlink ref="C288" r:id="rId2" xr:uid="{00000000-0004-0000-0900-000001000000}"/>
    <hyperlink ref="C289" r:id="rId3" xr:uid="{00000000-0004-0000-0900-000002000000}"/>
    <hyperlink ref="C290" r:id="rId4" xr:uid="{00000000-0004-0000-0900-000003000000}"/>
    <hyperlink ref="C291" r:id="rId5" xr:uid="{00000000-0004-0000-0900-000004000000}"/>
    <hyperlink ref="C292" r:id="rId6" xr:uid="{00000000-0004-0000-0900-000005000000}"/>
    <hyperlink ref="C369" r:id="rId7" xr:uid="{00000000-0004-0000-0900-000006000000}"/>
    <hyperlink ref="C371" r:id="rId8" xr:uid="{00000000-0004-0000-0900-000007000000}"/>
    <hyperlink ref="C372" r:id="rId9" xr:uid="{00000000-0004-0000-0900-000008000000}"/>
    <hyperlink ref="C373" r:id="rId10" xr:uid="{00000000-0004-0000-0900-000009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C122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32.5" customWidth="1"/>
    <col min="2" max="2" width="32.83203125" customWidth="1"/>
    <col min="3" max="3" width="28" customWidth="1"/>
    <col min="4" max="4" width="38.83203125" customWidth="1"/>
    <col min="5" max="5" width="24.33203125" hidden="1" customWidth="1"/>
    <col min="6" max="6" width="22.5" hidden="1" customWidth="1"/>
    <col min="7" max="7" width="30.5" hidden="1" customWidth="1"/>
    <col min="8" max="8" width="22.33203125" customWidth="1"/>
    <col min="9" max="9" width="18.6640625" customWidth="1"/>
    <col min="10" max="10" width="19.33203125" customWidth="1"/>
    <col min="11" max="11" width="23.83203125" customWidth="1"/>
    <col min="12" max="12" width="24.33203125" customWidth="1"/>
    <col min="13" max="13" width="28.5" customWidth="1"/>
    <col min="14" max="15" width="19.5" customWidth="1"/>
    <col min="16" max="16" width="20.1640625" customWidth="1"/>
    <col min="17" max="17" width="17.1640625" customWidth="1"/>
    <col min="18" max="19" width="18.1640625" customWidth="1"/>
    <col min="20" max="20" width="25" customWidth="1"/>
    <col min="21" max="21" width="19.6640625" customWidth="1"/>
    <col min="22" max="22" width="22.5" customWidth="1"/>
    <col min="23" max="23" width="14.1640625" customWidth="1"/>
  </cols>
  <sheetData>
    <row r="1" spans="1:23" ht="15.75" customHeight="1">
      <c r="A1" s="161" t="s">
        <v>263</v>
      </c>
      <c r="B1" s="161" t="s">
        <v>941</v>
      </c>
      <c r="C1" s="161" t="s">
        <v>942</v>
      </c>
      <c r="D1" s="161" t="s">
        <v>0</v>
      </c>
      <c r="E1" s="161" t="s">
        <v>265</v>
      </c>
      <c r="F1" s="161" t="s">
        <v>984</v>
      </c>
      <c r="G1" s="161" t="s">
        <v>266</v>
      </c>
      <c r="H1" s="161" t="s">
        <v>267</v>
      </c>
      <c r="I1" s="161" t="s">
        <v>268</v>
      </c>
      <c r="J1" s="161" t="s">
        <v>269</v>
      </c>
      <c r="K1" s="161" t="s">
        <v>17</v>
      </c>
      <c r="L1" s="161" t="s">
        <v>270</v>
      </c>
      <c r="M1" s="161" t="s">
        <v>271</v>
      </c>
      <c r="N1" s="161" t="s">
        <v>272</v>
      </c>
      <c r="O1" s="161"/>
      <c r="P1" s="161" t="s">
        <v>985</v>
      </c>
      <c r="Q1" s="162" t="s">
        <v>274</v>
      </c>
      <c r="R1" s="161" t="s">
        <v>986</v>
      </c>
      <c r="S1" s="161" t="s">
        <v>987</v>
      </c>
      <c r="T1" s="161" t="s">
        <v>988</v>
      </c>
      <c r="U1" s="161" t="s">
        <v>989</v>
      </c>
      <c r="V1" s="161" t="s">
        <v>276</v>
      </c>
      <c r="W1" s="161" t="s">
        <v>277</v>
      </c>
    </row>
    <row r="2" spans="1:23" ht="15.75" customHeight="1">
      <c r="A2" s="36" t="s">
        <v>1133</v>
      </c>
      <c r="B2" s="10"/>
      <c r="C2" s="10" t="s">
        <v>1134</v>
      </c>
      <c r="D2" s="10" t="s">
        <v>1135</v>
      </c>
      <c r="E2" s="10"/>
      <c r="F2" s="10"/>
      <c r="G2" s="23"/>
      <c r="H2" s="23" t="s">
        <v>1136</v>
      </c>
      <c r="I2" s="23" t="s">
        <v>1137</v>
      </c>
      <c r="J2" s="23" t="s">
        <v>1138</v>
      </c>
      <c r="K2" s="23" t="s">
        <v>940</v>
      </c>
      <c r="L2" s="23" t="s">
        <v>248</v>
      </c>
      <c r="M2" s="103" t="s">
        <v>1141</v>
      </c>
      <c r="N2" s="108">
        <v>15000</v>
      </c>
      <c r="O2" s="108"/>
      <c r="P2" s="23">
        <v>15</v>
      </c>
      <c r="Q2" s="90">
        <v>20000</v>
      </c>
      <c r="R2" s="23"/>
      <c r="S2" s="103" t="s">
        <v>0</v>
      </c>
      <c r="T2" s="10"/>
      <c r="U2" s="23" t="s">
        <v>366</v>
      </c>
      <c r="V2" s="23" t="s">
        <v>1147</v>
      </c>
      <c r="W2" s="103"/>
    </row>
    <row r="3" spans="1:23" ht="15.75" customHeight="1">
      <c r="A3" s="36"/>
      <c r="B3" s="10"/>
      <c r="C3" s="10"/>
      <c r="D3" s="10"/>
      <c r="E3" s="10"/>
      <c r="F3" s="10"/>
      <c r="G3" s="23"/>
      <c r="H3" s="23"/>
      <c r="I3" s="23"/>
      <c r="J3" s="23"/>
      <c r="K3" s="23"/>
      <c r="L3" s="23"/>
      <c r="M3" s="103"/>
      <c r="N3" s="108"/>
      <c r="O3" s="108"/>
      <c r="P3" s="23"/>
      <c r="Q3" s="167"/>
      <c r="R3" s="23"/>
      <c r="S3" s="23"/>
      <c r="T3" s="10"/>
      <c r="U3" s="23"/>
      <c r="V3" s="23"/>
      <c r="W3" s="103"/>
    </row>
    <row r="4" spans="1:23" ht="15.75" customHeight="1">
      <c r="A4" s="36" t="s">
        <v>658</v>
      </c>
      <c r="B4" s="10" t="s">
        <v>654</v>
      </c>
      <c r="C4" s="10" t="s">
        <v>1154</v>
      </c>
      <c r="D4" s="10" t="s">
        <v>938</v>
      </c>
      <c r="E4" s="10"/>
      <c r="F4" s="10"/>
      <c r="G4" s="23"/>
      <c r="H4" s="23" t="s">
        <v>895</v>
      </c>
      <c r="I4" s="23" t="s">
        <v>1137</v>
      </c>
      <c r="J4" s="23" t="s">
        <v>1156</v>
      </c>
      <c r="K4" s="23"/>
      <c r="L4" s="23" t="s">
        <v>248</v>
      </c>
      <c r="M4" s="103" t="s">
        <v>315</v>
      </c>
      <c r="N4" s="108">
        <v>30000</v>
      </c>
      <c r="O4" s="108"/>
      <c r="P4" s="23">
        <v>15</v>
      </c>
      <c r="Q4" s="90">
        <v>30000</v>
      </c>
      <c r="R4" s="23"/>
      <c r="S4" s="103" t="s">
        <v>0</v>
      </c>
      <c r="T4" s="10"/>
      <c r="U4" s="23" t="s">
        <v>361</v>
      </c>
      <c r="V4" s="23" t="s">
        <v>1109</v>
      </c>
      <c r="W4" s="103"/>
    </row>
    <row r="5" spans="1:23" ht="15.75" customHeight="1">
      <c r="A5" s="36" t="s">
        <v>658</v>
      </c>
      <c r="B5" s="10" t="s">
        <v>654</v>
      </c>
      <c r="C5" s="10" t="s">
        <v>1154</v>
      </c>
      <c r="D5" s="10" t="s">
        <v>1164</v>
      </c>
      <c r="E5" s="10"/>
      <c r="F5" s="10"/>
      <c r="G5" s="23"/>
      <c r="H5" s="23" t="s">
        <v>895</v>
      </c>
      <c r="I5" s="23" t="s">
        <v>1137</v>
      </c>
      <c r="J5" s="23" t="s">
        <v>1156</v>
      </c>
      <c r="K5" s="23"/>
      <c r="L5" s="23" t="s">
        <v>248</v>
      </c>
      <c r="M5" s="103" t="s">
        <v>315</v>
      </c>
      <c r="N5" s="108">
        <v>30000</v>
      </c>
      <c r="O5" s="108"/>
      <c r="P5" s="23">
        <v>15</v>
      </c>
      <c r="Q5" s="90">
        <v>30000</v>
      </c>
      <c r="R5" s="23"/>
      <c r="S5" s="103" t="s">
        <v>0</v>
      </c>
      <c r="T5" s="10"/>
      <c r="U5" s="23" t="s">
        <v>361</v>
      </c>
      <c r="V5" s="23" t="s">
        <v>1109</v>
      </c>
      <c r="W5" s="103"/>
    </row>
    <row r="6" spans="1:23" ht="15.75" customHeight="1">
      <c r="A6" s="36"/>
      <c r="B6" s="10"/>
      <c r="C6" s="10"/>
      <c r="D6" s="10"/>
      <c r="E6" s="10"/>
      <c r="F6" s="10"/>
      <c r="G6" s="23"/>
      <c r="H6" s="23"/>
      <c r="I6" s="23"/>
      <c r="J6" s="23"/>
      <c r="K6" s="23"/>
      <c r="L6" s="23"/>
      <c r="M6" s="103"/>
      <c r="N6" s="108"/>
      <c r="O6" s="108"/>
      <c r="P6" s="23"/>
      <c r="Q6" s="167"/>
      <c r="R6" s="23"/>
      <c r="S6" s="23"/>
      <c r="T6" s="10"/>
      <c r="U6" s="23"/>
      <c r="V6" s="23"/>
      <c r="W6" s="103"/>
    </row>
    <row r="7" spans="1:23" ht="15.75" customHeight="1">
      <c r="A7" s="36" t="s">
        <v>661</v>
      </c>
      <c r="B7" s="10" t="s">
        <v>662</v>
      </c>
      <c r="C7" s="10" t="s">
        <v>663</v>
      </c>
      <c r="D7" s="10" t="s">
        <v>1170</v>
      </c>
      <c r="E7" s="10"/>
      <c r="F7" s="10"/>
      <c r="G7" s="23"/>
      <c r="H7" s="23" t="s">
        <v>895</v>
      </c>
      <c r="I7" s="23" t="s">
        <v>1171</v>
      </c>
      <c r="J7" s="23" t="s">
        <v>1156</v>
      </c>
      <c r="K7" s="23"/>
      <c r="L7" s="23" t="s">
        <v>248</v>
      </c>
      <c r="M7" s="103" t="s">
        <v>882</v>
      </c>
      <c r="N7" s="108">
        <v>26500</v>
      </c>
      <c r="O7" s="108"/>
      <c r="P7" s="23">
        <v>15</v>
      </c>
      <c r="Q7" s="90">
        <v>25000</v>
      </c>
      <c r="R7" s="23"/>
      <c r="S7" s="103" t="s">
        <v>0</v>
      </c>
      <c r="T7" s="10"/>
      <c r="U7" s="23" t="s">
        <v>1172</v>
      </c>
      <c r="V7" s="23" t="s">
        <v>1109</v>
      </c>
      <c r="W7" s="103"/>
    </row>
    <row r="8" spans="1:23" ht="15.75" customHeight="1">
      <c r="A8" s="36" t="s">
        <v>661</v>
      </c>
      <c r="B8" s="10" t="s">
        <v>662</v>
      </c>
      <c r="C8" s="10" t="s">
        <v>663</v>
      </c>
      <c r="D8" s="10" t="s">
        <v>1173</v>
      </c>
      <c r="E8" s="10"/>
      <c r="F8" s="10"/>
      <c r="G8" s="23"/>
      <c r="H8" s="23" t="s">
        <v>895</v>
      </c>
      <c r="I8" s="23" t="s">
        <v>1171</v>
      </c>
      <c r="J8" s="23" t="s">
        <v>1156</v>
      </c>
      <c r="K8" s="23"/>
      <c r="L8" s="23" t="s">
        <v>248</v>
      </c>
      <c r="M8" s="103" t="s">
        <v>315</v>
      </c>
      <c r="N8" s="108">
        <v>26500</v>
      </c>
      <c r="O8" s="108"/>
      <c r="P8" s="23">
        <v>15</v>
      </c>
      <c r="Q8" s="90">
        <v>25000</v>
      </c>
      <c r="R8" s="23"/>
      <c r="S8" s="103" t="s">
        <v>0</v>
      </c>
      <c r="T8" s="10"/>
      <c r="U8" s="23" t="s">
        <v>1172</v>
      </c>
      <c r="V8" s="23" t="s">
        <v>1109</v>
      </c>
      <c r="W8" s="103"/>
    </row>
    <row r="9" spans="1:23" ht="15.75" customHeight="1">
      <c r="A9" s="36"/>
      <c r="B9" s="10"/>
      <c r="C9" s="10"/>
      <c r="D9" s="10"/>
      <c r="E9" s="10"/>
      <c r="F9" s="10"/>
      <c r="G9" s="23"/>
      <c r="H9" s="23"/>
      <c r="I9" s="23"/>
      <c r="J9" s="23"/>
      <c r="K9" s="23"/>
      <c r="L9" s="23"/>
      <c r="M9" s="103"/>
      <c r="N9" s="108"/>
      <c r="O9" s="108"/>
      <c r="P9" s="23"/>
      <c r="Q9" s="167"/>
      <c r="R9" s="23"/>
      <c r="S9" s="103"/>
      <c r="T9" s="10"/>
      <c r="U9" s="23"/>
      <c r="V9" s="23"/>
      <c r="W9" s="103"/>
    </row>
    <row r="10" spans="1:23" ht="15.75" customHeight="1">
      <c r="A10" s="36" t="s">
        <v>1174</v>
      </c>
      <c r="B10" s="10" t="s">
        <v>898</v>
      </c>
      <c r="C10" s="37" t="s">
        <v>337</v>
      </c>
      <c r="D10" s="10" t="s">
        <v>1179</v>
      </c>
      <c r="E10" s="10"/>
      <c r="F10" s="10"/>
      <c r="G10" s="23"/>
      <c r="H10" s="23" t="s">
        <v>895</v>
      </c>
      <c r="I10" s="23" t="s">
        <v>1180</v>
      </c>
      <c r="J10" s="23" t="s">
        <v>1181</v>
      </c>
      <c r="K10" s="23" t="s">
        <v>940</v>
      </c>
      <c r="L10" s="23" t="s">
        <v>1035</v>
      </c>
      <c r="M10" s="103" t="s">
        <v>882</v>
      </c>
      <c r="N10" s="108">
        <v>30000</v>
      </c>
      <c r="O10" s="108"/>
      <c r="P10" s="23">
        <v>15</v>
      </c>
      <c r="Q10" s="90">
        <v>35000</v>
      </c>
      <c r="R10" s="23" t="s">
        <v>1058</v>
      </c>
      <c r="S10" s="103" t="s">
        <v>1037</v>
      </c>
      <c r="T10" s="10"/>
      <c r="U10" s="23" t="s">
        <v>819</v>
      </c>
      <c r="V10" s="23" t="s">
        <v>1183</v>
      </c>
      <c r="W10" s="103"/>
    </row>
    <row r="11" spans="1:23" ht="15.75" customHeight="1">
      <c r="A11" s="36" t="s">
        <v>1174</v>
      </c>
      <c r="B11" s="10" t="s">
        <v>898</v>
      </c>
      <c r="C11" s="37" t="s">
        <v>337</v>
      </c>
      <c r="D11" s="10" t="s">
        <v>1184</v>
      </c>
      <c r="E11" s="10"/>
      <c r="F11" s="10"/>
      <c r="G11" s="23"/>
      <c r="H11" s="23" t="s">
        <v>895</v>
      </c>
      <c r="I11" s="23" t="s">
        <v>1180</v>
      </c>
      <c r="J11" s="23" t="s">
        <v>1181</v>
      </c>
      <c r="K11" s="23" t="s">
        <v>940</v>
      </c>
      <c r="L11" s="23" t="s">
        <v>1035</v>
      </c>
      <c r="M11" s="103" t="s">
        <v>882</v>
      </c>
      <c r="N11" s="108">
        <v>30000</v>
      </c>
      <c r="O11" s="108"/>
      <c r="P11" s="23">
        <v>15</v>
      </c>
      <c r="Q11" s="90">
        <v>35000</v>
      </c>
      <c r="R11" s="23" t="s">
        <v>1045</v>
      </c>
      <c r="S11" s="103" t="s">
        <v>1037</v>
      </c>
      <c r="T11" s="10"/>
      <c r="U11" s="23" t="s">
        <v>819</v>
      </c>
      <c r="V11" s="23" t="s">
        <v>1183</v>
      </c>
      <c r="W11" s="103"/>
    </row>
    <row r="12" spans="1:23" ht="15.75" customHeight="1">
      <c r="A12" s="36" t="s">
        <v>1174</v>
      </c>
      <c r="B12" s="10" t="s">
        <v>898</v>
      </c>
      <c r="C12" s="37" t="s">
        <v>337</v>
      </c>
      <c r="D12" s="10" t="s">
        <v>1186</v>
      </c>
      <c r="E12" s="10"/>
      <c r="F12" s="10"/>
      <c r="G12" s="23"/>
      <c r="H12" s="23" t="s">
        <v>895</v>
      </c>
      <c r="I12" s="23" t="s">
        <v>1180</v>
      </c>
      <c r="J12" s="23" t="s">
        <v>1181</v>
      </c>
      <c r="K12" s="23" t="s">
        <v>940</v>
      </c>
      <c r="L12" s="23" t="s">
        <v>1035</v>
      </c>
      <c r="M12" s="103" t="s">
        <v>683</v>
      </c>
      <c r="N12" s="108">
        <v>45000</v>
      </c>
      <c r="O12" s="108"/>
      <c r="P12" s="23">
        <v>15</v>
      </c>
      <c r="Q12" s="90">
        <v>70000</v>
      </c>
      <c r="R12" s="23" t="s">
        <v>1045</v>
      </c>
      <c r="S12" s="103" t="s">
        <v>1037</v>
      </c>
      <c r="T12" s="10"/>
      <c r="U12" s="23" t="s">
        <v>819</v>
      </c>
      <c r="V12" s="23" t="s">
        <v>1183</v>
      </c>
      <c r="W12" s="103"/>
    </row>
    <row r="13" spans="1:23" ht="15.75" customHeight="1">
      <c r="A13" s="36" t="s">
        <v>1174</v>
      </c>
      <c r="B13" s="10" t="s">
        <v>898</v>
      </c>
      <c r="C13" s="37" t="s">
        <v>337</v>
      </c>
      <c r="D13" s="10" t="s">
        <v>1188</v>
      </c>
      <c r="E13" s="10"/>
      <c r="F13" s="10"/>
      <c r="G13" s="23"/>
      <c r="H13" s="23" t="s">
        <v>895</v>
      </c>
      <c r="I13" s="23" t="s">
        <v>1180</v>
      </c>
      <c r="J13" s="23" t="s">
        <v>1181</v>
      </c>
      <c r="K13" s="23" t="s">
        <v>940</v>
      </c>
      <c r="L13" s="23" t="s">
        <v>1035</v>
      </c>
      <c r="M13" s="103" t="s">
        <v>683</v>
      </c>
      <c r="N13" s="108">
        <v>45000</v>
      </c>
      <c r="O13" s="108"/>
      <c r="P13" s="23">
        <v>15</v>
      </c>
      <c r="Q13" s="90">
        <v>70000</v>
      </c>
      <c r="R13" s="23" t="s">
        <v>1058</v>
      </c>
      <c r="S13" s="103" t="s">
        <v>1037</v>
      </c>
      <c r="T13" s="10"/>
      <c r="U13" s="23" t="s">
        <v>819</v>
      </c>
      <c r="V13" s="23" t="s">
        <v>1183</v>
      </c>
      <c r="W13" s="103"/>
    </row>
    <row r="14" spans="1:23" ht="15.75" customHeight="1">
      <c r="A14" s="36" t="s">
        <v>1174</v>
      </c>
      <c r="B14" s="10" t="s">
        <v>898</v>
      </c>
      <c r="C14" s="37" t="s">
        <v>337</v>
      </c>
      <c r="D14" s="10" t="s">
        <v>1194</v>
      </c>
      <c r="E14" s="10"/>
      <c r="F14" s="10"/>
      <c r="G14" s="23"/>
      <c r="H14" s="23" t="s">
        <v>895</v>
      </c>
      <c r="I14" s="23" t="s">
        <v>1180</v>
      </c>
      <c r="J14" s="23" t="s">
        <v>1181</v>
      </c>
      <c r="K14" s="23" t="s">
        <v>940</v>
      </c>
      <c r="L14" s="23" t="s">
        <v>1035</v>
      </c>
      <c r="M14" s="103" t="s">
        <v>882</v>
      </c>
      <c r="N14" s="108">
        <v>30000</v>
      </c>
      <c r="O14" s="108"/>
      <c r="P14" s="23">
        <v>15</v>
      </c>
      <c r="Q14" s="90">
        <v>35000</v>
      </c>
      <c r="R14" s="23" t="s">
        <v>1045</v>
      </c>
      <c r="S14" s="103" t="s">
        <v>1037</v>
      </c>
      <c r="T14" s="10"/>
      <c r="U14" s="23" t="s">
        <v>819</v>
      </c>
      <c r="V14" s="23" t="s">
        <v>1183</v>
      </c>
      <c r="W14" s="103"/>
    </row>
    <row r="15" spans="1:23" ht="15.75" customHeight="1">
      <c r="A15" s="36" t="s">
        <v>1174</v>
      </c>
      <c r="B15" s="10" t="s">
        <v>898</v>
      </c>
      <c r="C15" s="37" t="s">
        <v>337</v>
      </c>
      <c r="D15" s="10" t="s">
        <v>1196</v>
      </c>
      <c r="E15" s="10"/>
      <c r="F15" s="10"/>
      <c r="G15" s="23"/>
      <c r="H15" s="23" t="s">
        <v>895</v>
      </c>
      <c r="I15" s="23" t="s">
        <v>1180</v>
      </c>
      <c r="J15" s="23" t="s">
        <v>1181</v>
      </c>
      <c r="K15" s="23" t="s">
        <v>940</v>
      </c>
      <c r="L15" s="23" t="s">
        <v>1035</v>
      </c>
      <c r="M15" s="103" t="s">
        <v>683</v>
      </c>
      <c r="N15" s="108">
        <v>45000</v>
      </c>
      <c r="O15" s="108"/>
      <c r="P15" s="23">
        <v>15</v>
      </c>
      <c r="Q15" s="90">
        <v>70000</v>
      </c>
      <c r="R15" s="23" t="s">
        <v>1058</v>
      </c>
      <c r="S15" s="103" t="s">
        <v>1037</v>
      </c>
      <c r="T15" s="10"/>
      <c r="U15" s="23" t="s">
        <v>819</v>
      </c>
      <c r="V15" s="23" t="s">
        <v>1183</v>
      </c>
      <c r="W15" s="103"/>
    </row>
    <row r="16" spans="1:23" ht="15.75" customHeight="1">
      <c r="A16" s="36" t="s">
        <v>1174</v>
      </c>
      <c r="B16" s="10" t="s">
        <v>898</v>
      </c>
      <c r="C16" s="37" t="s">
        <v>337</v>
      </c>
      <c r="D16" s="10" t="s">
        <v>1199</v>
      </c>
      <c r="E16" s="10"/>
      <c r="F16" s="10"/>
      <c r="G16" s="23"/>
      <c r="H16" s="23" t="s">
        <v>895</v>
      </c>
      <c r="I16" s="23" t="s">
        <v>1180</v>
      </c>
      <c r="J16" s="23" t="s">
        <v>1181</v>
      </c>
      <c r="K16" s="23" t="s">
        <v>940</v>
      </c>
      <c r="L16" s="23" t="s">
        <v>1035</v>
      </c>
      <c r="M16" s="103" t="s">
        <v>882</v>
      </c>
      <c r="N16" s="108">
        <v>30000</v>
      </c>
      <c r="O16" s="108"/>
      <c r="P16" s="23">
        <v>15</v>
      </c>
      <c r="Q16" s="90">
        <v>35000</v>
      </c>
      <c r="R16" s="23" t="s">
        <v>1058</v>
      </c>
      <c r="S16" s="103" t="s">
        <v>1037</v>
      </c>
      <c r="T16" s="10"/>
      <c r="U16" s="23" t="s">
        <v>819</v>
      </c>
      <c r="V16" s="23" t="s">
        <v>1183</v>
      </c>
      <c r="W16" s="103"/>
    </row>
    <row r="17" spans="1:23" ht="15.75" customHeight="1">
      <c r="A17" s="36" t="s">
        <v>1174</v>
      </c>
      <c r="B17" s="10" t="s">
        <v>898</v>
      </c>
      <c r="C17" s="37" t="s">
        <v>337</v>
      </c>
      <c r="D17" s="10" t="s">
        <v>1205</v>
      </c>
      <c r="E17" s="10"/>
      <c r="F17" s="10"/>
      <c r="G17" s="23"/>
      <c r="H17" s="23" t="s">
        <v>895</v>
      </c>
      <c r="I17" s="23" t="s">
        <v>1180</v>
      </c>
      <c r="J17" s="23" t="s">
        <v>1181</v>
      </c>
      <c r="K17" s="23" t="s">
        <v>940</v>
      </c>
      <c r="L17" s="23" t="s">
        <v>1035</v>
      </c>
      <c r="M17" s="103" t="s">
        <v>882</v>
      </c>
      <c r="N17" s="108">
        <v>30000</v>
      </c>
      <c r="O17" s="108"/>
      <c r="P17" s="23">
        <v>15</v>
      </c>
      <c r="Q17" s="90">
        <v>35000</v>
      </c>
      <c r="R17" s="23" t="s">
        <v>1045</v>
      </c>
      <c r="S17" s="103" t="s">
        <v>1037</v>
      </c>
      <c r="T17" s="10"/>
      <c r="U17" s="23" t="s">
        <v>819</v>
      </c>
      <c r="V17" s="23" t="s">
        <v>1183</v>
      </c>
      <c r="W17" s="103"/>
    </row>
    <row r="18" spans="1:23" ht="15.75" customHeight="1">
      <c r="A18" s="36"/>
      <c r="B18" s="10"/>
      <c r="C18" s="10"/>
      <c r="D18" s="10"/>
      <c r="E18" s="10"/>
      <c r="F18" s="10"/>
      <c r="G18" s="23"/>
      <c r="H18" s="23"/>
      <c r="I18" s="23"/>
      <c r="J18" s="23"/>
      <c r="K18" s="103"/>
      <c r="L18" s="103"/>
      <c r="M18" s="103"/>
      <c r="N18" s="108"/>
      <c r="O18" s="108"/>
      <c r="P18" s="23"/>
      <c r="Q18" s="167"/>
      <c r="R18" s="23"/>
      <c r="S18" s="103"/>
      <c r="T18" s="10"/>
      <c r="U18" s="23"/>
      <c r="V18" s="23"/>
      <c r="W18" s="103"/>
    </row>
    <row r="19" spans="1:23" ht="15.75" customHeight="1">
      <c r="A19" s="36" t="s">
        <v>1211</v>
      </c>
      <c r="B19" s="1" t="s">
        <v>1212</v>
      </c>
      <c r="C19" s="37" t="s">
        <v>1214</v>
      </c>
      <c r="D19" s="37" t="s">
        <v>1215</v>
      </c>
      <c r="E19" s="10"/>
      <c r="F19" s="10"/>
      <c r="G19" s="23"/>
      <c r="H19" s="23"/>
      <c r="I19" s="23"/>
      <c r="J19" s="23"/>
      <c r="K19" s="23"/>
      <c r="L19" s="23" t="s">
        <v>244</v>
      </c>
      <c r="M19" s="103" t="s">
        <v>1216</v>
      </c>
      <c r="N19" s="108"/>
      <c r="O19" s="108"/>
      <c r="P19" s="23"/>
      <c r="Q19" s="167"/>
      <c r="R19" s="23"/>
      <c r="S19" s="10"/>
      <c r="T19" s="10"/>
      <c r="U19" s="23"/>
      <c r="V19" s="23"/>
      <c r="W19" s="103"/>
    </row>
    <row r="20" spans="1:23" ht="15.75" customHeight="1">
      <c r="A20" s="36"/>
      <c r="B20" s="10"/>
      <c r="C20" s="10"/>
      <c r="D20" s="10"/>
      <c r="E20" s="10"/>
      <c r="F20" s="10"/>
      <c r="G20" s="23"/>
      <c r="H20" s="23"/>
      <c r="I20" s="23"/>
      <c r="J20" s="23"/>
      <c r="K20" s="10"/>
      <c r="L20" s="10"/>
      <c r="M20" s="103"/>
      <c r="N20" s="108"/>
      <c r="O20" s="108"/>
      <c r="P20" s="23"/>
      <c r="Q20" s="167"/>
      <c r="R20" s="23"/>
      <c r="S20" s="10"/>
      <c r="T20" s="10"/>
      <c r="U20" s="23"/>
      <c r="V20" s="23"/>
      <c r="W20" s="103"/>
    </row>
    <row r="21" spans="1:23" ht="15.75" customHeight="1">
      <c r="A21" s="36" t="s">
        <v>1219</v>
      </c>
      <c r="B21" s="10" t="s">
        <v>1220</v>
      </c>
      <c r="C21" s="10"/>
      <c r="D21" s="10" t="s">
        <v>1221</v>
      </c>
      <c r="E21" s="94" t="s">
        <v>1222</v>
      </c>
      <c r="F21" s="10"/>
      <c r="G21" s="23"/>
      <c r="H21" s="23" t="s">
        <v>895</v>
      </c>
      <c r="I21" s="23" t="s">
        <v>1180</v>
      </c>
      <c r="J21" s="23" t="s">
        <v>1228</v>
      </c>
      <c r="K21" s="23" t="s">
        <v>940</v>
      </c>
      <c r="L21" s="23" t="s">
        <v>1035</v>
      </c>
      <c r="M21" s="103" t="s">
        <v>882</v>
      </c>
      <c r="N21" s="108">
        <v>30000</v>
      </c>
      <c r="O21" s="108"/>
      <c r="P21" s="23">
        <v>15</v>
      </c>
      <c r="Q21" s="90">
        <v>50000</v>
      </c>
      <c r="R21" s="23" t="s">
        <v>1061</v>
      </c>
      <c r="S21" s="103" t="s">
        <v>1037</v>
      </c>
      <c r="T21" s="10"/>
      <c r="U21" s="23" t="s">
        <v>819</v>
      </c>
      <c r="V21" s="23" t="s">
        <v>1231</v>
      </c>
      <c r="W21" s="103"/>
    </row>
    <row r="22" spans="1:23" ht="15.75" customHeight="1">
      <c r="A22" s="36" t="s">
        <v>1219</v>
      </c>
      <c r="B22" s="10" t="s">
        <v>1220</v>
      </c>
      <c r="C22" s="10"/>
      <c r="D22" s="10" t="s">
        <v>1232</v>
      </c>
      <c r="E22" s="94" t="s">
        <v>1233</v>
      </c>
      <c r="F22" s="10"/>
      <c r="G22" s="23"/>
      <c r="H22" s="23" t="s">
        <v>895</v>
      </c>
      <c r="I22" s="23" t="s">
        <v>1180</v>
      </c>
      <c r="J22" s="23" t="s">
        <v>1228</v>
      </c>
      <c r="K22" s="23" t="s">
        <v>940</v>
      </c>
      <c r="L22" s="23" t="s">
        <v>1035</v>
      </c>
      <c r="M22" s="103" t="s">
        <v>683</v>
      </c>
      <c r="N22" s="108">
        <v>30000</v>
      </c>
      <c r="O22" s="108"/>
      <c r="P22" s="23">
        <v>15</v>
      </c>
      <c r="Q22" s="90">
        <v>50000</v>
      </c>
      <c r="R22" s="23" t="s">
        <v>1235</v>
      </c>
      <c r="S22" s="103" t="s">
        <v>1037</v>
      </c>
      <c r="T22" s="10"/>
      <c r="U22" s="23" t="s">
        <v>819</v>
      </c>
      <c r="V22" s="23" t="s">
        <v>1231</v>
      </c>
      <c r="W22" s="103"/>
    </row>
    <row r="23" spans="1:23" ht="15.75" customHeight="1">
      <c r="A23" s="36" t="s">
        <v>1219</v>
      </c>
      <c r="B23" s="10" t="s">
        <v>1220</v>
      </c>
      <c r="C23" s="10"/>
      <c r="D23" s="10" t="s">
        <v>1237</v>
      </c>
      <c r="E23" s="94" t="s">
        <v>1238</v>
      </c>
      <c r="F23" s="10"/>
      <c r="G23" s="23"/>
      <c r="H23" s="23" t="s">
        <v>895</v>
      </c>
      <c r="I23" s="23" t="s">
        <v>1180</v>
      </c>
      <c r="J23" s="23" t="s">
        <v>1228</v>
      </c>
      <c r="K23" s="23" t="s">
        <v>940</v>
      </c>
      <c r="L23" s="23" t="s">
        <v>1035</v>
      </c>
      <c r="M23" s="103" t="s">
        <v>683</v>
      </c>
      <c r="N23" s="108">
        <v>30000</v>
      </c>
      <c r="O23" s="108"/>
      <c r="P23" s="23">
        <v>15</v>
      </c>
      <c r="Q23" s="90">
        <v>50000</v>
      </c>
      <c r="R23" s="23"/>
      <c r="S23" s="103" t="s">
        <v>1037</v>
      </c>
      <c r="T23" s="10"/>
      <c r="U23" s="23" t="s">
        <v>819</v>
      </c>
      <c r="V23" s="23" t="s">
        <v>1231</v>
      </c>
      <c r="W23" s="103"/>
    </row>
    <row r="24" spans="1:23" ht="15.75" customHeight="1">
      <c r="A24" s="36"/>
      <c r="B24" s="10"/>
      <c r="C24" s="10"/>
      <c r="D24" s="10"/>
      <c r="E24" s="10"/>
      <c r="F24" s="10"/>
      <c r="G24" s="23"/>
      <c r="H24" s="23"/>
      <c r="I24" s="23"/>
      <c r="J24" s="23"/>
      <c r="K24" s="23"/>
      <c r="L24" s="23"/>
      <c r="M24" s="103"/>
      <c r="N24" s="108"/>
      <c r="O24" s="108"/>
      <c r="P24" s="23"/>
      <c r="Q24" s="167"/>
      <c r="R24" s="23"/>
      <c r="S24" s="23"/>
      <c r="T24" s="10"/>
      <c r="U24" s="23"/>
      <c r="V24" s="23"/>
      <c r="W24" s="103"/>
    </row>
    <row r="25" spans="1:23" ht="15.75" customHeight="1">
      <c r="A25" s="36" t="s">
        <v>1242</v>
      </c>
      <c r="B25" s="10" t="s">
        <v>1244</v>
      </c>
      <c r="C25" s="10" t="s">
        <v>1245</v>
      </c>
      <c r="D25" s="10" t="s">
        <v>1246</v>
      </c>
      <c r="E25" s="10"/>
      <c r="F25" s="10"/>
      <c r="G25" s="23"/>
      <c r="H25" s="23" t="s">
        <v>891</v>
      </c>
      <c r="I25" s="23" t="s">
        <v>1247</v>
      </c>
      <c r="J25" s="23" t="s">
        <v>1000</v>
      </c>
      <c r="K25" s="23"/>
      <c r="L25" s="23" t="s">
        <v>248</v>
      </c>
      <c r="M25" s="103" t="s">
        <v>882</v>
      </c>
      <c r="N25" s="108">
        <v>8000</v>
      </c>
      <c r="O25" s="108"/>
      <c r="P25" s="23">
        <v>15</v>
      </c>
      <c r="Q25" s="167"/>
      <c r="R25" s="23"/>
      <c r="S25" s="103" t="s">
        <v>0</v>
      </c>
      <c r="T25" s="10"/>
      <c r="U25" s="23" t="s">
        <v>452</v>
      </c>
      <c r="V25" s="23" t="s">
        <v>1008</v>
      </c>
      <c r="W25" s="103"/>
    </row>
    <row r="26" spans="1:23" ht="15.75" customHeight="1">
      <c r="A26" s="36"/>
      <c r="B26" s="10"/>
      <c r="C26" s="10"/>
      <c r="D26" s="10"/>
      <c r="E26" s="10"/>
      <c r="F26" s="10"/>
      <c r="G26" s="23"/>
      <c r="H26" s="23"/>
      <c r="I26" s="23"/>
      <c r="J26" s="23"/>
      <c r="K26" s="23"/>
      <c r="L26" s="23"/>
      <c r="M26" s="103"/>
      <c r="N26" s="108"/>
      <c r="O26" s="108"/>
      <c r="P26" s="23"/>
      <c r="Q26" s="167"/>
      <c r="R26" s="23"/>
      <c r="S26" s="10"/>
      <c r="T26" s="10"/>
      <c r="U26" s="23"/>
      <c r="V26" s="23"/>
      <c r="W26" s="103"/>
    </row>
    <row r="27" spans="1:23" ht="15.75" customHeight="1">
      <c r="A27" s="36" t="s">
        <v>1251</v>
      </c>
      <c r="B27" s="10" t="s">
        <v>1244</v>
      </c>
      <c r="C27" s="10" t="s">
        <v>1245</v>
      </c>
      <c r="D27" s="10" t="s">
        <v>1252</v>
      </c>
      <c r="E27" s="10"/>
      <c r="F27" s="10"/>
      <c r="G27" s="23"/>
      <c r="H27" s="23" t="s">
        <v>891</v>
      </c>
      <c r="I27" s="23" t="s">
        <v>1247</v>
      </c>
      <c r="J27" s="23" t="s">
        <v>1000</v>
      </c>
      <c r="K27" s="23"/>
      <c r="L27" s="23" t="s">
        <v>248</v>
      </c>
      <c r="M27" s="103" t="s">
        <v>315</v>
      </c>
      <c r="N27" s="108">
        <v>20000</v>
      </c>
      <c r="O27" s="108"/>
      <c r="P27" s="23">
        <v>15</v>
      </c>
      <c r="Q27" s="167"/>
      <c r="R27" s="23"/>
      <c r="S27" s="103" t="s">
        <v>0</v>
      </c>
      <c r="T27" s="10"/>
      <c r="U27" s="23" t="s">
        <v>452</v>
      </c>
      <c r="V27" s="23" t="s">
        <v>1008</v>
      </c>
      <c r="W27" s="103"/>
    </row>
    <row r="28" spans="1:23" ht="15.75" customHeight="1">
      <c r="A28" s="36"/>
      <c r="B28" s="10"/>
      <c r="C28" s="10"/>
      <c r="D28" s="10"/>
      <c r="E28" s="10"/>
      <c r="F28" s="10"/>
      <c r="G28" s="23"/>
      <c r="H28" s="23"/>
      <c r="I28" s="23"/>
      <c r="J28" s="23"/>
      <c r="K28" s="23"/>
      <c r="L28" s="23"/>
      <c r="M28" s="103"/>
      <c r="N28" s="108"/>
      <c r="O28" s="108"/>
      <c r="P28" s="23"/>
      <c r="Q28" s="167"/>
      <c r="R28" s="23"/>
      <c r="S28" s="23"/>
      <c r="T28" s="10"/>
      <c r="U28" s="23"/>
      <c r="V28" s="23"/>
      <c r="W28" s="103"/>
    </row>
    <row r="29" spans="1:23" ht="15.75" customHeight="1">
      <c r="A29" s="36" t="s">
        <v>1258</v>
      </c>
      <c r="B29" s="10" t="s">
        <v>746</v>
      </c>
      <c r="C29" s="10" t="s">
        <v>359</v>
      </c>
      <c r="D29" s="10" t="s">
        <v>1260</v>
      </c>
      <c r="E29" s="10"/>
      <c r="F29" s="10"/>
      <c r="G29" s="23"/>
      <c r="H29" s="23" t="s">
        <v>895</v>
      </c>
      <c r="I29" s="23" t="s">
        <v>1247</v>
      </c>
      <c r="J29" s="23" t="s">
        <v>1138</v>
      </c>
      <c r="K29" s="23" t="s">
        <v>940</v>
      </c>
      <c r="L29" s="23" t="s">
        <v>1035</v>
      </c>
      <c r="M29" s="103" t="s">
        <v>882</v>
      </c>
      <c r="N29" s="108">
        <v>10000</v>
      </c>
      <c r="O29" s="108"/>
      <c r="P29" s="23">
        <v>15</v>
      </c>
      <c r="Q29" s="167"/>
      <c r="R29" s="23" t="s">
        <v>1058</v>
      </c>
      <c r="S29" s="10"/>
      <c r="T29" s="10"/>
      <c r="U29" s="23" t="s">
        <v>361</v>
      </c>
      <c r="V29" s="23" t="s">
        <v>1008</v>
      </c>
      <c r="W29" s="103"/>
    </row>
    <row r="30" spans="1:23" ht="15.75" customHeight="1">
      <c r="A30" s="36" t="s">
        <v>1258</v>
      </c>
      <c r="B30" s="10" t="s">
        <v>746</v>
      </c>
      <c r="C30" s="10" t="s">
        <v>359</v>
      </c>
      <c r="D30" s="10" t="s">
        <v>1262</v>
      </c>
      <c r="E30" s="10"/>
      <c r="F30" s="10"/>
      <c r="G30" s="23"/>
      <c r="H30" s="23" t="s">
        <v>895</v>
      </c>
      <c r="I30" s="23" t="s">
        <v>1247</v>
      </c>
      <c r="J30" s="23" t="s">
        <v>1138</v>
      </c>
      <c r="K30" s="23" t="s">
        <v>940</v>
      </c>
      <c r="L30" s="23" t="s">
        <v>1035</v>
      </c>
      <c r="M30" s="103" t="s">
        <v>882</v>
      </c>
      <c r="N30" s="108">
        <v>12000</v>
      </c>
      <c r="O30" s="108"/>
      <c r="P30" s="23">
        <v>15</v>
      </c>
      <c r="Q30" s="167"/>
      <c r="R30" s="23"/>
      <c r="S30" s="10" t="s">
        <v>1037</v>
      </c>
      <c r="T30" s="10"/>
      <c r="U30" s="23" t="s">
        <v>361</v>
      </c>
      <c r="V30" s="23" t="s">
        <v>1008</v>
      </c>
      <c r="W30" s="103"/>
    </row>
    <row r="31" spans="1:23" ht="15.75" customHeight="1">
      <c r="A31" s="36" t="s">
        <v>1258</v>
      </c>
      <c r="B31" s="10" t="s">
        <v>746</v>
      </c>
      <c r="C31" s="10" t="s">
        <v>359</v>
      </c>
      <c r="D31" s="10" t="s">
        <v>1264</v>
      </c>
      <c r="E31" s="10"/>
      <c r="F31" s="10"/>
      <c r="G31" s="23"/>
      <c r="H31" s="23" t="s">
        <v>895</v>
      </c>
      <c r="I31" s="23" t="s">
        <v>1247</v>
      </c>
      <c r="J31" s="23" t="s">
        <v>1138</v>
      </c>
      <c r="K31" s="23" t="s">
        <v>940</v>
      </c>
      <c r="L31" s="23" t="s">
        <v>1035</v>
      </c>
      <c r="M31" s="103" t="s">
        <v>315</v>
      </c>
      <c r="N31" s="108">
        <v>30000</v>
      </c>
      <c r="O31" s="108"/>
      <c r="P31" s="23">
        <v>15</v>
      </c>
      <c r="Q31" s="167"/>
      <c r="R31" s="23"/>
      <c r="S31" s="10" t="s">
        <v>1037</v>
      </c>
      <c r="T31" s="10"/>
      <c r="U31" s="23" t="s">
        <v>361</v>
      </c>
      <c r="V31" s="23" t="s">
        <v>1008</v>
      </c>
      <c r="W31" s="103"/>
    </row>
    <row r="32" spans="1:23" ht="15.75" customHeight="1">
      <c r="A32" s="36"/>
      <c r="B32" s="10"/>
      <c r="C32" s="10"/>
      <c r="D32" s="10"/>
      <c r="E32" s="10"/>
      <c r="F32" s="10"/>
      <c r="G32" s="23"/>
      <c r="H32" s="23"/>
      <c r="I32" s="23"/>
      <c r="J32" s="23"/>
      <c r="K32" s="23"/>
      <c r="L32" s="23"/>
      <c r="M32" s="103"/>
      <c r="N32" s="108"/>
      <c r="O32" s="108"/>
      <c r="P32" s="23"/>
      <c r="Q32" s="167"/>
      <c r="R32" s="23"/>
      <c r="S32" s="23"/>
      <c r="T32" s="10"/>
      <c r="U32" s="23"/>
      <c r="V32" s="23"/>
      <c r="W32" s="103"/>
    </row>
    <row r="33" spans="1:23" ht="15.75" customHeight="1">
      <c r="A33" s="36" t="s">
        <v>436</v>
      </c>
      <c r="B33" s="10" t="s">
        <v>433</v>
      </c>
      <c r="C33" s="10" t="s">
        <v>437</v>
      </c>
      <c r="D33" s="10" t="s">
        <v>1057</v>
      </c>
      <c r="E33" s="10"/>
      <c r="F33" s="10"/>
      <c r="G33" s="23"/>
      <c r="H33" s="23" t="s">
        <v>895</v>
      </c>
      <c r="I33" s="23" t="s">
        <v>1247</v>
      </c>
      <c r="J33" s="23" t="s">
        <v>1138</v>
      </c>
      <c r="K33" s="23" t="s">
        <v>940</v>
      </c>
      <c r="L33" s="23" t="s">
        <v>1035</v>
      </c>
      <c r="M33" s="103" t="s">
        <v>1007</v>
      </c>
      <c r="N33" s="108">
        <v>18000</v>
      </c>
      <c r="O33" s="108"/>
      <c r="P33" s="23">
        <v>15</v>
      </c>
      <c r="Q33" s="167"/>
      <c r="R33" s="23" t="s">
        <v>1058</v>
      </c>
      <c r="S33" s="10" t="s">
        <v>1037</v>
      </c>
      <c r="T33" s="10"/>
      <c r="U33" s="23"/>
      <c r="V33" s="23" t="s">
        <v>1008</v>
      </c>
      <c r="W33" s="103"/>
    </row>
    <row r="34" spans="1:23" ht="15.75" customHeight="1">
      <c r="A34" s="36" t="s">
        <v>436</v>
      </c>
      <c r="B34" s="10" t="s">
        <v>433</v>
      </c>
      <c r="C34" s="10" t="s">
        <v>437</v>
      </c>
      <c r="D34" s="10" t="s">
        <v>1059</v>
      </c>
      <c r="E34" s="10"/>
      <c r="F34" s="10"/>
      <c r="G34" s="23"/>
      <c r="H34" s="23" t="s">
        <v>895</v>
      </c>
      <c r="I34" s="23" t="s">
        <v>1247</v>
      </c>
      <c r="J34" s="23" t="s">
        <v>1138</v>
      </c>
      <c r="K34" s="23" t="s">
        <v>940</v>
      </c>
      <c r="L34" s="23" t="s">
        <v>1035</v>
      </c>
      <c r="M34" s="103" t="s">
        <v>1007</v>
      </c>
      <c r="N34" s="108">
        <v>18000</v>
      </c>
      <c r="O34" s="108"/>
      <c r="P34" s="23">
        <v>15</v>
      </c>
      <c r="Q34" s="167"/>
      <c r="R34" s="23" t="s">
        <v>1045</v>
      </c>
      <c r="S34" s="10" t="s">
        <v>1037</v>
      </c>
      <c r="T34" s="10"/>
      <c r="U34" s="23"/>
      <c r="V34" s="23" t="s">
        <v>1008</v>
      </c>
      <c r="W34" s="103"/>
    </row>
    <row r="35" spans="1:23" ht="15.75" customHeight="1">
      <c r="A35" s="36" t="s">
        <v>436</v>
      </c>
      <c r="B35" s="10" t="s">
        <v>433</v>
      </c>
      <c r="C35" s="10" t="s">
        <v>437</v>
      </c>
      <c r="D35" s="10" t="s">
        <v>1060</v>
      </c>
      <c r="E35" s="10"/>
      <c r="F35" s="10"/>
      <c r="G35" s="23"/>
      <c r="H35" s="23" t="s">
        <v>895</v>
      </c>
      <c r="I35" s="23" t="s">
        <v>1247</v>
      </c>
      <c r="J35" s="23" t="s">
        <v>1138</v>
      </c>
      <c r="K35" s="23" t="s">
        <v>940</v>
      </c>
      <c r="L35" s="23" t="s">
        <v>1035</v>
      </c>
      <c r="M35" s="103" t="s">
        <v>1007</v>
      </c>
      <c r="N35" s="108">
        <v>13000</v>
      </c>
      <c r="O35" s="108"/>
      <c r="P35" s="23">
        <v>15</v>
      </c>
      <c r="Q35" s="167"/>
      <c r="R35" s="23" t="s">
        <v>1058</v>
      </c>
      <c r="S35" s="10" t="s">
        <v>1037</v>
      </c>
      <c r="T35" s="10"/>
      <c r="U35" s="23"/>
      <c r="V35" s="23" t="s">
        <v>1008</v>
      </c>
      <c r="W35" s="103"/>
    </row>
    <row r="36" spans="1:23" ht="15.75" customHeight="1">
      <c r="A36" s="36" t="s">
        <v>436</v>
      </c>
      <c r="B36" s="10" t="s">
        <v>433</v>
      </c>
      <c r="C36" s="10" t="s">
        <v>437</v>
      </c>
      <c r="D36" s="10" t="s">
        <v>1062</v>
      </c>
      <c r="E36" s="10"/>
      <c r="F36" s="10"/>
      <c r="G36" s="23"/>
      <c r="H36" s="23" t="s">
        <v>895</v>
      </c>
      <c r="I36" s="23" t="s">
        <v>1247</v>
      </c>
      <c r="J36" s="23" t="s">
        <v>1138</v>
      </c>
      <c r="K36" s="23" t="s">
        <v>940</v>
      </c>
      <c r="L36" s="23" t="s">
        <v>1035</v>
      </c>
      <c r="M36" s="103" t="s">
        <v>1007</v>
      </c>
      <c r="N36" s="108">
        <v>12500</v>
      </c>
      <c r="O36" s="108"/>
      <c r="P36" s="23">
        <v>15</v>
      </c>
      <c r="Q36" s="167"/>
      <c r="R36" s="23" t="s">
        <v>1045</v>
      </c>
      <c r="S36" s="10" t="s">
        <v>1037</v>
      </c>
      <c r="T36" s="10"/>
      <c r="U36" s="23"/>
      <c r="V36" s="23" t="s">
        <v>1008</v>
      </c>
      <c r="W36" s="103"/>
    </row>
    <row r="37" spans="1:23" ht="15.75" customHeight="1">
      <c r="A37" s="36" t="s">
        <v>436</v>
      </c>
      <c r="B37" s="10" t="s">
        <v>433</v>
      </c>
      <c r="C37" s="10" t="s">
        <v>437</v>
      </c>
      <c r="D37" s="10" t="s">
        <v>1064</v>
      </c>
      <c r="E37" s="10"/>
      <c r="F37" s="10"/>
      <c r="G37" s="23"/>
      <c r="H37" s="23" t="s">
        <v>895</v>
      </c>
      <c r="I37" s="23" t="s">
        <v>1247</v>
      </c>
      <c r="J37" s="23" t="s">
        <v>1138</v>
      </c>
      <c r="K37" s="23" t="s">
        <v>940</v>
      </c>
      <c r="L37" s="23" t="s">
        <v>1035</v>
      </c>
      <c r="M37" s="103" t="s">
        <v>1007</v>
      </c>
      <c r="N37" s="108">
        <v>11000</v>
      </c>
      <c r="O37" s="108"/>
      <c r="P37" s="23">
        <v>15</v>
      </c>
      <c r="Q37" s="167"/>
      <c r="R37" s="23"/>
      <c r="S37" s="10" t="s">
        <v>1037</v>
      </c>
      <c r="T37" s="10"/>
      <c r="U37" s="23"/>
      <c r="V37" s="23" t="s">
        <v>1008</v>
      </c>
      <c r="W37" s="103"/>
    </row>
    <row r="38" spans="1:23" ht="15.75" customHeight="1">
      <c r="A38" s="36" t="s">
        <v>436</v>
      </c>
      <c r="B38" s="10" t="s">
        <v>433</v>
      </c>
      <c r="C38" s="10" t="s">
        <v>437</v>
      </c>
      <c r="D38" s="10" t="s">
        <v>1065</v>
      </c>
      <c r="E38" s="10"/>
      <c r="F38" s="10"/>
      <c r="G38" s="23"/>
      <c r="H38" s="23" t="s">
        <v>895</v>
      </c>
      <c r="I38" s="23" t="s">
        <v>1247</v>
      </c>
      <c r="J38" s="23" t="s">
        <v>1138</v>
      </c>
      <c r="K38" s="23" t="s">
        <v>940</v>
      </c>
      <c r="L38" s="23" t="s">
        <v>1035</v>
      </c>
      <c r="M38" s="103" t="s">
        <v>1007</v>
      </c>
      <c r="N38" s="108">
        <v>11000</v>
      </c>
      <c r="O38" s="108"/>
      <c r="P38" s="23">
        <v>15</v>
      </c>
      <c r="Q38" s="167"/>
      <c r="R38" s="23" t="s">
        <v>1058</v>
      </c>
      <c r="S38" s="10" t="s">
        <v>1037</v>
      </c>
      <c r="T38" s="10"/>
      <c r="U38" s="23"/>
      <c r="V38" s="23" t="s">
        <v>1008</v>
      </c>
      <c r="W38" s="103"/>
    </row>
    <row r="39" spans="1:23" ht="15.75" customHeight="1">
      <c r="A39" s="36" t="s">
        <v>436</v>
      </c>
      <c r="B39" s="10" t="s">
        <v>433</v>
      </c>
      <c r="C39" s="10" t="s">
        <v>437</v>
      </c>
      <c r="D39" s="10" t="s">
        <v>1069</v>
      </c>
      <c r="E39" s="10"/>
      <c r="F39" s="10"/>
      <c r="G39" s="23"/>
      <c r="H39" s="23" t="s">
        <v>895</v>
      </c>
      <c r="I39" s="23" t="s">
        <v>1247</v>
      </c>
      <c r="J39" s="23" t="s">
        <v>1138</v>
      </c>
      <c r="K39" s="23" t="s">
        <v>940</v>
      </c>
      <c r="L39" s="23" t="s">
        <v>1035</v>
      </c>
      <c r="M39" s="103" t="s">
        <v>1007</v>
      </c>
      <c r="N39" s="108">
        <v>11000</v>
      </c>
      <c r="O39" s="108"/>
      <c r="P39" s="23">
        <v>15</v>
      </c>
      <c r="Q39" s="167"/>
      <c r="R39" s="23"/>
      <c r="S39" s="10" t="s">
        <v>1037</v>
      </c>
      <c r="T39" s="10"/>
      <c r="U39" s="23"/>
      <c r="V39" s="23" t="s">
        <v>1008</v>
      </c>
      <c r="W39" s="103"/>
    </row>
    <row r="40" spans="1:23" ht="15.75" customHeight="1">
      <c r="A40" s="36" t="s">
        <v>436</v>
      </c>
      <c r="B40" s="10" t="s">
        <v>433</v>
      </c>
      <c r="C40" s="10" t="s">
        <v>437</v>
      </c>
      <c r="D40" s="10" t="s">
        <v>1070</v>
      </c>
      <c r="E40" s="10"/>
      <c r="F40" s="10"/>
      <c r="G40" s="23"/>
      <c r="H40" s="23" t="s">
        <v>895</v>
      </c>
      <c r="I40" s="23" t="s">
        <v>1247</v>
      </c>
      <c r="J40" s="23" t="s">
        <v>1138</v>
      </c>
      <c r="K40" s="23" t="s">
        <v>940</v>
      </c>
      <c r="L40" s="23" t="s">
        <v>1035</v>
      </c>
      <c r="M40" s="103" t="s">
        <v>1007</v>
      </c>
      <c r="N40" s="108">
        <v>11000</v>
      </c>
      <c r="O40" s="108"/>
      <c r="P40" s="23">
        <v>15</v>
      </c>
      <c r="Q40" s="167"/>
      <c r="R40" s="23" t="s">
        <v>1058</v>
      </c>
      <c r="S40" s="10" t="s">
        <v>1037</v>
      </c>
      <c r="T40" s="10"/>
      <c r="U40" s="23"/>
      <c r="V40" s="23" t="s">
        <v>1008</v>
      </c>
      <c r="W40" s="103"/>
    </row>
    <row r="41" spans="1:23" ht="15.75" customHeight="1">
      <c r="A41" s="36" t="s">
        <v>436</v>
      </c>
      <c r="B41" s="10" t="s">
        <v>433</v>
      </c>
      <c r="C41" s="10" t="s">
        <v>437</v>
      </c>
      <c r="D41" s="10" t="s">
        <v>1071</v>
      </c>
      <c r="E41" s="10"/>
      <c r="F41" s="10"/>
      <c r="G41" s="23"/>
      <c r="H41" s="23" t="s">
        <v>895</v>
      </c>
      <c r="I41" s="23" t="s">
        <v>1247</v>
      </c>
      <c r="J41" s="23" t="s">
        <v>1138</v>
      </c>
      <c r="K41" s="23" t="s">
        <v>940</v>
      </c>
      <c r="L41" s="23" t="s">
        <v>248</v>
      </c>
      <c r="M41" s="103" t="s">
        <v>1007</v>
      </c>
      <c r="N41" s="169" t="s">
        <v>249</v>
      </c>
      <c r="O41" s="108"/>
      <c r="P41" s="23">
        <v>15</v>
      </c>
      <c r="Q41" s="167"/>
      <c r="R41" s="23"/>
      <c r="S41" s="10" t="s">
        <v>0</v>
      </c>
      <c r="T41" s="10"/>
      <c r="U41" s="23"/>
      <c r="V41" s="23" t="s">
        <v>1008</v>
      </c>
      <c r="W41" s="103"/>
    </row>
    <row r="42" spans="1:23" ht="15.75" customHeight="1">
      <c r="A42" s="36" t="s">
        <v>436</v>
      </c>
      <c r="B42" s="10" t="s">
        <v>433</v>
      </c>
      <c r="C42" s="10" t="s">
        <v>437</v>
      </c>
      <c r="D42" s="10" t="s">
        <v>1072</v>
      </c>
      <c r="E42" s="10"/>
      <c r="F42" s="10"/>
      <c r="G42" s="23"/>
      <c r="H42" s="23" t="s">
        <v>895</v>
      </c>
      <c r="I42" s="23" t="s">
        <v>1247</v>
      </c>
      <c r="J42" s="23" t="s">
        <v>1138</v>
      </c>
      <c r="K42" s="23" t="s">
        <v>940</v>
      </c>
      <c r="L42" s="23" t="s">
        <v>248</v>
      </c>
      <c r="M42" s="103" t="s">
        <v>1007</v>
      </c>
      <c r="N42" s="108">
        <v>7500</v>
      </c>
      <c r="O42" s="108"/>
      <c r="P42" s="23">
        <v>15</v>
      </c>
      <c r="Q42" s="167"/>
      <c r="R42" s="23"/>
      <c r="S42" s="10" t="s">
        <v>0</v>
      </c>
      <c r="T42" s="10"/>
      <c r="U42" s="23"/>
      <c r="V42" s="23" t="s">
        <v>1008</v>
      </c>
      <c r="W42" s="103"/>
    </row>
    <row r="43" spans="1:23" ht="15.75" customHeight="1">
      <c r="A43" s="36" t="s">
        <v>436</v>
      </c>
      <c r="B43" s="10" t="s">
        <v>433</v>
      </c>
      <c r="C43" s="10" t="s">
        <v>437</v>
      </c>
      <c r="D43" s="10" t="s">
        <v>1073</v>
      </c>
      <c r="E43" s="10"/>
      <c r="F43" s="10"/>
      <c r="G43" s="23"/>
      <c r="H43" s="23" t="s">
        <v>895</v>
      </c>
      <c r="I43" s="23" t="s">
        <v>1247</v>
      </c>
      <c r="J43" s="23" t="s">
        <v>1138</v>
      </c>
      <c r="K43" s="23" t="s">
        <v>940</v>
      </c>
      <c r="L43" s="23" t="s">
        <v>1035</v>
      </c>
      <c r="M43" s="103" t="s">
        <v>599</v>
      </c>
      <c r="N43" s="108">
        <v>12500</v>
      </c>
      <c r="O43" s="108"/>
      <c r="P43" s="23">
        <v>15</v>
      </c>
      <c r="Q43" s="167"/>
      <c r="R43" s="23" t="s">
        <v>1058</v>
      </c>
      <c r="S43" s="10" t="s">
        <v>1037</v>
      </c>
      <c r="T43" s="10"/>
      <c r="U43" s="23"/>
      <c r="V43" s="23" t="s">
        <v>1008</v>
      </c>
      <c r="W43" s="103"/>
    </row>
    <row r="44" spans="1:23" ht="15.75" customHeight="1">
      <c r="A44" s="36" t="s">
        <v>436</v>
      </c>
      <c r="B44" s="10" t="s">
        <v>433</v>
      </c>
      <c r="C44" s="10" t="s">
        <v>437</v>
      </c>
      <c r="D44" s="10" t="s">
        <v>1076</v>
      </c>
      <c r="E44" s="10"/>
      <c r="F44" s="10"/>
      <c r="G44" s="23"/>
      <c r="H44" s="23" t="s">
        <v>895</v>
      </c>
      <c r="I44" s="23" t="s">
        <v>1247</v>
      </c>
      <c r="J44" s="23" t="s">
        <v>1138</v>
      </c>
      <c r="K44" s="23" t="s">
        <v>940</v>
      </c>
      <c r="L44" s="23" t="s">
        <v>248</v>
      </c>
      <c r="M44" s="103" t="s">
        <v>1007</v>
      </c>
      <c r="N44" s="108">
        <v>8500</v>
      </c>
      <c r="O44" s="108"/>
      <c r="P44" s="23">
        <v>15</v>
      </c>
      <c r="Q44" s="167"/>
      <c r="R44" s="23"/>
      <c r="S44" s="10" t="s">
        <v>0</v>
      </c>
      <c r="T44" s="10"/>
      <c r="U44" s="23"/>
      <c r="V44" s="23" t="s">
        <v>1008</v>
      </c>
      <c r="W44" s="103"/>
    </row>
    <row r="45" spans="1:23" ht="15.75" customHeight="1">
      <c r="A45" s="36" t="s">
        <v>436</v>
      </c>
      <c r="B45" s="10" t="s">
        <v>433</v>
      </c>
      <c r="C45" s="10" t="s">
        <v>437</v>
      </c>
      <c r="D45" s="10" t="s">
        <v>1077</v>
      </c>
      <c r="E45" s="10"/>
      <c r="F45" s="10"/>
      <c r="G45" s="23"/>
      <c r="H45" s="23" t="s">
        <v>895</v>
      </c>
      <c r="I45" s="23" t="s">
        <v>1247</v>
      </c>
      <c r="J45" s="23" t="s">
        <v>1138</v>
      </c>
      <c r="K45" s="23" t="s">
        <v>940</v>
      </c>
      <c r="L45" s="23" t="s">
        <v>248</v>
      </c>
      <c r="M45" s="103" t="s">
        <v>1007</v>
      </c>
      <c r="N45" s="108">
        <v>8500</v>
      </c>
      <c r="O45" s="108"/>
      <c r="P45" s="23">
        <v>15</v>
      </c>
      <c r="Q45" s="167"/>
      <c r="R45" s="23"/>
      <c r="S45" s="10" t="s">
        <v>0</v>
      </c>
      <c r="T45" s="10"/>
      <c r="U45" s="23"/>
      <c r="V45" s="23" t="s">
        <v>1008</v>
      </c>
      <c r="W45" s="103"/>
    </row>
    <row r="46" spans="1:23" ht="15.75" customHeight="1">
      <c r="A46" s="36" t="s">
        <v>436</v>
      </c>
      <c r="B46" s="10" t="s">
        <v>433</v>
      </c>
      <c r="C46" s="10" t="s">
        <v>437</v>
      </c>
      <c r="D46" s="10" t="s">
        <v>1079</v>
      </c>
      <c r="E46" s="10"/>
      <c r="F46" s="10"/>
      <c r="G46" s="23"/>
      <c r="H46" s="23" t="s">
        <v>895</v>
      </c>
      <c r="I46" s="23" t="s">
        <v>1247</v>
      </c>
      <c r="J46" s="23" t="s">
        <v>1138</v>
      </c>
      <c r="K46" s="23" t="s">
        <v>940</v>
      </c>
      <c r="L46" s="23" t="s">
        <v>248</v>
      </c>
      <c r="M46" s="103" t="s">
        <v>1007</v>
      </c>
      <c r="N46" s="108">
        <v>8500</v>
      </c>
      <c r="O46" s="108"/>
      <c r="P46" s="23">
        <v>15</v>
      </c>
      <c r="Q46" s="167"/>
      <c r="R46" s="23"/>
      <c r="S46" s="10" t="s">
        <v>0</v>
      </c>
      <c r="T46" s="10"/>
      <c r="U46" s="23"/>
      <c r="V46" s="23" t="s">
        <v>1008</v>
      </c>
      <c r="W46" s="103"/>
    </row>
    <row r="47" spans="1:23" ht="15.75" customHeight="1">
      <c r="A47" s="36" t="s">
        <v>436</v>
      </c>
      <c r="B47" s="10" t="s">
        <v>433</v>
      </c>
      <c r="C47" s="10" t="s">
        <v>437</v>
      </c>
      <c r="D47" s="10" t="s">
        <v>1080</v>
      </c>
      <c r="E47" s="10"/>
      <c r="F47" s="10"/>
      <c r="G47" s="23"/>
      <c r="H47" s="23" t="s">
        <v>895</v>
      </c>
      <c r="I47" s="23" t="s">
        <v>1247</v>
      </c>
      <c r="J47" s="23" t="s">
        <v>1138</v>
      </c>
      <c r="K47" s="23" t="s">
        <v>940</v>
      </c>
      <c r="L47" s="23" t="s">
        <v>248</v>
      </c>
      <c r="M47" s="103" t="s">
        <v>1007</v>
      </c>
      <c r="N47" s="108">
        <v>8500</v>
      </c>
      <c r="O47" s="108"/>
      <c r="P47" s="23">
        <v>15</v>
      </c>
      <c r="Q47" s="167"/>
      <c r="R47" s="23"/>
      <c r="S47" s="10" t="s">
        <v>0</v>
      </c>
      <c r="T47" s="10"/>
      <c r="U47" s="23"/>
      <c r="V47" s="23" t="s">
        <v>1008</v>
      </c>
      <c r="W47" s="103"/>
    </row>
    <row r="48" spans="1:23" ht="15.75" customHeight="1">
      <c r="A48" s="36" t="s">
        <v>436</v>
      </c>
      <c r="B48" s="10" t="s">
        <v>433</v>
      </c>
      <c r="C48" s="10" t="s">
        <v>437</v>
      </c>
      <c r="D48" s="10" t="s">
        <v>1082</v>
      </c>
      <c r="E48" s="10"/>
      <c r="F48" s="10"/>
      <c r="G48" s="23"/>
      <c r="H48" s="23" t="s">
        <v>895</v>
      </c>
      <c r="I48" s="23" t="s">
        <v>1247</v>
      </c>
      <c r="J48" s="23" t="s">
        <v>1138</v>
      </c>
      <c r="K48" s="23" t="s">
        <v>940</v>
      </c>
      <c r="L48" s="23" t="s">
        <v>248</v>
      </c>
      <c r="M48" s="103" t="s">
        <v>1007</v>
      </c>
      <c r="N48" s="108">
        <v>8500</v>
      </c>
      <c r="O48" s="108"/>
      <c r="P48" s="23">
        <v>15</v>
      </c>
      <c r="Q48" s="167"/>
      <c r="R48" s="23"/>
      <c r="S48" s="10" t="s">
        <v>0</v>
      </c>
      <c r="T48" s="10"/>
      <c r="U48" s="23"/>
      <c r="V48" s="23" t="s">
        <v>1008</v>
      </c>
      <c r="W48" s="103"/>
    </row>
    <row r="49" spans="1:23" ht="13">
      <c r="A49" s="36" t="s">
        <v>436</v>
      </c>
      <c r="B49" s="10" t="s">
        <v>433</v>
      </c>
      <c r="C49" s="10" t="s">
        <v>437</v>
      </c>
      <c r="D49" s="10" t="s">
        <v>1083</v>
      </c>
      <c r="E49" s="10"/>
      <c r="F49" s="10"/>
      <c r="G49" s="23"/>
      <c r="H49" s="23" t="s">
        <v>895</v>
      </c>
      <c r="I49" s="23" t="s">
        <v>1247</v>
      </c>
      <c r="J49" s="23" t="s">
        <v>1138</v>
      </c>
      <c r="K49" s="23" t="s">
        <v>940</v>
      </c>
      <c r="L49" s="23" t="s">
        <v>248</v>
      </c>
      <c r="M49" s="103" t="s">
        <v>599</v>
      </c>
      <c r="N49" s="108">
        <v>8500</v>
      </c>
      <c r="O49" s="108"/>
      <c r="P49" s="23">
        <v>15</v>
      </c>
      <c r="Q49" s="167"/>
      <c r="R49" s="23"/>
      <c r="S49" s="10" t="s">
        <v>0</v>
      </c>
      <c r="T49" s="10"/>
      <c r="U49" s="23"/>
      <c r="V49" s="23" t="s">
        <v>1008</v>
      </c>
      <c r="W49" s="103"/>
    </row>
    <row r="50" spans="1:23" ht="13">
      <c r="A50" s="36"/>
      <c r="B50" s="10"/>
      <c r="C50" s="10"/>
      <c r="D50" s="10"/>
      <c r="E50" s="10"/>
      <c r="F50" s="10"/>
      <c r="G50" s="23"/>
      <c r="H50" s="23"/>
      <c r="I50" s="23"/>
      <c r="J50" s="23"/>
      <c r="K50" s="23"/>
      <c r="L50" s="23"/>
      <c r="M50" s="103"/>
      <c r="N50" s="108"/>
      <c r="O50" s="108"/>
      <c r="P50" s="23"/>
      <c r="Q50" s="167"/>
      <c r="R50" s="23"/>
      <c r="S50" s="10"/>
      <c r="T50" s="10"/>
      <c r="U50" s="23"/>
      <c r="V50" s="23"/>
      <c r="W50" s="103"/>
    </row>
    <row r="51" spans="1:23" ht="13">
      <c r="A51" s="36" t="s">
        <v>464</v>
      </c>
      <c r="B51" s="10" t="s">
        <v>433</v>
      </c>
      <c r="C51" s="10" t="s">
        <v>437</v>
      </c>
      <c r="D51" s="10" t="s">
        <v>1085</v>
      </c>
      <c r="E51" s="10"/>
      <c r="F51" s="10"/>
      <c r="G51" s="23"/>
      <c r="H51" s="23" t="s">
        <v>895</v>
      </c>
      <c r="I51" s="23" t="s">
        <v>1247</v>
      </c>
      <c r="J51" s="23" t="s">
        <v>1138</v>
      </c>
      <c r="K51" s="23" t="s">
        <v>940</v>
      </c>
      <c r="L51" s="23" t="s">
        <v>1035</v>
      </c>
      <c r="M51" s="103" t="s">
        <v>315</v>
      </c>
      <c r="N51" s="108">
        <v>20500</v>
      </c>
      <c r="O51" s="108"/>
      <c r="P51" s="23">
        <v>15</v>
      </c>
      <c r="Q51" s="167"/>
      <c r="R51" s="23" t="s">
        <v>1058</v>
      </c>
      <c r="S51" s="10" t="s">
        <v>1037</v>
      </c>
      <c r="T51" s="10"/>
      <c r="U51" s="23"/>
      <c r="V51" s="23" t="s">
        <v>1008</v>
      </c>
      <c r="W51" s="103"/>
    </row>
    <row r="52" spans="1:23" ht="13">
      <c r="A52" s="36" t="s">
        <v>464</v>
      </c>
      <c r="B52" s="10" t="s">
        <v>433</v>
      </c>
      <c r="C52" s="10" t="s">
        <v>437</v>
      </c>
      <c r="D52" s="10" t="s">
        <v>1086</v>
      </c>
      <c r="E52" s="10"/>
      <c r="F52" s="10"/>
      <c r="G52" s="23"/>
      <c r="H52" s="23" t="s">
        <v>895</v>
      </c>
      <c r="I52" s="23" t="s">
        <v>1247</v>
      </c>
      <c r="J52" s="23" t="s">
        <v>1138</v>
      </c>
      <c r="K52" s="23" t="s">
        <v>940</v>
      </c>
      <c r="L52" s="23" t="s">
        <v>248</v>
      </c>
      <c r="M52" s="103" t="s">
        <v>315</v>
      </c>
      <c r="N52" s="108">
        <v>14500</v>
      </c>
      <c r="O52" s="108"/>
      <c r="P52" s="23">
        <v>15</v>
      </c>
      <c r="Q52" s="167"/>
      <c r="R52" s="23"/>
      <c r="S52" s="10" t="s">
        <v>0</v>
      </c>
      <c r="T52" s="10"/>
      <c r="U52" s="23"/>
      <c r="V52" s="23" t="s">
        <v>1008</v>
      </c>
      <c r="W52" s="103"/>
    </row>
    <row r="53" spans="1:23" ht="13">
      <c r="A53" s="36" t="s">
        <v>464</v>
      </c>
      <c r="B53" s="10" t="s">
        <v>433</v>
      </c>
      <c r="C53" s="10" t="s">
        <v>437</v>
      </c>
      <c r="D53" s="10" t="s">
        <v>1087</v>
      </c>
      <c r="E53" s="10"/>
      <c r="F53" s="10"/>
      <c r="G53" s="23"/>
      <c r="H53" s="23" t="s">
        <v>895</v>
      </c>
      <c r="I53" s="23" t="s">
        <v>1247</v>
      </c>
      <c r="J53" s="23" t="s">
        <v>1138</v>
      </c>
      <c r="K53" s="23" t="s">
        <v>940</v>
      </c>
      <c r="L53" s="23" t="s">
        <v>1035</v>
      </c>
      <c r="M53" s="103" t="s">
        <v>315</v>
      </c>
      <c r="N53" s="108">
        <v>22500</v>
      </c>
      <c r="O53" s="108"/>
      <c r="P53" s="23">
        <v>15</v>
      </c>
      <c r="Q53" s="167"/>
      <c r="R53" s="23" t="s">
        <v>1058</v>
      </c>
      <c r="S53" s="10" t="s">
        <v>1037</v>
      </c>
      <c r="T53" s="10"/>
      <c r="U53" s="23"/>
      <c r="V53" s="23" t="s">
        <v>1008</v>
      </c>
      <c r="W53" s="103"/>
    </row>
    <row r="54" spans="1:23" ht="13">
      <c r="A54" s="36" t="s">
        <v>464</v>
      </c>
      <c r="B54" s="10" t="s">
        <v>433</v>
      </c>
      <c r="C54" s="10" t="s">
        <v>437</v>
      </c>
      <c r="D54" s="10" t="s">
        <v>1088</v>
      </c>
      <c r="E54" s="10"/>
      <c r="F54" s="10"/>
      <c r="G54" s="23"/>
      <c r="H54" s="23" t="s">
        <v>895</v>
      </c>
      <c r="I54" s="23" t="s">
        <v>1247</v>
      </c>
      <c r="J54" s="23" t="s">
        <v>1138</v>
      </c>
      <c r="K54" s="23" t="s">
        <v>940</v>
      </c>
      <c r="L54" s="23" t="s">
        <v>1035</v>
      </c>
      <c r="M54" s="103" t="s">
        <v>315</v>
      </c>
      <c r="N54" s="108">
        <v>22500</v>
      </c>
      <c r="O54" s="108"/>
      <c r="P54" s="23">
        <v>15</v>
      </c>
      <c r="Q54" s="167"/>
      <c r="R54" s="23" t="s">
        <v>1058</v>
      </c>
      <c r="S54" s="10" t="s">
        <v>1037</v>
      </c>
      <c r="T54" s="10"/>
      <c r="U54" s="23"/>
      <c r="V54" s="23" t="s">
        <v>1008</v>
      </c>
      <c r="W54" s="103"/>
    </row>
    <row r="55" spans="1:23" ht="13">
      <c r="A55" s="36" t="s">
        <v>464</v>
      </c>
      <c r="B55" s="10" t="s">
        <v>433</v>
      </c>
      <c r="C55" s="10" t="s">
        <v>437</v>
      </c>
      <c r="D55" s="10" t="s">
        <v>1089</v>
      </c>
      <c r="E55" s="10"/>
      <c r="F55" s="10"/>
      <c r="G55" s="23"/>
      <c r="H55" s="23" t="s">
        <v>895</v>
      </c>
      <c r="I55" s="23" t="s">
        <v>1247</v>
      </c>
      <c r="J55" s="23" t="s">
        <v>1138</v>
      </c>
      <c r="K55" s="23" t="s">
        <v>940</v>
      </c>
      <c r="L55" s="23" t="s">
        <v>248</v>
      </c>
      <c r="M55" s="103" t="s">
        <v>315</v>
      </c>
      <c r="N55" s="108">
        <v>14500</v>
      </c>
      <c r="O55" s="108"/>
      <c r="P55" s="23">
        <v>15</v>
      </c>
      <c r="Q55" s="167"/>
      <c r="R55" s="23"/>
      <c r="S55" s="10" t="s">
        <v>0</v>
      </c>
      <c r="T55" s="10"/>
      <c r="U55" s="23"/>
      <c r="V55" s="23" t="s">
        <v>1008</v>
      </c>
      <c r="W55" s="103"/>
    </row>
    <row r="56" spans="1:23" ht="13">
      <c r="A56" s="36" t="s">
        <v>464</v>
      </c>
      <c r="B56" s="10" t="s">
        <v>433</v>
      </c>
      <c r="C56" s="10" t="s">
        <v>437</v>
      </c>
      <c r="D56" s="10" t="s">
        <v>1090</v>
      </c>
      <c r="E56" s="10"/>
      <c r="F56" s="10"/>
      <c r="G56" s="23"/>
      <c r="H56" s="23" t="s">
        <v>895</v>
      </c>
      <c r="I56" s="23" t="s">
        <v>1247</v>
      </c>
      <c r="J56" s="23" t="s">
        <v>1138</v>
      </c>
      <c r="K56" s="23" t="s">
        <v>940</v>
      </c>
      <c r="L56" s="23" t="s">
        <v>248</v>
      </c>
      <c r="M56" s="103" t="s">
        <v>315</v>
      </c>
      <c r="N56" s="108">
        <v>14500</v>
      </c>
      <c r="O56" s="108"/>
      <c r="P56" s="23">
        <v>15</v>
      </c>
      <c r="Q56" s="167"/>
      <c r="R56" s="23"/>
      <c r="S56" s="10" t="s">
        <v>0</v>
      </c>
      <c r="T56" s="10"/>
      <c r="U56" s="23"/>
      <c r="V56" s="23" t="s">
        <v>1008</v>
      </c>
      <c r="W56" s="103"/>
    </row>
    <row r="57" spans="1:23" ht="13">
      <c r="A57" s="36" t="s">
        <v>464</v>
      </c>
      <c r="B57" s="10" t="s">
        <v>433</v>
      </c>
      <c r="C57" s="10" t="s">
        <v>437</v>
      </c>
      <c r="D57" s="10" t="s">
        <v>1063</v>
      </c>
      <c r="E57" s="10"/>
      <c r="F57" s="10"/>
      <c r="G57" s="23"/>
      <c r="H57" s="23" t="s">
        <v>895</v>
      </c>
      <c r="I57" s="23" t="s">
        <v>1247</v>
      </c>
      <c r="J57" s="23" t="s">
        <v>1138</v>
      </c>
      <c r="K57" s="23" t="s">
        <v>940</v>
      </c>
      <c r="L57" s="23" t="s">
        <v>248</v>
      </c>
      <c r="M57" s="103" t="s">
        <v>315</v>
      </c>
      <c r="N57" s="108">
        <v>14500</v>
      </c>
      <c r="O57" s="108"/>
      <c r="P57" s="23">
        <v>15</v>
      </c>
      <c r="Q57" s="167"/>
      <c r="R57" s="23"/>
      <c r="S57" s="10" t="s">
        <v>0</v>
      </c>
      <c r="T57" s="10"/>
      <c r="U57" s="23"/>
      <c r="V57" s="23" t="s">
        <v>1008</v>
      </c>
      <c r="W57" s="103"/>
    </row>
    <row r="58" spans="1:23" ht="13">
      <c r="A58" s="36"/>
      <c r="B58" s="10"/>
      <c r="C58" s="10"/>
      <c r="D58" s="10"/>
      <c r="E58" s="10"/>
      <c r="F58" s="10"/>
      <c r="G58" s="23"/>
      <c r="H58" s="23"/>
      <c r="I58" s="23"/>
      <c r="J58" s="23"/>
      <c r="K58" s="23"/>
      <c r="L58" s="23"/>
      <c r="M58" s="103"/>
      <c r="N58" s="108"/>
      <c r="O58" s="108"/>
      <c r="P58" s="23"/>
      <c r="Q58" s="167"/>
      <c r="R58" s="23"/>
      <c r="S58" s="23"/>
      <c r="T58" s="10"/>
      <c r="U58" s="23"/>
      <c r="V58" s="23"/>
      <c r="W58" s="103"/>
    </row>
    <row r="59" spans="1:23" ht="13">
      <c r="A59" s="36" t="s">
        <v>1308</v>
      </c>
      <c r="B59" s="10"/>
      <c r="C59" s="10"/>
      <c r="D59" s="10" t="s">
        <v>1309</v>
      </c>
      <c r="E59" s="10" t="s">
        <v>978</v>
      </c>
      <c r="F59" s="10"/>
      <c r="G59" s="23"/>
      <c r="H59" s="23" t="s">
        <v>895</v>
      </c>
      <c r="I59" s="23" t="s">
        <v>1247</v>
      </c>
      <c r="J59" s="23" t="s">
        <v>1138</v>
      </c>
      <c r="K59" s="23" t="s">
        <v>940</v>
      </c>
      <c r="L59" s="23" t="s">
        <v>1035</v>
      </c>
      <c r="M59" s="103" t="s">
        <v>882</v>
      </c>
      <c r="N59" s="108"/>
      <c r="O59" s="108"/>
      <c r="P59" s="23">
        <v>15</v>
      </c>
      <c r="Q59" s="167">
        <v>22000</v>
      </c>
      <c r="R59" s="23" t="s">
        <v>1058</v>
      </c>
      <c r="S59" s="10" t="s">
        <v>1037</v>
      </c>
      <c r="T59" s="10"/>
      <c r="U59" s="23" t="s">
        <v>1312</v>
      </c>
      <c r="V59" s="23" t="s">
        <v>1183</v>
      </c>
      <c r="W59" s="103"/>
    </row>
    <row r="60" spans="1:23" ht="13">
      <c r="A60" s="36"/>
      <c r="B60" s="10"/>
      <c r="C60" s="10"/>
      <c r="D60" s="10"/>
      <c r="E60" s="10"/>
      <c r="F60" s="10"/>
      <c r="G60" s="23"/>
      <c r="H60" s="23"/>
      <c r="I60" s="23"/>
      <c r="J60" s="23"/>
      <c r="K60" s="23"/>
      <c r="L60" s="23"/>
      <c r="M60" s="103"/>
      <c r="N60" s="108"/>
      <c r="O60" s="108"/>
      <c r="P60" s="23"/>
      <c r="Q60" s="167"/>
      <c r="R60" s="23"/>
      <c r="S60" s="10"/>
      <c r="T60" s="10"/>
      <c r="U60" s="23"/>
      <c r="V60" s="23"/>
      <c r="W60" s="103"/>
    </row>
    <row r="61" spans="1:23" ht="13">
      <c r="A61" s="170" t="s">
        <v>1315</v>
      </c>
      <c r="B61" s="30" t="s">
        <v>1316</v>
      </c>
      <c r="C61" s="30"/>
      <c r="D61" s="30"/>
      <c r="E61" s="30"/>
      <c r="F61" s="30"/>
      <c r="G61" s="31"/>
      <c r="H61" s="31"/>
      <c r="I61" s="31"/>
      <c r="J61" s="31"/>
      <c r="K61" s="31"/>
      <c r="L61" s="31"/>
      <c r="M61" s="166"/>
      <c r="N61" s="171"/>
      <c r="O61" s="171"/>
      <c r="P61" s="31"/>
      <c r="Q61" s="172"/>
      <c r="R61" s="31"/>
      <c r="S61" s="30"/>
      <c r="T61" s="30"/>
      <c r="U61" s="31"/>
      <c r="V61" s="31"/>
      <c r="W61" s="166"/>
    </row>
    <row r="62" spans="1:23" ht="13">
      <c r="A62" s="36"/>
      <c r="B62" s="10"/>
      <c r="C62" s="10"/>
      <c r="D62" s="10"/>
      <c r="E62" s="10"/>
      <c r="F62" s="10"/>
      <c r="G62" s="23"/>
      <c r="H62" s="23"/>
      <c r="I62" s="23"/>
      <c r="J62" s="23"/>
      <c r="K62" s="103"/>
      <c r="L62" s="103"/>
      <c r="M62" s="103"/>
      <c r="N62" s="108"/>
      <c r="O62" s="108"/>
      <c r="P62" s="23"/>
      <c r="Q62" s="167"/>
      <c r="R62" s="23"/>
      <c r="S62" s="23"/>
      <c r="T62" s="10"/>
      <c r="U62" s="23"/>
      <c r="V62" s="23"/>
      <c r="W62" s="103"/>
    </row>
    <row r="63" spans="1:23" ht="13">
      <c r="A63" s="36" t="s">
        <v>1323</v>
      </c>
      <c r="B63" s="10" t="s">
        <v>1324</v>
      </c>
      <c r="C63" s="10" t="s">
        <v>1325</v>
      </c>
      <c r="D63" s="10" t="s">
        <v>1326</v>
      </c>
      <c r="E63" s="10"/>
      <c r="F63" s="10"/>
      <c r="G63" s="23"/>
      <c r="H63" s="23" t="s">
        <v>895</v>
      </c>
      <c r="I63" s="23" t="s">
        <v>1247</v>
      </c>
      <c r="J63" s="23" t="s">
        <v>1138</v>
      </c>
      <c r="K63" s="23" t="s">
        <v>940</v>
      </c>
      <c r="L63" s="23" t="s">
        <v>248</v>
      </c>
      <c r="M63" s="103" t="s">
        <v>1321</v>
      </c>
      <c r="N63" s="108">
        <v>120000</v>
      </c>
      <c r="O63" s="108"/>
      <c r="P63" s="23">
        <v>15</v>
      </c>
      <c r="Q63" s="167"/>
      <c r="R63" s="23"/>
      <c r="S63" s="10" t="s">
        <v>0</v>
      </c>
      <c r="T63" s="10"/>
      <c r="U63" s="23" t="s">
        <v>462</v>
      </c>
      <c r="V63" s="23" t="s">
        <v>1147</v>
      </c>
      <c r="W63" s="103"/>
    </row>
    <row r="64" spans="1:23" ht="13">
      <c r="A64" s="36"/>
      <c r="B64" s="10"/>
      <c r="C64" s="10"/>
      <c r="D64" s="10"/>
      <c r="E64" s="10"/>
      <c r="F64" s="10"/>
      <c r="G64" s="23"/>
      <c r="H64" s="23"/>
      <c r="I64" s="23"/>
      <c r="J64" s="23"/>
      <c r="K64" s="103"/>
      <c r="L64" s="103"/>
      <c r="M64" s="103"/>
      <c r="N64" s="108"/>
      <c r="O64" s="108"/>
      <c r="P64" s="23"/>
      <c r="Q64" s="167"/>
      <c r="R64" s="23"/>
      <c r="S64" s="10"/>
      <c r="T64" s="10"/>
      <c r="U64" s="23"/>
      <c r="V64" s="23"/>
      <c r="W64" s="103"/>
    </row>
    <row r="65" spans="1:23" ht="13">
      <c r="A65" s="170" t="s">
        <v>1332</v>
      </c>
      <c r="B65" s="30" t="s">
        <v>1316</v>
      </c>
      <c r="C65" s="30"/>
      <c r="D65" s="30"/>
      <c r="E65" s="30"/>
      <c r="F65" s="30"/>
      <c r="G65" s="31"/>
      <c r="H65" s="31"/>
      <c r="I65" s="31"/>
      <c r="J65" s="31"/>
      <c r="K65" s="166"/>
      <c r="L65" s="166"/>
      <c r="M65" s="166"/>
      <c r="N65" s="171"/>
      <c r="O65" s="171"/>
      <c r="P65" s="31"/>
      <c r="Q65" s="172"/>
      <c r="R65" s="31"/>
      <c r="S65" s="30"/>
      <c r="T65" s="10"/>
      <c r="U65" s="23"/>
      <c r="V65" s="23"/>
      <c r="W65" s="103"/>
    </row>
    <row r="66" spans="1:23" ht="13">
      <c r="A66" s="36"/>
      <c r="B66" s="10"/>
      <c r="C66" s="10"/>
      <c r="D66" s="10"/>
      <c r="E66" s="10"/>
      <c r="F66" s="10"/>
      <c r="G66" s="23"/>
      <c r="H66" s="23"/>
      <c r="I66" s="23"/>
      <c r="J66" s="23"/>
      <c r="K66" s="103"/>
      <c r="L66" s="103"/>
      <c r="M66" s="103"/>
      <c r="N66" s="108"/>
      <c r="O66" s="108"/>
      <c r="P66" s="23"/>
      <c r="Q66" s="167"/>
      <c r="R66" s="23"/>
      <c r="S66" s="10"/>
      <c r="T66" s="10"/>
      <c r="U66" s="23"/>
      <c r="V66" s="23"/>
      <c r="W66" s="103"/>
    </row>
    <row r="67" spans="1:23" ht="13">
      <c r="A67" s="36" t="s">
        <v>382</v>
      </c>
      <c r="B67" s="10" t="s">
        <v>1338</v>
      </c>
      <c r="C67" s="10" t="s">
        <v>384</v>
      </c>
      <c r="D67" s="10" t="s">
        <v>1341</v>
      </c>
      <c r="E67" s="10"/>
      <c r="F67" s="10"/>
      <c r="G67" s="23"/>
      <c r="H67" s="23" t="s">
        <v>895</v>
      </c>
      <c r="I67" s="23" t="s">
        <v>1180</v>
      </c>
      <c r="J67" s="23" t="s">
        <v>1138</v>
      </c>
      <c r="K67" s="23" t="s">
        <v>940</v>
      </c>
      <c r="L67" s="23" t="s">
        <v>248</v>
      </c>
      <c r="M67" s="103" t="s">
        <v>882</v>
      </c>
      <c r="N67" s="108">
        <v>21000</v>
      </c>
      <c r="O67" s="108"/>
      <c r="P67" s="23"/>
      <c r="Q67" s="167"/>
      <c r="R67" s="23" t="s">
        <v>1058</v>
      </c>
      <c r="S67" s="10" t="s">
        <v>0</v>
      </c>
      <c r="T67" s="10"/>
      <c r="U67" s="23" t="s">
        <v>361</v>
      </c>
      <c r="V67" s="23" t="s">
        <v>1147</v>
      </c>
      <c r="W67" s="103"/>
    </row>
    <row r="68" spans="1:23" ht="13">
      <c r="A68" s="36" t="s">
        <v>382</v>
      </c>
      <c r="B68" s="10" t="s">
        <v>1338</v>
      </c>
      <c r="C68" s="10" t="s">
        <v>384</v>
      </c>
      <c r="D68" s="10" t="s">
        <v>1342</v>
      </c>
      <c r="E68" s="10"/>
      <c r="F68" s="10"/>
      <c r="G68" s="23"/>
      <c r="H68" s="23" t="s">
        <v>895</v>
      </c>
      <c r="I68" s="23" t="s">
        <v>1180</v>
      </c>
      <c r="J68" s="23" t="s">
        <v>1138</v>
      </c>
      <c r="K68" s="23" t="s">
        <v>940</v>
      </c>
      <c r="L68" s="23" t="s">
        <v>1035</v>
      </c>
      <c r="M68" s="103" t="s">
        <v>882</v>
      </c>
      <c r="N68" s="108">
        <v>21000</v>
      </c>
      <c r="O68" s="108"/>
      <c r="P68" s="23"/>
      <c r="Q68" s="167"/>
      <c r="R68" s="23" t="s">
        <v>1058</v>
      </c>
      <c r="S68" s="10" t="s">
        <v>1037</v>
      </c>
      <c r="T68" s="10"/>
      <c r="U68" s="23" t="s">
        <v>361</v>
      </c>
      <c r="V68" s="23" t="s">
        <v>1147</v>
      </c>
      <c r="W68" s="103"/>
    </row>
    <row r="69" spans="1:23" ht="13">
      <c r="A69" s="36" t="s">
        <v>382</v>
      </c>
      <c r="B69" s="10" t="s">
        <v>1338</v>
      </c>
      <c r="C69" s="10" t="s">
        <v>384</v>
      </c>
      <c r="D69" s="10" t="s">
        <v>1345</v>
      </c>
      <c r="E69" s="10"/>
      <c r="F69" s="10"/>
      <c r="G69" s="23"/>
      <c r="H69" s="23" t="s">
        <v>895</v>
      </c>
      <c r="I69" s="23" t="s">
        <v>1180</v>
      </c>
      <c r="J69" s="23" t="s">
        <v>1138</v>
      </c>
      <c r="K69" s="23" t="s">
        <v>940</v>
      </c>
      <c r="L69" s="23" t="s">
        <v>1035</v>
      </c>
      <c r="M69" s="103" t="s">
        <v>315</v>
      </c>
      <c r="N69" s="108">
        <v>21000</v>
      </c>
      <c r="O69" s="108"/>
      <c r="P69" s="23"/>
      <c r="Q69" s="167"/>
      <c r="R69" s="23" t="s">
        <v>1058</v>
      </c>
      <c r="S69" s="10" t="s">
        <v>1037</v>
      </c>
      <c r="T69" s="10"/>
      <c r="U69" s="23" t="s">
        <v>361</v>
      </c>
      <c r="V69" s="23" t="s">
        <v>1147</v>
      </c>
      <c r="W69" s="103"/>
    </row>
    <row r="70" spans="1:23" ht="13">
      <c r="A70" s="36" t="s">
        <v>382</v>
      </c>
      <c r="B70" s="10" t="s">
        <v>1338</v>
      </c>
      <c r="C70" s="10" t="s">
        <v>384</v>
      </c>
      <c r="D70" s="10" t="s">
        <v>1347</v>
      </c>
      <c r="E70" s="10"/>
      <c r="F70" s="10"/>
      <c r="G70" s="23"/>
      <c r="H70" s="23" t="s">
        <v>895</v>
      </c>
      <c r="I70" s="23" t="s">
        <v>1180</v>
      </c>
      <c r="J70" s="23" t="s">
        <v>1138</v>
      </c>
      <c r="K70" s="23" t="s">
        <v>940</v>
      </c>
      <c r="L70" s="23" t="s">
        <v>1035</v>
      </c>
      <c r="M70" s="103" t="s">
        <v>315</v>
      </c>
      <c r="N70" s="108">
        <v>21000</v>
      </c>
      <c r="O70" s="108"/>
      <c r="P70" s="23"/>
      <c r="Q70" s="167"/>
      <c r="R70" s="23" t="s">
        <v>1058</v>
      </c>
      <c r="S70" s="10" t="s">
        <v>1037</v>
      </c>
      <c r="T70" s="10"/>
      <c r="U70" s="23" t="s">
        <v>361</v>
      </c>
      <c r="V70" s="23" t="s">
        <v>1147</v>
      </c>
      <c r="W70" s="103"/>
    </row>
    <row r="71" spans="1:23" ht="13">
      <c r="A71" s="36" t="s">
        <v>382</v>
      </c>
      <c r="B71" s="10" t="s">
        <v>1338</v>
      </c>
      <c r="C71" s="10" t="s">
        <v>384</v>
      </c>
      <c r="D71" s="10" t="s">
        <v>1351</v>
      </c>
      <c r="E71" s="10"/>
      <c r="F71" s="10"/>
      <c r="G71" s="23"/>
      <c r="H71" s="23" t="s">
        <v>895</v>
      </c>
      <c r="I71" s="23" t="s">
        <v>1180</v>
      </c>
      <c r="J71" s="23" t="s">
        <v>1138</v>
      </c>
      <c r="K71" s="23" t="s">
        <v>940</v>
      </c>
      <c r="L71" s="23" t="s">
        <v>1035</v>
      </c>
      <c r="M71" s="103" t="s">
        <v>315</v>
      </c>
      <c r="N71" s="108">
        <v>21000</v>
      </c>
      <c r="O71" s="108"/>
      <c r="P71" s="23"/>
      <c r="Q71" s="167"/>
      <c r="R71" s="23" t="s">
        <v>1058</v>
      </c>
      <c r="S71" s="10" t="s">
        <v>1037</v>
      </c>
      <c r="T71" s="10"/>
      <c r="U71" s="23" t="s">
        <v>361</v>
      </c>
      <c r="V71" s="23" t="s">
        <v>1147</v>
      </c>
      <c r="W71" s="103"/>
    </row>
    <row r="72" spans="1:23" ht="13">
      <c r="A72" s="36" t="s">
        <v>382</v>
      </c>
      <c r="B72" s="10" t="s">
        <v>1338</v>
      </c>
      <c r="C72" s="10" t="s">
        <v>384</v>
      </c>
      <c r="D72" s="10" t="s">
        <v>1355</v>
      </c>
      <c r="E72" s="10"/>
      <c r="F72" s="10"/>
      <c r="G72" s="23"/>
      <c r="H72" s="23" t="s">
        <v>895</v>
      </c>
      <c r="I72" s="23" t="s">
        <v>1180</v>
      </c>
      <c r="J72" s="23" t="s">
        <v>1138</v>
      </c>
      <c r="K72" s="23" t="s">
        <v>940</v>
      </c>
      <c r="L72" s="23" t="s">
        <v>1035</v>
      </c>
      <c r="M72" s="103" t="s">
        <v>315</v>
      </c>
      <c r="N72" s="108">
        <v>21000</v>
      </c>
      <c r="O72" s="108"/>
      <c r="P72" s="23"/>
      <c r="Q72" s="167"/>
      <c r="R72" s="23" t="s">
        <v>1058</v>
      </c>
      <c r="S72" s="10" t="s">
        <v>1037</v>
      </c>
      <c r="T72" s="10"/>
      <c r="U72" s="23" t="s">
        <v>361</v>
      </c>
      <c r="V72" s="23" t="s">
        <v>1147</v>
      </c>
      <c r="W72" s="103"/>
    </row>
    <row r="73" spans="1:23" ht="13">
      <c r="A73" s="36" t="s">
        <v>382</v>
      </c>
      <c r="B73" s="10" t="s">
        <v>1338</v>
      </c>
      <c r="C73" s="10" t="s">
        <v>384</v>
      </c>
      <c r="D73" s="10" t="s">
        <v>1357</v>
      </c>
      <c r="E73" s="10"/>
      <c r="F73" s="10"/>
      <c r="G73" s="23"/>
      <c r="H73" s="23" t="s">
        <v>895</v>
      </c>
      <c r="I73" s="23" t="s">
        <v>1180</v>
      </c>
      <c r="J73" s="23" t="s">
        <v>1138</v>
      </c>
      <c r="K73" s="23" t="s">
        <v>940</v>
      </c>
      <c r="L73" s="23" t="s">
        <v>1035</v>
      </c>
      <c r="M73" s="103" t="s">
        <v>882</v>
      </c>
      <c r="N73" s="108">
        <v>21000</v>
      </c>
      <c r="O73" s="108"/>
      <c r="P73" s="23"/>
      <c r="Q73" s="167"/>
      <c r="R73" s="23" t="s">
        <v>1058</v>
      </c>
      <c r="S73" s="10" t="s">
        <v>1037</v>
      </c>
      <c r="T73" s="10"/>
      <c r="U73" s="23" t="s">
        <v>361</v>
      </c>
      <c r="V73" s="23" t="s">
        <v>1147</v>
      </c>
      <c r="W73" s="103"/>
    </row>
    <row r="74" spans="1:23" ht="13">
      <c r="A74" s="36" t="s">
        <v>382</v>
      </c>
      <c r="B74" s="10" t="s">
        <v>1338</v>
      </c>
      <c r="C74" s="10" t="s">
        <v>384</v>
      </c>
      <c r="D74" s="10" t="s">
        <v>1359</v>
      </c>
      <c r="E74" s="10"/>
      <c r="F74" s="10"/>
      <c r="G74" s="23"/>
      <c r="H74" s="23" t="s">
        <v>895</v>
      </c>
      <c r="I74" s="23" t="s">
        <v>1180</v>
      </c>
      <c r="J74" s="23" t="s">
        <v>1138</v>
      </c>
      <c r="K74" s="23" t="s">
        <v>940</v>
      </c>
      <c r="L74" s="23" t="s">
        <v>248</v>
      </c>
      <c r="M74" s="103" t="s">
        <v>882</v>
      </c>
      <c r="N74" s="108">
        <v>21000</v>
      </c>
      <c r="O74" s="108"/>
      <c r="P74" s="23"/>
      <c r="Q74" s="167"/>
      <c r="R74" s="23"/>
      <c r="S74" s="10" t="s">
        <v>0</v>
      </c>
      <c r="T74" s="10"/>
      <c r="U74" s="23" t="s">
        <v>361</v>
      </c>
      <c r="V74" s="23" t="s">
        <v>1147</v>
      </c>
      <c r="W74" s="103"/>
    </row>
    <row r="75" spans="1:23" ht="13">
      <c r="A75" s="36" t="s">
        <v>382</v>
      </c>
      <c r="B75" s="10" t="s">
        <v>1338</v>
      </c>
      <c r="C75" s="10" t="s">
        <v>384</v>
      </c>
      <c r="D75" s="10" t="s">
        <v>1361</v>
      </c>
      <c r="E75" s="10"/>
      <c r="F75" s="10"/>
      <c r="G75" s="23"/>
      <c r="H75" s="23" t="s">
        <v>895</v>
      </c>
      <c r="I75" s="23" t="s">
        <v>1180</v>
      </c>
      <c r="J75" s="23" t="s">
        <v>1138</v>
      </c>
      <c r="K75" s="23" t="s">
        <v>940</v>
      </c>
      <c r="L75" s="23" t="s">
        <v>248</v>
      </c>
      <c r="M75" s="103" t="s">
        <v>315</v>
      </c>
      <c r="N75" s="108">
        <v>21000</v>
      </c>
      <c r="O75" s="108"/>
      <c r="P75" s="23"/>
      <c r="Q75" s="167"/>
      <c r="R75" s="23"/>
      <c r="S75" s="10" t="s">
        <v>0</v>
      </c>
      <c r="T75" s="10"/>
      <c r="U75" s="23" t="s">
        <v>361</v>
      </c>
      <c r="V75" s="23" t="s">
        <v>1147</v>
      </c>
      <c r="W75" s="103"/>
    </row>
    <row r="76" spans="1:23" ht="13">
      <c r="A76" s="36"/>
      <c r="B76" s="10"/>
      <c r="C76" s="10"/>
      <c r="D76" s="10"/>
      <c r="E76" s="10"/>
      <c r="F76" s="10"/>
      <c r="G76" s="23"/>
      <c r="H76" s="23"/>
      <c r="I76" s="23"/>
      <c r="J76" s="23"/>
      <c r="K76" s="23"/>
      <c r="L76" s="23"/>
      <c r="M76" s="103"/>
      <c r="N76" s="108"/>
      <c r="O76" s="108"/>
      <c r="P76" s="23"/>
      <c r="Q76" s="167"/>
      <c r="R76" s="23"/>
      <c r="S76" s="23"/>
      <c r="T76" s="10"/>
      <c r="U76" s="23"/>
      <c r="V76" s="23"/>
      <c r="W76" s="103"/>
    </row>
    <row r="77" spans="1:23" ht="13">
      <c r="A77" s="36" t="s">
        <v>1363</v>
      </c>
      <c r="B77" s="10" t="s">
        <v>1364</v>
      </c>
      <c r="C77" s="10" t="s">
        <v>1365</v>
      </c>
      <c r="D77" s="10" t="s">
        <v>1366</v>
      </c>
      <c r="E77" s="10"/>
      <c r="F77" s="10"/>
      <c r="G77" s="23"/>
      <c r="H77" s="23" t="s">
        <v>1367</v>
      </c>
      <c r="I77" s="23" t="s">
        <v>1180</v>
      </c>
      <c r="J77" s="23" t="s">
        <v>1138</v>
      </c>
      <c r="K77" s="23" t="s">
        <v>940</v>
      </c>
      <c r="L77" s="23" t="s">
        <v>248</v>
      </c>
      <c r="M77" s="103" t="s">
        <v>882</v>
      </c>
      <c r="N77" s="108"/>
      <c r="O77" s="108"/>
      <c r="P77" s="23">
        <v>15</v>
      </c>
      <c r="Q77" s="167"/>
      <c r="R77" s="23"/>
      <c r="S77" s="10" t="s">
        <v>0</v>
      </c>
      <c r="T77" s="10"/>
      <c r="U77" s="23" t="s">
        <v>1368</v>
      </c>
      <c r="V77" s="23" t="s">
        <v>1369</v>
      </c>
      <c r="W77" s="103"/>
    </row>
    <row r="78" spans="1:23" ht="13">
      <c r="A78" s="36" t="s">
        <v>1363</v>
      </c>
      <c r="B78" s="10" t="s">
        <v>1364</v>
      </c>
      <c r="C78" s="10" t="s">
        <v>1365</v>
      </c>
      <c r="D78" s="10" t="s">
        <v>1371</v>
      </c>
      <c r="E78" s="10"/>
      <c r="F78" s="10"/>
      <c r="G78" s="23"/>
      <c r="H78" s="23" t="s">
        <v>1367</v>
      </c>
      <c r="I78" s="23" t="s">
        <v>1180</v>
      </c>
      <c r="J78" s="23" t="s">
        <v>1138</v>
      </c>
      <c r="K78" s="23" t="s">
        <v>940</v>
      </c>
      <c r="L78" s="23" t="s">
        <v>248</v>
      </c>
      <c r="M78" s="103" t="s">
        <v>882</v>
      </c>
      <c r="N78" s="108"/>
      <c r="O78" s="108"/>
      <c r="P78" s="23">
        <v>15</v>
      </c>
      <c r="Q78" s="167"/>
      <c r="R78" s="23"/>
      <c r="S78" s="10" t="s">
        <v>0</v>
      </c>
      <c r="T78" s="10"/>
      <c r="U78" s="23" t="s">
        <v>1368</v>
      </c>
      <c r="V78" s="23" t="s">
        <v>1369</v>
      </c>
      <c r="W78" s="103"/>
    </row>
    <row r="79" spans="1:23" ht="13">
      <c r="A79" s="36" t="s">
        <v>1363</v>
      </c>
      <c r="B79" s="10" t="s">
        <v>1364</v>
      </c>
      <c r="C79" s="10" t="s">
        <v>1365</v>
      </c>
      <c r="D79" s="10" t="s">
        <v>1373</v>
      </c>
      <c r="E79" s="10"/>
      <c r="F79" s="10"/>
      <c r="G79" s="23"/>
      <c r="H79" s="23" t="s">
        <v>1367</v>
      </c>
      <c r="I79" s="23" t="s">
        <v>1180</v>
      </c>
      <c r="J79" s="23" t="s">
        <v>1138</v>
      </c>
      <c r="K79" s="23" t="s">
        <v>940</v>
      </c>
      <c r="L79" s="23" t="s">
        <v>248</v>
      </c>
      <c r="M79" s="103" t="s">
        <v>599</v>
      </c>
      <c r="N79" s="108"/>
      <c r="O79" s="108"/>
      <c r="P79" s="23">
        <v>15</v>
      </c>
      <c r="Q79" s="167"/>
      <c r="R79" s="23"/>
      <c r="S79" s="10" t="s">
        <v>0</v>
      </c>
      <c r="T79" s="10"/>
      <c r="U79" s="23" t="s">
        <v>1368</v>
      </c>
      <c r="V79" s="23" t="s">
        <v>1369</v>
      </c>
      <c r="W79" s="103"/>
    </row>
    <row r="80" spans="1:23" ht="13">
      <c r="A80" s="36" t="s">
        <v>1363</v>
      </c>
      <c r="B80" s="10" t="s">
        <v>1364</v>
      </c>
      <c r="C80" s="10" t="s">
        <v>1365</v>
      </c>
      <c r="D80" s="10" t="s">
        <v>1380</v>
      </c>
      <c r="E80" s="10"/>
      <c r="F80" s="10"/>
      <c r="G80" s="23"/>
      <c r="H80" s="23" t="s">
        <v>1367</v>
      </c>
      <c r="I80" s="23" t="s">
        <v>1180</v>
      </c>
      <c r="J80" s="23" t="s">
        <v>1138</v>
      </c>
      <c r="K80" s="23" t="s">
        <v>940</v>
      </c>
      <c r="L80" s="23" t="s">
        <v>248</v>
      </c>
      <c r="M80" s="103" t="s">
        <v>599</v>
      </c>
      <c r="N80" s="108"/>
      <c r="O80" s="108"/>
      <c r="P80" s="23">
        <v>15</v>
      </c>
      <c r="Q80" s="167"/>
      <c r="R80" s="23"/>
      <c r="S80" s="10" t="s">
        <v>0</v>
      </c>
      <c r="T80" s="10"/>
      <c r="U80" s="23" t="s">
        <v>1368</v>
      </c>
      <c r="V80" s="23" t="s">
        <v>1369</v>
      </c>
      <c r="W80" s="103"/>
    </row>
    <row r="81" spans="1:23" ht="13">
      <c r="A81" s="36"/>
      <c r="B81" s="10"/>
      <c r="C81" s="10"/>
      <c r="D81" s="10"/>
      <c r="E81" s="10"/>
      <c r="F81" s="10"/>
      <c r="G81" s="23"/>
      <c r="H81" s="23"/>
      <c r="I81" s="23"/>
      <c r="J81" s="23"/>
      <c r="K81" s="103"/>
      <c r="L81" s="103"/>
      <c r="M81" s="103"/>
      <c r="N81" s="108"/>
      <c r="O81" s="108"/>
      <c r="P81" s="23"/>
      <c r="Q81" s="167"/>
      <c r="R81" s="23"/>
      <c r="S81" s="10"/>
      <c r="T81" s="10"/>
      <c r="U81" s="23"/>
      <c r="V81" s="23"/>
      <c r="W81" s="103"/>
    </row>
    <row r="82" spans="1:23" ht="13">
      <c r="A82" s="36" t="s">
        <v>1384</v>
      </c>
      <c r="B82" s="10" t="s">
        <v>1305</v>
      </c>
      <c r="C82" s="10" t="s">
        <v>533</v>
      </c>
      <c r="D82" s="10" t="s">
        <v>1385</v>
      </c>
      <c r="E82" s="10"/>
      <c r="F82" s="10"/>
      <c r="G82" s="23"/>
      <c r="H82" s="23" t="s">
        <v>895</v>
      </c>
      <c r="I82" s="173" t="s">
        <v>992</v>
      </c>
      <c r="J82" s="23" t="s">
        <v>1138</v>
      </c>
      <c r="K82" s="23" t="s">
        <v>940</v>
      </c>
      <c r="L82" s="23" t="s">
        <v>1035</v>
      </c>
      <c r="M82" s="103" t="s">
        <v>882</v>
      </c>
      <c r="N82" s="108">
        <v>15000</v>
      </c>
      <c r="O82" s="108"/>
      <c r="P82" s="23">
        <v>15</v>
      </c>
      <c r="Q82" s="167"/>
      <c r="R82" s="23" t="s">
        <v>1058</v>
      </c>
      <c r="S82" s="10" t="s">
        <v>1037</v>
      </c>
      <c r="T82" s="10"/>
      <c r="U82" s="23" t="s">
        <v>1001</v>
      </c>
      <c r="V82" s="23" t="s">
        <v>1039</v>
      </c>
      <c r="W82" s="103"/>
    </row>
    <row r="83" spans="1:23" ht="13">
      <c r="A83" s="36" t="s">
        <v>1384</v>
      </c>
      <c r="B83" s="10" t="s">
        <v>1305</v>
      </c>
      <c r="C83" s="10" t="s">
        <v>533</v>
      </c>
      <c r="D83" s="10" t="s">
        <v>1388</v>
      </c>
      <c r="E83" s="10"/>
      <c r="F83" s="10"/>
      <c r="G83" s="23"/>
      <c r="H83" s="23" t="s">
        <v>895</v>
      </c>
      <c r="I83" s="173" t="s">
        <v>992</v>
      </c>
      <c r="J83" s="23" t="s">
        <v>1138</v>
      </c>
      <c r="K83" s="23" t="s">
        <v>940</v>
      </c>
      <c r="L83" s="23" t="s">
        <v>1035</v>
      </c>
      <c r="M83" s="103" t="s">
        <v>315</v>
      </c>
      <c r="N83" s="108">
        <v>15000</v>
      </c>
      <c r="O83" s="108"/>
      <c r="P83" s="23">
        <v>15</v>
      </c>
      <c r="Q83" s="167"/>
      <c r="R83" s="23" t="s">
        <v>1061</v>
      </c>
      <c r="S83" s="10" t="s">
        <v>1037</v>
      </c>
      <c r="T83" s="10"/>
      <c r="U83" s="23" t="s">
        <v>1001</v>
      </c>
      <c r="V83" s="23" t="s">
        <v>1039</v>
      </c>
      <c r="W83" s="103"/>
    </row>
    <row r="84" spans="1:23" ht="13">
      <c r="A84" s="36" t="s">
        <v>1384</v>
      </c>
      <c r="B84" s="10" t="s">
        <v>1305</v>
      </c>
      <c r="C84" s="10" t="s">
        <v>533</v>
      </c>
      <c r="D84" s="10" t="s">
        <v>1390</v>
      </c>
      <c r="E84" s="10"/>
      <c r="F84" s="10"/>
      <c r="G84" s="23"/>
      <c r="H84" s="23" t="s">
        <v>895</v>
      </c>
      <c r="I84" s="173" t="s">
        <v>992</v>
      </c>
      <c r="J84" s="23" t="s">
        <v>1138</v>
      </c>
      <c r="K84" s="23" t="s">
        <v>940</v>
      </c>
      <c r="L84" s="23" t="s">
        <v>1035</v>
      </c>
      <c r="M84" s="103" t="s">
        <v>599</v>
      </c>
      <c r="N84" s="108">
        <v>15000</v>
      </c>
      <c r="O84" s="108"/>
      <c r="P84" s="23">
        <v>15</v>
      </c>
      <c r="Q84" s="167"/>
      <c r="R84" s="23" t="s">
        <v>1045</v>
      </c>
      <c r="S84" s="10" t="s">
        <v>1037</v>
      </c>
      <c r="T84" s="10"/>
      <c r="U84" s="23" t="s">
        <v>1001</v>
      </c>
      <c r="V84" s="23" t="s">
        <v>1039</v>
      </c>
      <c r="W84" s="103"/>
    </row>
    <row r="85" spans="1:23" ht="13">
      <c r="A85" s="36"/>
      <c r="B85" s="10"/>
      <c r="C85" s="10"/>
      <c r="D85" s="10"/>
      <c r="E85" s="10"/>
      <c r="F85" s="10"/>
      <c r="G85" s="23"/>
      <c r="H85" s="23"/>
      <c r="I85" s="23"/>
      <c r="J85" s="23"/>
      <c r="K85" s="23"/>
      <c r="L85" s="23"/>
      <c r="M85" s="103"/>
      <c r="N85" s="108"/>
      <c r="O85" s="108"/>
      <c r="P85" s="23"/>
      <c r="Q85" s="167"/>
      <c r="R85" s="23"/>
      <c r="S85" s="10"/>
      <c r="T85" s="10"/>
      <c r="U85" s="23"/>
      <c r="V85" s="23"/>
      <c r="W85" s="103"/>
    </row>
    <row r="86" spans="1:23" ht="28">
      <c r="A86" s="36" t="s">
        <v>1395</v>
      </c>
      <c r="B86" s="37" t="s">
        <v>1396</v>
      </c>
      <c r="C86" s="10" t="s">
        <v>1397</v>
      </c>
      <c r="D86" s="10" t="s">
        <v>764</v>
      </c>
      <c r="E86" s="10"/>
      <c r="F86" s="10"/>
      <c r="G86" s="23"/>
      <c r="H86" s="23" t="s">
        <v>1145</v>
      </c>
      <c r="I86" s="23" t="s">
        <v>1180</v>
      </c>
      <c r="J86" s="23" t="s">
        <v>1383</v>
      </c>
      <c r="K86" s="23"/>
      <c r="L86" s="23" t="s">
        <v>1035</v>
      </c>
      <c r="M86" s="103" t="s">
        <v>882</v>
      </c>
      <c r="N86" s="108"/>
      <c r="O86" s="108"/>
      <c r="P86" s="23">
        <v>25</v>
      </c>
      <c r="Q86" s="167"/>
      <c r="R86" s="23" t="s">
        <v>1058</v>
      </c>
      <c r="S86" s="10" t="s">
        <v>1037</v>
      </c>
      <c r="T86" s="10"/>
      <c r="U86" s="23"/>
      <c r="V86" s="23"/>
      <c r="W86" s="103"/>
    </row>
    <row r="87" spans="1:23" ht="28">
      <c r="A87" s="36" t="s">
        <v>1395</v>
      </c>
      <c r="B87" s="37" t="s">
        <v>1396</v>
      </c>
      <c r="C87" s="10" t="s">
        <v>1397</v>
      </c>
      <c r="D87" s="10" t="s">
        <v>9</v>
      </c>
      <c r="E87" s="10"/>
      <c r="F87" s="10"/>
      <c r="G87" s="23"/>
      <c r="H87" s="23" t="s">
        <v>1145</v>
      </c>
      <c r="I87" s="23" t="s">
        <v>1180</v>
      </c>
      <c r="J87" s="23" t="s">
        <v>1383</v>
      </c>
      <c r="K87" s="23"/>
      <c r="L87" s="23" t="s">
        <v>1035</v>
      </c>
      <c r="M87" s="103" t="s">
        <v>882</v>
      </c>
      <c r="N87" s="108"/>
      <c r="O87" s="108"/>
      <c r="P87" s="23">
        <v>25</v>
      </c>
      <c r="Q87" s="167"/>
      <c r="R87" s="23"/>
      <c r="S87" s="10" t="s">
        <v>1037</v>
      </c>
      <c r="T87" s="10"/>
      <c r="U87" s="23"/>
      <c r="V87" s="23"/>
      <c r="W87" s="103"/>
    </row>
    <row r="88" spans="1:23" ht="13">
      <c r="A88" s="36"/>
      <c r="B88" s="10"/>
      <c r="C88" s="10"/>
      <c r="D88" s="10"/>
      <c r="E88" s="10"/>
      <c r="F88" s="10"/>
      <c r="G88" s="23"/>
      <c r="H88" s="23"/>
      <c r="I88" s="23"/>
      <c r="J88" s="23"/>
      <c r="K88" s="103"/>
      <c r="L88" s="103"/>
      <c r="M88" s="103"/>
      <c r="N88" s="108"/>
      <c r="O88" s="108"/>
      <c r="P88" s="23"/>
      <c r="Q88" s="167"/>
      <c r="R88" s="23"/>
      <c r="S88" s="23"/>
      <c r="T88" s="10"/>
      <c r="U88" s="23"/>
      <c r="V88" s="23"/>
      <c r="W88" s="103"/>
    </row>
    <row r="89" spans="1:23" ht="13">
      <c r="A89" s="36" t="s">
        <v>1400</v>
      </c>
      <c r="B89" s="10" t="s">
        <v>1401</v>
      </c>
      <c r="C89" s="10" t="s">
        <v>1277</v>
      </c>
      <c r="D89" s="10" t="s">
        <v>858</v>
      </c>
      <c r="E89" s="10"/>
      <c r="F89" s="10"/>
      <c r="G89" s="23"/>
      <c r="H89" s="23" t="s">
        <v>895</v>
      </c>
      <c r="I89" s="23" t="s">
        <v>1247</v>
      </c>
      <c r="J89" s="23" t="s">
        <v>1138</v>
      </c>
      <c r="K89" s="23" t="s">
        <v>940</v>
      </c>
      <c r="L89" s="23" t="s">
        <v>248</v>
      </c>
      <c r="M89" s="103" t="s">
        <v>1329</v>
      </c>
      <c r="N89" s="108">
        <v>15000</v>
      </c>
      <c r="O89" s="108"/>
      <c r="P89" s="23">
        <v>15</v>
      </c>
      <c r="Q89" s="167"/>
      <c r="R89" s="23"/>
      <c r="S89" s="10" t="s">
        <v>0</v>
      </c>
      <c r="T89" s="10"/>
      <c r="U89" s="23" t="s">
        <v>462</v>
      </c>
      <c r="V89" s="23" t="s">
        <v>1279</v>
      </c>
      <c r="W89" s="103"/>
    </row>
    <row r="90" spans="1:23" ht="13">
      <c r="A90" s="36" t="s">
        <v>1400</v>
      </c>
      <c r="B90" s="10" t="s">
        <v>1401</v>
      </c>
      <c r="C90" s="10" t="s">
        <v>1277</v>
      </c>
      <c r="D90" s="10" t="s">
        <v>860</v>
      </c>
      <c r="E90" s="10"/>
      <c r="F90" s="10"/>
      <c r="G90" s="23"/>
      <c r="H90" s="23" t="s">
        <v>895</v>
      </c>
      <c r="I90" s="23" t="s">
        <v>1247</v>
      </c>
      <c r="J90" s="23" t="s">
        <v>1138</v>
      </c>
      <c r="K90" s="23" t="s">
        <v>940</v>
      </c>
      <c r="L90" s="23" t="s">
        <v>248</v>
      </c>
      <c r="M90" s="103" t="s">
        <v>1403</v>
      </c>
      <c r="N90" s="108">
        <v>15000</v>
      </c>
      <c r="O90" s="108"/>
      <c r="P90" s="23">
        <v>15</v>
      </c>
      <c r="Q90" s="167">
        <v>35000</v>
      </c>
      <c r="R90" s="23"/>
      <c r="S90" s="10" t="s">
        <v>0</v>
      </c>
      <c r="T90" s="10"/>
      <c r="U90" s="23" t="s">
        <v>462</v>
      </c>
      <c r="V90" s="23" t="s">
        <v>1279</v>
      </c>
      <c r="W90" s="103"/>
    </row>
    <row r="91" spans="1:23" ht="13">
      <c r="A91" s="36"/>
      <c r="B91" s="10"/>
      <c r="C91" s="10"/>
      <c r="D91" s="10"/>
      <c r="E91" s="10"/>
      <c r="F91" s="10"/>
      <c r="G91" s="23"/>
      <c r="H91" s="23"/>
      <c r="I91" s="23"/>
      <c r="J91" s="23"/>
      <c r="K91" s="23"/>
      <c r="L91" s="23"/>
      <c r="M91" s="103"/>
      <c r="N91" s="108"/>
      <c r="O91" s="108"/>
      <c r="P91" s="23"/>
      <c r="Q91" s="167"/>
      <c r="R91" s="23"/>
      <c r="S91" s="23"/>
      <c r="T91" s="10"/>
      <c r="U91" s="23"/>
      <c r="V91" s="23"/>
      <c r="W91" s="103"/>
    </row>
    <row r="92" spans="1:23" ht="13">
      <c r="A92" s="36" t="s">
        <v>1405</v>
      </c>
      <c r="B92" s="10" t="s">
        <v>1406</v>
      </c>
      <c r="C92" s="10" t="s">
        <v>1407</v>
      </c>
      <c r="D92" s="10" t="s">
        <v>1408</v>
      </c>
      <c r="E92" s="10"/>
      <c r="F92" s="10"/>
      <c r="G92" s="23"/>
      <c r="H92" s="23" t="s">
        <v>895</v>
      </c>
      <c r="I92" s="23" t="s">
        <v>1247</v>
      </c>
      <c r="J92" s="23" t="s">
        <v>1138</v>
      </c>
      <c r="K92" s="23" t="s">
        <v>940</v>
      </c>
      <c r="L92" s="23" t="s">
        <v>248</v>
      </c>
      <c r="M92" s="103" t="s">
        <v>1329</v>
      </c>
      <c r="N92" s="108">
        <v>15000</v>
      </c>
      <c r="O92" s="108"/>
      <c r="P92" s="23">
        <v>15</v>
      </c>
      <c r="Q92" s="167"/>
      <c r="R92" s="23"/>
      <c r="S92" s="10" t="s">
        <v>0</v>
      </c>
      <c r="T92" s="10"/>
      <c r="U92" s="23" t="s">
        <v>462</v>
      </c>
      <c r="V92" s="23" t="s">
        <v>1279</v>
      </c>
      <c r="W92" s="103"/>
    </row>
    <row r="93" spans="1:23" ht="13">
      <c r="A93" s="36"/>
      <c r="B93" s="10"/>
      <c r="C93" s="10"/>
      <c r="D93" s="10"/>
      <c r="E93" s="10"/>
      <c r="F93" s="10"/>
      <c r="G93" s="23"/>
      <c r="H93" s="23"/>
      <c r="I93" s="23"/>
      <c r="J93" s="23"/>
      <c r="K93" s="23"/>
      <c r="L93" s="23"/>
      <c r="M93" s="103"/>
      <c r="N93" s="108"/>
      <c r="O93" s="108"/>
      <c r="P93" s="23"/>
      <c r="Q93" s="167"/>
      <c r="R93" s="23"/>
      <c r="S93" s="23"/>
      <c r="T93" s="10"/>
      <c r="U93" s="23"/>
      <c r="V93" s="23"/>
      <c r="W93" s="103"/>
    </row>
    <row r="94" spans="1:23" ht="13">
      <c r="A94" s="36" t="s">
        <v>1412</v>
      </c>
      <c r="B94" s="10" t="s">
        <v>1413</v>
      </c>
      <c r="C94" s="10" t="s">
        <v>1407</v>
      </c>
      <c r="D94" s="10" t="s">
        <v>1414</v>
      </c>
      <c r="E94" s="10"/>
      <c r="F94" s="10"/>
      <c r="G94" s="23"/>
      <c r="H94" s="23" t="s">
        <v>895</v>
      </c>
      <c r="I94" s="23" t="s">
        <v>1247</v>
      </c>
      <c r="J94" s="23" t="s">
        <v>1138</v>
      </c>
      <c r="K94" s="23" t="s">
        <v>940</v>
      </c>
      <c r="L94" s="23" t="s">
        <v>248</v>
      </c>
      <c r="M94" s="103" t="s">
        <v>1329</v>
      </c>
      <c r="N94" s="108">
        <v>15000</v>
      </c>
      <c r="O94" s="108"/>
      <c r="P94" s="23">
        <v>15</v>
      </c>
      <c r="Q94" s="167"/>
      <c r="R94" s="23"/>
      <c r="S94" s="10" t="s">
        <v>0</v>
      </c>
      <c r="T94" s="10"/>
      <c r="U94" s="23" t="s">
        <v>462</v>
      </c>
      <c r="V94" s="23" t="s">
        <v>1279</v>
      </c>
      <c r="W94" s="103"/>
    </row>
    <row r="95" spans="1:23" ht="13">
      <c r="A95" s="36"/>
      <c r="B95" s="10"/>
      <c r="C95" s="10"/>
      <c r="D95" s="10"/>
      <c r="E95" s="10"/>
      <c r="F95" s="10"/>
      <c r="G95" s="23"/>
      <c r="H95" s="23"/>
      <c r="I95" s="23"/>
      <c r="J95" s="23"/>
      <c r="K95" s="103"/>
      <c r="L95" s="23"/>
      <c r="M95" s="103"/>
      <c r="N95" s="108"/>
      <c r="O95" s="108"/>
      <c r="P95" s="23"/>
      <c r="Q95" s="167"/>
      <c r="R95" s="23"/>
      <c r="S95" s="23"/>
      <c r="T95" s="10"/>
      <c r="U95" s="23"/>
      <c r="V95" s="23"/>
      <c r="W95" s="103"/>
    </row>
    <row r="96" spans="1:23" ht="13">
      <c r="A96" s="36" t="s">
        <v>1417</v>
      </c>
      <c r="B96" s="10" t="s">
        <v>1418</v>
      </c>
      <c r="C96" s="10" t="s">
        <v>1407</v>
      </c>
      <c r="D96" s="10" t="s">
        <v>1419</v>
      </c>
      <c r="E96" s="10"/>
      <c r="F96" s="10"/>
      <c r="G96" s="23"/>
      <c r="H96" s="23" t="s">
        <v>1367</v>
      </c>
      <c r="I96" s="23" t="s">
        <v>1247</v>
      </c>
      <c r="J96" s="23" t="s">
        <v>1138</v>
      </c>
      <c r="K96" s="23" t="s">
        <v>940</v>
      </c>
      <c r="L96" s="23" t="s">
        <v>248</v>
      </c>
      <c r="M96" s="103" t="s">
        <v>1329</v>
      </c>
      <c r="N96" s="108">
        <v>15000</v>
      </c>
      <c r="O96" s="108"/>
      <c r="P96" s="23">
        <v>15</v>
      </c>
      <c r="Q96" s="167"/>
      <c r="R96" s="23"/>
      <c r="S96" s="10" t="s">
        <v>0</v>
      </c>
      <c r="T96" s="10"/>
      <c r="U96" s="23" t="s">
        <v>462</v>
      </c>
      <c r="V96" s="23" t="s">
        <v>1279</v>
      </c>
      <c r="W96" s="103"/>
    </row>
    <row r="97" spans="1:23" ht="13">
      <c r="A97" s="36"/>
      <c r="B97" s="10"/>
      <c r="C97" s="10"/>
      <c r="D97" s="10"/>
      <c r="E97" s="10"/>
      <c r="F97" s="10"/>
      <c r="G97" s="23"/>
      <c r="H97" s="23"/>
      <c r="I97" s="23"/>
      <c r="J97" s="23"/>
      <c r="K97" s="23"/>
      <c r="L97" s="103"/>
      <c r="M97" s="103"/>
      <c r="N97" s="108"/>
      <c r="O97" s="108"/>
      <c r="P97" s="23"/>
      <c r="Q97" s="167"/>
      <c r="R97" s="23"/>
      <c r="S97" s="23"/>
      <c r="T97" s="10"/>
      <c r="U97" s="23"/>
      <c r="V97" s="23"/>
      <c r="W97" s="103"/>
    </row>
    <row r="98" spans="1:23" ht="13">
      <c r="A98" s="36" t="s">
        <v>1422</v>
      </c>
      <c r="B98" s="10" t="s">
        <v>1423</v>
      </c>
      <c r="C98" s="10" t="s">
        <v>1407</v>
      </c>
      <c r="D98" s="10" t="s">
        <v>1424</v>
      </c>
      <c r="E98" s="10"/>
      <c r="F98" s="10"/>
      <c r="G98" s="23"/>
      <c r="H98" s="23" t="s">
        <v>895</v>
      </c>
      <c r="I98" s="23" t="s">
        <v>1247</v>
      </c>
      <c r="J98" s="23" t="s">
        <v>1138</v>
      </c>
      <c r="K98" s="23" t="s">
        <v>940</v>
      </c>
      <c r="L98" s="23" t="s">
        <v>248</v>
      </c>
      <c r="M98" s="103" t="s">
        <v>1329</v>
      </c>
      <c r="N98" s="108">
        <v>15000</v>
      </c>
      <c r="O98" s="108"/>
      <c r="P98" s="23">
        <v>15</v>
      </c>
      <c r="Q98" s="167"/>
      <c r="R98" s="23"/>
      <c r="S98" s="10" t="s">
        <v>0</v>
      </c>
      <c r="T98" s="10"/>
      <c r="U98" s="23" t="s">
        <v>462</v>
      </c>
      <c r="V98" s="23" t="s">
        <v>1279</v>
      </c>
      <c r="W98" s="103"/>
    </row>
    <row r="99" spans="1:23" ht="13">
      <c r="A99" s="36"/>
      <c r="B99" s="10"/>
      <c r="C99" s="10"/>
      <c r="D99" s="10"/>
      <c r="E99" s="10"/>
      <c r="F99" s="10"/>
      <c r="G99" s="23"/>
      <c r="H99" s="23"/>
      <c r="I99" s="23"/>
      <c r="J99" s="23"/>
      <c r="K99" s="23"/>
      <c r="L99" s="23"/>
      <c r="M99" s="103"/>
      <c r="N99" s="108"/>
      <c r="O99" s="108"/>
      <c r="P99" s="23"/>
      <c r="Q99" s="167"/>
      <c r="R99" s="23"/>
      <c r="S99" s="10"/>
      <c r="T99" s="10"/>
      <c r="U99" s="23"/>
      <c r="V99" s="23"/>
      <c r="W99" s="103"/>
    </row>
    <row r="100" spans="1:23" ht="13">
      <c r="A100" s="36" t="s">
        <v>1425</v>
      </c>
      <c r="B100" s="10" t="s">
        <v>1426</v>
      </c>
      <c r="C100" s="10"/>
      <c r="D100" s="10" t="s">
        <v>1427</v>
      </c>
      <c r="E100" s="10" t="s">
        <v>1429</v>
      </c>
      <c r="F100" s="10"/>
      <c r="G100" s="23"/>
      <c r="H100" s="23" t="s">
        <v>895</v>
      </c>
      <c r="I100" s="23" t="s">
        <v>1180</v>
      </c>
      <c r="J100" s="23" t="s">
        <v>1138</v>
      </c>
      <c r="K100" s="23" t="s">
        <v>940</v>
      </c>
      <c r="L100" s="23" t="s">
        <v>1035</v>
      </c>
      <c r="M100" s="103" t="s">
        <v>882</v>
      </c>
      <c r="N100" s="108">
        <v>30000</v>
      </c>
      <c r="O100" s="108"/>
      <c r="P100" s="23">
        <v>20</v>
      </c>
      <c r="Q100" s="167"/>
      <c r="R100" s="23" t="s">
        <v>1045</v>
      </c>
      <c r="S100" s="10" t="s">
        <v>1037</v>
      </c>
      <c r="T100" s="10"/>
      <c r="U100" s="23" t="s">
        <v>366</v>
      </c>
      <c r="V100" s="23" t="s">
        <v>1431</v>
      </c>
      <c r="W100" s="103"/>
    </row>
    <row r="101" spans="1:23" ht="13">
      <c r="A101" s="36"/>
      <c r="B101" s="10"/>
      <c r="C101" s="10"/>
      <c r="D101" s="10"/>
      <c r="E101" s="10"/>
      <c r="F101" s="10"/>
      <c r="G101" s="23"/>
      <c r="H101" s="23"/>
      <c r="I101" s="23"/>
      <c r="J101" s="23"/>
      <c r="K101" s="23"/>
      <c r="L101" s="23"/>
      <c r="M101" s="103"/>
      <c r="N101" s="108"/>
      <c r="O101" s="108"/>
      <c r="P101" s="23"/>
      <c r="Q101" s="167"/>
      <c r="R101" s="23"/>
      <c r="S101" s="10"/>
      <c r="T101" s="10"/>
      <c r="U101" s="23"/>
      <c r="V101" s="23"/>
      <c r="W101" s="103"/>
    </row>
    <row r="102" spans="1:23" ht="42">
      <c r="A102" s="36" t="s">
        <v>1433</v>
      </c>
      <c r="B102" s="10" t="s">
        <v>844</v>
      </c>
      <c r="C102" s="10" t="s">
        <v>1434</v>
      </c>
      <c r="D102" s="10" t="s">
        <v>1140</v>
      </c>
      <c r="E102" s="10"/>
      <c r="F102" s="10"/>
      <c r="G102" s="23"/>
      <c r="H102" s="23" t="s">
        <v>891</v>
      </c>
      <c r="I102" s="23" t="s">
        <v>1247</v>
      </c>
      <c r="J102" s="23" t="s">
        <v>1000</v>
      </c>
      <c r="K102" s="23"/>
      <c r="L102" s="23" t="s">
        <v>1035</v>
      </c>
      <c r="M102" s="83" t="s">
        <v>1436</v>
      </c>
      <c r="N102" s="108">
        <v>22500</v>
      </c>
      <c r="O102" s="108"/>
      <c r="P102" s="23">
        <v>14</v>
      </c>
      <c r="Q102" s="167"/>
      <c r="R102" s="23" t="s">
        <v>1058</v>
      </c>
      <c r="S102" s="10" t="s">
        <v>1037</v>
      </c>
      <c r="T102" s="10"/>
      <c r="U102" s="23" t="s">
        <v>1437</v>
      </c>
      <c r="V102" s="23" t="s">
        <v>1095</v>
      </c>
      <c r="W102" s="103"/>
    </row>
    <row r="103" spans="1:23" ht="13">
      <c r="A103" s="36"/>
      <c r="B103" s="10"/>
      <c r="C103" s="10"/>
      <c r="D103" s="10"/>
      <c r="E103" s="10"/>
      <c r="F103" s="10"/>
      <c r="G103" s="23"/>
      <c r="H103" s="23"/>
      <c r="I103" s="23"/>
      <c r="J103" s="23"/>
      <c r="K103" s="23"/>
      <c r="L103" s="23"/>
      <c r="M103" s="103"/>
      <c r="N103" s="108"/>
      <c r="O103" s="108"/>
      <c r="P103" s="23"/>
      <c r="Q103" s="167"/>
      <c r="R103" s="23"/>
      <c r="S103" s="23"/>
      <c r="T103" s="10"/>
      <c r="U103" s="23"/>
      <c r="V103" s="23"/>
      <c r="W103" s="103"/>
    </row>
    <row r="104" spans="1:23" ht="13">
      <c r="A104" s="36" t="s">
        <v>1440</v>
      </c>
      <c r="B104" s="10" t="s">
        <v>1442</v>
      </c>
      <c r="C104" s="81" t="s">
        <v>1444</v>
      </c>
      <c r="D104" s="10" t="s">
        <v>1446</v>
      </c>
      <c r="E104" s="10"/>
      <c r="F104" s="10"/>
      <c r="G104" s="23"/>
      <c r="H104" s="23" t="s">
        <v>891</v>
      </c>
      <c r="I104" s="23" t="s">
        <v>1180</v>
      </c>
      <c r="J104" s="23" t="s">
        <v>1000</v>
      </c>
      <c r="K104" s="23"/>
      <c r="L104" s="23" t="s">
        <v>1035</v>
      </c>
      <c r="M104" s="103" t="s">
        <v>1007</v>
      </c>
      <c r="N104" s="108"/>
      <c r="O104" s="108"/>
      <c r="P104" s="23">
        <v>25</v>
      </c>
      <c r="Q104" s="167"/>
      <c r="R104" s="23" t="s">
        <v>1058</v>
      </c>
      <c r="S104" s="10" t="s">
        <v>1037</v>
      </c>
      <c r="T104" s="10"/>
      <c r="U104" s="23" t="s">
        <v>837</v>
      </c>
      <c r="V104" s="23" t="s">
        <v>1257</v>
      </c>
      <c r="W104" s="103"/>
    </row>
    <row r="105" spans="1:23" ht="13">
      <c r="A105" s="36" t="s">
        <v>1440</v>
      </c>
      <c r="B105" s="10" t="s">
        <v>1442</v>
      </c>
      <c r="C105" s="81" t="s">
        <v>1448</v>
      </c>
      <c r="D105" s="10" t="s">
        <v>1449</v>
      </c>
      <c r="E105" s="10"/>
      <c r="F105" s="10"/>
      <c r="G105" s="23"/>
      <c r="H105" s="23" t="s">
        <v>891</v>
      </c>
      <c r="I105" s="23" t="s">
        <v>1180</v>
      </c>
      <c r="J105" s="23" t="s">
        <v>1000</v>
      </c>
      <c r="K105" s="23"/>
      <c r="L105" s="23" t="s">
        <v>1035</v>
      </c>
      <c r="M105" s="103" t="s">
        <v>1007</v>
      </c>
      <c r="N105" s="108"/>
      <c r="O105" s="108"/>
      <c r="P105" s="23">
        <v>25</v>
      </c>
      <c r="Q105" s="167"/>
      <c r="R105" s="23"/>
      <c r="S105" s="10" t="s">
        <v>1037</v>
      </c>
      <c r="T105" s="10"/>
      <c r="U105" s="23" t="s">
        <v>837</v>
      </c>
      <c r="V105" s="23" t="s">
        <v>1257</v>
      </c>
      <c r="W105" s="103"/>
    </row>
    <row r="106" spans="1:23" ht="13">
      <c r="A106" s="36" t="s">
        <v>1440</v>
      </c>
      <c r="B106" s="10" t="s">
        <v>1442</v>
      </c>
      <c r="C106" s="81" t="s">
        <v>1454</v>
      </c>
      <c r="D106" s="10" t="s">
        <v>1455</v>
      </c>
      <c r="E106" s="10"/>
      <c r="F106" s="10"/>
      <c r="G106" s="23"/>
      <c r="H106" s="23" t="s">
        <v>891</v>
      </c>
      <c r="I106" s="23" t="s">
        <v>1180</v>
      </c>
      <c r="J106" s="23" t="s">
        <v>1000</v>
      </c>
      <c r="K106" s="23"/>
      <c r="L106" s="23" t="s">
        <v>1035</v>
      </c>
      <c r="M106" s="103" t="s">
        <v>599</v>
      </c>
      <c r="N106" s="108"/>
      <c r="O106" s="108"/>
      <c r="P106" s="23">
        <v>25</v>
      </c>
      <c r="Q106" s="167"/>
      <c r="R106" s="23"/>
      <c r="S106" s="10" t="s">
        <v>1037</v>
      </c>
      <c r="T106" s="10"/>
      <c r="U106" s="23" t="s">
        <v>837</v>
      </c>
      <c r="V106" s="23" t="s">
        <v>1257</v>
      </c>
      <c r="W106" s="103"/>
    </row>
    <row r="107" spans="1:23" ht="13">
      <c r="A107" s="36" t="s">
        <v>1440</v>
      </c>
      <c r="B107" s="10" t="s">
        <v>1442</v>
      </c>
      <c r="C107" s="81" t="s">
        <v>1458</v>
      </c>
      <c r="D107" s="10" t="s">
        <v>1459</v>
      </c>
      <c r="E107" s="10"/>
      <c r="F107" s="10"/>
      <c r="G107" s="23"/>
      <c r="H107" s="23" t="s">
        <v>891</v>
      </c>
      <c r="I107" s="23" t="s">
        <v>1180</v>
      </c>
      <c r="J107" s="23" t="s">
        <v>1000</v>
      </c>
      <c r="K107" s="23"/>
      <c r="L107" s="23" t="s">
        <v>1035</v>
      </c>
      <c r="M107" s="103" t="s">
        <v>1007</v>
      </c>
      <c r="N107" s="108"/>
      <c r="O107" s="108"/>
      <c r="P107" s="23">
        <v>25</v>
      </c>
      <c r="Q107" s="167"/>
      <c r="R107" s="23" t="s">
        <v>1058</v>
      </c>
      <c r="S107" s="10" t="s">
        <v>1037</v>
      </c>
      <c r="T107" s="10"/>
      <c r="U107" s="23" t="s">
        <v>837</v>
      </c>
      <c r="V107" s="23" t="s">
        <v>1257</v>
      </c>
      <c r="W107" s="103"/>
    </row>
    <row r="108" spans="1:23" ht="13">
      <c r="A108" s="36" t="s">
        <v>1440</v>
      </c>
      <c r="B108" s="10" t="s">
        <v>1442</v>
      </c>
      <c r="C108" s="81" t="s">
        <v>1462</v>
      </c>
      <c r="D108" s="10" t="s">
        <v>1464</v>
      </c>
      <c r="E108" s="10"/>
      <c r="F108" s="10"/>
      <c r="G108" s="23"/>
      <c r="H108" s="23" t="s">
        <v>891</v>
      </c>
      <c r="I108" s="23" t="s">
        <v>1180</v>
      </c>
      <c r="J108" s="23" t="s">
        <v>1000</v>
      </c>
      <c r="K108" s="23"/>
      <c r="L108" s="23" t="s">
        <v>1035</v>
      </c>
      <c r="M108" s="103" t="s">
        <v>1007</v>
      </c>
      <c r="N108" s="108"/>
      <c r="O108" s="108"/>
      <c r="P108" s="23">
        <v>25</v>
      </c>
      <c r="Q108" s="167"/>
      <c r="R108" s="23"/>
      <c r="S108" s="10" t="s">
        <v>1037</v>
      </c>
      <c r="T108" s="10"/>
      <c r="U108" s="23" t="s">
        <v>837</v>
      </c>
      <c r="V108" s="23" t="s">
        <v>1257</v>
      </c>
      <c r="W108" s="103"/>
    </row>
    <row r="109" spans="1:23" ht="13">
      <c r="A109" s="36" t="s">
        <v>1440</v>
      </c>
      <c r="B109" s="10" t="s">
        <v>1442</v>
      </c>
      <c r="C109" s="81" t="s">
        <v>1465</v>
      </c>
      <c r="D109" s="10" t="s">
        <v>1466</v>
      </c>
      <c r="E109" s="10"/>
      <c r="F109" s="10"/>
      <c r="G109" s="23"/>
      <c r="H109" s="23" t="s">
        <v>891</v>
      </c>
      <c r="I109" s="23" t="s">
        <v>1180</v>
      </c>
      <c r="J109" s="23" t="s">
        <v>1000</v>
      </c>
      <c r="K109" s="23"/>
      <c r="L109" s="23" t="s">
        <v>1035</v>
      </c>
      <c r="M109" s="103" t="s">
        <v>599</v>
      </c>
      <c r="N109" s="108"/>
      <c r="O109" s="108"/>
      <c r="P109" s="23">
        <v>25</v>
      </c>
      <c r="Q109" s="167"/>
      <c r="R109" s="23"/>
      <c r="S109" s="10" t="s">
        <v>1037</v>
      </c>
      <c r="T109" s="10"/>
      <c r="U109" s="23" t="s">
        <v>837</v>
      </c>
      <c r="V109" s="23" t="s">
        <v>1257</v>
      </c>
      <c r="W109" s="103"/>
    </row>
    <row r="110" spans="1:23" ht="13">
      <c r="A110" s="36"/>
      <c r="B110" s="10"/>
      <c r="C110" s="10"/>
      <c r="D110" s="10"/>
      <c r="E110" s="10"/>
      <c r="F110" s="10"/>
      <c r="G110" s="23"/>
      <c r="H110" s="23"/>
      <c r="I110" s="23"/>
      <c r="J110" s="23"/>
      <c r="K110" s="103"/>
      <c r="L110" s="103"/>
      <c r="M110" s="103"/>
      <c r="N110" s="108"/>
      <c r="O110" s="108"/>
      <c r="P110" s="23"/>
      <c r="Q110" s="167"/>
      <c r="R110" s="23"/>
      <c r="S110" s="23"/>
      <c r="T110" s="10"/>
      <c r="U110" s="23"/>
      <c r="V110" s="23"/>
      <c r="W110" s="103"/>
    </row>
    <row r="111" spans="1:23" ht="13">
      <c r="A111" s="36" t="s">
        <v>1472</v>
      </c>
      <c r="B111" s="10" t="s">
        <v>1293</v>
      </c>
      <c r="C111" s="10"/>
      <c r="D111" s="10" t="s">
        <v>1473</v>
      </c>
      <c r="E111" s="10" t="s">
        <v>1295</v>
      </c>
      <c r="F111" s="10"/>
      <c r="G111" s="23"/>
      <c r="H111" s="23" t="s">
        <v>897</v>
      </c>
      <c r="I111" s="23" t="s">
        <v>1180</v>
      </c>
      <c r="J111" s="23" t="s">
        <v>1210</v>
      </c>
      <c r="K111" s="23"/>
      <c r="L111" s="23" t="s">
        <v>248</v>
      </c>
      <c r="M111" s="103" t="s">
        <v>882</v>
      </c>
      <c r="N111" s="108">
        <v>12500</v>
      </c>
      <c r="O111" s="108"/>
      <c r="P111" s="23">
        <v>15</v>
      </c>
      <c r="Q111" s="167"/>
      <c r="R111" s="23"/>
      <c r="S111" s="10" t="s">
        <v>0</v>
      </c>
      <c r="T111" s="10"/>
      <c r="U111" s="23" t="s">
        <v>462</v>
      </c>
      <c r="V111" s="23" t="s">
        <v>1279</v>
      </c>
      <c r="W111" s="103"/>
    </row>
    <row r="112" spans="1:23" ht="13">
      <c r="A112" s="36"/>
      <c r="B112" s="10"/>
      <c r="C112" s="10"/>
      <c r="D112" s="10"/>
      <c r="E112" s="10"/>
      <c r="F112" s="10"/>
      <c r="G112" s="23"/>
      <c r="H112" s="23"/>
      <c r="I112" s="23"/>
      <c r="J112" s="23"/>
      <c r="K112" s="103"/>
      <c r="L112" s="103"/>
      <c r="M112" s="103"/>
      <c r="N112" s="108"/>
      <c r="O112" s="108"/>
      <c r="P112" s="23"/>
      <c r="Q112" s="167"/>
      <c r="R112" s="23"/>
      <c r="S112" s="23"/>
      <c r="T112" s="10"/>
      <c r="U112" s="23"/>
      <c r="V112" s="23"/>
      <c r="W112" s="103"/>
    </row>
    <row r="113" spans="1:23" ht="13">
      <c r="A113" s="170" t="s">
        <v>1475</v>
      </c>
      <c r="B113" s="30" t="s">
        <v>1053</v>
      </c>
      <c r="C113" s="30"/>
      <c r="D113" s="30"/>
      <c r="E113" s="30"/>
      <c r="F113" s="30"/>
      <c r="G113" s="31"/>
      <c r="H113" s="31"/>
      <c r="I113" s="31"/>
      <c r="J113" s="31"/>
      <c r="K113" s="166"/>
      <c r="L113" s="166"/>
      <c r="M113" s="166"/>
      <c r="N113" s="171"/>
      <c r="O113" s="171"/>
      <c r="P113" s="31"/>
      <c r="Q113" s="172"/>
      <c r="R113" s="31"/>
      <c r="S113" s="31"/>
      <c r="T113" s="30"/>
      <c r="U113" s="31"/>
      <c r="V113" s="31"/>
      <c r="W113" s="166"/>
    </row>
    <row r="114" spans="1:23" ht="13">
      <c r="A114" s="36"/>
      <c r="B114" s="10"/>
      <c r="C114" s="10"/>
      <c r="D114" s="10"/>
      <c r="E114" s="10"/>
      <c r="F114" s="10"/>
      <c r="G114" s="23"/>
      <c r="H114" s="23"/>
      <c r="I114" s="23"/>
      <c r="J114" s="23"/>
      <c r="K114" s="103"/>
      <c r="L114" s="103"/>
      <c r="M114" s="103"/>
      <c r="N114" s="108"/>
      <c r="O114" s="108"/>
      <c r="P114" s="23"/>
      <c r="Q114" s="167"/>
      <c r="R114" s="23"/>
      <c r="S114" s="23"/>
      <c r="T114" s="10"/>
      <c r="U114" s="23"/>
      <c r="V114" s="23"/>
      <c r="W114" s="103"/>
    </row>
    <row r="115" spans="1:23" ht="13">
      <c r="A115" s="170" t="s">
        <v>1479</v>
      </c>
      <c r="B115" s="30" t="s">
        <v>1316</v>
      </c>
      <c r="C115" s="30"/>
      <c r="D115" s="30"/>
      <c r="E115" s="30"/>
      <c r="F115" s="30"/>
      <c r="G115" s="31"/>
      <c r="H115" s="31"/>
      <c r="I115" s="31"/>
      <c r="J115" s="31"/>
      <c r="K115" s="166"/>
      <c r="L115" s="166"/>
      <c r="M115" s="166"/>
      <c r="N115" s="171"/>
      <c r="O115" s="171"/>
      <c r="P115" s="31"/>
      <c r="Q115" s="172"/>
      <c r="R115" s="31"/>
      <c r="S115" s="31"/>
      <c r="T115" s="30"/>
      <c r="U115" s="31"/>
      <c r="V115" s="31"/>
      <c r="W115" s="166"/>
    </row>
    <row r="116" spans="1:23" ht="13">
      <c r="A116" s="36"/>
      <c r="B116" s="10"/>
      <c r="C116" s="10"/>
      <c r="D116" s="10"/>
      <c r="E116" s="10"/>
      <c r="F116" s="10"/>
      <c r="G116" s="23"/>
      <c r="H116" s="23"/>
      <c r="I116" s="23"/>
      <c r="J116" s="23"/>
      <c r="K116" s="103"/>
      <c r="L116" s="103"/>
      <c r="M116" s="103"/>
      <c r="N116" s="108"/>
      <c r="O116" s="108"/>
      <c r="P116" s="23"/>
      <c r="Q116" s="167"/>
      <c r="R116" s="23"/>
      <c r="S116" s="23"/>
      <c r="T116" s="10"/>
      <c r="U116" s="23"/>
      <c r="V116" s="23"/>
      <c r="W116" s="103"/>
    </row>
    <row r="117" spans="1:23" ht="28">
      <c r="A117" s="36" t="s">
        <v>1480</v>
      </c>
      <c r="B117" s="37" t="s">
        <v>726</v>
      </c>
      <c r="C117" s="10"/>
      <c r="D117" s="10" t="s">
        <v>808</v>
      </c>
      <c r="E117" s="37" t="s">
        <v>809</v>
      </c>
      <c r="F117" s="10"/>
      <c r="G117" s="23"/>
      <c r="H117" s="23" t="s">
        <v>895</v>
      </c>
      <c r="I117" s="23" t="s">
        <v>1180</v>
      </c>
      <c r="J117" s="23" t="s">
        <v>1228</v>
      </c>
      <c r="K117" s="23" t="s">
        <v>940</v>
      </c>
      <c r="L117" s="23" t="s">
        <v>1035</v>
      </c>
      <c r="M117" s="103" t="s">
        <v>882</v>
      </c>
      <c r="N117" s="108"/>
      <c r="O117" s="108"/>
      <c r="P117" s="23">
        <v>20</v>
      </c>
      <c r="Q117" s="167"/>
      <c r="R117" s="23" t="s">
        <v>1036</v>
      </c>
      <c r="S117" s="10" t="s">
        <v>1037</v>
      </c>
      <c r="T117" s="10"/>
      <c r="U117" s="23" t="s">
        <v>366</v>
      </c>
      <c r="V117" s="23" t="s">
        <v>1147</v>
      </c>
      <c r="W117" s="103"/>
    </row>
    <row r="118" spans="1:23" ht="13">
      <c r="A118" s="36"/>
      <c r="B118" s="10"/>
      <c r="C118" s="10"/>
      <c r="D118" s="10"/>
      <c r="E118" s="10"/>
      <c r="F118" s="10"/>
      <c r="G118" s="23"/>
      <c r="H118" s="23"/>
      <c r="I118" s="23"/>
      <c r="J118" s="23"/>
      <c r="K118" s="103"/>
      <c r="L118" s="23"/>
      <c r="M118" s="103"/>
      <c r="N118" s="108"/>
      <c r="O118" s="108"/>
      <c r="P118" s="23"/>
      <c r="Q118" s="167"/>
      <c r="R118" s="23"/>
      <c r="S118" s="10"/>
      <c r="T118" s="10"/>
      <c r="U118" s="23"/>
      <c r="V118" s="23"/>
      <c r="W118" s="103"/>
    </row>
    <row r="119" spans="1:23" ht="13">
      <c r="A119" s="36" t="s">
        <v>565</v>
      </c>
      <c r="B119" s="10" t="s">
        <v>566</v>
      </c>
      <c r="C119" s="10" t="s">
        <v>1486</v>
      </c>
      <c r="D119" s="10" t="s">
        <v>1488</v>
      </c>
      <c r="E119" s="10"/>
      <c r="F119" s="10"/>
      <c r="G119" s="23"/>
      <c r="H119" s="23" t="s">
        <v>895</v>
      </c>
      <c r="I119" s="23" t="s">
        <v>1491</v>
      </c>
      <c r="J119" s="23" t="s">
        <v>1138</v>
      </c>
      <c r="K119" s="103"/>
      <c r="L119" s="23"/>
      <c r="M119" s="103" t="s">
        <v>1229</v>
      </c>
      <c r="N119" s="108"/>
      <c r="O119" s="108"/>
      <c r="P119" s="23"/>
      <c r="Q119" s="167"/>
      <c r="R119" s="23" t="s">
        <v>1058</v>
      </c>
      <c r="S119" s="10" t="s">
        <v>1037</v>
      </c>
      <c r="T119" s="10"/>
      <c r="U119" s="23" t="s">
        <v>945</v>
      </c>
      <c r="V119" s="23" t="s">
        <v>1039</v>
      </c>
      <c r="W119" s="103"/>
    </row>
    <row r="120" spans="1:23" ht="13">
      <c r="A120" s="36" t="s">
        <v>565</v>
      </c>
      <c r="B120" s="10" t="s">
        <v>566</v>
      </c>
      <c r="C120" s="10" t="s">
        <v>1486</v>
      </c>
      <c r="D120" s="10" t="s">
        <v>1492</v>
      </c>
      <c r="E120" s="10"/>
      <c r="F120" s="10"/>
      <c r="G120" s="23"/>
      <c r="H120" s="23" t="s">
        <v>895</v>
      </c>
      <c r="I120" s="23" t="s">
        <v>1491</v>
      </c>
      <c r="J120" s="23" t="s">
        <v>1138</v>
      </c>
      <c r="K120" s="103"/>
      <c r="L120" s="23"/>
      <c r="M120" s="103" t="s">
        <v>1229</v>
      </c>
      <c r="N120" s="108"/>
      <c r="O120" s="108"/>
      <c r="P120" s="23"/>
      <c r="Q120" s="167"/>
      <c r="R120" s="23"/>
      <c r="S120" s="10" t="s">
        <v>1037</v>
      </c>
      <c r="T120" s="10"/>
      <c r="U120" s="23"/>
      <c r="V120" s="23"/>
      <c r="W120" s="103"/>
    </row>
    <row r="121" spans="1:23" ht="13">
      <c r="A121" s="36" t="s">
        <v>565</v>
      </c>
      <c r="B121" s="10" t="s">
        <v>566</v>
      </c>
      <c r="C121" s="10" t="s">
        <v>1486</v>
      </c>
      <c r="D121" s="10" t="s">
        <v>1494</v>
      </c>
      <c r="E121" s="10"/>
      <c r="F121" s="10"/>
      <c r="G121" s="23"/>
      <c r="H121" s="23" t="s">
        <v>895</v>
      </c>
      <c r="I121" s="23" t="s">
        <v>1491</v>
      </c>
      <c r="J121" s="23" t="s">
        <v>1138</v>
      </c>
      <c r="K121" s="103"/>
      <c r="L121" s="23"/>
      <c r="M121" s="103" t="s">
        <v>315</v>
      </c>
      <c r="N121" s="108"/>
      <c r="O121" s="108"/>
      <c r="P121" s="23"/>
      <c r="Q121" s="167"/>
      <c r="R121" s="23" t="s">
        <v>1058</v>
      </c>
      <c r="S121" s="10" t="s">
        <v>1037</v>
      </c>
      <c r="T121" s="10"/>
      <c r="U121" s="23"/>
      <c r="V121" s="23"/>
      <c r="W121" s="103"/>
    </row>
    <row r="122" spans="1:23" ht="13">
      <c r="A122" s="36" t="s">
        <v>565</v>
      </c>
      <c r="B122" s="10" t="s">
        <v>566</v>
      </c>
      <c r="C122" s="10" t="s">
        <v>1486</v>
      </c>
      <c r="D122" s="10" t="s">
        <v>1495</v>
      </c>
      <c r="E122" s="10"/>
      <c r="F122" s="10"/>
      <c r="G122" s="23"/>
      <c r="H122" s="23" t="s">
        <v>895</v>
      </c>
      <c r="I122" s="23" t="s">
        <v>1491</v>
      </c>
      <c r="J122" s="23" t="s">
        <v>1138</v>
      </c>
      <c r="K122" s="103"/>
      <c r="L122" s="23"/>
      <c r="M122" s="103" t="s">
        <v>315</v>
      </c>
      <c r="N122" s="108"/>
      <c r="O122" s="108"/>
      <c r="P122" s="23"/>
      <c r="Q122" s="167"/>
      <c r="R122" s="23"/>
      <c r="S122" s="10" t="s">
        <v>1037</v>
      </c>
      <c r="T122" s="10"/>
      <c r="U122" s="23"/>
      <c r="V122" s="23"/>
      <c r="W122" s="103"/>
    </row>
    <row r="123" spans="1:23" ht="13">
      <c r="A123" s="36"/>
      <c r="B123" s="10"/>
      <c r="C123" s="10"/>
      <c r="D123" s="10"/>
      <c r="E123" s="10"/>
      <c r="F123" s="10"/>
      <c r="G123" s="23"/>
      <c r="H123" s="23"/>
      <c r="I123" s="23"/>
      <c r="J123" s="23"/>
      <c r="K123" s="103"/>
      <c r="L123" s="23"/>
      <c r="M123" s="103"/>
      <c r="N123" s="108"/>
      <c r="O123" s="108"/>
      <c r="P123" s="23"/>
      <c r="Q123" s="167"/>
      <c r="R123" s="23"/>
      <c r="S123" s="10"/>
      <c r="T123" s="10"/>
      <c r="U123" s="23"/>
      <c r="V123" s="23"/>
      <c r="W123" s="103"/>
    </row>
    <row r="124" spans="1:23" ht="28">
      <c r="A124" s="36" t="s">
        <v>1501</v>
      </c>
      <c r="B124" s="10" t="s">
        <v>1426</v>
      </c>
      <c r="C124" s="10"/>
      <c r="D124" s="10" t="s">
        <v>1502</v>
      </c>
      <c r="E124" s="37" t="s">
        <v>1503</v>
      </c>
      <c r="F124" s="10"/>
      <c r="G124" s="23"/>
      <c r="H124" s="23" t="s">
        <v>891</v>
      </c>
      <c r="I124" s="23" t="s">
        <v>1504</v>
      </c>
      <c r="J124" s="23" t="s">
        <v>1505</v>
      </c>
      <c r="K124" s="23"/>
      <c r="L124" s="23"/>
      <c r="M124" s="103" t="s">
        <v>1506</v>
      </c>
      <c r="N124" s="108">
        <v>35000</v>
      </c>
      <c r="O124" s="108"/>
      <c r="P124" s="23"/>
      <c r="Q124" s="167"/>
      <c r="R124" s="23"/>
      <c r="S124" s="10"/>
      <c r="T124" s="10"/>
      <c r="U124" s="23"/>
      <c r="V124" s="23" t="s">
        <v>1257</v>
      </c>
      <c r="W124" s="103"/>
    </row>
    <row r="125" spans="1:23" ht="13">
      <c r="A125" s="36"/>
      <c r="B125" s="10"/>
      <c r="C125" s="10"/>
      <c r="D125" s="10"/>
      <c r="E125" s="10"/>
      <c r="F125" s="10"/>
      <c r="G125" s="23"/>
      <c r="H125" s="23"/>
      <c r="I125" s="23"/>
      <c r="J125" s="23"/>
      <c r="K125" s="103"/>
      <c r="L125" s="103"/>
      <c r="M125" s="103"/>
      <c r="N125" s="108"/>
      <c r="O125" s="108"/>
      <c r="P125" s="23"/>
      <c r="Q125" s="167"/>
      <c r="R125" s="23"/>
      <c r="S125" s="10"/>
      <c r="T125" s="10"/>
      <c r="U125" s="23"/>
      <c r="V125" s="23"/>
      <c r="W125" s="103"/>
    </row>
    <row r="126" spans="1:23" ht="28">
      <c r="A126" s="36" t="s">
        <v>1510</v>
      </c>
      <c r="B126" s="37" t="s">
        <v>1511</v>
      </c>
      <c r="C126" s="10"/>
      <c r="D126" s="10" t="s">
        <v>1512</v>
      </c>
      <c r="E126" s="10" t="s">
        <v>1513</v>
      </c>
      <c r="F126" s="10"/>
      <c r="G126" s="23"/>
      <c r="H126" s="23" t="s">
        <v>895</v>
      </c>
      <c r="I126" s="175">
        <v>44075</v>
      </c>
      <c r="J126" s="23" t="s">
        <v>1515</v>
      </c>
      <c r="K126" s="23" t="s">
        <v>940</v>
      </c>
      <c r="L126" s="23" t="s">
        <v>248</v>
      </c>
      <c r="M126" s="103" t="s">
        <v>882</v>
      </c>
      <c r="N126" s="108"/>
      <c r="O126" s="108"/>
      <c r="P126" s="23">
        <v>5</v>
      </c>
      <c r="Q126" s="167"/>
      <c r="R126" s="23"/>
      <c r="S126" s="10" t="s">
        <v>0</v>
      </c>
      <c r="T126" s="10"/>
      <c r="U126" s="23" t="s">
        <v>361</v>
      </c>
      <c r="V126" s="23" t="s">
        <v>1516</v>
      </c>
      <c r="W126" s="103"/>
    </row>
    <row r="127" spans="1:23" ht="13">
      <c r="A127" s="36"/>
      <c r="B127" s="37"/>
      <c r="C127" s="10"/>
      <c r="D127" s="10"/>
      <c r="E127" s="10"/>
      <c r="F127" s="10"/>
      <c r="G127" s="23"/>
      <c r="H127" s="23"/>
      <c r="I127" s="175"/>
      <c r="J127" s="23"/>
      <c r="K127" s="23"/>
      <c r="L127" s="23"/>
      <c r="M127" s="103"/>
      <c r="N127" s="108"/>
      <c r="O127" s="108"/>
      <c r="P127" s="23"/>
      <c r="Q127" s="167"/>
      <c r="R127" s="23"/>
      <c r="S127" s="10"/>
      <c r="T127" s="10"/>
      <c r="U127" s="23"/>
      <c r="V127" s="23"/>
      <c r="W127" s="103"/>
    </row>
    <row r="128" spans="1:23" ht="14">
      <c r="A128" s="170" t="s">
        <v>1517</v>
      </c>
      <c r="B128" s="176" t="s">
        <v>1053</v>
      </c>
      <c r="C128" s="30"/>
      <c r="D128" s="30"/>
      <c r="E128" s="30"/>
      <c r="F128" s="30"/>
      <c r="G128" s="31"/>
      <c r="H128" s="31"/>
      <c r="I128" s="177"/>
      <c r="J128" s="31"/>
      <c r="K128" s="31"/>
      <c r="L128" s="31"/>
      <c r="M128" s="166"/>
      <c r="N128" s="171"/>
      <c r="O128" s="171"/>
      <c r="P128" s="31"/>
      <c r="Q128" s="172"/>
      <c r="R128" s="31"/>
      <c r="S128" s="30"/>
      <c r="T128" s="30"/>
      <c r="U128" s="31"/>
      <c r="V128" s="31"/>
      <c r="W128" s="166"/>
    </row>
    <row r="129" spans="1:23" ht="13">
      <c r="A129" s="36"/>
      <c r="B129" s="10"/>
      <c r="C129" s="10"/>
      <c r="D129" s="10"/>
      <c r="E129" s="10"/>
      <c r="F129" s="10"/>
      <c r="G129" s="23"/>
      <c r="H129" s="23"/>
      <c r="I129" s="23"/>
      <c r="J129" s="23"/>
      <c r="K129" s="23"/>
      <c r="L129" s="23"/>
      <c r="M129" s="103"/>
      <c r="N129" s="108"/>
      <c r="O129" s="108"/>
      <c r="P129" s="23"/>
      <c r="Q129" s="167"/>
      <c r="R129" s="23"/>
      <c r="S129" s="23"/>
      <c r="T129" s="10"/>
      <c r="U129" s="23"/>
      <c r="V129" s="23"/>
      <c r="W129" s="103"/>
    </row>
    <row r="130" spans="1:23" ht="13">
      <c r="A130" s="36" t="s">
        <v>1518</v>
      </c>
      <c r="B130" s="10"/>
      <c r="C130" s="10"/>
      <c r="D130" s="10" t="s">
        <v>1519</v>
      </c>
      <c r="E130" s="10" t="s">
        <v>1520</v>
      </c>
      <c r="F130" s="10" t="s">
        <v>1520</v>
      </c>
      <c r="G130" s="23" t="s">
        <v>1521</v>
      </c>
      <c r="H130" s="23" t="s">
        <v>891</v>
      </c>
      <c r="I130" s="23"/>
      <c r="J130" s="23"/>
      <c r="K130" s="23"/>
      <c r="L130" s="23"/>
      <c r="M130" s="103" t="s">
        <v>1485</v>
      </c>
      <c r="N130" s="108"/>
      <c r="O130" s="108"/>
      <c r="P130" s="23"/>
      <c r="Q130" s="167"/>
      <c r="R130" s="23"/>
      <c r="S130" s="23"/>
      <c r="T130" s="10"/>
      <c r="U130" s="23"/>
      <c r="V130" s="23"/>
      <c r="W130" s="103"/>
    </row>
    <row r="131" spans="1:23" ht="13">
      <c r="A131" s="36"/>
      <c r="B131" s="10"/>
      <c r="C131" s="10"/>
      <c r="D131" s="10"/>
      <c r="E131" s="10"/>
      <c r="F131" s="10"/>
      <c r="G131" s="23"/>
      <c r="H131" s="23"/>
      <c r="I131" s="23"/>
      <c r="J131" s="23"/>
      <c r="K131" s="23"/>
      <c r="L131" s="23"/>
      <c r="M131" s="103"/>
      <c r="N131" s="108"/>
      <c r="O131" s="108"/>
      <c r="P131" s="23"/>
      <c r="Q131" s="167"/>
      <c r="R131" s="23"/>
      <c r="S131" s="23"/>
      <c r="T131" s="10"/>
      <c r="U131" s="23"/>
      <c r="V131" s="23"/>
      <c r="W131" s="103"/>
    </row>
    <row r="132" spans="1:23" ht="13">
      <c r="A132" s="36" t="s">
        <v>1523</v>
      </c>
      <c r="B132" s="10" t="s">
        <v>706</v>
      </c>
      <c r="C132" s="81" t="s">
        <v>1524</v>
      </c>
      <c r="D132" s="10" t="s">
        <v>1528</v>
      </c>
      <c r="E132" s="10"/>
      <c r="F132" s="10"/>
      <c r="G132" s="23"/>
      <c r="H132" s="23" t="s">
        <v>886</v>
      </c>
      <c r="I132" s="23" t="s">
        <v>1529</v>
      </c>
      <c r="J132" s="23" t="s">
        <v>993</v>
      </c>
      <c r="K132" s="23"/>
      <c r="L132" s="23" t="s">
        <v>248</v>
      </c>
      <c r="M132" s="103" t="s">
        <v>1321</v>
      </c>
      <c r="N132" s="108">
        <v>23500</v>
      </c>
      <c r="O132" s="108"/>
      <c r="P132" s="23">
        <v>15</v>
      </c>
      <c r="Q132" s="167"/>
      <c r="R132" s="23"/>
      <c r="S132" s="10" t="s">
        <v>0</v>
      </c>
      <c r="T132" s="10"/>
      <c r="U132" s="23"/>
      <c r="V132" s="23"/>
      <c r="W132" s="103"/>
    </row>
    <row r="133" spans="1:23" ht="13">
      <c r="A133" s="36" t="s">
        <v>1523</v>
      </c>
      <c r="B133" s="10" t="s">
        <v>706</v>
      </c>
      <c r="C133" s="81" t="s">
        <v>1531</v>
      </c>
      <c r="D133" s="10" t="s">
        <v>1532</v>
      </c>
      <c r="E133" s="10"/>
      <c r="F133" s="10"/>
      <c r="G133" s="23"/>
      <c r="H133" s="23" t="s">
        <v>886</v>
      </c>
      <c r="I133" s="23" t="s">
        <v>1529</v>
      </c>
      <c r="J133" s="23" t="s">
        <v>993</v>
      </c>
      <c r="K133" s="23"/>
      <c r="L133" s="23" t="s">
        <v>248</v>
      </c>
      <c r="M133" s="103" t="s">
        <v>1321</v>
      </c>
      <c r="N133" s="108">
        <v>23500</v>
      </c>
      <c r="O133" s="108"/>
      <c r="P133" s="23">
        <v>15</v>
      </c>
      <c r="Q133" s="167"/>
      <c r="R133" s="23"/>
      <c r="S133" s="10" t="s">
        <v>0</v>
      </c>
      <c r="T133" s="10"/>
      <c r="U133" s="23"/>
      <c r="V133" s="23"/>
      <c r="W133" s="103"/>
    </row>
    <row r="134" spans="1:23" ht="13">
      <c r="A134" s="36" t="s">
        <v>1523</v>
      </c>
      <c r="B134" s="10" t="s">
        <v>706</v>
      </c>
      <c r="C134" s="81" t="s">
        <v>1537</v>
      </c>
      <c r="D134" s="10" t="s">
        <v>1539</v>
      </c>
      <c r="E134" s="10"/>
      <c r="F134" s="10"/>
      <c r="G134" s="23"/>
      <c r="H134" s="23" t="s">
        <v>886</v>
      </c>
      <c r="I134" s="23" t="s">
        <v>1529</v>
      </c>
      <c r="J134" s="23" t="s">
        <v>993</v>
      </c>
      <c r="K134" s="23"/>
      <c r="L134" s="23" t="s">
        <v>248</v>
      </c>
      <c r="M134" s="103" t="s">
        <v>315</v>
      </c>
      <c r="N134" s="108">
        <v>23500</v>
      </c>
      <c r="O134" s="108"/>
      <c r="P134" s="23">
        <v>15</v>
      </c>
      <c r="Q134" s="167"/>
      <c r="R134" s="23"/>
      <c r="S134" s="10" t="s">
        <v>0</v>
      </c>
      <c r="T134" s="10"/>
      <c r="U134" s="23"/>
      <c r="V134" s="23"/>
      <c r="W134" s="103"/>
    </row>
    <row r="135" spans="1:23" ht="13">
      <c r="A135" s="36" t="s">
        <v>1523</v>
      </c>
      <c r="B135" s="10" t="s">
        <v>706</v>
      </c>
      <c r="C135" s="81" t="s">
        <v>1544</v>
      </c>
      <c r="D135" s="10" t="s">
        <v>1545</v>
      </c>
      <c r="E135" s="10"/>
      <c r="F135" s="10"/>
      <c r="G135" s="23"/>
      <c r="H135" s="23" t="s">
        <v>886</v>
      </c>
      <c r="I135" s="23" t="s">
        <v>1529</v>
      </c>
      <c r="J135" s="23" t="s">
        <v>993</v>
      </c>
      <c r="K135" s="23"/>
      <c r="L135" s="23" t="s">
        <v>248</v>
      </c>
      <c r="M135" s="103" t="s">
        <v>315</v>
      </c>
      <c r="N135" s="108">
        <v>23500</v>
      </c>
      <c r="O135" s="108"/>
      <c r="P135" s="23">
        <v>15</v>
      </c>
      <c r="Q135" s="167"/>
      <c r="R135" s="23"/>
      <c r="S135" s="10" t="s">
        <v>0</v>
      </c>
      <c r="T135" s="10"/>
      <c r="U135" s="23"/>
      <c r="V135" s="23"/>
      <c r="W135" s="103"/>
    </row>
    <row r="136" spans="1:23" ht="13">
      <c r="A136" s="36"/>
      <c r="B136" s="10"/>
      <c r="C136" s="10"/>
      <c r="D136" s="10"/>
      <c r="E136" s="10"/>
      <c r="F136" s="10"/>
      <c r="G136" s="23"/>
      <c r="H136" s="23"/>
      <c r="I136" s="23"/>
      <c r="J136" s="23"/>
      <c r="K136" s="23"/>
      <c r="L136" s="23"/>
      <c r="M136" s="103"/>
      <c r="N136" s="108"/>
      <c r="O136" s="108"/>
      <c r="P136" s="23"/>
      <c r="Q136" s="167"/>
      <c r="R136" s="23"/>
      <c r="S136" s="23"/>
      <c r="T136" s="10"/>
      <c r="U136" s="23"/>
      <c r="V136" s="23"/>
      <c r="W136" s="103"/>
    </row>
    <row r="137" spans="1:23" ht="13">
      <c r="A137" s="36" t="s">
        <v>1548</v>
      </c>
      <c r="B137" s="10" t="s">
        <v>290</v>
      </c>
      <c r="C137" s="10" t="s">
        <v>291</v>
      </c>
      <c r="D137" s="10" t="s">
        <v>1550</v>
      </c>
      <c r="E137" s="10"/>
      <c r="F137" s="10" t="s">
        <v>1551</v>
      </c>
      <c r="G137" s="23" t="s">
        <v>1552</v>
      </c>
      <c r="H137" s="23" t="s">
        <v>1553</v>
      </c>
      <c r="I137" s="23" t="s">
        <v>1247</v>
      </c>
      <c r="J137" s="23" t="s">
        <v>1228</v>
      </c>
      <c r="K137" s="23" t="s">
        <v>940</v>
      </c>
      <c r="L137" s="23" t="s">
        <v>1035</v>
      </c>
      <c r="M137" s="103" t="s">
        <v>1007</v>
      </c>
      <c r="N137" s="108"/>
      <c r="O137" s="108"/>
      <c r="P137" s="23">
        <v>15</v>
      </c>
      <c r="Q137" s="167"/>
      <c r="R137" s="23"/>
      <c r="S137" s="10" t="s">
        <v>1037</v>
      </c>
      <c r="T137" s="10"/>
      <c r="U137" s="23" t="s">
        <v>462</v>
      </c>
      <c r="V137" s="23" t="s">
        <v>1516</v>
      </c>
      <c r="W137" s="103"/>
    </row>
    <row r="138" spans="1:23" ht="28">
      <c r="A138" s="36" t="s">
        <v>1548</v>
      </c>
      <c r="B138" s="10" t="s">
        <v>290</v>
      </c>
      <c r="C138" s="10" t="s">
        <v>291</v>
      </c>
      <c r="D138" s="10" t="s">
        <v>1555</v>
      </c>
      <c r="E138" s="10"/>
      <c r="F138" s="10" t="s">
        <v>1551</v>
      </c>
      <c r="G138" s="23" t="s">
        <v>1552</v>
      </c>
      <c r="H138" s="23" t="s">
        <v>1553</v>
      </c>
      <c r="I138" s="23" t="s">
        <v>1247</v>
      </c>
      <c r="J138" s="23" t="s">
        <v>1228</v>
      </c>
      <c r="K138" s="23" t="s">
        <v>940</v>
      </c>
      <c r="L138" s="23" t="s">
        <v>1035</v>
      </c>
      <c r="M138" s="83" t="s">
        <v>1556</v>
      </c>
      <c r="N138" s="108"/>
      <c r="O138" s="108"/>
      <c r="P138" s="23">
        <v>15</v>
      </c>
      <c r="Q138" s="167"/>
      <c r="R138" s="23" t="s">
        <v>1045</v>
      </c>
      <c r="S138" s="10" t="s">
        <v>1037</v>
      </c>
      <c r="T138" s="10"/>
      <c r="U138" s="23" t="s">
        <v>462</v>
      </c>
      <c r="V138" s="23" t="s">
        <v>1516</v>
      </c>
      <c r="W138" s="103"/>
    </row>
    <row r="139" spans="1:23" ht="13">
      <c r="A139" s="36" t="s">
        <v>1548</v>
      </c>
      <c r="B139" s="10" t="s">
        <v>290</v>
      </c>
      <c r="C139" s="10" t="s">
        <v>291</v>
      </c>
      <c r="D139" s="10" t="s">
        <v>1558</v>
      </c>
      <c r="E139" s="10"/>
      <c r="F139" s="10" t="s">
        <v>1551</v>
      </c>
      <c r="G139" s="23" t="s">
        <v>1552</v>
      </c>
      <c r="H139" s="23" t="s">
        <v>1553</v>
      </c>
      <c r="I139" s="23" t="s">
        <v>1247</v>
      </c>
      <c r="J139" s="23" t="s">
        <v>1228</v>
      </c>
      <c r="K139" s="23" t="s">
        <v>940</v>
      </c>
      <c r="L139" s="23" t="s">
        <v>1035</v>
      </c>
      <c r="M139" s="103" t="s">
        <v>315</v>
      </c>
      <c r="N139" s="108"/>
      <c r="O139" s="108"/>
      <c r="P139" s="23">
        <v>15</v>
      </c>
      <c r="Q139" s="167"/>
      <c r="R139" s="23" t="s">
        <v>1045</v>
      </c>
      <c r="S139" s="10" t="s">
        <v>1037</v>
      </c>
      <c r="T139" s="10"/>
      <c r="U139" s="23" t="s">
        <v>462</v>
      </c>
      <c r="V139" s="23" t="s">
        <v>1516</v>
      </c>
      <c r="W139" s="103"/>
    </row>
    <row r="140" spans="1:23" ht="13">
      <c r="A140" s="36" t="s">
        <v>1548</v>
      </c>
      <c r="B140" s="10" t="s">
        <v>290</v>
      </c>
      <c r="C140" s="10" t="s">
        <v>291</v>
      </c>
      <c r="D140" s="10" t="s">
        <v>1562</v>
      </c>
      <c r="E140" s="10"/>
      <c r="F140" s="10" t="s">
        <v>1551</v>
      </c>
      <c r="G140" s="23" t="s">
        <v>1552</v>
      </c>
      <c r="H140" s="23" t="s">
        <v>1553</v>
      </c>
      <c r="I140" s="23" t="s">
        <v>1247</v>
      </c>
      <c r="J140" s="23" t="s">
        <v>1228</v>
      </c>
      <c r="K140" s="23" t="s">
        <v>940</v>
      </c>
      <c r="L140" s="23" t="s">
        <v>1035</v>
      </c>
      <c r="M140" s="103" t="s">
        <v>315</v>
      </c>
      <c r="N140" s="108"/>
      <c r="O140" s="108"/>
      <c r="P140" s="23">
        <v>15</v>
      </c>
      <c r="Q140" s="167"/>
      <c r="R140" s="23" t="s">
        <v>1045</v>
      </c>
      <c r="S140" s="10" t="s">
        <v>1037</v>
      </c>
      <c r="T140" s="10"/>
      <c r="U140" s="23" t="s">
        <v>462</v>
      </c>
      <c r="V140" s="23" t="s">
        <v>1516</v>
      </c>
      <c r="W140" s="103"/>
    </row>
    <row r="141" spans="1:23" ht="13">
      <c r="A141" s="36"/>
      <c r="B141" s="10"/>
      <c r="C141" s="10"/>
      <c r="D141" s="10"/>
      <c r="E141" s="10"/>
      <c r="F141" s="10"/>
      <c r="G141" s="23"/>
      <c r="H141" s="23"/>
      <c r="I141" s="23"/>
      <c r="J141" s="23"/>
      <c r="K141" s="23"/>
      <c r="L141" s="23"/>
      <c r="M141" s="103"/>
      <c r="N141" s="108"/>
      <c r="O141" s="108"/>
      <c r="P141" s="23"/>
      <c r="Q141" s="167"/>
      <c r="R141" s="23"/>
      <c r="S141" s="10"/>
      <c r="T141" s="10"/>
      <c r="U141" s="23"/>
      <c r="V141" s="23"/>
      <c r="W141" s="103"/>
    </row>
    <row r="142" spans="1:23" ht="13">
      <c r="A142" s="36" t="s">
        <v>1566</v>
      </c>
      <c r="B142" s="10" t="s">
        <v>1567</v>
      </c>
      <c r="C142" s="10" t="s">
        <v>1568</v>
      </c>
      <c r="D142" s="10" t="s">
        <v>1570</v>
      </c>
      <c r="E142" s="10"/>
      <c r="F142" s="10"/>
      <c r="G142" s="23"/>
      <c r="H142" s="23"/>
      <c r="I142" s="23"/>
      <c r="J142" s="23"/>
      <c r="K142" s="23"/>
      <c r="L142" s="23"/>
      <c r="M142" s="103" t="s">
        <v>1571</v>
      </c>
      <c r="N142" s="108"/>
      <c r="O142" s="108"/>
      <c r="P142" s="23"/>
      <c r="Q142" s="167"/>
      <c r="R142" s="23"/>
      <c r="S142" s="10"/>
      <c r="T142" s="10"/>
      <c r="U142" s="23"/>
      <c r="V142" s="23"/>
      <c r="W142" s="103"/>
    </row>
    <row r="143" spans="1:23" ht="13">
      <c r="A143" s="36" t="s">
        <v>1566</v>
      </c>
      <c r="B143" s="10" t="s">
        <v>1567</v>
      </c>
      <c r="C143" s="10" t="s">
        <v>1568</v>
      </c>
      <c r="D143" s="10" t="s">
        <v>1574</v>
      </c>
      <c r="E143" s="10"/>
      <c r="F143" s="10"/>
      <c r="G143" s="23"/>
      <c r="H143" s="23"/>
      <c r="I143" s="23"/>
      <c r="J143" s="23"/>
      <c r="K143" s="23"/>
      <c r="L143" s="23"/>
      <c r="M143" s="103"/>
      <c r="N143" s="108"/>
      <c r="O143" s="108"/>
      <c r="P143" s="23"/>
      <c r="Q143" s="167"/>
      <c r="R143" s="23"/>
      <c r="S143" s="10"/>
      <c r="T143" s="10"/>
      <c r="U143" s="23"/>
      <c r="V143" s="23"/>
      <c r="W143" s="103"/>
    </row>
    <row r="144" spans="1:23" ht="13">
      <c r="A144" s="36"/>
      <c r="B144" s="10"/>
      <c r="C144" s="10"/>
      <c r="D144" s="10"/>
      <c r="E144" s="10"/>
      <c r="F144" s="10"/>
      <c r="G144" s="23"/>
      <c r="H144" s="23"/>
      <c r="I144" s="23"/>
      <c r="J144" s="23"/>
      <c r="K144" s="23"/>
      <c r="L144" s="23"/>
      <c r="M144" s="103"/>
      <c r="N144" s="108"/>
      <c r="O144" s="108"/>
      <c r="P144" s="23"/>
      <c r="Q144" s="167"/>
      <c r="R144" s="23"/>
      <c r="S144" s="10"/>
      <c r="T144" s="10"/>
      <c r="U144" s="23"/>
      <c r="V144" s="23"/>
      <c r="W144" s="103"/>
    </row>
    <row r="165" spans="24:29" ht="13">
      <c r="X165" s="5"/>
      <c r="Y165" s="5"/>
      <c r="Z165" s="5"/>
      <c r="AA165" s="5"/>
      <c r="AB165" s="5"/>
      <c r="AC165" s="5"/>
    </row>
    <row r="254" spans="12:17" ht="13">
      <c r="L254" s="5"/>
      <c r="M254" s="5"/>
      <c r="N254" s="5"/>
      <c r="O254" s="5"/>
      <c r="Q254" s="178"/>
    </row>
    <row r="255" spans="12:17" ht="13">
      <c r="L255" s="5"/>
      <c r="M255" s="5"/>
      <c r="N255" s="5"/>
      <c r="O255" s="5"/>
      <c r="Q255" s="178"/>
    </row>
    <row r="256" spans="12:17" ht="13">
      <c r="L256" s="5"/>
      <c r="M256" s="5"/>
      <c r="N256" s="5"/>
      <c r="O256" s="5"/>
      <c r="Q256" s="178"/>
    </row>
    <row r="257" spans="12:17" ht="13">
      <c r="L257" s="5"/>
      <c r="M257" s="5"/>
      <c r="N257" s="5"/>
      <c r="O257" s="5"/>
      <c r="Q257" s="178"/>
    </row>
    <row r="258" spans="12:17" ht="13">
      <c r="L258" s="5"/>
      <c r="M258" s="5"/>
      <c r="N258" s="5"/>
      <c r="O258" s="5"/>
      <c r="Q258" s="178"/>
    </row>
    <row r="259" spans="12:17" ht="13">
      <c r="L259" s="5"/>
      <c r="M259" s="5"/>
      <c r="N259" s="5"/>
      <c r="O259" s="5"/>
      <c r="Q259" s="178"/>
    </row>
    <row r="260" spans="12:17" ht="13">
      <c r="L260" s="5"/>
      <c r="M260" s="5"/>
      <c r="N260" s="5"/>
      <c r="O260" s="5"/>
      <c r="Q260" s="178"/>
    </row>
    <row r="261" spans="12:17" ht="13">
      <c r="L261" s="5"/>
      <c r="M261" s="5"/>
      <c r="N261" s="5"/>
      <c r="O261" s="5"/>
      <c r="Q261" s="178"/>
    </row>
    <row r="262" spans="12:17" ht="13">
      <c r="L262" s="5"/>
      <c r="M262" s="5"/>
      <c r="N262" s="5"/>
      <c r="O262" s="5"/>
      <c r="Q262" s="178"/>
    </row>
    <row r="263" spans="12:17" ht="13">
      <c r="L263" s="5"/>
      <c r="M263" s="5"/>
      <c r="N263" s="5"/>
      <c r="O263" s="5"/>
      <c r="Q263" s="178"/>
    </row>
    <row r="264" spans="12:17" ht="13">
      <c r="L264" s="5"/>
      <c r="M264" s="5"/>
      <c r="N264" s="5"/>
      <c r="O264" s="5"/>
      <c r="Q264" s="178"/>
    </row>
    <row r="265" spans="12:17" ht="13">
      <c r="L265" s="5"/>
      <c r="M265" s="5"/>
      <c r="N265" s="5"/>
      <c r="O265" s="5"/>
      <c r="Q265" s="178"/>
    </row>
    <row r="266" spans="12:17" ht="13">
      <c r="L266" s="5"/>
      <c r="M266" s="5"/>
      <c r="N266" s="5"/>
      <c r="O266" s="5"/>
      <c r="Q266" s="178"/>
    </row>
    <row r="267" spans="12:17" ht="13">
      <c r="L267" s="5"/>
      <c r="M267" s="5"/>
      <c r="N267" s="5"/>
      <c r="O267" s="5"/>
      <c r="Q267" s="178"/>
    </row>
    <row r="268" spans="12:17" ht="13">
      <c r="L268" s="5"/>
      <c r="M268" s="5"/>
      <c r="N268" s="5"/>
      <c r="O268" s="5"/>
      <c r="Q268" s="178"/>
    </row>
    <row r="269" spans="12:17" ht="13">
      <c r="L269" s="5"/>
      <c r="M269" s="5"/>
      <c r="N269" s="5"/>
      <c r="O269" s="5"/>
      <c r="Q269" s="178"/>
    </row>
    <row r="270" spans="12:17" ht="13">
      <c r="L270" s="5"/>
      <c r="M270" s="5"/>
      <c r="N270" s="5"/>
      <c r="O270" s="5"/>
      <c r="Q270" s="178"/>
    </row>
    <row r="271" spans="12:17" ht="13">
      <c r="L271" s="5"/>
      <c r="M271" s="5"/>
      <c r="N271" s="5"/>
      <c r="O271" s="5"/>
      <c r="Q271" s="178"/>
    </row>
    <row r="272" spans="12:17" ht="13">
      <c r="L272" s="5"/>
      <c r="M272" s="5"/>
      <c r="N272" s="5"/>
      <c r="O272" s="5"/>
      <c r="Q272" s="178"/>
    </row>
    <row r="273" spans="12:17" ht="13">
      <c r="L273" s="5"/>
      <c r="M273" s="5"/>
      <c r="N273" s="5"/>
      <c r="O273" s="5"/>
      <c r="Q273" s="178"/>
    </row>
    <row r="274" spans="12:17" ht="13">
      <c r="L274" s="5"/>
      <c r="M274" s="5"/>
      <c r="N274" s="5"/>
      <c r="O274" s="5"/>
      <c r="Q274" s="178"/>
    </row>
    <row r="275" spans="12:17" ht="13">
      <c r="L275" s="5"/>
      <c r="M275" s="5"/>
      <c r="N275" s="5"/>
      <c r="O275" s="5"/>
      <c r="Q275" s="178"/>
    </row>
    <row r="276" spans="12:17" ht="13">
      <c r="L276" s="5"/>
      <c r="M276" s="5"/>
      <c r="N276" s="5"/>
      <c r="O276" s="5"/>
      <c r="Q276" s="178"/>
    </row>
    <row r="277" spans="12:17" ht="13">
      <c r="L277" s="5"/>
      <c r="M277" s="5"/>
      <c r="N277" s="5"/>
      <c r="O277" s="5"/>
      <c r="Q277" s="178"/>
    </row>
    <row r="278" spans="12:17" ht="13">
      <c r="L278" s="5"/>
      <c r="M278" s="5"/>
      <c r="N278" s="5"/>
      <c r="O278" s="5"/>
      <c r="Q278" s="178"/>
    </row>
    <row r="279" spans="12:17" ht="13">
      <c r="L279" s="5"/>
      <c r="M279" s="5"/>
      <c r="N279" s="5"/>
      <c r="O279" s="5"/>
      <c r="Q279" s="178"/>
    </row>
    <row r="280" spans="12:17" ht="13">
      <c r="L280" s="5"/>
      <c r="M280" s="5"/>
      <c r="N280" s="5"/>
      <c r="O280" s="5"/>
      <c r="Q280" s="178"/>
    </row>
    <row r="281" spans="12:17" ht="13">
      <c r="L281" s="5"/>
      <c r="M281" s="5"/>
      <c r="N281" s="5"/>
      <c r="O281" s="5"/>
      <c r="Q281" s="178"/>
    </row>
    <row r="282" spans="12:17" ht="13">
      <c r="L282" s="5"/>
      <c r="M282" s="5"/>
      <c r="N282" s="5"/>
      <c r="O282" s="5"/>
      <c r="Q282" s="178"/>
    </row>
    <row r="283" spans="12:17" ht="13">
      <c r="L283" s="5"/>
      <c r="M283" s="5"/>
      <c r="N283" s="5"/>
      <c r="O283" s="5"/>
      <c r="Q283" s="178"/>
    </row>
    <row r="284" spans="12:17" ht="13">
      <c r="L284" s="5"/>
      <c r="M284" s="5"/>
      <c r="N284" s="5"/>
      <c r="O284" s="5"/>
      <c r="Q284" s="178"/>
    </row>
    <row r="285" spans="12:17" ht="13">
      <c r="L285" s="5"/>
      <c r="M285" s="5"/>
      <c r="N285" s="5"/>
      <c r="O285" s="5"/>
      <c r="Q285" s="178"/>
    </row>
    <row r="286" spans="12:17" ht="13">
      <c r="L286" s="5"/>
      <c r="M286" s="5"/>
      <c r="N286" s="5"/>
      <c r="O286" s="5"/>
      <c r="Q286" s="178"/>
    </row>
    <row r="287" spans="12:17" ht="13">
      <c r="L287" s="5"/>
      <c r="M287" s="5"/>
      <c r="N287" s="5"/>
      <c r="O287" s="5"/>
      <c r="Q287" s="178"/>
    </row>
    <row r="288" spans="12:17" ht="13">
      <c r="L288" s="5"/>
      <c r="M288" s="5"/>
      <c r="N288" s="5"/>
      <c r="O288" s="5"/>
      <c r="Q288" s="178"/>
    </row>
    <row r="289" spans="12:17" ht="13">
      <c r="L289" s="5"/>
      <c r="M289" s="5"/>
      <c r="N289" s="5"/>
      <c r="O289" s="5"/>
      <c r="Q289" s="178"/>
    </row>
    <row r="290" spans="12:17" ht="13">
      <c r="L290" s="5"/>
      <c r="M290" s="5"/>
      <c r="N290" s="5"/>
      <c r="O290" s="5"/>
      <c r="Q290" s="178"/>
    </row>
    <row r="291" spans="12:17" ht="13">
      <c r="L291" s="5"/>
      <c r="M291" s="5"/>
      <c r="N291" s="5"/>
      <c r="O291" s="5"/>
      <c r="Q291" s="178"/>
    </row>
    <row r="292" spans="12:17" ht="13">
      <c r="L292" s="5"/>
      <c r="M292" s="5"/>
      <c r="N292" s="5"/>
      <c r="O292" s="5"/>
      <c r="Q292" s="178"/>
    </row>
    <row r="293" spans="12:17" ht="13">
      <c r="L293" s="5"/>
      <c r="M293" s="5"/>
      <c r="N293" s="5"/>
      <c r="O293" s="5"/>
      <c r="Q293" s="178"/>
    </row>
    <row r="294" spans="12:17" ht="13">
      <c r="L294" s="5"/>
      <c r="M294" s="5"/>
      <c r="N294" s="5"/>
      <c r="O294" s="5"/>
      <c r="Q294" s="178"/>
    </row>
    <row r="295" spans="12:17" ht="13">
      <c r="L295" s="5"/>
      <c r="M295" s="5"/>
      <c r="N295" s="5"/>
      <c r="O295" s="5"/>
      <c r="Q295" s="178"/>
    </row>
    <row r="296" spans="12:17" ht="13">
      <c r="L296" s="5"/>
      <c r="M296" s="5"/>
      <c r="N296" s="5"/>
      <c r="O296" s="5"/>
      <c r="Q296" s="178"/>
    </row>
    <row r="297" spans="12:17" ht="13">
      <c r="L297" s="5"/>
      <c r="M297" s="5"/>
      <c r="N297" s="5"/>
      <c r="O297" s="5"/>
      <c r="Q297" s="178"/>
    </row>
    <row r="298" spans="12:17" ht="13">
      <c r="L298" s="5"/>
      <c r="M298" s="5"/>
      <c r="N298" s="5"/>
      <c r="O298" s="5"/>
      <c r="Q298" s="178"/>
    </row>
    <row r="299" spans="12:17" ht="13">
      <c r="L299" s="5"/>
      <c r="M299" s="5"/>
      <c r="N299" s="5"/>
      <c r="O299" s="5"/>
      <c r="Q299" s="178"/>
    </row>
    <row r="300" spans="12:17" ht="13">
      <c r="L300" s="5"/>
      <c r="M300" s="5"/>
      <c r="N300" s="5"/>
      <c r="O300" s="5"/>
      <c r="Q300" s="178"/>
    </row>
    <row r="301" spans="12:17" ht="13">
      <c r="L301" s="5"/>
      <c r="M301" s="5"/>
      <c r="N301" s="5"/>
      <c r="O301" s="5"/>
      <c r="Q301" s="178"/>
    </row>
    <row r="302" spans="12:17" ht="13">
      <c r="L302" s="5"/>
      <c r="M302" s="5"/>
      <c r="N302" s="5"/>
      <c r="O302" s="5"/>
      <c r="Q302" s="178"/>
    </row>
    <row r="303" spans="12:17" ht="13">
      <c r="L303" s="5"/>
      <c r="M303" s="5"/>
      <c r="N303" s="5"/>
      <c r="O303" s="5"/>
      <c r="Q303" s="178"/>
    </row>
    <row r="304" spans="12:17" ht="13">
      <c r="L304" s="5"/>
      <c r="M304" s="5"/>
      <c r="N304" s="5"/>
      <c r="O304" s="5"/>
      <c r="Q304" s="178"/>
    </row>
    <row r="305" spans="12:17" ht="13">
      <c r="L305" s="5"/>
      <c r="M305" s="5"/>
      <c r="N305" s="5"/>
      <c r="O305" s="5"/>
      <c r="Q305" s="178"/>
    </row>
    <row r="306" spans="12:17" ht="13">
      <c r="L306" s="5"/>
      <c r="M306" s="5"/>
      <c r="N306" s="5"/>
      <c r="O306" s="5"/>
      <c r="Q306" s="178"/>
    </row>
    <row r="307" spans="12:17" ht="13">
      <c r="L307" s="5"/>
      <c r="M307" s="5"/>
      <c r="N307" s="5"/>
      <c r="O307" s="5"/>
      <c r="Q307" s="178"/>
    </row>
    <row r="308" spans="12:17" ht="13">
      <c r="L308" s="5"/>
      <c r="M308" s="5"/>
      <c r="N308" s="5"/>
      <c r="O308" s="5"/>
      <c r="Q308" s="178"/>
    </row>
    <row r="309" spans="12:17" ht="13">
      <c r="L309" s="5"/>
      <c r="M309" s="5"/>
      <c r="N309" s="5"/>
      <c r="O309" s="5"/>
      <c r="Q309" s="178"/>
    </row>
    <row r="310" spans="12:17" ht="13">
      <c r="L310" s="5"/>
      <c r="M310" s="5"/>
      <c r="N310" s="5"/>
      <c r="O310" s="5"/>
      <c r="Q310" s="178"/>
    </row>
    <row r="311" spans="12:17" ht="13">
      <c r="L311" s="5"/>
      <c r="M311" s="5"/>
      <c r="N311" s="5"/>
      <c r="O311" s="5"/>
      <c r="Q311" s="178"/>
    </row>
    <row r="312" spans="12:17" ht="13">
      <c r="L312" s="5"/>
      <c r="M312" s="5"/>
      <c r="N312" s="5"/>
      <c r="O312" s="5"/>
      <c r="Q312" s="178"/>
    </row>
    <row r="313" spans="12:17" ht="13">
      <c r="L313" s="5"/>
      <c r="M313" s="5"/>
      <c r="N313" s="5"/>
      <c r="O313" s="5"/>
      <c r="Q313" s="178"/>
    </row>
    <row r="314" spans="12:17" ht="13">
      <c r="L314" s="5"/>
      <c r="M314" s="5"/>
      <c r="N314" s="5"/>
      <c r="O314" s="5"/>
      <c r="Q314" s="178"/>
    </row>
    <row r="315" spans="12:17" ht="13">
      <c r="L315" s="5"/>
      <c r="M315" s="5"/>
      <c r="N315" s="5"/>
      <c r="O315" s="5"/>
      <c r="Q315" s="178"/>
    </row>
    <row r="316" spans="12:17" ht="13">
      <c r="L316" s="5"/>
      <c r="M316" s="5"/>
      <c r="N316" s="5"/>
      <c r="O316" s="5"/>
      <c r="Q316" s="178"/>
    </row>
    <row r="317" spans="12:17" ht="13">
      <c r="L317" s="5"/>
      <c r="M317" s="5"/>
      <c r="N317" s="5"/>
      <c r="O317" s="5"/>
      <c r="Q317" s="178"/>
    </row>
    <row r="318" spans="12:17" ht="13">
      <c r="L318" s="5"/>
      <c r="M318" s="5"/>
      <c r="N318" s="5"/>
      <c r="O318" s="5"/>
      <c r="Q318" s="178"/>
    </row>
    <row r="319" spans="12:17" ht="13">
      <c r="L319" s="5"/>
      <c r="M319" s="5"/>
      <c r="N319" s="5"/>
      <c r="O319" s="5"/>
      <c r="Q319" s="178"/>
    </row>
    <row r="320" spans="12:17" ht="13">
      <c r="L320" s="5"/>
      <c r="M320" s="5"/>
      <c r="N320" s="5"/>
      <c r="O320" s="5"/>
      <c r="Q320" s="178"/>
    </row>
    <row r="321" spans="12:17" ht="13">
      <c r="L321" s="5"/>
      <c r="M321" s="5"/>
      <c r="N321" s="5"/>
      <c r="O321" s="5"/>
      <c r="Q321" s="178"/>
    </row>
    <row r="322" spans="12:17" ht="13">
      <c r="L322" s="5"/>
      <c r="M322" s="5"/>
      <c r="N322" s="5"/>
      <c r="O322" s="5"/>
      <c r="Q322" s="178"/>
    </row>
    <row r="323" spans="12:17" ht="13">
      <c r="L323" s="5"/>
      <c r="M323" s="5"/>
      <c r="N323" s="5"/>
      <c r="O323" s="5"/>
      <c r="Q323" s="178"/>
    </row>
    <row r="324" spans="12:17" ht="13">
      <c r="L324" s="5"/>
      <c r="M324" s="5"/>
      <c r="N324" s="5"/>
      <c r="O324" s="5"/>
      <c r="Q324" s="178"/>
    </row>
    <row r="325" spans="12:17" ht="13">
      <c r="L325" s="5"/>
      <c r="M325" s="5"/>
      <c r="N325" s="5"/>
      <c r="O325" s="5"/>
      <c r="Q325" s="178"/>
    </row>
    <row r="326" spans="12:17" ht="13">
      <c r="L326" s="5"/>
      <c r="M326" s="5"/>
      <c r="N326" s="5"/>
      <c r="O326" s="5"/>
      <c r="Q326" s="178"/>
    </row>
    <row r="327" spans="12:17" ht="13">
      <c r="L327" s="5"/>
      <c r="M327" s="5"/>
      <c r="N327" s="5"/>
      <c r="O327" s="5"/>
      <c r="Q327" s="178"/>
    </row>
    <row r="328" spans="12:17" ht="13">
      <c r="L328" s="5"/>
      <c r="M328" s="5"/>
      <c r="N328" s="5"/>
      <c r="O328" s="5"/>
      <c r="Q328" s="178"/>
    </row>
    <row r="329" spans="12:17" ht="13">
      <c r="L329" s="5"/>
      <c r="M329" s="5"/>
      <c r="N329" s="5"/>
      <c r="O329" s="5"/>
      <c r="Q329" s="178"/>
    </row>
    <row r="330" spans="12:17" ht="13">
      <c r="L330" s="5"/>
      <c r="M330" s="5"/>
      <c r="N330" s="5"/>
      <c r="O330" s="5"/>
      <c r="Q330" s="178"/>
    </row>
    <row r="331" spans="12:17" ht="13">
      <c r="L331" s="5"/>
      <c r="M331" s="5"/>
      <c r="N331" s="5"/>
      <c r="O331" s="5"/>
      <c r="Q331" s="178"/>
    </row>
    <row r="332" spans="12:17" ht="13">
      <c r="L332" s="5"/>
      <c r="M332" s="5"/>
      <c r="N332" s="5"/>
      <c r="O332" s="5"/>
      <c r="Q332" s="178"/>
    </row>
    <row r="333" spans="12:17" ht="13">
      <c r="L333" s="5"/>
      <c r="M333" s="5"/>
      <c r="N333" s="5"/>
      <c r="O333" s="5"/>
      <c r="Q333" s="178"/>
    </row>
    <row r="334" spans="12:17" ht="13">
      <c r="L334" s="5"/>
      <c r="M334" s="5"/>
      <c r="N334" s="5"/>
      <c r="O334" s="5"/>
      <c r="Q334" s="178"/>
    </row>
    <row r="335" spans="12:17" ht="13">
      <c r="L335" s="5"/>
      <c r="M335" s="5"/>
      <c r="N335" s="5"/>
      <c r="O335" s="5"/>
      <c r="Q335" s="178"/>
    </row>
    <row r="336" spans="12:17" ht="13">
      <c r="L336" s="5"/>
      <c r="M336" s="5"/>
      <c r="N336" s="5"/>
      <c r="O336" s="5"/>
      <c r="Q336" s="178"/>
    </row>
    <row r="337" spans="12:17" ht="13">
      <c r="L337" s="5"/>
      <c r="M337" s="5"/>
      <c r="N337" s="5"/>
      <c r="O337" s="5"/>
      <c r="Q337" s="178"/>
    </row>
    <row r="338" spans="12:17" ht="13">
      <c r="L338" s="5"/>
      <c r="M338" s="5"/>
      <c r="N338" s="5"/>
      <c r="O338" s="5"/>
      <c r="Q338" s="178"/>
    </row>
    <row r="339" spans="12:17" ht="13">
      <c r="L339" s="5"/>
      <c r="M339" s="5"/>
      <c r="N339" s="5"/>
      <c r="O339" s="5"/>
      <c r="Q339" s="178"/>
    </row>
    <row r="340" spans="12:17" ht="13">
      <c r="L340" s="5"/>
      <c r="M340" s="5"/>
      <c r="N340" s="5"/>
      <c r="O340" s="5"/>
      <c r="Q340" s="178"/>
    </row>
    <row r="341" spans="12:17" ht="13">
      <c r="L341" s="5"/>
      <c r="M341" s="5"/>
      <c r="N341" s="5"/>
      <c r="O341" s="5"/>
      <c r="Q341" s="178"/>
    </row>
    <row r="342" spans="12:17" ht="13">
      <c r="L342" s="5"/>
      <c r="M342" s="5"/>
      <c r="N342" s="5"/>
      <c r="O342" s="5"/>
      <c r="Q342" s="178"/>
    </row>
    <row r="343" spans="12:17" ht="13">
      <c r="L343" s="5"/>
      <c r="M343" s="5"/>
      <c r="N343" s="5"/>
      <c r="O343" s="5"/>
      <c r="Q343" s="178"/>
    </row>
    <row r="344" spans="12:17" ht="13">
      <c r="L344" s="5"/>
      <c r="M344" s="5"/>
      <c r="N344" s="5"/>
      <c r="O344" s="5"/>
      <c r="Q344" s="178"/>
    </row>
    <row r="345" spans="12:17" ht="13">
      <c r="L345" s="5"/>
      <c r="M345" s="5"/>
      <c r="N345" s="5"/>
      <c r="O345" s="5"/>
      <c r="Q345" s="178"/>
    </row>
    <row r="346" spans="12:17" ht="13">
      <c r="L346" s="5"/>
      <c r="M346" s="5"/>
      <c r="N346" s="5"/>
      <c r="O346" s="5"/>
      <c r="Q346" s="178"/>
    </row>
    <row r="347" spans="12:17" ht="13">
      <c r="L347" s="5"/>
      <c r="M347" s="5"/>
      <c r="N347" s="5"/>
      <c r="O347" s="5"/>
      <c r="Q347" s="178"/>
    </row>
    <row r="348" spans="12:17" ht="13">
      <c r="L348" s="5"/>
      <c r="M348" s="5"/>
      <c r="N348" s="5"/>
      <c r="O348" s="5"/>
      <c r="Q348" s="178"/>
    </row>
    <row r="349" spans="12:17" ht="13">
      <c r="L349" s="5"/>
      <c r="M349" s="5"/>
      <c r="N349" s="5"/>
      <c r="O349" s="5"/>
      <c r="Q349" s="178"/>
    </row>
    <row r="350" spans="12:17" ht="13">
      <c r="L350" s="5"/>
      <c r="M350" s="5"/>
      <c r="N350" s="5"/>
      <c r="O350" s="5"/>
      <c r="Q350" s="178"/>
    </row>
    <row r="351" spans="12:17" ht="13">
      <c r="L351" s="5"/>
      <c r="M351" s="5"/>
      <c r="N351" s="5"/>
      <c r="O351" s="5"/>
      <c r="Q351" s="178"/>
    </row>
    <row r="352" spans="12:17" ht="13">
      <c r="L352" s="5"/>
      <c r="M352" s="5"/>
      <c r="N352" s="5"/>
      <c r="O352" s="5"/>
      <c r="Q352" s="178"/>
    </row>
    <row r="353" spans="12:17" ht="13">
      <c r="L353" s="5"/>
      <c r="M353" s="5"/>
      <c r="N353" s="5"/>
      <c r="O353" s="5"/>
      <c r="Q353" s="178"/>
    </row>
    <row r="354" spans="12:17" ht="13">
      <c r="L354" s="5"/>
      <c r="M354" s="5"/>
      <c r="N354" s="5"/>
      <c r="O354" s="5"/>
      <c r="Q354" s="178"/>
    </row>
    <row r="355" spans="12:17" ht="13">
      <c r="L355" s="5"/>
      <c r="M355" s="5"/>
      <c r="N355" s="5"/>
      <c r="O355" s="5"/>
      <c r="Q355" s="178"/>
    </row>
    <row r="356" spans="12:17" ht="13">
      <c r="L356" s="5"/>
      <c r="M356" s="5"/>
      <c r="N356" s="5"/>
      <c r="O356" s="5"/>
      <c r="Q356" s="178"/>
    </row>
    <row r="357" spans="12:17" ht="13">
      <c r="L357" s="5"/>
      <c r="M357" s="5"/>
      <c r="N357" s="5"/>
      <c r="O357" s="5"/>
      <c r="Q357" s="178"/>
    </row>
    <row r="358" spans="12:17" ht="13">
      <c r="L358" s="5"/>
      <c r="M358" s="5"/>
      <c r="N358" s="5"/>
      <c r="O358" s="5"/>
      <c r="Q358" s="178"/>
    </row>
    <row r="359" spans="12:17" ht="13">
      <c r="L359" s="5"/>
      <c r="M359" s="5"/>
      <c r="N359" s="5"/>
      <c r="O359" s="5"/>
      <c r="Q359" s="178"/>
    </row>
    <row r="360" spans="12:17" ht="13">
      <c r="L360" s="5"/>
      <c r="M360" s="5"/>
      <c r="N360" s="5"/>
      <c r="O360" s="5"/>
      <c r="Q360" s="178"/>
    </row>
    <row r="361" spans="12:17" ht="13">
      <c r="L361" s="5"/>
      <c r="M361" s="5"/>
      <c r="N361" s="5"/>
      <c r="O361" s="5"/>
      <c r="Q361" s="178"/>
    </row>
    <row r="362" spans="12:17" ht="13">
      <c r="L362" s="5"/>
      <c r="M362" s="5"/>
      <c r="N362" s="5"/>
      <c r="O362" s="5"/>
      <c r="Q362" s="178"/>
    </row>
    <row r="363" spans="12:17" ht="13">
      <c r="L363" s="5"/>
      <c r="M363" s="5"/>
      <c r="N363" s="5"/>
      <c r="O363" s="5"/>
      <c r="Q363" s="178"/>
    </row>
    <row r="364" spans="12:17" ht="13">
      <c r="L364" s="5"/>
      <c r="M364" s="5"/>
      <c r="N364" s="5"/>
      <c r="O364" s="5"/>
      <c r="Q364" s="178"/>
    </row>
    <row r="365" spans="12:17" ht="13">
      <c r="L365" s="5"/>
      <c r="M365" s="5"/>
      <c r="N365" s="5"/>
      <c r="O365" s="5"/>
      <c r="Q365" s="178"/>
    </row>
    <row r="366" spans="12:17" ht="13">
      <c r="L366" s="5"/>
      <c r="M366" s="5"/>
      <c r="N366" s="5"/>
      <c r="O366" s="5"/>
      <c r="Q366" s="178"/>
    </row>
    <row r="367" spans="12:17" ht="13">
      <c r="L367" s="5"/>
      <c r="M367" s="5"/>
      <c r="N367" s="5"/>
      <c r="O367" s="5"/>
      <c r="Q367" s="178"/>
    </row>
    <row r="368" spans="12:17" ht="13">
      <c r="L368" s="5"/>
      <c r="M368" s="5"/>
      <c r="N368" s="5"/>
      <c r="O368" s="5"/>
      <c r="Q368" s="178"/>
    </row>
    <row r="369" spans="12:17" ht="13">
      <c r="L369" s="5"/>
      <c r="M369" s="5"/>
      <c r="N369" s="5"/>
      <c r="O369" s="5"/>
      <c r="Q369" s="178"/>
    </row>
    <row r="370" spans="12:17" ht="13">
      <c r="L370" s="5"/>
      <c r="M370" s="5"/>
      <c r="N370" s="5"/>
      <c r="O370" s="5"/>
      <c r="Q370" s="178"/>
    </row>
    <row r="371" spans="12:17" ht="13">
      <c r="L371" s="5"/>
      <c r="M371" s="5"/>
      <c r="N371" s="5"/>
      <c r="O371" s="5"/>
      <c r="Q371" s="178"/>
    </row>
    <row r="372" spans="12:17" ht="13">
      <c r="L372" s="5"/>
      <c r="M372" s="5"/>
      <c r="N372" s="5"/>
      <c r="O372" s="5"/>
      <c r="Q372" s="178"/>
    </row>
    <row r="373" spans="12:17" ht="13">
      <c r="L373" s="5"/>
      <c r="M373" s="5"/>
      <c r="N373" s="5"/>
      <c r="O373" s="5"/>
      <c r="Q373" s="178"/>
    </row>
    <row r="374" spans="12:17" ht="13">
      <c r="L374" s="5"/>
      <c r="M374" s="5"/>
      <c r="N374" s="5"/>
      <c r="O374" s="5"/>
      <c r="Q374" s="178"/>
    </row>
    <row r="375" spans="12:17" ht="13">
      <c r="L375" s="5"/>
      <c r="M375" s="5"/>
      <c r="N375" s="5"/>
      <c r="O375" s="5"/>
      <c r="Q375" s="178"/>
    </row>
    <row r="376" spans="12:17" ht="13">
      <c r="L376" s="5"/>
      <c r="M376" s="5"/>
      <c r="N376" s="5"/>
      <c r="O376" s="5"/>
      <c r="Q376" s="178"/>
    </row>
    <row r="377" spans="12:17" ht="13">
      <c r="L377" s="5"/>
      <c r="M377" s="5"/>
      <c r="N377" s="5"/>
      <c r="O377" s="5"/>
      <c r="Q377" s="178"/>
    </row>
    <row r="378" spans="12:17" ht="13">
      <c r="L378" s="5"/>
      <c r="M378" s="5"/>
      <c r="N378" s="5"/>
      <c r="O378" s="5"/>
      <c r="Q378" s="178"/>
    </row>
    <row r="379" spans="12:17" ht="13">
      <c r="L379" s="5"/>
      <c r="M379" s="5"/>
      <c r="N379" s="5"/>
      <c r="O379" s="5"/>
      <c r="Q379" s="178"/>
    </row>
    <row r="380" spans="12:17" ht="13">
      <c r="L380" s="5"/>
      <c r="M380" s="5"/>
      <c r="N380" s="5"/>
      <c r="O380" s="5"/>
      <c r="Q380" s="178"/>
    </row>
    <row r="381" spans="12:17" ht="13">
      <c r="L381" s="5"/>
      <c r="M381" s="5"/>
      <c r="N381" s="5"/>
      <c r="O381" s="5"/>
      <c r="Q381" s="178"/>
    </row>
    <row r="382" spans="12:17" ht="13">
      <c r="L382" s="5"/>
      <c r="M382" s="5"/>
      <c r="N382" s="5"/>
      <c r="O382" s="5"/>
      <c r="Q382" s="178"/>
    </row>
    <row r="383" spans="12:17" ht="13">
      <c r="L383" s="5"/>
      <c r="M383" s="5"/>
      <c r="N383" s="5"/>
      <c r="O383" s="5"/>
      <c r="Q383" s="178"/>
    </row>
    <row r="384" spans="12:17" ht="13">
      <c r="L384" s="5"/>
      <c r="M384" s="5"/>
      <c r="N384" s="5"/>
      <c r="O384" s="5"/>
      <c r="Q384" s="178"/>
    </row>
    <row r="385" spans="12:17" ht="13">
      <c r="L385" s="5"/>
      <c r="M385" s="5"/>
      <c r="N385" s="5"/>
      <c r="O385" s="5"/>
      <c r="Q385" s="178"/>
    </row>
    <row r="386" spans="12:17" ht="13">
      <c r="L386" s="5"/>
      <c r="M386" s="5"/>
      <c r="N386" s="5"/>
      <c r="O386" s="5"/>
      <c r="Q386" s="178"/>
    </row>
    <row r="387" spans="12:17" ht="13">
      <c r="L387" s="5"/>
      <c r="M387" s="5"/>
      <c r="N387" s="5"/>
      <c r="O387" s="5"/>
      <c r="Q387" s="178"/>
    </row>
    <row r="388" spans="12:17" ht="13">
      <c r="L388" s="5"/>
      <c r="M388" s="5"/>
      <c r="N388" s="5"/>
      <c r="O388" s="5"/>
      <c r="Q388" s="178"/>
    </row>
    <row r="389" spans="12:17" ht="13">
      <c r="L389" s="5"/>
      <c r="M389" s="5"/>
      <c r="N389" s="5"/>
      <c r="O389" s="5"/>
      <c r="Q389" s="178"/>
    </row>
    <row r="390" spans="12:17" ht="13">
      <c r="L390" s="5"/>
      <c r="M390" s="5"/>
      <c r="N390" s="5"/>
      <c r="O390" s="5"/>
      <c r="Q390" s="178"/>
    </row>
    <row r="391" spans="12:17" ht="13">
      <c r="L391" s="5"/>
      <c r="M391" s="5"/>
      <c r="N391" s="5"/>
      <c r="O391" s="5"/>
      <c r="Q391" s="178"/>
    </row>
    <row r="392" spans="12:17" ht="13">
      <c r="L392" s="5"/>
      <c r="M392" s="5"/>
      <c r="N392" s="5"/>
      <c r="O392" s="5"/>
      <c r="Q392" s="178"/>
    </row>
    <row r="393" spans="12:17" ht="13">
      <c r="L393" s="5"/>
      <c r="M393" s="5"/>
      <c r="N393" s="5"/>
      <c r="O393" s="5"/>
      <c r="Q393" s="178"/>
    </row>
    <row r="394" spans="12:17" ht="13">
      <c r="L394" s="5"/>
      <c r="M394" s="5"/>
      <c r="N394" s="5"/>
      <c r="O394" s="5"/>
      <c r="Q394" s="178"/>
    </row>
    <row r="395" spans="12:17" ht="13">
      <c r="L395" s="5"/>
      <c r="M395" s="5"/>
      <c r="N395" s="5"/>
      <c r="O395" s="5"/>
      <c r="Q395" s="178"/>
    </row>
    <row r="396" spans="12:17" ht="13">
      <c r="L396" s="5"/>
      <c r="M396" s="5"/>
      <c r="N396" s="5"/>
      <c r="O396" s="5"/>
      <c r="Q396" s="178"/>
    </row>
    <row r="397" spans="12:17" ht="13">
      <c r="L397" s="5"/>
      <c r="M397" s="5"/>
      <c r="N397" s="5"/>
      <c r="O397" s="5"/>
      <c r="Q397" s="178"/>
    </row>
    <row r="398" spans="12:17" ht="13">
      <c r="L398" s="5"/>
      <c r="M398" s="5"/>
      <c r="N398" s="5"/>
      <c r="O398" s="5"/>
      <c r="Q398" s="178"/>
    </row>
    <row r="399" spans="12:17" ht="13">
      <c r="L399" s="5"/>
      <c r="M399" s="5"/>
      <c r="N399" s="5"/>
      <c r="O399" s="5"/>
      <c r="Q399" s="178"/>
    </row>
    <row r="400" spans="12:17" ht="13">
      <c r="L400" s="5"/>
      <c r="M400" s="5"/>
      <c r="N400" s="5"/>
      <c r="O400" s="5"/>
      <c r="Q400" s="178"/>
    </row>
    <row r="401" spans="12:17" ht="13">
      <c r="L401" s="5"/>
      <c r="M401" s="5"/>
      <c r="N401" s="5"/>
      <c r="O401" s="5"/>
      <c r="Q401" s="178"/>
    </row>
    <row r="402" spans="12:17" ht="13">
      <c r="L402" s="5"/>
      <c r="M402" s="5"/>
      <c r="N402" s="5"/>
      <c r="O402" s="5"/>
      <c r="Q402" s="178"/>
    </row>
    <row r="403" spans="12:17" ht="13">
      <c r="L403" s="5"/>
      <c r="M403" s="5"/>
      <c r="N403" s="5"/>
      <c r="O403" s="5"/>
      <c r="Q403" s="178"/>
    </row>
    <row r="404" spans="12:17" ht="13">
      <c r="L404" s="5"/>
      <c r="M404" s="5"/>
      <c r="N404" s="5"/>
      <c r="O404" s="5"/>
      <c r="Q404" s="178"/>
    </row>
    <row r="405" spans="12:17" ht="13">
      <c r="L405" s="5"/>
      <c r="M405" s="5"/>
      <c r="N405" s="5"/>
      <c r="O405" s="5"/>
      <c r="Q405" s="178"/>
    </row>
    <row r="406" spans="12:17" ht="13">
      <c r="L406" s="5"/>
      <c r="M406" s="5"/>
      <c r="N406" s="5"/>
      <c r="O406" s="5"/>
      <c r="Q406" s="178"/>
    </row>
    <row r="407" spans="12:17" ht="13">
      <c r="L407" s="5"/>
      <c r="M407" s="5"/>
      <c r="N407" s="5"/>
      <c r="O407" s="5"/>
      <c r="Q407" s="178"/>
    </row>
    <row r="408" spans="12:17" ht="13">
      <c r="L408" s="5"/>
      <c r="M408" s="5"/>
      <c r="N408" s="5"/>
      <c r="O408" s="5"/>
      <c r="Q408" s="178"/>
    </row>
    <row r="409" spans="12:17" ht="13">
      <c r="L409" s="5"/>
      <c r="M409" s="5"/>
      <c r="N409" s="5"/>
      <c r="O409" s="5"/>
      <c r="Q409" s="178"/>
    </row>
    <row r="410" spans="12:17" ht="13">
      <c r="L410" s="5"/>
      <c r="M410" s="5"/>
      <c r="N410" s="5"/>
      <c r="O410" s="5"/>
      <c r="Q410" s="178"/>
    </row>
    <row r="411" spans="12:17" ht="13">
      <c r="L411" s="5"/>
      <c r="M411" s="5"/>
      <c r="N411" s="5"/>
      <c r="O411" s="5"/>
      <c r="Q411" s="178"/>
    </row>
    <row r="412" spans="12:17" ht="13">
      <c r="L412" s="5"/>
      <c r="M412" s="5"/>
      <c r="N412" s="5"/>
      <c r="O412" s="5"/>
      <c r="Q412" s="178"/>
    </row>
    <row r="413" spans="12:17" ht="13">
      <c r="L413" s="5"/>
      <c r="M413" s="5"/>
      <c r="N413" s="5"/>
      <c r="O413" s="5"/>
      <c r="Q413" s="178"/>
    </row>
    <row r="414" spans="12:17" ht="13">
      <c r="L414" s="5"/>
      <c r="M414" s="5"/>
      <c r="N414" s="5"/>
      <c r="O414" s="5"/>
      <c r="Q414" s="178"/>
    </row>
    <row r="415" spans="12:17" ht="13">
      <c r="L415" s="5"/>
      <c r="M415" s="5"/>
      <c r="N415" s="5"/>
      <c r="O415" s="5"/>
      <c r="Q415" s="178"/>
    </row>
    <row r="416" spans="12:17" ht="13">
      <c r="L416" s="5"/>
      <c r="M416" s="5"/>
      <c r="N416" s="5"/>
      <c r="O416" s="5"/>
      <c r="Q416" s="178"/>
    </row>
    <row r="417" spans="12:17" ht="13">
      <c r="L417" s="5"/>
      <c r="M417" s="5"/>
      <c r="N417" s="5"/>
      <c r="O417" s="5"/>
      <c r="Q417" s="178"/>
    </row>
    <row r="418" spans="12:17" ht="13">
      <c r="L418" s="5"/>
      <c r="M418" s="5"/>
      <c r="N418" s="5"/>
      <c r="O418" s="5"/>
      <c r="Q418" s="178"/>
    </row>
    <row r="419" spans="12:17" ht="13">
      <c r="L419" s="5"/>
      <c r="M419" s="5"/>
      <c r="N419" s="5"/>
      <c r="O419" s="5"/>
      <c r="Q419" s="178"/>
    </row>
    <row r="420" spans="12:17" ht="13">
      <c r="L420" s="5"/>
      <c r="M420" s="5"/>
      <c r="N420" s="5"/>
      <c r="O420" s="5"/>
      <c r="Q420" s="178"/>
    </row>
    <row r="421" spans="12:17" ht="13">
      <c r="L421" s="5"/>
      <c r="M421" s="5"/>
      <c r="N421" s="5"/>
      <c r="O421" s="5"/>
      <c r="Q421" s="178"/>
    </row>
    <row r="422" spans="12:17" ht="13">
      <c r="L422" s="5"/>
      <c r="M422" s="5"/>
      <c r="N422" s="5"/>
      <c r="O422" s="5"/>
      <c r="Q422" s="178"/>
    </row>
    <row r="423" spans="12:17" ht="13">
      <c r="L423" s="5"/>
      <c r="M423" s="5"/>
      <c r="N423" s="5"/>
      <c r="O423" s="5"/>
      <c r="Q423" s="178"/>
    </row>
    <row r="424" spans="12:17" ht="13">
      <c r="L424" s="5"/>
      <c r="M424" s="5"/>
      <c r="N424" s="5"/>
      <c r="O424" s="5"/>
      <c r="Q424" s="178"/>
    </row>
    <row r="425" spans="12:17" ht="13">
      <c r="L425" s="5"/>
      <c r="M425" s="5"/>
      <c r="N425" s="5"/>
      <c r="O425" s="5"/>
      <c r="Q425" s="178"/>
    </row>
    <row r="426" spans="12:17" ht="13">
      <c r="L426" s="5"/>
      <c r="M426" s="5"/>
      <c r="N426" s="5"/>
      <c r="O426" s="5"/>
      <c r="Q426" s="178"/>
    </row>
    <row r="427" spans="12:17" ht="13">
      <c r="L427" s="5"/>
      <c r="M427" s="5"/>
      <c r="N427" s="5"/>
      <c r="O427" s="5"/>
      <c r="Q427" s="178"/>
    </row>
    <row r="428" spans="12:17" ht="13">
      <c r="L428" s="5"/>
      <c r="M428" s="5"/>
      <c r="N428" s="5"/>
      <c r="O428" s="5"/>
      <c r="Q428" s="178"/>
    </row>
    <row r="429" spans="12:17" ht="13">
      <c r="L429" s="5"/>
      <c r="M429" s="5"/>
      <c r="N429" s="5"/>
      <c r="O429" s="5"/>
      <c r="Q429" s="178"/>
    </row>
    <row r="430" spans="12:17" ht="13">
      <c r="L430" s="5"/>
      <c r="M430" s="5"/>
      <c r="N430" s="5"/>
      <c r="O430" s="5"/>
      <c r="Q430" s="178"/>
    </row>
    <row r="431" spans="12:17" ht="13">
      <c r="L431" s="5"/>
      <c r="M431" s="5"/>
      <c r="N431" s="5"/>
      <c r="O431" s="5"/>
      <c r="Q431" s="178"/>
    </row>
    <row r="432" spans="12:17" ht="13">
      <c r="L432" s="5"/>
      <c r="M432" s="5"/>
      <c r="N432" s="5"/>
      <c r="O432" s="5"/>
      <c r="Q432" s="178"/>
    </row>
    <row r="433" spans="12:17" ht="13">
      <c r="L433" s="5"/>
      <c r="M433" s="5"/>
      <c r="N433" s="5"/>
      <c r="O433" s="5"/>
      <c r="Q433" s="178"/>
    </row>
    <row r="434" spans="12:17" ht="13">
      <c r="L434" s="5"/>
      <c r="M434" s="5"/>
      <c r="N434" s="5"/>
      <c r="O434" s="5"/>
      <c r="Q434" s="178"/>
    </row>
    <row r="435" spans="12:17" ht="13">
      <c r="L435" s="5"/>
      <c r="M435" s="5"/>
      <c r="N435" s="5"/>
      <c r="O435" s="5"/>
      <c r="Q435" s="178"/>
    </row>
    <row r="436" spans="12:17" ht="13">
      <c r="L436" s="5"/>
      <c r="M436" s="5"/>
      <c r="N436" s="5"/>
      <c r="O436" s="5"/>
      <c r="Q436" s="178"/>
    </row>
    <row r="437" spans="12:17" ht="13">
      <c r="L437" s="5"/>
      <c r="M437" s="5"/>
      <c r="N437" s="5"/>
      <c r="O437" s="5"/>
      <c r="Q437" s="178"/>
    </row>
    <row r="438" spans="12:17" ht="13">
      <c r="L438" s="5"/>
      <c r="M438" s="5"/>
      <c r="N438" s="5"/>
      <c r="O438" s="5"/>
      <c r="Q438" s="178"/>
    </row>
    <row r="439" spans="12:17" ht="13">
      <c r="L439" s="5"/>
      <c r="M439" s="5"/>
      <c r="N439" s="5"/>
      <c r="O439" s="5"/>
      <c r="Q439" s="178"/>
    </row>
    <row r="440" spans="12:17" ht="13">
      <c r="L440" s="5"/>
      <c r="M440" s="5"/>
      <c r="N440" s="5"/>
      <c r="O440" s="5"/>
      <c r="Q440" s="178"/>
    </row>
    <row r="441" spans="12:17" ht="13">
      <c r="L441" s="5"/>
      <c r="M441" s="5"/>
      <c r="N441" s="5"/>
      <c r="O441" s="5"/>
      <c r="Q441" s="178"/>
    </row>
    <row r="442" spans="12:17" ht="13">
      <c r="L442" s="5"/>
      <c r="M442" s="5"/>
      <c r="N442" s="5"/>
      <c r="O442" s="5"/>
      <c r="Q442" s="178"/>
    </row>
    <row r="443" spans="12:17" ht="13">
      <c r="L443" s="5"/>
      <c r="M443" s="5"/>
      <c r="N443" s="5"/>
      <c r="O443" s="5"/>
      <c r="Q443" s="178"/>
    </row>
    <row r="444" spans="12:17" ht="13">
      <c r="L444" s="5"/>
      <c r="M444" s="5"/>
      <c r="N444" s="5"/>
      <c r="O444" s="5"/>
      <c r="Q444" s="178"/>
    </row>
    <row r="445" spans="12:17" ht="13">
      <c r="L445" s="5"/>
      <c r="M445" s="5"/>
      <c r="N445" s="5"/>
      <c r="O445" s="5"/>
      <c r="Q445" s="178"/>
    </row>
    <row r="446" spans="12:17" ht="13">
      <c r="L446" s="5"/>
      <c r="M446" s="5"/>
      <c r="N446" s="5"/>
      <c r="O446" s="5"/>
      <c r="Q446" s="178"/>
    </row>
    <row r="447" spans="12:17" ht="13">
      <c r="L447" s="5"/>
      <c r="M447" s="5"/>
      <c r="N447" s="5"/>
      <c r="O447" s="5"/>
      <c r="Q447" s="178"/>
    </row>
    <row r="448" spans="12:17" ht="13">
      <c r="L448" s="5"/>
      <c r="M448" s="5"/>
      <c r="N448" s="5"/>
      <c r="O448" s="5"/>
      <c r="Q448" s="178"/>
    </row>
    <row r="449" spans="12:17" ht="13">
      <c r="L449" s="5"/>
      <c r="M449" s="5"/>
      <c r="N449" s="5"/>
      <c r="O449" s="5"/>
      <c r="Q449" s="178"/>
    </row>
    <row r="450" spans="12:17" ht="13">
      <c r="L450" s="5"/>
      <c r="M450" s="5"/>
      <c r="N450" s="5"/>
      <c r="O450" s="5"/>
      <c r="Q450" s="178"/>
    </row>
    <row r="451" spans="12:17" ht="13">
      <c r="L451" s="5"/>
      <c r="M451" s="5"/>
      <c r="N451" s="5"/>
      <c r="O451" s="5"/>
      <c r="Q451" s="178"/>
    </row>
    <row r="452" spans="12:17" ht="13">
      <c r="L452" s="5"/>
      <c r="M452" s="5"/>
      <c r="N452" s="5"/>
      <c r="O452" s="5"/>
      <c r="Q452" s="178"/>
    </row>
    <row r="453" spans="12:17" ht="13">
      <c r="L453" s="5"/>
      <c r="M453" s="5"/>
      <c r="N453" s="5"/>
      <c r="O453" s="5"/>
      <c r="Q453" s="178"/>
    </row>
    <row r="454" spans="12:17" ht="13">
      <c r="L454" s="5"/>
      <c r="M454" s="5"/>
      <c r="N454" s="5"/>
      <c r="O454" s="5"/>
      <c r="Q454" s="178"/>
    </row>
    <row r="455" spans="12:17" ht="13">
      <c r="L455" s="5"/>
      <c r="M455" s="5"/>
      <c r="N455" s="5"/>
      <c r="O455" s="5"/>
      <c r="Q455" s="178"/>
    </row>
    <row r="456" spans="12:17" ht="13">
      <c r="L456" s="5"/>
      <c r="M456" s="5"/>
      <c r="N456" s="5"/>
      <c r="O456" s="5"/>
      <c r="Q456" s="178"/>
    </row>
    <row r="457" spans="12:17" ht="13">
      <c r="L457" s="5"/>
      <c r="M457" s="5"/>
      <c r="N457" s="5"/>
      <c r="O457" s="5"/>
      <c r="Q457" s="178"/>
    </row>
    <row r="458" spans="12:17" ht="13">
      <c r="L458" s="5"/>
      <c r="M458" s="5"/>
      <c r="N458" s="5"/>
      <c r="O458" s="5"/>
      <c r="Q458" s="178"/>
    </row>
    <row r="459" spans="12:17" ht="13">
      <c r="L459" s="5"/>
      <c r="M459" s="5"/>
      <c r="N459" s="5"/>
      <c r="O459" s="5"/>
      <c r="Q459" s="178"/>
    </row>
    <row r="460" spans="12:17" ht="13">
      <c r="L460" s="5"/>
      <c r="M460" s="5"/>
      <c r="N460" s="5"/>
      <c r="O460" s="5"/>
      <c r="Q460" s="178"/>
    </row>
    <row r="461" spans="12:17" ht="13">
      <c r="L461" s="5"/>
      <c r="M461" s="5"/>
      <c r="N461" s="5"/>
      <c r="O461" s="5"/>
      <c r="Q461" s="178"/>
    </row>
    <row r="462" spans="12:17" ht="13">
      <c r="L462" s="5"/>
      <c r="M462" s="5"/>
      <c r="N462" s="5"/>
      <c r="O462" s="5"/>
      <c r="Q462" s="178"/>
    </row>
    <row r="463" spans="12:17" ht="13">
      <c r="L463" s="5"/>
      <c r="M463" s="5"/>
      <c r="N463" s="5"/>
      <c r="O463" s="5"/>
      <c r="Q463" s="178"/>
    </row>
    <row r="464" spans="12:17" ht="13">
      <c r="L464" s="5"/>
      <c r="M464" s="5"/>
      <c r="N464" s="5"/>
      <c r="O464" s="5"/>
      <c r="Q464" s="178"/>
    </row>
    <row r="465" spans="12:17" ht="13">
      <c r="L465" s="5"/>
      <c r="M465" s="5"/>
      <c r="N465" s="5"/>
      <c r="O465" s="5"/>
      <c r="Q465" s="178"/>
    </row>
    <row r="466" spans="12:17" ht="13">
      <c r="L466" s="5"/>
      <c r="M466" s="5"/>
      <c r="N466" s="5"/>
      <c r="O466" s="5"/>
      <c r="Q466" s="178"/>
    </row>
    <row r="467" spans="12:17" ht="13">
      <c r="L467" s="5"/>
      <c r="M467" s="5"/>
      <c r="N467" s="5"/>
      <c r="O467" s="5"/>
      <c r="Q467" s="178"/>
    </row>
    <row r="468" spans="12:17" ht="13">
      <c r="L468" s="5"/>
      <c r="M468" s="5"/>
      <c r="N468" s="5"/>
      <c r="O468" s="5"/>
      <c r="Q468" s="178"/>
    </row>
    <row r="469" spans="12:17" ht="13">
      <c r="L469" s="5"/>
      <c r="M469" s="5"/>
      <c r="N469" s="5"/>
      <c r="O469" s="5"/>
      <c r="Q469" s="178"/>
    </row>
    <row r="470" spans="12:17" ht="13">
      <c r="L470" s="5"/>
      <c r="M470" s="5"/>
      <c r="N470" s="5"/>
      <c r="O470" s="5"/>
      <c r="Q470" s="178"/>
    </row>
    <row r="471" spans="12:17" ht="13">
      <c r="L471" s="5"/>
      <c r="M471" s="5"/>
      <c r="N471" s="5"/>
      <c r="O471" s="5"/>
      <c r="Q471" s="178"/>
    </row>
    <row r="472" spans="12:17" ht="13">
      <c r="L472" s="5"/>
      <c r="M472" s="5"/>
      <c r="N472" s="5"/>
      <c r="O472" s="5"/>
      <c r="Q472" s="178"/>
    </row>
    <row r="473" spans="12:17" ht="13">
      <c r="L473" s="5"/>
      <c r="M473" s="5"/>
      <c r="N473" s="5"/>
      <c r="O473" s="5"/>
      <c r="Q473" s="178"/>
    </row>
    <row r="474" spans="12:17" ht="13">
      <c r="L474" s="5"/>
      <c r="M474" s="5"/>
      <c r="N474" s="5"/>
      <c r="O474" s="5"/>
      <c r="Q474" s="178"/>
    </row>
    <row r="475" spans="12:17" ht="13">
      <c r="L475" s="5"/>
      <c r="M475" s="5"/>
      <c r="N475" s="5"/>
      <c r="O475" s="5"/>
      <c r="Q475" s="178"/>
    </row>
    <row r="476" spans="12:17" ht="13">
      <c r="L476" s="5"/>
      <c r="M476" s="5"/>
      <c r="N476" s="5"/>
      <c r="O476" s="5"/>
      <c r="Q476" s="178"/>
    </row>
    <row r="477" spans="12:17" ht="13">
      <c r="L477" s="5"/>
      <c r="M477" s="5"/>
      <c r="N477" s="5"/>
      <c r="O477" s="5"/>
      <c r="Q477" s="178"/>
    </row>
    <row r="478" spans="12:17" ht="13">
      <c r="L478" s="5"/>
      <c r="M478" s="5"/>
      <c r="N478" s="5"/>
      <c r="O478" s="5"/>
      <c r="Q478" s="178"/>
    </row>
    <row r="479" spans="12:17" ht="13">
      <c r="L479" s="5"/>
      <c r="M479" s="5"/>
      <c r="N479" s="5"/>
      <c r="O479" s="5"/>
      <c r="Q479" s="178"/>
    </row>
    <row r="480" spans="12:17" ht="13">
      <c r="L480" s="5"/>
      <c r="M480" s="5"/>
      <c r="N480" s="5"/>
      <c r="O480" s="5"/>
      <c r="Q480" s="178"/>
    </row>
    <row r="481" spans="12:17" ht="13">
      <c r="L481" s="5"/>
      <c r="M481" s="5"/>
      <c r="N481" s="5"/>
      <c r="O481" s="5"/>
      <c r="Q481" s="178"/>
    </row>
    <row r="482" spans="12:17" ht="13">
      <c r="L482" s="5"/>
      <c r="M482" s="5"/>
      <c r="N482" s="5"/>
      <c r="O482" s="5"/>
      <c r="Q482" s="178"/>
    </row>
    <row r="483" spans="12:17" ht="13">
      <c r="L483" s="5"/>
      <c r="M483" s="5"/>
      <c r="N483" s="5"/>
      <c r="O483" s="5"/>
      <c r="Q483" s="178"/>
    </row>
    <row r="484" spans="12:17" ht="13">
      <c r="L484" s="5"/>
      <c r="M484" s="5"/>
      <c r="N484" s="5"/>
      <c r="O484" s="5"/>
      <c r="Q484" s="178"/>
    </row>
    <row r="485" spans="12:17" ht="13">
      <c r="L485" s="5"/>
      <c r="M485" s="5"/>
      <c r="N485" s="5"/>
      <c r="O485" s="5"/>
      <c r="Q485" s="178"/>
    </row>
    <row r="486" spans="12:17" ht="13">
      <c r="L486" s="5"/>
      <c r="M486" s="5"/>
      <c r="N486" s="5"/>
      <c r="O486" s="5"/>
      <c r="Q486" s="178"/>
    </row>
    <row r="487" spans="12:17" ht="13">
      <c r="L487" s="5"/>
      <c r="M487" s="5"/>
      <c r="N487" s="5"/>
      <c r="O487" s="5"/>
      <c r="Q487" s="178"/>
    </row>
    <row r="488" spans="12:17" ht="13">
      <c r="L488" s="5"/>
      <c r="M488" s="5"/>
      <c r="N488" s="5"/>
      <c r="O488" s="5"/>
      <c r="Q488" s="178"/>
    </row>
    <row r="489" spans="12:17" ht="13">
      <c r="L489" s="5"/>
      <c r="M489" s="5"/>
      <c r="N489" s="5"/>
      <c r="O489" s="5"/>
      <c r="Q489" s="178"/>
    </row>
    <row r="490" spans="12:17" ht="13">
      <c r="L490" s="5"/>
      <c r="M490" s="5"/>
      <c r="N490" s="5"/>
      <c r="O490" s="5"/>
      <c r="Q490" s="178"/>
    </row>
    <row r="491" spans="12:17" ht="13">
      <c r="L491" s="5"/>
      <c r="M491" s="5"/>
      <c r="N491" s="5"/>
      <c r="O491" s="5"/>
      <c r="Q491" s="178"/>
    </row>
    <row r="492" spans="12:17" ht="13">
      <c r="L492" s="5"/>
      <c r="M492" s="5"/>
      <c r="N492" s="5"/>
      <c r="O492" s="5"/>
      <c r="Q492" s="178"/>
    </row>
    <row r="493" spans="12:17" ht="13">
      <c r="L493" s="5"/>
      <c r="M493" s="5"/>
      <c r="N493" s="5"/>
      <c r="O493" s="5"/>
      <c r="Q493" s="178"/>
    </row>
    <row r="494" spans="12:17" ht="13">
      <c r="L494" s="5"/>
      <c r="M494" s="5"/>
      <c r="N494" s="5"/>
      <c r="O494" s="5"/>
      <c r="Q494" s="178"/>
    </row>
    <row r="495" spans="12:17" ht="13">
      <c r="L495" s="5"/>
      <c r="M495" s="5"/>
      <c r="N495" s="5"/>
      <c r="O495" s="5"/>
      <c r="Q495" s="178"/>
    </row>
    <row r="496" spans="12:17" ht="13">
      <c r="L496" s="5"/>
      <c r="M496" s="5"/>
      <c r="N496" s="5"/>
      <c r="O496" s="5"/>
      <c r="Q496" s="178"/>
    </row>
    <row r="497" spans="12:17" ht="13">
      <c r="L497" s="5"/>
      <c r="M497" s="5"/>
      <c r="N497" s="5"/>
      <c r="O497" s="5"/>
      <c r="Q497" s="178"/>
    </row>
    <row r="498" spans="12:17" ht="13">
      <c r="L498" s="5"/>
      <c r="M498" s="5"/>
      <c r="N498" s="5"/>
      <c r="O498" s="5"/>
      <c r="Q498" s="178"/>
    </row>
    <row r="499" spans="12:17" ht="13">
      <c r="L499" s="5"/>
      <c r="M499" s="5"/>
      <c r="N499" s="5"/>
      <c r="O499" s="5"/>
      <c r="Q499" s="178"/>
    </row>
    <row r="500" spans="12:17" ht="13">
      <c r="L500" s="5"/>
      <c r="M500" s="5"/>
      <c r="N500" s="5"/>
      <c r="O500" s="5"/>
      <c r="Q500" s="178"/>
    </row>
    <row r="501" spans="12:17" ht="13">
      <c r="L501" s="5"/>
      <c r="M501" s="5"/>
      <c r="N501" s="5"/>
      <c r="O501" s="5"/>
      <c r="Q501" s="178"/>
    </row>
    <row r="502" spans="12:17" ht="13">
      <c r="L502" s="5"/>
      <c r="M502" s="5"/>
      <c r="N502" s="5"/>
      <c r="O502" s="5"/>
      <c r="Q502" s="178"/>
    </row>
    <row r="503" spans="12:17" ht="13">
      <c r="L503" s="5"/>
      <c r="M503" s="5"/>
      <c r="N503" s="5"/>
      <c r="O503" s="5"/>
      <c r="Q503" s="178"/>
    </row>
    <row r="504" spans="12:17" ht="13">
      <c r="L504" s="5"/>
      <c r="M504" s="5"/>
      <c r="N504" s="5"/>
      <c r="O504" s="5"/>
      <c r="Q504" s="178"/>
    </row>
    <row r="505" spans="12:17" ht="13">
      <c r="L505" s="5"/>
      <c r="M505" s="5"/>
      <c r="N505" s="5"/>
      <c r="O505" s="5"/>
      <c r="Q505" s="178"/>
    </row>
    <row r="506" spans="12:17" ht="13">
      <c r="L506" s="5"/>
      <c r="M506" s="5"/>
      <c r="N506" s="5"/>
      <c r="O506" s="5"/>
      <c r="Q506" s="178"/>
    </row>
    <row r="507" spans="12:17" ht="13">
      <c r="L507" s="5"/>
      <c r="M507" s="5"/>
      <c r="N507" s="5"/>
      <c r="O507" s="5"/>
      <c r="Q507" s="178"/>
    </row>
    <row r="508" spans="12:17" ht="13">
      <c r="L508" s="5"/>
      <c r="M508" s="5"/>
      <c r="N508" s="5"/>
      <c r="O508" s="5"/>
      <c r="Q508" s="178"/>
    </row>
    <row r="509" spans="12:17" ht="13">
      <c r="L509" s="5"/>
      <c r="M509" s="5"/>
      <c r="N509" s="5"/>
      <c r="O509" s="5"/>
      <c r="Q509" s="178"/>
    </row>
    <row r="510" spans="12:17" ht="13">
      <c r="L510" s="5"/>
      <c r="M510" s="5"/>
      <c r="N510" s="5"/>
      <c r="O510" s="5"/>
      <c r="Q510" s="178"/>
    </row>
    <row r="511" spans="12:17" ht="13">
      <c r="L511" s="5"/>
      <c r="M511" s="5"/>
      <c r="N511" s="5"/>
      <c r="O511" s="5"/>
      <c r="Q511" s="178"/>
    </row>
    <row r="512" spans="12:17" ht="13">
      <c r="L512" s="5"/>
      <c r="M512" s="5"/>
      <c r="N512" s="5"/>
      <c r="O512" s="5"/>
      <c r="Q512" s="178"/>
    </row>
    <row r="513" spans="12:17" ht="13">
      <c r="L513" s="5"/>
      <c r="M513" s="5"/>
      <c r="N513" s="5"/>
      <c r="O513" s="5"/>
      <c r="Q513" s="178"/>
    </row>
    <row r="514" spans="12:17" ht="13">
      <c r="L514" s="5"/>
      <c r="M514" s="5"/>
      <c r="N514" s="5"/>
      <c r="O514" s="5"/>
      <c r="Q514" s="178"/>
    </row>
    <row r="515" spans="12:17" ht="13">
      <c r="L515" s="5"/>
      <c r="M515" s="5"/>
      <c r="N515" s="5"/>
      <c r="O515" s="5"/>
      <c r="Q515" s="178"/>
    </row>
    <row r="516" spans="12:17" ht="13">
      <c r="L516" s="5"/>
      <c r="M516" s="5"/>
      <c r="N516" s="5"/>
      <c r="O516" s="5"/>
      <c r="Q516" s="178"/>
    </row>
    <row r="517" spans="12:17" ht="13">
      <c r="L517" s="5"/>
      <c r="M517" s="5"/>
      <c r="N517" s="5"/>
      <c r="O517" s="5"/>
      <c r="Q517" s="178"/>
    </row>
    <row r="518" spans="12:17" ht="13">
      <c r="L518" s="5"/>
      <c r="M518" s="5"/>
      <c r="N518" s="5"/>
      <c r="O518" s="5"/>
      <c r="Q518" s="178"/>
    </row>
    <row r="519" spans="12:17" ht="13">
      <c r="L519" s="5"/>
      <c r="M519" s="5"/>
      <c r="N519" s="5"/>
      <c r="O519" s="5"/>
      <c r="Q519" s="178"/>
    </row>
    <row r="520" spans="12:17" ht="13">
      <c r="L520" s="5"/>
      <c r="M520" s="5"/>
      <c r="N520" s="5"/>
      <c r="O520" s="5"/>
      <c r="Q520" s="178"/>
    </row>
    <row r="521" spans="12:17" ht="13">
      <c r="L521" s="5"/>
      <c r="M521" s="5"/>
      <c r="N521" s="5"/>
      <c r="O521" s="5"/>
      <c r="Q521" s="178"/>
    </row>
    <row r="522" spans="12:17" ht="13">
      <c r="L522" s="5"/>
      <c r="M522" s="5"/>
      <c r="N522" s="5"/>
      <c r="O522" s="5"/>
      <c r="Q522" s="178"/>
    </row>
    <row r="523" spans="12:17" ht="13">
      <c r="L523" s="5"/>
      <c r="M523" s="5"/>
      <c r="N523" s="5"/>
      <c r="O523" s="5"/>
      <c r="Q523" s="178"/>
    </row>
    <row r="524" spans="12:17" ht="13">
      <c r="L524" s="5"/>
      <c r="M524" s="5"/>
      <c r="N524" s="5"/>
      <c r="O524" s="5"/>
      <c r="Q524" s="178"/>
    </row>
    <row r="525" spans="12:17" ht="13">
      <c r="L525" s="5"/>
      <c r="M525" s="5"/>
      <c r="N525" s="5"/>
      <c r="O525" s="5"/>
      <c r="Q525" s="178"/>
    </row>
    <row r="526" spans="12:17" ht="13">
      <c r="L526" s="5"/>
      <c r="M526" s="5"/>
      <c r="N526" s="5"/>
      <c r="O526" s="5"/>
      <c r="Q526" s="178"/>
    </row>
    <row r="527" spans="12:17" ht="13">
      <c r="L527" s="5"/>
      <c r="M527" s="5"/>
      <c r="N527" s="5"/>
      <c r="O527" s="5"/>
      <c r="Q527" s="178"/>
    </row>
    <row r="528" spans="12:17" ht="13">
      <c r="L528" s="5"/>
      <c r="M528" s="5"/>
      <c r="N528" s="5"/>
      <c r="O528" s="5"/>
      <c r="Q528" s="178"/>
    </row>
    <row r="529" spans="12:17" ht="13">
      <c r="L529" s="5"/>
      <c r="M529" s="5"/>
      <c r="N529" s="5"/>
      <c r="O529" s="5"/>
      <c r="Q529" s="178"/>
    </row>
    <row r="530" spans="12:17" ht="13">
      <c r="L530" s="5"/>
      <c r="M530" s="5"/>
      <c r="N530" s="5"/>
      <c r="O530" s="5"/>
      <c r="Q530" s="178"/>
    </row>
    <row r="531" spans="12:17" ht="13">
      <c r="L531" s="5"/>
      <c r="M531" s="5"/>
      <c r="N531" s="5"/>
      <c r="O531" s="5"/>
      <c r="Q531" s="178"/>
    </row>
    <row r="532" spans="12:17" ht="13">
      <c r="L532" s="5"/>
      <c r="M532" s="5"/>
      <c r="N532" s="5"/>
      <c r="O532" s="5"/>
      <c r="Q532" s="178"/>
    </row>
    <row r="533" spans="12:17" ht="13">
      <c r="L533" s="5"/>
      <c r="M533" s="5"/>
      <c r="N533" s="5"/>
      <c r="O533" s="5"/>
      <c r="Q533" s="178"/>
    </row>
    <row r="534" spans="12:17" ht="13">
      <c r="L534" s="5"/>
      <c r="M534" s="5"/>
      <c r="N534" s="5"/>
      <c r="O534" s="5"/>
      <c r="Q534" s="178"/>
    </row>
    <row r="535" spans="12:17" ht="13">
      <c r="L535" s="5"/>
      <c r="M535" s="5"/>
      <c r="N535" s="5"/>
      <c r="O535" s="5"/>
      <c r="Q535" s="178"/>
    </row>
    <row r="536" spans="12:17" ht="13">
      <c r="L536" s="5"/>
      <c r="M536" s="5"/>
      <c r="N536" s="5"/>
      <c r="O536" s="5"/>
      <c r="Q536" s="178"/>
    </row>
    <row r="537" spans="12:17" ht="13">
      <c r="L537" s="5"/>
      <c r="M537" s="5"/>
      <c r="N537" s="5"/>
      <c r="O537" s="5"/>
      <c r="Q537" s="178"/>
    </row>
    <row r="538" spans="12:17" ht="13">
      <c r="L538" s="5"/>
      <c r="M538" s="5"/>
      <c r="N538" s="5"/>
      <c r="O538" s="5"/>
      <c r="Q538" s="178"/>
    </row>
    <row r="539" spans="12:17" ht="13">
      <c r="L539" s="5"/>
      <c r="M539" s="5"/>
      <c r="N539" s="5"/>
      <c r="O539" s="5"/>
      <c r="Q539" s="178"/>
    </row>
    <row r="540" spans="12:17" ht="13">
      <c r="L540" s="5"/>
      <c r="M540" s="5"/>
      <c r="N540" s="5"/>
      <c r="O540" s="5"/>
      <c r="Q540" s="178"/>
    </row>
    <row r="541" spans="12:17" ht="13">
      <c r="L541" s="5"/>
      <c r="M541" s="5"/>
      <c r="N541" s="5"/>
      <c r="O541" s="5"/>
      <c r="Q541" s="178"/>
    </row>
    <row r="542" spans="12:17" ht="13">
      <c r="L542" s="5"/>
      <c r="M542" s="5"/>
      <c r="N542" s="5"/>
      <c r="O542" s="5"/>
      <c r="Q542" s="178"/>
    </row>
    <row r="543" spans="12:17" ht="13">
      <c r="L543" s="5"/>
      <c r="M543" s="5"/>
      <c r="N543" s="5"/>
      <c r="O543" s="5"/>
      <c r="Q543" s="178"/>
    </row>
    <row r="544" spans="12:17" ht="13">
      <c r="L544" s="5"/>
      <c r="M544" s="5"/>
      <c r="N544" s="5"/>
      <c r="O544" s="5"/>
      <c r="Q544" s="178"/>
    </row>
    <row r="545" spans="12:17" ht="13">
      <c r="L545" s="5"/>
      <c r="M545" s="5"/>
      <c r="N545" s="5"/>
      <c r="O545" s="5"/>
      <c r="Q545" s="178"/>
    </row>
    <row r="546" spans="12:17" ht="13">
      <c r="L546" s="5"/>
      <c r="M546" s="5"/>
      <c r="N546" s="5"/>
      <c r="O546" s="5"/>
      <c r="Q546" s="178"/>
    </row>
    <row r="547" spans="12:17" ht="13">
      <c r="L547" s="5"/>
      <c r="M547" s="5"/>
      <c r="N547" s="5"/>
      <c r="O547" s="5"/>
      <c r="Q547" s="178"/>
    </row>
    <row r="548" spans="12:17" ht="13">
      <c r="L548" s="5"/>
      <c r="M548" s="5"/>
      <c r="N548" s="5"/>
      <c r="O548" s="5"/>
      <c r="Q548" s="178"/>
    </row>
    <row r="549" spans="12:17" ht="13">
      <c r="L549" s="5"/>
      <c r="M549" s="5"/>
      <c r="N549" s="5"/>
      <c r="O549" s="5"/>
      <c r="Q549" s="178"/>
    </row>
    <row r="550" spans="12:17" ht="13">
      <c r="L550" s="5"/>
      <c r="M550" s="5"/>
      <c r="N550" s="5"/>
      <c r="O550" s="5"/>
      <c r="Q550" s="178"/>
    </row>
    <row r="551" spans="12:17" ht="13">
      <c r="L551" s="5"/>
      <c r="M551" s="5"/>
      <c r="N551" s="5"/>
      <c r="O551" s="5"/>
      <c r="Q551" s="178"/>
    </row>
    <row r="552" spans="12:17" ht="13">
      <c r="L552" s="5"/>
      <c r="M552" s="5"/>
      <c r="N552" s="5"/>
      <c r="O552" s="5"/>
      <c r="Q552" s="178"/>
    </row>
    <row r="553" spans="12:17" ht="13">
      <c r="L553" s="5"/>
      <c r="M553" s="5"/>
      <c r="N553" s="5"/>
      <c r="O553" s="5"/>
      <c r="Q553" s="178"/>
    </row>
    <row r="554" spans="12:17" ht="13">
      <c r="L554" s="5"/>
      <c r="M554" s="5"/>
      <c r="N554" s="5"/>
      <c r="O554" s="5"/>
      <c r="Q554" s="178"/>
    </row>
    <row r="555" spans="12:17" ht="13">
      <c r="L555" s="5"/>
      <c r="M555" s="5"/>
      <c r="N555" s="5"/>
      <c r="O555" s="5"/>
      <c r="Q555" s="178"/>
    </row>
    <row r="556" spans="12:17" ht="13">
      <c r="L556" s="5"/>
      <c r="M556" s="5"/>
      <c r="N556" s="5"/>
      <c r="O556" s="5"/>
      <c r="Q556" s="178"/>
    </row>
    <row r="557" spans="12:17" ht="13">
      <c r="L557" s="5"/>
      <c r="M557" s="5"/>
      <c r="N557" s="5"/>
      <c r="O557" s="5"/>
      <c r="Q557" s="178"/>
    </row>
    <row r="558" spans="12:17" ht="13">
      <c r="L558" s="5"/>
      <c r="M558" s="5"/>
      <c r="N558" s="5"/>
      <c r="O558" s="5"/>
      <c r="Q558" s="178"/>
    </row>
    <row r="559" spans="12:17" ht="13">
      <c r="L559" s="5"/>
      <c r="M559" s="5"/>
      <c r="N559" s="5"/>
      <c r="O559" s="5"/>
      <c r="Q559" s="178"/>
    </row>
    <row r="560" spans="12:17" ht="13">
      <c r="L560" s="5"/>
      <c r="M560" s="5"/>
      <c r="N560" s="5"/>
      <c r="O560" s="5"/>
      <c r="Q560" s="178"/>
    </row>
    <row r="561" spans="12:17" ht="13">
      <c r="L561" s="5"/>
      <c r="M561" s="5"/>
      <c r="N561" s="5"/>
      <c r="O561" s="5"/>
      <c r="Q561" s="178"/>
    </row>
    <row r="562" spans="12:17" ht="13">
      <c r="L562" s="5"/>
      <c r="M562" s="5"/>
      <c r="N562" s="5"/>
      <c r="O562" s="5"/>
      <c r="Q562" s="178"/>
    </row>
    <row r="563" spans="12:17" ht="13">
      <c r="L563" s="5"/>
      <c r="M563" s="5"/>
      <c r="N563" s="5"/>
      <c r="O563" s="5"/>
      <c r="Q563" s="178"/>
    </row>
    <row r="564" spans="12:17" ht="13">
      <c r="L564" s="5"/>
      <c r="M564" s="5"/>
      <c r="N564" s="5"/>
      <c r="O564" s="5"/>
      <c r="Q564" s="178"/>
    </row>
    <row r="565" spans="12:17" ht="13">
      <c r="L565" s="5"/>
      <c r="M565" s="5"/>
      <c r="N565" s="5"/>
      <c r="O565" s="5"/>
      <c r="Q565" s="178"/>
    </row>
    <row r="566" spans="12:17" ht="13">
      <c r="L566" s="5"/>
      <c r="M566" s="5"/>
      <c r="N566" s="5"/>
      <c r="O566" s="5"/>
      <c r="Q566" s="178"/>
    </row>
    <row r="567" spans="12:17" ht="13">
      <c r="L567" s="5"/>
      <c r="M567" s="5"/>
      <c r="N567" s="5"/>
      <c r="O567" s="5"/>
      <c r="Q567" s="178"/>
    </row>
    <row r="568" spans="12:17" ht="13">
      <c r="L568" s="5"/>
      <c r="M568" s="5"/>
      <c r="N568" s="5"/>
      <c r="O568" s="5"/>
      <c r="Q568" s="178"/>
    </row>
    <row r="569" spans="12:17" ht="13">
      <c r="L569" s="5"/>
      <c r="M569" s="5"/>
      <c r="N569" s="5"/>
      <c r="O569" s="5"/>
      <c r="Q569" s="178"/>
    </row>
    <row r="570" spans="12:17" ht="13">
      <c r="L570" s="5"/>
      <c r="M570" s="5"/>
      <c r="N570" s="5"/>
      <c r="O570" s="5"/>
      <c r="Q570" s="178"/>
    </row>
    <row r="571" spans="12:17" ht="13">
      <c r="L571" s="5"/>
      <c r="M571" s="5"/>
      <c r="N571" s="5"/>
      <c r="O571" s="5"/>
      <c r="Q571" s="178"/>
    </row>
    <row r="572" spans="12:17" ht="13">
      <c r="L572" s="5"/>
      <c r="M572" s="5"/>
      <c r="N572" s="5"/>
      <c r="O572" s="5"/>
      <c r="Q572" s="178"/>
    </row>
    <row r="573" spans="12:17" ht="13">
      <c r="L573" s="5"/>
      <c r="M573" s="5"/>
      <c r="N573" s="5"/>
      <c r="O573" s="5"/>
      <c r="Q573" s="178"/>
    </row>
    <row r="574" spans="12:17" ht="13">
      <c r="L574" s="5"/>
      <c r="M574" s="5"/>
      <c r="N574" s="5"/>
      <c r="O574" s="5"/>
      <c r="Q574" s="178"/>
    </row>
    <row r="575" spans="12:17" ht="13">
      <c r="L575" s="5"/>
      <c r="M575" s="5"/>
      <c r="N575" s="5"/>
      <c r="O575" s="5"/>
      <c r="Q575" s="178"/>
    </row>
    <row r="576" spans="12:17" ht="13">
      <c r="L576" s="5"/>
      <c r="M576" s="5"/>
      <c r="N576" s="5"/>
      <c r="O576" s="5"/>
      <c r="Q576" s="178"/>
    </row>
    <row r="577" spans="12:17" ht="13">
      <c r="L577" s="5"/>
      <c r="M577" s="5"/>
      <c r="N577" s="5"/>
      <c r="O577" s="5"/>
      <c r="Q577" s="178"/>
    </row>
    <row r="578" spans="12:17" ht="13">
      <c r="L578" s="5"/>
      <c r="M578" s="5"/>
      <c r="N578" s="5"/>
      <c r="O578" s="5"/>
      <c r="Q578" s="178"/>
    </row>
    <row r="579" spans="12:17" ht="13">
      <c r="L579" s="5"/>
      <c r="M579" s="5"/>
      <c r="N579" s="5"/>
      <c r="O579" s="5"/>
      <c r="Q579" s="178"/>
    </row>
    <row r="580" spans="12:17" ht="13">
      <c r="L580" s="5"/>
      <c r="M580" s="5"/>
      <c r="N580" s="5"/>
      <c r="O580" s="5"/>
      <c r="Q580" s="178"/>
    </row>
    <row r="581" spans="12:17" ht="13">
      <c r="L581" s="5"/>
      <c r="M581" s="5"/>
      <c r="N581" s="5"/>
      <c r="O581" s="5"/>
      <c r="Q581" s="178"/>
    </row>
    <row r="582" spans="12:17" ht="13">
      <c r="L582" s="5"/>
      <c r="M582" s="5"/>
      <c r="N582" s="5"/>
      <c r="O582" s="5"/>
      <c r="Q582" s="178"/>
    </row>
    <row r="583" spans="12:17" ht="13">
      <c r="L583" s="5"/>
      <c r="M583" s="5"/>
      <c r="N583" s="5"/>
      <c r="O583" s="5"/>
      <c r="Q583" s="178"/>
    </row>
    <row r="584" spans="12:17" ht="13">
      <c r="L584" s="5"/>
      <c r="M584" s="5"/>
      <c r="N584" s="5"/>
      <c r="O584" s="5"/>
      <c r="Q584" s="178"/>
    </row>
    <row r="585" spans="12:17" ht="13">
      <c r="L585" s="5"/>
      <c r="M585" s="5"/>
      <c r="N585" s="5"/>
      <c r="O585" s="5"/>
      <c r="Q585" s="178"/>
    </row>
    <row r="586" spans="12:17" ht="13">
      <c r="L586" s="5"/>
      <c r="M586" s="5"/>
      <c r="N586" s="5"/>
      <c r="O586" s="5"/>
      <c r="Q586" s="178"/>
    </row>
    <row r="587" spans="12:17" ht="13">
      <c r="L587" s="5"/>
      <c r="M587" s="5"/>
      <c r="N587" s="5"/>
      <c r="O587" s="5"/>
      <c r="Q587" s="178"/>
    </row>
    <row r="588" spans="12:17" ht="13">
      <c r="L588" s="5"/>
      <c r="M588" s="5"/>
      <c r="N588" s="5"/>
      <c r="O588" s="5"/>
      <c r="Q588" s="178"/>
    </row>
    <row r="589" spans="12:17" ht="13">
      <c r="L589" s="5"/>
      <c r="M589" s="5"/>
      <c r="N589" s="5"/>
      <c r="O589" s="5"/>
      <c r="Q589" s="178"/>
    </row>
    <row r="590" spans="12:17" ht="13">
      <c r="L590" s="5"/>
      <c r="M590" s="5"/>
      <c r="N590" s="5"/>
      <c r="O590" s="5"/>
      <c r="Q590" s="178"/>
    </row>
    <row r="591" spans="12:17" ht="13">
      <c r="L591" s="5"/>
      <c r="M591" s="5"/>
      <c r="N591" s="5"/>
      <c r="O591" s="5"/>
      <c r="Q591" s="178"/>
    </row>
    <row r="592" spans="12:17" ht="13">
      <c r="L592" s="5"/>
      <c r="M592" s="5"/>
      <c r="N592" s="5"/>
      <c r="O592" s="5"/>
      <c r="Q592" s="178"/>
    </row>
    <row r="593" spans="12:17" ht="13">
      <c r="L593" s="5"/>
      <c r="M593" s="5"/>
      <c r="N593" s="5"/>
      <c r="O593" s="5"/>
      <c r="Q593" s="178"/>
    </row>
    <row r="594" spans="12:17" ht="13">
      <c r="L594" s="5"/>
      <c r="M594" s="5"/>
      <c r="N594" s="5"/>
      <c r="O594" s="5"/>
      <c r="Q594" s="178"/>
    </row>
    <row r="595" spans="12:17" ht="13">
      <c r="L595" s="5"/>
      <c r="M595" s="5"/>
      <c r="N595" s="5"/>
      <c r="O595" s="5"/>
      <c r="Q595" s="178"/>
    </row>
    <row r="596" spans="12:17" ht="13">
      <c r="L596" s="5"/>
      <c r="M596" s="5"/>
      <c r="N596" s="5"/>
      <c r="O596" s="5"/>
      <c r="Q596" s="178"/>
    </row>
    <row r="597" spans="12:17" ht="13">
      <c r="L597" s="5"/>
      <c r="M597" s="5"/>
      <c r="N597" s="5"/>
      <c r="O597" s="5"/>
      <c r="Q597" s="178"/>
    </row>
    <row r="598" spans="12:17" ht="13">
      <c r="L598" s="5"/>
      <c r="M598" s="5"/>
      <c r="N598" s="5"/>
      <c r="O598" s="5"/>
      <c r="Q598" s="178"/>
    </row>
    <row r="599" spans="12:17" ht="13">
      <c r="L599" s="5"/>
      <c r="M599" s="5"/>
      <c r="N599" s="5"/>
      <c r="O599" s="5"/>
      <c r="Q599" s="178"/>
    </row>
    <row r="600" spans="12:17" ht="13">
      <c r="L600" s="5"/>
      <c r="M600" s="5"/>
      <c r="N600" s="5"/>
      <c r="O600" s="5"/>
      <c r="Q600" s="178"/>
    </row>
    <row r="601" spans="12:17" ht="13">
      <c r="L601" s="5"/>
      <c r="M601" s="5"/>
      <c r="N601" s="5"/>
      <c r="O601" s="5"/>
      <c r="Q601" s="178"/>
    </row>
    <row r="602" spans="12:17" ht="13">
      <c r="L602" s="5"/>
      <c r="M602" s="5"/>
      <c r="N602" s="5"/>
      <c r="O602" s="5"/>
      <c r="Q602" s="178"/>
    </row>
    <row r="603" spans="12:17" ht="13">
      <c r="L603" s="5"/>
      <c r="M603" s="5"/>
      <c r="N603" s="5"/>
      <c r="O603" s="5"/>
      <c r="Q603" s="178"/>
    </row>
    <row r="604" spans="12:17" ht="13">
      <c r="L604" s="5"/>
      <c r="M604" s="5"/>
      <c r="N604" s="5"/>
      <c r="O604" s="5"/>
      <c r="Q604" s="178"/>
    </row>
    <row r="605" spans="12:17" ht="13">
      <c r="L605" s="5"/>
      <c r="M605" s="5"/>
      <c r="N605" s="5"/>
      <c r="O605" s="5"/>
      <c r="Q605" s="178"/>
    </row>
    <row r="606" spans="12:17" ht="13">
      <c r="L606" s="5"/>
      <c r="M606" s="5"/>
      <c r="N606" s="5"/>
      <c r="O606" s="5"/>
      <c r="Q606" s="178"/>
    </row>
    <row r="607" spans="12:17" ht="13">
      <c r="L607" s="5"/>
      <c r="M607" s="5"/>
      <c r="N607" s="5"/>
      <c r="O607" s="5"/>
      <c r="Q607" s="178"/>
    </row>
    <row r="608" spans="12:17" ht="13">
      <c r="L608" s="5"/>
      <c r="M608" s="5"/>
      <c r="N608" s="5"/>
      <c r="O608" s="5"/>
      <c r="Q608" s="178"/>
    </row>
    <row r="609" spans="12:17" ht="13">
      <c r="L609" s="5"/>
      <c r="M609" s="5"/>
      <c r="N609" s="5"/>
      <c r="O609" s="5"/>
      <c r="Q609" s="178"/>
    </row>
    <row r="610" spans="12:17" ht="13">
      <c r="L610" s="5"/>
      <c r="M610" s="5"/>
      <c r="N610" s="5"/>
      <c r="O610" s="5"/>
      <c r="Q610" s="178"/>
    </row>
    <row r="611" spans="12:17" ht="13">
      <c r="L611" s="5"/>
      <c r="M611" s="5"/>
      <c r="N611" s="5"/>
      <c r="O611" s="5"/>
      <c r="Q611" s="178"/>
    </row>
    <row r="612" spans="12:17" ht="13">
      <c r="L612" s="5"/>
      <c r="M612" s="5"/>
      <c r="N612" s="5"/>
      <c r="O612" s="5"/>
      <c r="Q612" s="178"/>
    </row>
    <row r="613" spans="12:17" ht="13">
      <c r="L613" s="5"/>
      <c r="M613" s="5"/>
      <c r="N613" s="5"/>
      <c r="O613" s="5"/>
      <c r="Q613" s="178"/>
    </row>
    <row r="614" spans="12:17" ht="13">
      <c r="L614" s="5"/>
      <c r="M614" s="5"/>
      <c r="N614" s="5"/>
      <c r="O614" s="5"/>
      <c r="Q614" s="178"/>
    </row>
    <row r="615" spans="12:17" ht="13">
      <c r="L615" s="5"/>
      <c r="M615" s="5"/>
      <c r="N615" s="5"/>
      <c r="O615" s="5"/>
      <c r="Q615" s="178"/>
    </row>
    <row r="616" spans="12:17" ht="13">
      <c r="L616" s="5"/>
      <c r="M616" s="5"/>
      <c r="N616" s="5"/>
      <c r="O616" s="5"/>
      <c r="Q616" s="178"/>
    </row>
    <row r="617" spans="12:17" ht="13">
      <c r="L617" s="5"/>
      <c r="M617" s="5"/>
      <c r="N617" s="5"/>
      <c r="O617" s="5"/>
      <c r="Q617" s="178"/>
    </row>
    <row r="618" spans="12:17" ht="13">
      <c r="L618" s="5"/>
      <c r="M618" s="5"/>
      <c r="N618" s="5"/>
      <c r="O618" s="5"/>
      <c r="Q618" s="178"/>
    </row>
    <row r="619" spans="12:17" ht="13">
      <c r="L619" s="5"/>
      <c r="M619" s="5"/>
      <c r="N619" s="5"/>
      <c r="O619" s="5"/>
      <c r="Q619" s="178"/>
    </row>
    <row r="620" spans="12:17" ht="13">
      <c r="L620" s="5"/>
      <c r="M620" s="5"/>
      <c r="N620" s="5"/>
      <c r="O620" s="5"/>
      <c r="Q620" s="178"/>
    </row>
    <row r="621" spans="12:17" ht="13">
      <c r="L621" s="5"/>
      <c r="M621" s="5"/>
      <c r="N621" s="5"/>
      <c r="O621" s="5"/>
      <c r="Q621" s="178"/>
    </row>
    <row r="622" spans="12:17" ht="13">
      <c r="L622" s="5"/>
      <c r="M622" s="5"/>
      <c r="N622" s="5"/>
      <c r="O622" s="5"/>
      <c r="Q622" s="178"/>
    </row>
    <row r="623" spans="12:17" ht="13">
      <c r="L623" s="5"/>
      <c r="M623" s="5"/>
      <c r="N623" s="5"/>
      <c r="O623" s="5"/>
      <c r="Q623" s="178"/>
    </row>
    <row r="624" spans="12:17" ht="13">
      <c r="L624" s="5"/>
      <c r="M624" s="5"/>
      <c r="N624" s="5"/>
      <c r="O624" s="5"/>
      <c r="Q624" s="178"/>
    </row>
    <row r="625" spans="12:17" ht="13">
      <c r="L625" s="5"/>
      <c r="M625" s="5"/>
      <c r="N625" s="5"/>
      <c r="O625" s="5"/>
      <c r="Q625" s="178"/>
    </row>
    <row r="626" spans="12:17" ht="13">
      <c r="L626" s="5"/>
      <c r="M626" s="5"/>
      <c r="N626" s="5"/>
      <c r="O626" s="5"/>
      <c r="Q626" s="178"/>
    </row>
    <row r="627" spans="12:17" ht="13">
      <c r="L627" s="5"/>
      <c r="M627" s="5"/>
      <c r="N627" s="5"/>
      <c r="O627" s="5"/>
      <c r="Q627" s="178"/>
    </row>
    <row r="628" spans="12:17" ht="13">
      <c r="L628" s="5"/>
      <c r="M628" s="5"/>
      <c r="N628" s="5"/>
      <c r="O628" s="5"/>
      <c r="Q628" s="178"/>
    </row>
    <row r="629" spans="12:17" ht="13">
      <c r="L629" s="5"/>
      <c r="M629" s="5"/>
      <c r="N629" s="5"/>
      <c r="O629" s="5"/>
      <c r="Q629" s="178"/>
    </row>
    <row r="630" spans="12:17" ht="13">
      <c r="L630" s="5"/>
      <c r="M630" s="5"/>
      <c r="N630" s="5"/>
      <c r="O630" s="5"/>
      <c r="Q630" s="178"/>
    </row>
    <row r="631" spans="12:17" ht="13">
      <c r="L631" s="5"/>
      <c r="M631" s="5"/>
      <c r="N631" s="5"/>
      <c r="O631" s="5"/>
      <c r="Q631" s="178"/>
    </row>
    <row r="632" spans="12:17" ht="13">
      <c r="L632" s="5"/>
      <c r="M632" s="5"/>
      <c r="N632" s="5"/>
      <c r="O632" s="5"/>
      <c r="Q632" s="178"/>
    </row>
    <row r="633" spans="12:17" ht="13">
      <c r="L633" s="5"/>
      <c r="M633" s="5"/>
      <c r="N633" s="5"/>
      <c r="O633" s="5"/>
      <c r="Q633" s="178"/>
    </row>
    <row r="634" spans="12:17" ht="13">
      <c r="L634" s="5"/>
      <c r="M634" s="5"/>
      <c r="N634" s="5"/>
      <c r="O634" s="5"/>
      <c r="Q634" s="178"/>
    </row>
    <row r="635" spans="12:17" ht="13">
      <c r="L635" s="5"/>
      <c r="M635" s="5"/>
      <c r="N635" s="5"/>
      <c r="O635" s="5"/>
      <c r="Q635" s="178"/>
    </row>
    <row r="636" spans="12:17" ht="13">
      <c r="L636" s="5"/>
      <c r="M636" s="5"/>
      <c r="N636" s="5"/>
      <c r="O636" s="5"/>
      <c r="Q636" s="178"/>
    </row>
    <row r="637" spans="12:17" ht="13">
      <c r="L637" s="5"/>
      <c r="M637" s="5"/>
      <c r="N637" s="5"/>
      <c r="O637" s="5"/>
      <c r="Q637" s="178"/>
    </row>
    <row r="638" spans="12:17" ht="13">
      <c r="L638" s="5"/>
      <c r="M638" s="5"/>
      <c r="N638" s="5"/>
      <c r="O638" s="5"/>
      <c r="Q638" s="178"/>
    </row>
    <row r="639" spans="12:17" ht="13">
      <c r="L639" s="5"/>
      <c r="M639" s="5"/>
      <c r="N639" s="5"/>
      <c r="O639" s="5"/>
      <c r="Q639" s="178"/>
    </row>
    <row r="640" spans="12:17" ht="13">
      <c r="L640" s="5"/>
      <c r="M640" s="5"/>
      <c r="N640" s="5"/>
      <c r="O640" s="5"/>
      <c r="Q640" s="178"/>
    </row>
    <row r="641" spans="12:17" ht="13">
      <c r="L641" s="5"/>
      <c r="M641" s="5"/>
      <c r="N641" s="5"/>
      <c r="O641" s="5"/>
      <c r="Q641" s="178"/>
    </row>
    <row r="642" spans="12:17" ht="13">
      <c r="L642" s="5"/>
      <c r="M642" s="5"/>
      <c r="N642" s="5"/>
      <c r="O642" s="5"/>
      <c r="Q642" s="178"/>
    </row>
    <row r="643" spans="12:17" ht="13">
      <c r="L643" s="5"/>
      <c r="M643" s="5"/>
      <c r="N643" s="5"/>
      <c r="O643" s="5"/>
      <c r="Q643" s="178"/>
    </row>
    <row r="644" spans="12:17" ht="13">
      <c r="L644" s="5"/>
      <c r="M644" s="5"/>
      <c r="N644" s="5"/>
      <c r="O644" s="5"/>
      <c r="Q644" s="178"/>
    </row>
    <row r="645" spans="12:17" ht="13">
      <c r="L645" s="5"/>
      <c r="M645" s="5"/>
      <c r="N645" s="5"/>
      <c r="O645" s="5"/>
      <c r="Q645" s="178"/>
    </row>
    <row r="646" spans="12:17" ht="13">
      <c r="L646" s="5"/>
      <c r="M646" s="5"/>
      <c r="N646" s="5"/>
      <c r="O646" s="5"/>
      <c r="Q646" s="178"/>
    </row>
    <row r="647" spans="12:17" ht="13">
      <c r="L647" s="5"/>
      <c r="M647" s="5"/>
      <c r="N647" s="5"/>
      <c r="O647" s="5"/>
      <c r="Q647" s="178"/>
    </row>
    <row r="648" spans="12:17" ht="13">
      <c r="L648" s="5"/>
      <c r="M648" s="5"/>
      <c r="N648" s="5"/>
      <c r="O648" s="5"/>
      <c r="Q648" s="178"/>
    </row>
    <row r="649" spans="12:17" ht="13">
      <c r="L649" s="5"/>
      <c r="M649" s="5"/>
      <c r="N649" s="5"/>
      <c r="O649" s="5"/>
      <c r="Q649" s="178"/>
    </row>
    <row r="650" spans="12:17" ht="13">
      <c r="L650" s="5"/>
      <c r="M650" s="5"/>
      <c r="N650" s="5"/>
      <c r="O650" s="5"/>
      <c r="Q650" s="178"/>
    </row>
    <row r="651" spans="12:17" ht="13">
      <c r="L651" s="5"/>
      <c r="M651" s="5"/>
      <c r="N651" s="5"/>
      <c r="O651" s="5"/>
      <c r="Q651" s="178"/>
    </row>
    <row r="652" spans="12:17" ht="13">
      <c r="L652" s="5"/>
      <c r="M652" s="5"/>
      <c r="N652" s="5"/>
      <c r="O652" s="5"/>
      <c r="Q652" s="178"/>
    </row>
    <row r="653" spans="12:17" ht="13">
      <c r="L653" s="5"/>
      <c r="M653" s="5"/>
      <c r="N653" s="5"/>
      <c r="O653" s="5"/>
      <c r="Q653" s="178"/>
    </row>
    <row r="654" spans="12:17" ht="13">
      <c r="L654" s="5"/>
      <c r="M654" s="5"/>
      <c r="N654" s="5"/>
      <c r="O654" s="5"/>
      <c r="Q654" s="178"/>
    </row>
    <row r="655" spans="12:17" ht="13">
      <c r="L655" s="5"/>
      <c r="M655" s="5"/>
      <c r="N655" s="5"/>
      <c r="O655" s="5"/>
      <c r="Q655" s="178"/>
    </row>
    <row r="656" spans="12:17" ht="13">
      <c r="L656" s="5"/>
      <c r="M656" s="5"/>
      <c r="N656" s="5"/>
      <c r="O656" s="5"/>
      <c r="Q656" s="178"/>
    </row>
    <row r="657" spans="12:17" ht="13">
      <c r="L657" s="5"/>
      <c r="M657" s="5"/>
      <c r="N657" s="5"/>
      <c r="O657" s="5"/>
      <c r="Q657" s="178"/>
    </row>
    <row r="658" spans="12:17" ht="13">
      <c r="L658" s="5"/>
      <c r="M658" s="5"/>
      <c r="N658" s="5"/>
      <c r="O658" s="5"/>
      <c r="Q658" s="178"/>
    </row>
    <row r="659" spans="12:17" ht="13">
      <c r="L659" s="5"/>
      <c r="M659" s="5"/>
      <c r="N659" s="5"/>
      <c r="O659" s="5"/>
      <c r="Q659" s="178"/>
    </row>
    <row r="660" spans="12:17" ht="13">
      <c r="L660" s="5"/>
      <c r="M660" s="5"/>
      <c r="N660" s="5"/>
      <c r="O660" s="5"/>
      <c r="Q660" s="178"/>
    </row>
    <row r="661" spans="12:17" ht="13">
      <c r="L661" s="5"/>
      <c r="M661" s="5"/>
      <c r="N661" s="5"/>
      <c r="O661" s="5"/>
      <c r="Q661" s="178"/>
    </row>
    <row r="662" spans="12:17" ht="13">
      <c r="L662" s="5"/>
      <c r="M662" s="5"/>
      <c r="N662" s="5"/>
      <c r="O662" s="5"/>
      <c r="Q662" s="178"/>
    </row>
    <row r="663" spans="12:17" ht="13">
      <c r="L663" s="5"/>
      <c r="M663" s="5"/>
      <c r="N663" s="5"/>
      <c r="O663" s="5"/>
      <c r="Q663" s="178"/>
    </row>
    <row r="664" spans="12:17" ht="13">
      <c r="L664" s="5"/>
      <c r="M664" s="5"/>
      <c r="N664" s="5"/>
      <c r="O664" s="5"/>
      <c r="Q664" s="178"/>
    </row>
    <row r="665" spans="12:17" ht="13">
      <c r="L665" s="5"/>
      <c r="M665" s="5"/>
      <c r="N665" s="5"/>
      <c r="O665" s="5"/>
      <c r="Q665" s="178"/>
    </row>
    <row r="666" spans="12:17" ht="13">
      <c r="L666" s="5"/>
      <c r="M666" s="5"/>
      <c r="N666" s="5"/>
      <c r="O666" s="5"/>
      <c r="Q666" s="178"/>
    </row>
    <row r="667" spans="12:17" ht="13">
      <c r="L667" s="5"/>
      <c r="M667" s="5"/>
      <c r="N667" s="5"/>
      <c r="O667" s="5"/>
      <c r="Q667" s="178"/>
    </row>
    <row r="668" spans="12:17" ht="13">
      <c r="L668" s="5"/>
      <c r="M668" s="5"/>
      <c r="N668" s="5"/>
      <c r="O668" s="5"/>
      <c r="Q668" s="178"/>
    </row>
    <row r="669" spans="12:17" ht="13">
      <c r="L669" s="5"/>
      <c r="M669" s="5"/>
      <c r="N669" s="5"/>
      <c r="O669" s="5"/>
      <c r="Q669" s="178"/>
    </row>
    <row r="670" spans="12:17" ht="13">
      <c r="L670" s="5"/>
      <c r="M670" s="5"/>
      <c r="N670" s="5"/>
      <c r="O670" s="5"/>
      <c r="Q670" s="178"/>
    </row>
    <row r="671" spans="12:17" ht="13">
      <c r="L671" s="5"/>
      <c r="M671" s="5"/>
      <c r="N671" s="5"/>
      <c r="O671" s="5"/>
      <c r="Q671" s="178"/>
    </row>
    <row r="672" spans="12:17" ht="13">
      <c r="L672" s="5"/>
      <c r="M672" s="5"/>
      <c r="N672" s="5"/>
      <c r="O672" s="5"/>
      <c r="Q672" s="178"/>
    </row>
    <row r="673" spans="12:17" ht="13">
      <c r="L673" s="5"/>
      <c r="M673" s="5"/>
      <c r="N673" s="5"/>
      <c r="O673" s="5"/>
      <c r="Q673" s="178"/>
    </row>
    <row r="674" spans="12:17" ht="13">
      <c r="L674" s="5"/>
      <c r="M674" s="5"/>
      <c r="N674" s="5"/>
      <c r="O674" s="5"/>
      <c r="Q674" s="178"/>
    </row>
    <row r="675" spans="12:17" ht="13">
      <c r="L675" s="5"/>
      <c r="M675" s="5"/>
      <c r="N675" s="5"/>
      <c r="O675" s="5"/>
      <c r="Q675" s="178"/>
    </row>
    <row r="676" spans="12:17" ht="13">
      <c r="L676" s="5"/>
      <c r="M676" s="5"/>
      <c r="N676" s="5"/>
      <c r="O676" s="5"/>
      <c r="Q676" s="178"/>
    </row>
    <row r="677" spans="12:17" ht="13">
      <c r="L677" s="5"/>
      <c r="M677" s="5"/>
      <c r="N677" s="5"/>
      <c r="O677" s="5"/>
      <c r="Q677" s="178"/>
    </row>
    <row r="678" spans="12:17" ht="13">
      <c r="L678" s="5"/>
      <c r="M678" s="5"/>
      <c r="N678" s="5"/>
      <c r="O678" s="5"/>
      <c r="Q678" s="178"/>
    </row>
    <row r="679" spans="12:17" ht="13">
      <c r="L679" s="5"/>
      <c r="M679" s="5"/>
      <c r="N679" s="5"/>
      <c r="O679" s="5"/>
      <c r="Q679" s="178"/>
    </row>
    <row r="680" spans="12:17" ht="13">
      <c r="L680" s="5"/>
      <c r="M680" s="5"/>
      <c r="N680" s="5"/>
      <c r="O680" s="5"/>
      <c r="Q680" s="178"/>
    </row>
    <row r="681" spans="12:17" ht="13">
      <c r="L681" s="5"/>
      <c r="M681" s="5"/>
      <c r="N681" s="5"/>
      <c r="O681" s="5"/>
      <c r="Q681" s="178"/>
    </row>
    <row r="682" spans="12:17" ht="13">
      <c r="L682" s="5"/>
      <c r="M682" s="5"/>
      <c r="N682" s="5"/>
      <c r="O682" s="5"/>
      <c r="Q682" s="178"/>
    </row>
    <row r="683" spans="12:17" ht="13">
      <c r="L683" s="5"/>
      <c r="M683" s="5"/>
      <c r="N683" s="5"/>
      <c r="O683" s="5"/>
      <c r="Q683" s="178"/>
    </row>
    <row r="684" spans="12:17" ht="13">
      <c r="L684" s="5"/>
      <c r="M684" s="5"/>
      <c r="N684" s="5"/>
      <c r="O684" s="5"/>
      <c r="Q684" s="178"/>
    </row>
    <row r="685" spans="12:17" ht="13">
      <c r="L685" s="5"/>
      <c r="M685" s="5"/>
      <c r="N685" s="5"/>
      <c r="O685" s="5"/>
      <c r="Q685" s="178"/>
    </row>
    <row r="686" spans="12:17" ht="13">
      <c r="L686" s="5"/>
      <c r="M686" s="5"/>
      <c r="N686" s="5"/>
      <c r="O686" s="5"/>
      <c r="Q686" s="178"/>
    </row>
    <row r="687" spans="12:17" ht="13">
      <c r="L687" s="5"/>
      <c r="M687" s="5"/>
      <c r="N687" s="5"/>
      <c r="O687" s="5"/>
      <c r="Q687" s="178"/>
    </row>
    <row r="688" spans="12:17" ht="13">
      <c r="L688" s="5"/>
      <c r="M688" s="5"/>
      <c r="N688" s="5"/>
      <c r="O688" s="5"/>
      <c r="Q688" s="178"/>
    </row>
    <row r="689" spans="12:17" ht="13">
      <c r="L689" s="5"/>
      <c r="M689" s="5"/>
      <c r="N689" s="5"/>
      <c r="O689" s="5"/>
      <c r="Q689" s="178"/>
    </row>
    <row r="690" spans="12:17" ht="13">
      <c r="L690" s="5"/>
      <c r="M690" s="5"/>
      <c r="N690" s="5"/>
      <c r="O690" s="5"/>
      <c r="Q690" s="178"/>
    </row>
    <row r="691" spans="12:17" ht="13">
      <c r="L691" s="5"/>
      <c r="M691" s="5"/>
      <c r="N691" s="5"/>
      <c r="O691" s="5"/>
      <c r="Q691" s="178"/>
    </row>
    <row r="692" spans="12:17" ht="13">
      <c r="L692" s="5"/>
      <c r="M692" s="5"/>
      <c r="N692" s="5"/>
      <c r="O692" s="5"/>
      <c r="Q692" s="178"/>
    </row>
    <row r="693" spans="12:17" ht="13">
      <c r="L693" s="5"/>
      <c r="M693" s="5"/>
      <c r="N693" s="5"/>
      <c r="O693" s="5"/>
      <c r="Q693" s="178"/>
    </row>
    <row r="694" spans="12:17" ht="13">
      <c r="L694" s="5"/>
      <c r="M694" s="5"/>
      <c r="N694" s="5"/>
      <c r="O694" s="5"/>
      <c r="Q694" s="178"/>
    </row>
    <row r="695" spans="12:17" ht="13">
      <c r="L695" s="5"/>
      <c r="M695" s="5"/>
      <c r="N695" s="5"/>
      <c r="O695" s="5"/>
      <c r="Q695" s="178"/>
    </row>
    <row r="696" spans="12:17" ht="13">
      <c r="L696" s="5"/>
      <c r="M696" s="5"/>
      <c r="N696" s="5"/>
      <c r="O696" s="5"/>
      <c r="Q696" s="178"/>
    </row>
    <row r="697" spans="12:17" ht="13">
      <c r="L697" s="5"/>
      <c r="M697" s="5"/>
      <c r="N697" s="5"/>
      <c r="O697" s="5"/>
      <c r="Q697" s="178"/>
    </row>
    <row r="698" spans="12:17" ht="13">
      <c r="L698" s="5"/>
      <c r="M698" s="5"/>
      <c r="N698" s="5"/>
      <c r="O698" s="5"/>
      <c r="Q698" s="178"/>
    </row>
    <row r="699" spans="12:17" ht="13">
      <c r="L699" s="5"/>
      <c r="M699" s="5"/>
      <c r="N699" s="5"/>
      <c r="O699" s="5"/>
      <c r="Q699" s="178"/>
    </row>
    <row r="700" spans="12:17" ht="13">
      <c r="L700" s="5"/>
      <c r="M700" s="5"/>
      <c r="N700" s="5"/>
      <c r="O700" s="5"/>
      <c r="Q700" s="178"/>
    </row>
    <row r="701" spans="12:17" ht="13">
      <c r="L701" s="5"/>
      <c r="M701" s="5"/>
      <c r="N701" s="5"/>
      <c r="O701" s="5"/>
      <c r="Q701" s="178"/>
    </row>
    <row r="702" spans="12:17" ht="13">
      <c r="L702" s="5"/>
      <c r="M702" s="5"/>
      <c r="N702" s="5"/>
      <c r="O702" s="5"/>
      <c r="Q702" s="178"/>
    </row>
    <row r="703" spans="12:17" ht="13">
      <c r="L703" s="5"/>
      <c r="M703" s="5"/>
      <c r="N703" s="5"/>
      <c r="O703" s="5"/>
      <c r="Q703" s="178"/>
    </row>
    <row r="704" spans="12:17" ht="13">
      <c r="L704" s="5"/>
      <c r="M704" s="5"/>
      <c r="N704" s="5"/>
      <c r="O704" s="5"/>
      <c r="Q704" s="178"/>
    </row>
    <row r="705" spans="12:17" ht="13">
      <c r="L705" s="5"/>
      <c r="M705" s="5"/>
      <c r="N705" s="5"/>
      <c r="O705" s="5"/>
      <c r="Q705" s="178"/>
    </row>
    <row r="706" spans="12:17" ht="13">
      <c r="L706" s="5"/>
      <c r="M706" s="5"/>
      <c r="N706" s="5"/>
      <c r="O706" s="5"/>
      <c r="Q706" s="178"/>
    </row>
    <row r="707" spans="12:17" ht="13">
      <c r="L707" s="5"/>
      <c r="M707" s="5"/>
      <c r="N707" s="5"/>
      <c r="O707" s="5"/>
      <c r="Q707" s="178"/>
    </row>
    <row r="708" spans="12:17" ht="13">
      <c r="L708" s="5"/>
      <c r="M708" s="5"/>
      <c r="N708" s="5"/>
      <c r="O708" s="5"/>
      <c r="Q708" s="178"/>
    </row>
    <row r="709" spans="12:17" ht="13">
      <c r="L709" s="5"/>
      <c r="M709" s="5"/>
      <c r="N709" s="5"/>
      <c r="O709" s="5"/>
      <c r="Q709" s="178"/>
    </row>
    <row r="710" spans="12:17" ht="13">
      <c r="L710" s="5"/>
      <c r="M710" s="5"/>
      <c r="N710" s="5"/>
      <c r="O710" s="5"/>
      <c r="Q710" s="178"/>
    </row>
    <row r="711" spans="12:17" ht="13">
      <c r="L711" s="5"/>
      <c r="M711" s="5"/>
      <c r="N711" s="5"/>
      <c r="O711" s="5"/>
      <c r="Q711" s="178"/>
    </row>
    <row r="712" spans="12:17" ht="13">
      <c r="L712" s="5"/>
      <c r="M712" s="5"/>
      <c r="N712" s="5"/>
      <c r="O712" s="5"/>
      <c r="Q712" s="178"/>
    </row>
    <row r="713" spans="12:17" ht="13">
      <c r="L713" s="5"/>
      <c r="M713" s="5"/>
      <c r="N713" s="5"/>
      <c r="O713" s="5"/>
      <c r="Q713" s="178"/>
    </row>
    <row r="714" spans="12:17" ht="13">
      <c r="L714" s="5"/>
      <c r="M714" s="5"/>
      <c r="N714" s="5"/>
      <c r="O714" s="5"/>
      <c r="Q714" s="178"/>
    </row>
    <row r="715" spans="12:17" ht="13">
      <c r="L715" s="5"/>
      <c r="M715" s="5"/>
      <c r="N715" s="5"/>
      <c r="O715" s="5"/>
      <c r="Q715" s="178"/>
    </row>
    <row r="716" spans="12:17" ht="13">
      <c r="L716" s="5"/>
      <c r="M716" s="5"/>
      <c r="N716" s="5"/>
      <c r="O716" s="5"/>
      <c r="Q716" s="178"/>
    </row>
    <row r="717" spans="12:17" ht="13">
      <c r="L717" s="5"/>
      <c r="M717" s="5"/>
      <c r="N717" s="5"/>
      <c r="O717" s="5"/>
      <c r="Q717" s="178"/>
    </row>
    <row r="718" spans="12:17" ht="13">
      <c r="L718" s="5"/>
      <c r="M718" s="5"/>
      <c r="N718" s="5"/>
      <c r="O718" s="5"/>
      <c r="Q718" s="178"/>
    </row>
    <row r="719" spans="12:17" ht="13">
      <c r="L719" s="5"/>
      <c r="M719" s="5"/>
      <c r="N719" s="5"/>
      <c r="O719" s="5"/>
      <c r="Q719" s="178"/>
    </row>
    <row r="720" spans="12:17" ht="13">
      <c r="L720" s="5"/>
      <c r="M720" s="5"/>
      <c r="N720" s="5"/>
      <c r="O720" s="5"/>
      <c r="Q720" s="178"/>
    </row>
    <row r="721" spans="12:17" ht="13">
      <c r="L721" s="5"/>
      <c r="M721" s="5"/>
      <c r="N721" s="5"/>
      <c r="O721" s="5"/>
      <c r="Q721" s="178"/>
    </row>
    <row r="722" spans="12:17" ht="13">
      <c r="L722" s="5"/>
      <c r="M722" s="5"/>
      <c r="N722" s="5"/>
      <c r="O722" s="5"/>
      <c r="Q722" s="178"/>
    </row>
    <row r="723" spans="12:17" ht="13">
      <c r="L723" s="5"/>
      <c r="M723" s="5"/>
      <c r="N723" s="5"/>
      <c r="O723" s="5"/>
      <c r="Q723" s="178"/>
    </row>
    <row r="724" spans="12:17" ht="13">
      <c r="L724" s="5"/>
      <c r="M724" s="5"/>
      <c r="N724" s="5"/>
      <c r="O724" s="5"/>
      <c r="Q724" s="178"/>
    </row>
    <row r="725" spans="12:17" ht="13">
      <c r="L725" s="5"/>
      <c r="M725" s="5"/>
      <c r="N725" s="5"/>
      <c r="O725" s="5"/>
      <c r="Q725" s="178"/>
    </row>
    <row r="726" spans="12:17" ht="13">
      <c r="L726" s="5"/>
      <c r="M726" s="5"/>
      <c r="N726" s="5"/>
      <c r="O726" s="5"/>
      <c r="Q726" s="178"/>
    </row>
    <row r="727" spans="12:17" ht="13">
      <c r="L727" s="5"/>
      <c r="M727" s="5"/>
      <c r="N727" s="5"/>
      <c r="O727" s="5"/>
      <c r="Q727" s="178"/>
    </row>
    <row r="728" spans="12:17" ht="13">
      <c r="L728" s="5"/>
      <c r="M728" s="5"/>
      <c r="N728" s="5"/>
      <c r="O728" s="5"/>
      <c r="Q728" s="178"/>
    </row>
    <row r="729" spans="12:17" ht="13">
      <c r="L729" s="5"/>
      <c r="M729" s="5"/>
      <c r="N729" s="5"/>
      <c r="O729" s="5"/>
      <c r="Q729" s="178"/>
    </row>
    <row r="730" spans="12:17" ht="13">
      <c r="L730" s="5"/>
      <c r="M730" s="5"/>
      <c r="N730" s="5"/>
      <c r="O730" s="5"/>
      <c r="Q730" s="178"/>
    </row>
    <row r="731" spans="12:17" ht="13">
      <c r="L731" s="5"/>
      <c r="M731" s="5"/>
      <c r="N731" s="5"/>
      <c r="O731" s="5"/>
      <c r="Q731" s="178"/>
    </row>
    <row r="732" spans="12:17" ht="13">
      <c r="L732" s="5"/>
      <c r="M732" s="5"/>
      <c r="N732" s="5"/>
      <c r="O732" s="5"/>
      <c r="Q732" s="178"/>
    </row>
    <row r="733" spans="12:17" ht="13">
      <c r="L733" s="5"/>
      <c r="M733" s="5"/>
      <c r="N733" s="5"/>
      <c r="O733" s="5"/>
      <c r="Q733" s="178"/>
    </row>
    <row r="734" spans="12:17" ht="13">
      <c r="L734" s="5"/>
      <c r="M734" s="5"/>
      <c r="N734" s="5"/>
      <c r="O734" s="5"/>
      <c r="Q734" s="178"/>
    </row>
    <row r="735" spans="12:17" ht="13">
      <c r="L735" s="5"/>
      <c r="M735" s="5"/>
      <c r="N735" s="5"/>
      <c r="O735" s="5"/>
      <c r="Q735" s="178"/>
    </row>
    <row r="736" spans="12:17" ht="13">
      <c r="L736" s="5"/>
      <c r="M736" s="5"/>
      <c r="N736" s="5"/>
      <c r="O736" s="5"/>
      <c r="Q736" s="178"/>
    </row>
    <row r="737" spans="12:17" ht="13">
      <c r="L737" s="5"/>
      <c r="M737" s="5"/>
      <c r="N737" s="5"/>
      <c r="O737" s="5"/>
      <c r="Q737" s="178"/>
    </row>
    <row r="738" spans="12:17" ht="13">
      <c r="L738" s="5"/>
      <c r="M738" s="5"/>
      <c r="N738" s="5"/>
      <c r="O738" s="5"/>
      <c r="Q738" s="178"/>
    </row>
    <row r="739" spans="12:17" ht="13">
      <c r="L739" s="5"/>
      <c r="M739" s="5"/>
      <c r="N739" s="5"/>
      <c r="O739" s="5"/>
      <c r="Q739" s="178"/>
    </row>
    <row r="740" spans="12:17" ht="13">
      <c r="L740" s="5"/>
      <c r="M740" s="5"/>
      <c r="N740" s="5"/>
      <c r="O740" s="5"/>
      <c r="Q740" s="178"/>
    </row>
    <row r="741" spans="12:17" ht="13">
      <c r="L741" s="5"/>
      <c r="M741" s="5"/>
      <c r="N741" s="5"/>
      <c r="O741" s="5"/>
      <c r="Q741" s="178"/>
    </row>
    <row r="742" spans="12:17" ht="13">
      <c r="L742" s="5"/>
      <c r="M742" s="5"/>
      <c r="N742" s="5"/>
      <c r="O742" s="5"/>
      <c r="Q742" s="178"/>
    </row>
    <row r="743" spans="12:17" ht="13">
      <c r="L743" s="5"/>
      <c r="M743" s="5"/>
      <c r="N743" s="5"/>
      <c r="O743" s="5"/>
      <c r="Q743" s="178"/>
    </row>
    <row r="744" spans="12:17" ht="13">
      <c r="L744" s="5"/>
      <c r="M744" s="5"/>
      <c r="N744" s="5"/>
      <c r="O744" s="5"/>
      <c r="Q744" s="178"/>
    </row>
    <row r="745" spans="12:17" ht="13">
      <c r="L745" s="5"/>
      <c r="M745" s="5"/>
      <c r="N745" s="5"/>
      <c r="O745" s="5"/>
      <c r="Q745" s="178"/>
    </row>
    <row r="746" spans="12:17" ht="13">
      <c r="L746" s="5"/>
      <c r="M746" s="5"/>
      <c r="N746" s="5"/>
      <c r="O746" s="5"/>
      <c r="Q746" s="178"/>
    </row>
    <row r="747" spans="12:17" ht="13">
      <c r="L747" s="5"/>
      <c r="M747" s="5"/>
      <c r="N747" s="5"/>
      <c r="O747" s="5"/>
      <c r="Q747" s="178"/>
    </row>
    <row r="748" spans="12:17" ht="13">
      <c r="L748" s="5"/>
      <c r="M748" s="5"/>
      <c r="N748" s="5"/>
      <c r="O748" s="5"/>
      <c r="Q748" s="178"/>
    </row>
    <row r="749" spans="12:17" ht="13">
      <c r="L749" s="5"/>
      <c r="M749" s="5"/>
      <c r="N749" s="5"/>
      <c r="O749" s="5"/>
      <c r="Q749" s="178"/>
    </row>
    <row r="750" spans="12:17" ht="13">
      <c r="L750" s="5"/>
      <c r="M750" s="5"/>
      <c r="N750" s="5"/>
      <c r="O750" s="5"/>
      <c r="Q750" s="178"/>
    </row>
    <row r="751" spans="12:17" ht="13">
      <c r="L751" s="5"/>
      <c r="M751" s="5"/>
      <c r="N751" s="5"/>
      <c r="O751" s="5"/>
      <c r="Q751" s="178"/>
    </row>
    <row r="752" spans="12:17" ht="13">
      <c r="L752" s="5"/>
      <c r="M752" s="5"/>
      <c r="N752" s="5"/>
      <c r="O752" s="5"/>
      <c r="Q752" s="178"/>
    </row>
    <row r="753" spans="12:17" ht="13">
      <c r="L753" s="5"/>
      <c r="M753" s="5"/>
      <c r="N753" s="5"/>
      <c r="O753" s="5"/>
      <c r="Q753" s="178"/>
    </row>
    <row r="754" spans="12:17" ht="13">
      <c r="L754" s="5"/>
      <c r="M754" s="5"/>
      <c r="N754" s="5"/>
      <c r="O754" s="5"/>
      <c r="Q754" s="178"/>
    </row>
    <row r="755" spans="12:17" ht="13">
      <c r="L755" s="5"/>
      <c r="M755" s="5"/>
      <c r="N755" s="5"/>
      <c r="O755" s="5"/>
      <c r="Q755" s="178"/>
    </row>
    <row r="756" spans="12:17" ht="13">
      <c r="L756" s="5"/>
      <c r="M756" s="5"/>
      <c r="N756" s="5"/>
      <c r="O756" s="5"/>
      <c r="Q756" s="178"/>
    </row>
    <row r="757" spans="12:17" ht="13">
      <c r="L757" s="5"/>
      <c r="M757" s="5"/>
      <c r="N757" s="5"/>
      <c r="O757" s="5"/>
      <c r="Q757" s="178"/>
    </row>
    <row r="758" spans="12:17" ht="13">
      <c r="L758" s="5"/>
      <c r="M758" s="5"/>
      <c r="N758" s="5"/>
      <c r="O758" s="5"/>
      <c r="Q758" s="178"/>
    </row>
    <row r="759" spans="12:17" ht="13">
      <c r="L759" s="5"/>
      <c r="M759" s="5"/>
      <c r="N759" s="5"/>
      <c r="O759" s="5"/>
      <c r="Q759" s="178"/>
    </row>
    <row r="760" spans="12:17" ht="13">
      <c r="L760" s="5"/>
      <c r="M760" s="5"/>
      <c r="N760" s="5"/>
      <c r="O760" s="5"/>
      <c r="Q760" s="178"/>
    </row>
    <row r="761" spans="12:17" ht="13">
      <c r="L761" s="5"/>
      <c r="M761" s="5"/>
      <c r="N761" s="5"/>
      <c r="O761" s="5"/>
      <c r="Q761" s="178"/>
    </row>
    <row r="762" spans="12:17" ht="13">
      <c r="L762" s="5"/>
      <c r="M762" s="5"/>
      <c r="N762" s="5"/>
      <c r="O762" s="5"/>
      <c r="Q762" s="178"/>
    </row>
    <row r="763" spans="12:17" ht="13">
      <c r="L763" s="5"/>
      <c r="M763" s="5"/>
      <c r="N763" s="5"/>
      <c r="O763" s="5"/>
      <c r="Q763" s="178"/>
    </row>
    <row r="764" spans="12:17" ht="13">
      <c r="L764" s="5"/>
      <c r="M764" s="5"/>
      <c r="N764" s="5"/>
      <c r="O764" s="5"/>
      <c r="Q764" s="178"/>
    </row>
    <row r="765" spans="12:17" ht="13">
      <c r="L765" s="5"/>
      <c r="M765" s="5"/>
      <c r="N765" s="5"/>
      <c r="O765" s="5"/>
      <c r="Q765" s="178"/>
    </row>
    <row r="766" spans="12:17" ht="13">
      <c r="L766" s="5"/>
      <c r="M766" s="5"/>
      <c r="N766" s="5"/>
      <c r="O766" s="5"/>
      <c r="Q766" s="178"/>
    </row>
    <row r="767" spans="12:17" ht="13">
      <c r="L767" s="5"/>
      <c r="M767" s="5"/>
      <c r="N767" s="5"/>
      <c r="O767" s="5"/>
      <c r="Q767" s="178"/>
    </row>
    <row r="768" spans="12:17" ht="13">
      <c r="L768" s="5"/>
      <c r="M768" s="5"/>
      <c r="N768" s="5"/>
      <c r="O768" s="5"/>
      <c r="Q768" s="178"/>
    </row>
    <row r="769" spans="12:17" ht="13">
      <c r="L769" s="5"/>
      <c r="M769" s="5"/>
      <c r="N769" s="5"/>
      <c r="O769" s="5"/>
      <c r="Q769" s="178"/>
    </row>
    <row r="770" spans="12:17" ht="13">
      <c r="L770" s="5"/>
      <c r="M770" s="5"/>
      <c r="N770" s="5"/>
      <c r="O770" s="5"/>
      <c r="Q770" s="178"/>
    </row>
    <row r="771" spans="12:17" ht="13">
      <c r="L771" s="5"/>
      <c r="M771" s="5"/>
      <c r="N771" s="5"/>
      <c r="O771" s="5"/>
      <c r="Q771" s="178"/>
    </row>
    <row r="772" spans="12:17" ht="13">
      <c r="L772" s="5"/>
      <c r="M772" s="5"/>
      <c r="N772" s="5"/>
      <c r="O772" s="5"/>
      <c r="Q772" s="178"/>
    </row>
    <row r="773" spans="12:17" ht="13">
      <c r="L773" s="5"/>
      <c r="M773" s="5"/>
      <c r="N773" s="5"/>
      <c r="O773" s="5"/>
      <c r="Q773" s="178"/>
    </row>
    <row r="774" spans="12:17" ht="13">
      <c r="L774" s="5"/>
      <c r="M774" s="5"/>
      <c r="N774" s="5"/>
      <c r="O774" s="5"/>
      <c r="Q774" s="178"/>
    </row>
    <row r="775" spans="12:17" ht="13">
      <c r="L775" s="5"/>
      <c r="M775" s="5"/>
      <c r="N775" s="5"/>
      <c r="O775" s="5"/>
      <c r="Q775" s="178"/>
    </row>
    <row r="776" spans="12:17" ht="13">
      <c r="L776" s="5"/>
      <c r="M776" s="5"/>
      <c r="N776" s="5"/>
      <c r="O776" s="5"/>
      <c r="Q776" s="178"/>
    </row>
    <row r="777" spans="12:17" ht="13">
      <c r="L777" s="5"/>
      <c r="M777" s="5"/>
      <c r="N777" s="5"/>
      <c r="O777" s="5"/>
      <c r="Q777" s="178"/>
    </row>
    <row r="778" spans="12:17" ht="13">
      <c r="L778" s="5"/>
      <c r="M778" s="5"/>
      <c r="N778" s="5"/>
      <c r="O778" s="5"/>
      <c r="Q778" s="178"/>
    </row>
    <row r="779" spans="12:17" ht="13">
      <c r="L779" s="5"/>
      <c r="M779" s="5"/>
      <c r="N779" s="5"/>
      <c r="O779" s="5"/>
      <c r="Q779" s="178"/>
    </row>
    <row r="780" spans="12:17" ht="13">
      <c r="L780" s="5"/>
      <c r="M780" s="5"/>
      <c r="N780" s="5"/>
      <c r="O780" s="5"/>
      <c r="Q780" s="178"/>
    </row>
    <row r="781" spans="12:17" ht="13">
      <c r="L781" s="5"/>
      <c r="M781" s="5"/>
      <c r="N781" s="5"/>
      <c r="O781" s="5"/>
      <c r="Q781" s="178"/>
    </row>
    <row r="782" spans="12:17" ht="13">
      <c r="L782" s="5"/>
      <c r="M782" s="5"/>
      <c r="N782" s="5"/>
      <c r="O782" s="5"/>
      <c r="Q782" s="178"/>
    </row>
    <row r="783" spans="12:17" ht="13">
      <c r="L783" s="5"/>
      <c r="M783" s="5"/>
      <c r="N783" s="5"/>
      <c r="O783" s="5"/>
      <c r="Q783" s="178"/>
    </row>
    <row r="784" spans="12:17" ht="13">
      <c r="L784" s="5"/>
      <c r="M784" s="5"/>
      <c r="N784" s="5"/>
      <c r="O784" s="5"/>
      <c r="Q784" s="178"/>
    </row>
    <row r="785" spans="12:17" ht="13">
      <c r="L785" s="5"/>
      <c r="M785" s="5"/>
      <c r="N785" s="5"/>
      <c r="O785" s="5"/>
      <c r="Q785" s="178"/>
    </row>
    <row r="786" spans="12:17" ht="13">
      <c r="L786" s="5"/>
      <c r="M786" s="5"/>
      <c r="N786" s="5"/>
      <c r="O786" s="5"/>
      <c r="Q786" s="178"/>
    </row>
    <row r="787" spans="12:17" ht="13">
      <c r="L787" s="5"/>
      <c r="M787" s="5"/>
      <c r="N787" s="5"/>
      <c r="O787" s="5"/>
      <c r="Q787" s="178"/>
    </row>
    <row r="788" spans="12:17" ht="13">
      <c r="L788" s="5"/>
      <c r="M788" s="5"/>
      <c r="N788" s="5"/>
      <c r="O788" s="5"/>
      <c r="Q788" s="178"/>
    </row>
    <row r="789" spans="12:17" ht="13">
      <c r="L789" s="5"/>
      <c r="M789" s="5"/>
      <c r="N789" s="5"/>
      <c r="O789" s="5"/>
      <c r="Q789" s="178"/>
    </row>
    <row r="790" spans="12:17" ht="13">
      <c r="L790" s="5"/>
      <c r="M790" s="5"/>
      <c r="N790" s="5"/>
      <c r="O790" s="5"/>
      <c r="Q790" s="178"/>
    </row>
    <row r="791" spans="12:17" ht="13">
      <c r="L791" s="5"/>
      <c r="M791" s="5"/>
      <c r="N791" s="5"/>
      <c r="O791" s="5"/>
      <c r="Q791" s="178"/>
    </row>
    <row r="792" spans="12:17" ht="13">
      <c r="L792" s="5"/>
      <c r="M792" s="5"/>
      <c r="N792" s="5"/>
      <c r="O792" s="5"/>
      <c r="Q792" s="178"/>
    </row>
    <row r="793" spans="12:17" ht="13">
      <c r="L793" s="5"/>
      <c r="M793" s="5"/>
      <c r="N793" s="5"/>
      <c r="O793" s="5"/>
      <c r="Q793" s="178"/>
    </row>
    <row r="794" spans="12:17" ht="13">
      <c r="L794" s="5"/>
      <c r="M794" s="5"/>
      <c r="N794" s="5"/>
      <c r="O794" s="5"/>
      <c r="Q794" s="178"/>
    </row>
    <row r="795" spans="12:17" ht="13">
      <c r="L795" s="5"/>
      <c r="M795" s="5"/>
      <c r="N795" s="5"/>
      <c r="O795" s="5"/>
      <c r="Q795" s="178"/>
    </row>
    <row r="796" spans="12:17" ht="13">
      <c r="L796" s="5"/>
      <c r="M796" s="5"/>
      <c r="N796" s="5"/>
      <c r="O796" s="5"/>
      <c r="Q796" s="178"/>
    </row>
    <row r="797" spans="12:17" ht="13">
      <c r="L797" s="5"/>
      <c r="M797" s="5"/>
      <c r="N797" s="5"/>
      <c r="O797" s="5"/>
      <c r="Q797" s="178"/>
    </row>
    <row r="798" spans="12:17" ht="13">
      <c r="L798" s="5"/>
      <c r="M798" s="5"/>
      <c r="N798" s="5"/>
      <c r="O798" s="5"/>
      <c r="Q798" s="178"/>
    </row>
    <row r="799" spans="12:17" ht="13">
      <c r="L799" s="5"/>
      <c r="M799" s="5"/>
      <c r="N799" s="5"/>
      <c r="O799" s="5"/>
      <c r="Q799" s="178"/>
    </row>
    <row r="800" spans="12:17" ht="13">
      <c r="L800" s="5"/>
      <c r="M800" s="5"/>
      <c r="N800" s="5"/>
      <c r="O800" s="5"/>
      <c r="Q800" s="178"/>
    </row>
    <row r="801" spans="12:17" ht="13">
      <c r="L801" s="5"/>
      <c r="M801" s="5"/>
      <c r="N801" s="5"/>
      <c r="O801" s="5"/>
      <c r="Q801" s="178"/>
    </row>
    <row r="802" spans="12:17" ht="13">
      <c r="L802" s="5"/>
      <c r="M802" s="5"/>
      <c r="N802" s="5"/>
      <c r="O802" s="5"/>
      <c r="Q802" s="178"/>
    </row>
    <row r="803" spans="12:17" ht="13">
      <c r="L803" s="5"/>
      <c r="M803" s="5"/>
      <c r="N803" s="5"/>
      <c r="O803" s="5"/>
      <c r="Q803" s="178"/>
    </row>
    <row r="804" spans="12:17" ht="13">
      <c r="L804" s="5"/>
      <c r="M804" s="5"/>
      <c r="N804" s="5"/>
      <c r="O804" s="5"/>
      <c r="Q804" s="178"/>
    </row>
    <row r="805" spans="12:17" ht="13">
      <c r="L805" s="5"/>
      <c r="M805" s="5"/>
      <c r="N805" s="5"/>
      <c r="O805" s="5"/>
      <c r="Q805" s="178"/>
    </row>
    <row r="806" spans="12:17" ht="13">
      <c r="L806" s="5"/>
      <c r="M806" s="5"/>
      <c r="N806" s="5"/>
      <c r="O806" s="5"/>
      <c r="Q806" s="178"/>
    </row>
    <row r="807" spans="12:17" ht="13">
      <c r="L807" s="5"/>
      <c r="M807" s="5"/>
      <c r="N807" s="5"/>
      <c r="O807" s="5"/>
      <c r="Q807" s="178"/>
    </row>
    <row r="808" spans="12:17" ht="13">
      <c r="L808" s="5"/>
      <c r="M808" s="5"/>
      <c r="N808" s="5"/>
      <c r="O808" s="5"/>
      <c r="Q808" s="178"/>
    </row>
    <row r="809" spans="12:17" ht="13">
      <c r="L809" s="5"/>
      <c r="M809" s="5"/>
      <c r="N809" s="5"/>
      <c r="O809" s="5"/>
      <c r="Q809" s="178"/>
    </row>
    <row r="810" spans="12:17" ht="13">
      <c r="L810" s="5"/>
      <c r="M810" s="5"/>
      <c r="N810" s="5"/>
      <c r="O810" s="5"/>
      <c r="Q810" s="178"/>
    </row>
    <row r="811" spans="12:17" ht="13">
      <c r="L811" s="5"/>
      <c r="M811" s="5"/>
      <c r="N811" s="5"/>
      <c r="O811" s="5"/>
      <c r="Q811" s="178"/>
    </row>
    <row r="812" spans="12:17" ht="13">
      <c r="L812" s="5"/>
      <c r="M812" s="5"/>
      <c r="N812" s="5"/>
      <c r="O812" s="5"/>
      <c r="Q812" s="178"/>
    </row>
    <row r="813" spans="12:17" ht="13">
      <c r="L813" s="5"/>
      <c r="M813" s="5"/>
      <c r="N813" s="5"/>
      <c r="O813" s="5"/>
      <c r="Q813" s="178"/>
    </row>
    <row r="814" spans="12:17" ht="13">
      <c r="L814" s="5"/>
      <c r="M814" s="5"/>
      <c r="N814" s="5"/>
      <c r="O814" s="5"/>
      <c r="Q814" s="178"/>
    </row>
    <row r="815" spans="12:17" ht="13">
      <c r="L815" s="5"/>
      <c r="M815" s="5"/>
      <c r="N815" s="5"/>
      <c r="O815" s="5"/>
      <c r="Q815" s="178"/>
    </row>
    <row r="816" spans="12:17" ht="13">
      <c r="L816" s="5"/>
      <c r="M816" s="5"/>
      <c r="N816" s="5"/>
      <c r="O816" s="5"/>
      <c r="Q816" s="178"/>
    </row>
    <row r="817" spans="12:17" ht="13">
      <c r="L817" s="5"/>
      <c r="M817" s="5"/>
      <c r="N817" s="5"/>
      <c r="O817" s="5"/>
      <c r="Q817" s="178"/>
    </row>
    <row r="818" spans="12:17" ht="13">
      <c r="L818" s="5"/>
      <c r="M818" s="5"/>
      <c r="N818" s="5"/>
      <c r="O818" s="5"/>
      <c r="Q818" s="178"/>
    </row>
    <row r="819" spans="12:17" ht="13">
      <c r="L819" s="5"/>
      <c r="M819" s="5"/>
      <c r="N819" s="5"/>
      <c r="O819" s="5"/>
      <c r="Q819" s="178"/>
    </row>
    <row r="820" spans="12:17" ht="13">
      <c r="L820" s="5"/>
      <c r="M820" s="5"/>
      <c r="N820" s="5"/>
      <c r="O820" s="5"/>
      <c r="Q820" s="178"/>
    </row>
    <row r="821" spans="12:17" ht="13">
      <c r="L821" s="5"/>
      <c r="M821" s="5"/>
      <c r="N821" s="5"/>
      <c r="O821" s="5"/>
      <c r="Q821" s="178"/>
    </row>
    <row r="822" spans="12:17" ht="13">
      <c r="L822" s="5"/>
      <c r="M822" s="5"/>
      <c r="N822" s="5"/>
      <c r="O822" s="5"/>
      <c r="Q822" s="178"/>
    </row>
    <row r="823" spans="12:17" ht="13">
      <c r="L823" s="5"/>
      <c r="M823" s="5"/>
      <c r="N823" s="5"/>
      <c r="O823" s="5"/>
      <c r="Q823" s="178"/>
    </row>
    <row r="824" spans="12:17" ht="13">
      <c r="L824" s="5"/>
      <c r="M824" s="5"/>
      <c r="N824" s="5"/>
      <c r="O824" s="5"/>
      <c r="Q824" s="178"/>
    </row>
    <row r="825" spans="12:17" ht="13">
      <c r="L825" s="5"/>
      <c r="M825" s="5"/>
      <c r="N825" s="5"/>
      <c r="O825" s="5"/>
      <c r="Q825" s="178"/>
    </row>
    <row r="826" spans="12:17" ht="13">
      <c r="L826" s="5"/>
      <c r="M826" s="5"/>
      <c r="N826" s="5"/>
      <c r="O826" s="5"/>
      <c r="Q826" s="178"/>
    </row>
    <row r="827" spans="12:17" ht="13">
      <c r="L827" s="5"/>
      <c r="M827" s="5"/>
      <c r="N827" s="5"/>
      <c r="O827" s="5"/>
      <c r="Q827" s="178"/>
    </row>
    <row r="828" spans="12:17" ht="13">
      <c r="L828" s="5"/>
      <c r="M828" s="5"/>
      <c r="N828" s="5"/>
      <c r="O828" s="5"/>
      <c r="Q828" s="178"/>
    </row>
    <row r="829" spans="12:17" ht="13">
      <c r="L829" s="5"/>
      <c r="M829" s="5"/>
      <c r="N829" s="5"/>
      <c r="O829" s="5"/>
      <c r="Q829" s="178"/>
    </row>
    <row r="830" spans="12:17" ht="13">
      <c r="L830" s="5"/>
      <c r="M830" s="5"/>
      <c r="N830" s="5"/>
      <c r="O830" s="5"/>
      <c r="Q830" s="178"/>
    </row>
    <row r="831" spans="12:17" ht="13">
      <c r="L831" s="5"/>
      <c r="M831" s="5"/>
      <c r="N831" s="5"/>
      <c r="O831" s="5"/>
      <c r="Q831" s="178"/>
    </row>
    <row r="832" spans="12:17" ht="13">
      <c r="L832" s="5"/>
      <c r="M832" s="5"/>
      <c r="N832" s="5"/>
      <c r="O832" s="5"/>
      <c r="Q832" s="178"/>
    </row>
    <row r="833" spans="12:17" ht="13">
      <c r="L833" s="5"/>
      <c r="M833" s="5"/>
      <c r="N833" s="5"/>
      <c r="O833" s="5"/>
      <c r="Q833" s="178"/>
    </row>
    <row r="834" spans="12:17" ht="13">
      <c r="L834" s="5"/>
      <c r="M834" s="5"/>
      <c r="N834" s="5"/>
      <c r="O834" s="5"/>
      <c r="Q834" s="178"/>
    </row>
    <row r="835" spans="12:17" ht="13">
      <c r="L835" s="5"/>
      <c r="M835" s="5"/>
      <c r="N835" s="5"/>
      <c r="O835" s="5"/>
      <c r="Q835" s="178"/>
    </row>
    <row r="836" spans="12:17" ht="13">
      <c r="L836" s="5"/>
      <c r="M836" s="5"/>
      <c r="N836" s="5"/>
      <c r="O836" s="5"/>
      <c r="Q836" s="178"/>
    </row>
    <row r="837" spans="12:17" ht="13">
      <c r="L837" s="5"/>
      <c r="M837" s="5"/>
      <c r="N837" s="5"/>
      <c r="O837" s="5"/>
      <c r="Q837" s="178"/>
    </row>
    <row r="838" spans="12:17" ht="13">
      <c r="L838" s="5"/>
      <c r="M838" s="5"/>
      <c r="N838" s="5"/>
      <c r="O838" s="5"/>
      <c r="Q838" s="178"/>
    </row>
    <row r="839" spans="12:17" ht="13">
      <c r="L839" s="5"/>
      <c r="M839" s="5"/>
      <c r="N839" s="5"/>
      <c r="O839" s="5"/>
      <c r="Q839" s="178"/>
    </row>
    <row r="840" spans="12:17" ht="13">
      <c r="L840" s="5"/>
      <c r="M840" s="5"/>
      <c r="N840" s="5"/>
      <c r="O840" s="5"/>
      <c r="Q840" s="178"/>
    </row>
    <row r="841" spans="12:17" ht="13">
      <c r="L841" s="5"/>
      <c r="M841" s="5"/>
      <c r="N841" s="5"/>
      <c r="O841" s="5"/>
      <c r="Q841" s="178"/>
    </row>
    <row r="842" spans="12:17" ht="13">
      <c r="L842" s="5"/>
      <c r="M842" s="5"/>
      <c r="N842" s="5"/>
      <c r="O842" s="5"/>
      <c r="Q842" s="178"/>
    </row>
    <row r="843" spans="12:17" ht="13">
      <c r="L843" s="5"/>
      <c r="M843" s="5"/>
      <c r="N843" s="5"/>
      <c r="O843" s="5"/>
      <c r="Q843" s="178"/>
    </row>
    <row r="844" spans="12:17" ht="13">
      <c r="L844" s="5"/>
      <c r="M844" s="5"/>
      <c r="N844" s="5"/>
      <c r="O844" s="5"/>
      <c r="Q844" s="178"/>
    </row>
    <row r="845" spans="12:17" ht="13">
      <c r="L845" s="5"/>
      <c r="M845" s="5"/>
      <c r="N845" s="5"/>
      <c r="O845" s="5"/>
      <c r="Q845" s="178"/>
    </row>
    <row r="846" spans="12:17" ht="13">
      <c r="L846" s="5"/>
      <c r="M846" s="5"/>
      <c r="N846" s="5"/>
      <c r="O846" s="5"/>
      <c r="Q846" s="178"/>
    </row>
    <row r="847" spans="12:17" ht="13">
      <c r="L847" s="5"/>
      <c r="M847" s="5"/>
      <c r="N847" s="5"/>
      <c r="O847" s="5"/>
      <c r="Q847" s="178"/>
    </row>
    <row r="848" spans="12:17" ht="13">
      <c r="L848" s="5"/>
      <c r="M848" s="5"/>
      <c r="N848" s="5"/>
      <c r="O848" s="5"/>
      <c r="Q848" s="178"/>
    </row>
    <row r="849" spans="12:17" ht="13">
      <c r="L849" s="5"/>
      <c r="M849" s="5"/>
      <c r="N849" s="5"/>
      <c r="O849" s="5"/>
      <c r="Q849" s="178"/>
    </row>
    <row r="850" spans="12:17" ht="13">
      <c r="L850" s="5"/>
      <c r="M850" s="5"/>
      <c r="N850" s="5"/>
      <c r="O850" s="5"/>
      <c r="Q850" s="178"/>
    </row>
    <row r="851" spans="12:17" ht="13">
      <c r="L851" s="5"/>
      <c r="M851" s="5"/>
      <c r="N851" s="5"/>
      <c r="O851" s="5"/>
      <c r="Q851" s="178"/>
    </row>
    <row r="852" spans="12:17" ht="13">
      <c r="L852" s="5"/>
      <c r="M852" s="5"/>
      <c r="N852" s="5"/>
      <c r="O852" s="5"/>
      <c r="Q852" s="178"/>
    </row>
    <row r="853" spans="12:17" ht="13">
      <c r="L853" s="5"/>
      <c r="M853" s="5"/>
      <c r="N853" s="5"/>
      <c r="O853" s="5"/>
      <c r="Q853" s="178"/>
    </row>
    <row r="854" spans="12:17" ht="13">
      <c r="L854" s="5"/>
      <c r="M854" s="5"/>
      <c r="N854" s="5"/>
      <c r="O854" s="5"/>
      <c r="Q854" s="178"/>
    </row>
    <row r="855" spans="12:17" ht="13">
      <c r="L855" s="5"/>
      <c r="M855" s="5"/>
      <c r="N855" s="5"/>
      <c r="O855" s="5"/>
      <c r="Q855" s="178"/>
    </row>
    <row r="856" spans="12:17" ht="13">
      <c r="L856" s="5"/>
      <c r="M856" s="5"/>
      <c r="N856" s="5"/>
      <c r="O856" s="5"/>
      <c r="Q856" s="178"/>
    </row>
    <row r="857" spans="12:17" ht="13">
      <c r="L857" s="5"/>
      <c r="M857" s="5"/>
      <c r="N857" s="5"/>
      <c r="O857" s="5"/>
      <c r="Q857" s="178"/>
    </row>
    <row r="858" spans="12:17" ht="13">
      <c r="L858" s="5"/>
      <c r="M858" s="5"/>
      <c r="N858" s="5"/>
      <c r="O858" s="5"/>
      <c r="Q858" s="178"/>
    </row>
    <row r="859" spans="12:17" ht="13">
      <c r="L859" s="5"/>
      <c r="M859" s="5"/>
      <c r="N859" s="5"/>
      <c r="O859" s="5"/>
      <c r="Q859" s="178"/>
    </row>
    <row r="860" spans="12:17" ht="13">
      <c r="L860" s="5"/>
      <c r="M860" s="5"/>
      <c r="N860" s="5"/>
      <c r="O860" s="5"/>
      <c r="Q860" s="178"/>
    </row>
    <row r="861" spans="12:17" ht="13">
      <c r="L861" s="5"/>
      <c r="M861" s="5"/>
      <c r="N861" s="5"/>
      <c r="O861" s="5"/>
      <c r="Q861" s="178"/>
    </row>
    <row r="862" spans="12:17" ht="13">
      <c r="L862" s="5"/>
      <c r="M862" s="5"/>
      <c r="N862" s="5"/>
      <c r="O862" s="5"/>
      <c r="Q862" s="178"/>
    </row>
    <row r="863" spans="12:17" ht="13">
      <c r="L863" s="5"/>
      <c r="M863" s="5"/>
      <c r="N863" s="5"/>
      <c r="O863" s="5"/>
      <c r="Q863" s="178"/>
    </row>
    <row r="864" spans="12:17" ht="13">
      <c r="L864" s="5"/>
      <c r="M864" s="5"/>
      <c r="N864" s="5"/>
      <c r="O864" s="5"/>
      <c r="Q864" s="178"/>
    </row>
    <row r="865" spans="12:17" ht="13">
      <c r="L865" s="5"/>
      <c r="M865" s="5"/>
      <c r="N865" s="5"/>
      <c r="O865" s="5"/>
      <c r="Q865" s="178"/>
    </row>
    <row r="866" spans="12:17" ht="13">
      <c r="L866" s="5"/>
      <c r="M866" s="5"/>
      <c r="N866" s="5"/>
      <c r="O866" s="5"/>
      <c r="Q866" s="178"/>
    </row>
    <row r="867" spans="12:17" ht="13">
      <c r="L867" s="5"/>
      <c r="M867" s="5"/>
      <c r="N867" s="5"/>
      <c r="O867" s="5"/>
      <c r="Q867" s="178"/>
    </row>
    <row r="868" spans="12:17" ht="13">
      <c r="L868" s="5"/>
      <c r="M868" s="5"/>
      <c r="N868" s="5"/>
      <c r="O868" s="5"/>
      <c r="Q868" s="178"/>
    </row>
    <row r="869" spans="12:17" ht="13">
      <c r="L869" s="5"/>
      <c r="M869" s="5"/>
      <c r="N869" s="5"/>
      <c r="O869" s="5"/>
      <c r="Q869" s="178"/>
    </row>
    <row r="870" spans="12:17" ht="13">
      <c r="L870" s="5"/>
      <c r="M870" s="5"/>
      <c r="N870" s="5"/>
      <c r="O870" s="5"/>
      <c r="Q870" s="178"/>
    </row>
    <row r="871" spans="12:17" ht="13">
      <c r="L871" s="5"/>
      <c r="M871" s="5"/>
      <c r="N871" s="5"/>
      <c r="O871" s="5"/>
      <c r="Q871" s="178"/>
    </row>
    <row r="872" spans="12:17" ht="13">
      <c r="L872" s="5"/>
      <c r="M872" s="5"/>
      <c r="N872" s="5"/>
      <c r="O872" s="5"/>
      <c r="Q872" s="178"/>
    </row>
    <row r="873" spans="12:17" ht="13">
      <c r="L873" s="5"/>
      <c r="M873" s="5"/>
      <c r="N873" s="5"/>
      <c r="O873" s="5"/>
      <c r="Q873" s="178"/>
    </row>
    <row r="874" spans="12:17" ht="13">
      <c r="L874" s="5"/>
      <c r="M874" s="5"/>
      <c r="N874" s="5"/>
      <c r="O874" s="5"/>
      <c r="Q874" s="178"/>
    </row>
    <row r="875" spans="12:17" ht="13">
      <c r="L875" s="5"/>
      <c r="M875" s="5"/>
      <c r="N875" s="5"/>
      <c r="O875" s="5"/>
      <c r="Q875" s="178"/>
    </row>
    <row r="876" spans="12:17" ht="13">
      <c r="L876" s="5"/>
      <c r="M876" s="5"/>
      <c r="N876" s="5"/>
      <c r="O876" s="5"/>
      <c r="Q876" s="178"/>
    </row>
    <row r="877" spans="12:17" ht="13">
      <c r="L877" s="5"/>
      <c r="M877" s="5"/>
      <c r="N877" s="5"/>
      <c r="O877" s="5"/>
      <c r="Q877" s="178"/>
    </row>
    <row r="878" spans="12:17" ht="13">
      <c r="L878" s="5"/>
      <c r="M878" s="5"/>
      <c r="N878" s="5"/>
      <c r="O878" s="5"/>
      <c r="Q878" s="178"/>
    </row>
    <row r="879" spans="12:17" ht="13">
      <c r="L879" s="5"/>
      <c r="M879" s="5"/>
      <c r="N879" s="5"/>
      <c r="O879" s="5"/>
      <c r="Q879" s="178"/>
    </row>
    <row r="880" spans="12:17" ht="13">
      <c r="L880" s="5"/>
      <c r="M880" s="5"/>
      <c r="N880" s="5"/>
      <c r="O880" s="5"/>
      <c r="Q880" s="178"/>
    </row>
    <row r="881" spans="12:17" ht="13">
      <c r="L881" s="5"/>
      <c r="M881" s="5"/>
      <c r="N881" s="5"/>
      <c r="O881" s="5"/>
      <c r="Q881" s="178"/>
    </row>
    <row r="882" spans="12:17" ht="13">
      <c r="L882" s="5"/>
      <c r="M882" s="5"/>
      <c r="N882" s="5"/>
      <c r="O882" s="5"/>
      <c r="Q882" s="178"/>
    </row>
    <row r="883" spans="12:17" ht="13">
      <c r="L883" s="5"/>
      <c r="M883" s="5"/>
      <c r="N883" s="5"/>
      <c r="O883" s="5"/>
      <c r="Q883" s="178"/>
    </row>
    <row r="884" spans="12:17" ht="13">
      <c r="L884" s="5"/>
      <c r="M884" s="5"/>
      <c r="N884" s="5"/>
      <c r="O884" s="5"/>
      <c r="Q884" s="178"/>
    </row>
    <row r="885" spans="12:17" ht="13">
      <c r="L885" s="5"/>
      <c r="M885" s="5"/>
      <c r="N885" s="5"/>
      <c r="O885" s="5"/>
      <c r="Q885" s="178"/>
    </row>
    <row r="886" spans="12:17" ht="13">
      <c r="L886" s="5"/>
      <c r="M886" s="5"/>
      <c r="N886" s="5"/>
      <c r="O886" s="5"/>
      <c r="Q886" s="178"/>
    </row>
    <row r="887" spans="12:17" ht="13">
      <c r="L887" s="5"/>
      <c r="M887" s="5"/>
      <c r="N887" s="5"/>
      <c r="O887" s="5"/>
      <c r="Q887" s="178"/>
    </row>
    <row r="888" spans="12:17" ht="13">
      <c r="L888" s="5"/>
      <c r="M888" s="5"/>
      <c r="N888" s="5"/>
      <c r="O888" s="5"/>
      <c r="Q888" s="178"/>
    </row>
    <row r="889" spans="12:17" ht="13">
      <c r="L889" s="5"/>
      <c r="M889" s="5"/>
      <c r="N889" s="5"/>
      <c r="O889" s="5"/>
      <c r="Q889" s="178"/>
    </row>
    <row r="890" spans="12:17" ht="13">
      <c r="L890" s="5"/>
      <c r="M890" s="5"/>
      <c r="N890" s="5"/>
      <c r="O890" s="5"/>
      <c r="Q890" s="178"/>
    </row>
    <row r="891" spans="12:17" ht="13">
      <c r="L891" s="5"/>
      <c r="M891" s="5"/>
      <c r="N891" s="5"/>
      <c r="O891" s="5"/>
      <c r="Q891" s="178"/>
    </row>
    <row r="892" spans="12:17" ht="13">
      <c r="L892" s="5"/>
      <c r="M892" s="5"/>
      <c r="N892" s="5"/>
      <c r="O892" s="5"/>
      <c r="Q892" s="178"/>
    </row>
    <row r="893" spans="12:17" ht="13">
      <c r="L893" s="5"/>
      <c r="M893" s="5"/>
      <c r="N893" s="5"/>
      <c r="O893" s="5"/>
      <c r="Q893" s="178"/>
    </row>
    <row r="894" spans="12:17" ht="13">
      <c r="L894" s="5"/>
      <c r="M894" s="5"/>
      <c r="N894" s="5"/>
      <c r="O894" s="5"/>
      <c r="Q894" s="178"/>
    </row>
    <row r="895" spans="12:17" ht="13">
      <c r="L895" s="5"/>
      <c r="M895" s="5"/>
      <c r="N895" s="5"/>
      <c r="O895" s="5"/>
      <c r="Q895" s="178"/>
    </row>
    <row r="896" spans="12:17" ht="13">
      <c r="L896" s="5"/>
      <c r="M896" s="5"/>
      <c r="N896" s="5"/>
      <c r="O896" s="5"/>
      <c r="Q896" s="178"/>
    </row>
    <row r="897" spans="12:17" ht="13">
      <c r="L897" s="5"/>
      <c r="M897" s="5"/>
      <c r="N897" s="5"/>
      <c r="O897" s="5"/>
      <c r="Q897" s="178"/>
    </row>
    <row r="898" spans="12:17" ht="13">
      <c r="L898" s="5"/>
      <c r="M898" s="5"/>
      <c r="N898" s="5"/>
      <c r="O898" s="5"/>
      <c r="Q898" s="178"/>
    </row>
    <row r="899" spans="12:17" ht="13">
      <c r="L899" s="5"/>
      <c r="M899" s="5"/>
      <c r="N899" s="5"/>
      <c r="O899" s="5"/>
      <c r="Q899" s="178"/>
    </row>
    <row r="900" spans="12:17" ht="13">
      <c r="L900" s="5"/>
      <c r="M900" s="5"/>
      <c r="N900" s="5"/>
      <c r="O900" s="5"/>
      <c r="Q900" s="178"/>
    </row>
    <row r="901" spans="12:17" ht="13">
      <c r="L901" s="5"/>
      <c r="M901" s="5"/>
      <c r="N901" s="5"/>
      <c r="O901" s="5"/>
      <c r="Q901" s="178"/>
    </row>
    <row r="902" spans="12:17" ht="13">
      <c r="L902" s="5"/>
      <c r="M902" s="5"/>
      <c r="N902" s="5"/>
      <c r="O902" s="5"/>
      <c r="Q902" s="178"/>
    </row>
    <row r="903" spans="12:17" ht="13">
      <c r="L903" s="5"/>
      <c r="M903" s="5"/>
      <c r="N903" s="5"/>
      <c r="O903" s="5"/>
      <c r="Q903" s="178"/>
    </row>
    <row r="904" spans="12:17" ht="13">
      <c r="L904" s="5"/>
      <c r="M904" s="5"/>
      <c r="N904" s="5"/>
      <c r="O904" s="5"/>
      <c r="Q904" s="178"/>
    </row>
    <row r="905" spans="12:17" ht="13">
      <c r="L905" s="5"/>
      <c r="M905" s="5"/>
      <c r="N905" s="5"/>
      <c r="O905" s="5"/>
      <c r="Q905" s="178"/>
    </row>
    <row r="906" spans="12:17" ht="13">
      <c r="L906" s="5"/>
      <c r="M906" s="5"/>
      <c r="N906" s="5"/>
      <c r="O906" s="5"/>
      <c r="Q906" s="178"/>
    </row>
    <row r="907" spans="12:17" ht="13">
      <c r="L907" s="5"/>
      <c r="M907" s="5"/>
      <c r="N907" s="5"/>
      <c r="O907" s="5"/>
      <c r="Q907" s="178"/>
    </row>
    <row r="908" spans="12:17" ht="13">
      <c r="L908" s="5"/>
      <c r="M908" s="5"/>
      <c r="N908" s="5"/>
      <c r="O908" s="5"/>
      <c r="Q908" s="178"/>
    </row>
    <row r="909" spans="12:17" ht="13">
      <c r="L909" s="5"/>
      <c r="M909" s="5"/>
      <c r="N909" s="5"/>
      <c r="O909" s="5"/>
      <c r="Q909" s="178"/>
    </row>
    <row r="910" spans="12:17" ht="13">
      <c r="L910" s="5"/>
      <c r="M910" s="5"/>
      <c r="N910" s="5"/>
      <c r="O910" s="5"/>
      <c r="Q910" s="178"/>
    </row>
    <row r="911" spans="12:17" ht="13">
      <c r="L911" s="5"/>
      <c r="M911" s="5"/>
      <c r="N911" s="5"/>
      <c r="O911" s="5"/>
      <c r="Q911" s="178"/>
    </row>
    <row r="912" spans="12:17" ht="13">
      <c r="L912" s="5"/>
      <c r="M912" s="5"/>
      <c r="N912" s="5"/>
      <c r="O912" s="5"/>
      <c r="Q912" s="178"/>
    </row>
    <row r="913" spans="12:17" ht="13">
      <c r="L913" s="5"/>
      <c r="M913" s="5"/>
      <c r="N913" s="5"/>
      <c r="O913" s="5"/>
      <c r="Q913" s="178"/>
    </row>
    <row r="914" spans="12:17" ht="13">
      <c r="L914" s="5"/>
      <c r="M914" s="5"/>
      <c r="N914" s="5"/>
      <c r="O914" s="5"/>
      <c r="Q914" s="178"/>
    </row>
    <row r="915" spans="12:17" ht="13">
      <c r="L915" s="5"/>
      <c r="M915" s="5"/>
      <c r="N915" s="5"/>
      <c r="O915" s="5"/>
      <c r="Q915" s="178"/>
    </row>
    <row r="916" spans="12:17" ht="13">
      <c r="L916" s="5"/>
      <c r="M916" s="5"/>
      <c r="N916" s="5"/>
      <c r="O916" s="5"/>
      <c r="Q916" s="178"/>
    </row>
    <row r="917" spans="12:17" ht="13">
      <c r="L917" s="5"/>
      <c r="M917" s="5"/>
      <c r="N917" s="5"/>
      <c r="O917" s="5"/>
      <c r="Q917" s="178"/>
    </row>
    <row r="918" spans="12:17" ht="13">
      <c r="L918" s="5"/>
      <c r="M918" s="5"/>
      <c r="N918" s="5"/>
      <c r="O918" s="5"/>
      <c r="Q918" s="178"/>
    </row>
    <row r="919" spans="12:17" ht="13">
      <c r="L919" s="5"/>
      <c r="M919" s="5"/>
      <c r="N919" s="5"/>
      <c r="O919" s="5"/>
      <c r="Q919" s="178"/>
    </row>
    <row r="920" spans="12:17" ht="13">
      <c r="L920" s="5"/>
      <c r="M920" s="5"/>
      <c r="N920" s="5"/>
      <c r="O920" s="5"/>
      <c r="Q920" s="178"/>
    </row>
    <row r="921" spans="12:17" ht="13">
      <c r="L921" s="5"/>
      <c r="M921" s="5"/>
      <c r="N921" s="5"/>
      <c r="O921" s="5"/>
      <c r="Q921" s="178"/>
    </row>
    <row r="922" spans="12:17" ht="13">
      <c r="L922" s="5"/>
      <c r="M922" s="5"/>
      <c r="N922" s="5"/>
      <c r="O922" s="5"/>
      <c r="Q922" s="178"/>
    </row>
    <row r="923" spans="12:17" ht="13">
      <c r="L923" s="5"/>
      <c r="M923" s="5"/>
      <c r="N923" s="5"/>
      <c r="O923" s="5"/>
      <c r="Q923" s="178"/>
    </row>
    <row r="924" spans="12:17" ht="13">
      <c r="L924" s="5"/>
      <c r="M924" s="5"/>
      <c r="N924" s="5"/>
      <c r="O924" s="5"/>
      <c r="Q924" s="178"/>
    </row>
    <row r="925" spans="12:17" ht="13">
      <c r="L925" s="5"/>
      <c r="M925" s="5"/>
      <c r="N925" s="5"/>
      <c r="O925" s="5"/>
      <c r="Q925" s="178"/>
    </row>
    <row r="926" spans="12:17" ht="13">
      <c r="L926" s="5"/>
      <c r="M926" s="5"/>
      <c r="N926" s="5"/>
      <c r="O926" s="5"/>
      <c r="Q926" s="178"/>
    </row>
    <row r="927" spans="12:17" ht="13">
      <c r="L927" s="5"/>
      <c r="M927" s="5"/>
      <c r="N927" s="5"/>
      <c r="O927" s="5"/>
      <c r="Q927" s="178"/>
    </row>
    <row r="928" spans="12:17" ht="13">
      <c r="L928" s="5"/>
      <c r="M928" s="5"/>
      <c r="N928" s="5"/>
      <c r="O928" s="5"/>
      <c r="Q928" s="178"/>
    </row>
    <row r="929" spans="12:17" ht="13">
      <c r="L929" s="5"/>
      <c r="M929" s="5"/>
      <c r="N929" s="5"/>
      <c r="O929" s="5"/>
      <c r="Q929" s="178"/>
    </row>
    <row r="930" spans="12:17" ht="13">
      <c r="L930" s="5"/>
      <c r="M930" s="5"/>
      <c r="N930" s="5"/>
      <c r="O930" s="5"/>
      <c r="Q930" s="178"/>
    </row>
    <row r="931" spans="12:17" ht="13">
      <c r="L931" s="5"/>
      <c r="M931" s="5"/>
      <c r="N931" s="5"/>
      <c r="O931" s="5"/>
      <c r="Q931" s="178"/>
    </row>
    <row r="932" spans="12:17" ht="13">
      <c r="L932" s="5"/>
      <c r="M932" s="5"/>
      <c r="N932" s="5"/>
      <c r="O932" s="5"/>
      <c r="Q932" s="178"/>
    </row>
    <row r="933" spans="12:17" ht="13">
      <c r="L933" s="5"/>
      <c r="M933" s="5"/>
      <c r="N933" s="5"/>
      <c r="O933" s="5"/>
      <c r="Q933" s="178"/>
    </row>
    <row r="934" spans="12:17" ht="13">
      <c r="L934" s="5"/>
      <c r="M934" s="5"/>
      <c r="N934" s="5"/>
      <c r="O934" s="5"/>
      <c r="Q934" s="178"/>
    </row>
    <row r="935" spans="12:17" ht="13">
      <c r="L935" s="5"/>
      <c r="M935" s="5"/>
      <c r="N935" s="5"/>
      <c r="O935" s="5"/>
      <c r="Q935" s="178"/>
    </row>
    <row r="936" spans="12:17" ht="13">
      <c r="L936" s="5"/>
      <c r="M936" s="5"/>
      <c r="N936" s="5"/>
      <c r="O936" s="5"/>
      <c r="Q936" s="178"/>
    </row>
    <row r="937" spans="12:17" ht="13">
      <c r="L937" s="5"/>
      <c r="M937" s="5"/>
      <c r="N937" s="5"/>
      <c r="O937" s="5"/>
      <c r="Q937" s="178"/>
    </row>
    <row r="938" spans="12:17" ht="13">
      <c r="L938" s="5"/>
      <c r="M938" s="5"/>
      <c r="N938" s="5"/>
      <c r="O938" s="5"/>
      <c r="Q938" s="178"/>
    </row>
    <row r="939" spans="12:17" ht="13">
      <c r="L939" s="5"/>
      <c r="M939" s="5"/>
      <c r="N939" s="5"/>
      <c r="O939" s="5"/>
      <c r="Q939" s="178"/>
    </row>
    <row r="940" spans="12:17" ht="13">
      <c r="L940" s="5"/>
      <c r="M940" s="5"/>
      <c r="N940" s="5"/>
      <c r="O940" s="5"/>
      <c r="Q940" s="178"/>
    </row>
    <row r="941" spans="12:17" ht="13">
      <c r="L941" s="5"/>
      <c r="M941" s="5"/>
      <c r="N941" s="5"/>
      <c r="O941" s="5"/>
      <c r="Q941" s="178"/>
    </row>
    <row r="942" spans="12:17" ht="13">
      <c r="L942" s="5"/>
      <c r="M942" s="5"/>
      <c r="N942" s="5"/>
      <c r="O942" s="5"/>
      <c r="Q942" s="178"/>
    </row>
    <row r="943" spans="12:17" ht="13">
      <c r="L943" s="5"/>
      <c r="M943" s="5"/>
      <c r="N943" s="5"/>
      <c r="O943" s="5"/>
      <c r="Q943" s="178"/>
    </row>
    <row r="944" spans="12:17" ht="13">
      <c r="L944" s="5"/>
      <c r="M944" s="5"/>
      <c r="N944" s="5"/>
      <c r="O944" s="5"/>
      <c r="Q944" s="178"/>
    </row>
    <row r="945" spans="12:17" ht="13">
      <c r="L945" s="5"/>
      <c r="M945" s="5"/>
      <c r="N945" s="5"/>
      <c r="O945" s="5"/>
      <c r="Q945" s="178"/>
    </row>
    <row r="946" spans="12:17" ht="13">
      <c r="L946" s="5"/>
      <c r="M946" s="5"/>
      <c r="N946" s="5"/>
      <c r="O946" s="5"/>
      <c r="Q946" s="178"/>
    </row>
    <row r="947" spans="12:17" ht="13">
      <c r="L947" s="5"/>
      <c r="M947" s="5"/>
      <c r="N947" s="5"/>
      <c r="O947" s="5"/>
      <c r="Q947" s="178"/>
    </row>
    <row r="948" spans="12:17" ht="13">
      <c r="L948" s="5"/>
      <c r="M948" s="5"/>
      <c r="N948" s="5"/>
      <c r="O948" s="5"/>
      <c r="Q948" s="178"/>
    </row>
    <row r="949" spans="12:17" ht="13">
      <c r="L949" s="5"/>
      <c r="M949" s="5"/>
      <c r="N949" s="5"/>
      <c r="O949" s="5"/>
      <c r="Q949" s="178"/>
    </row>
    <row r="950" spans="12:17" ht="13">
      <c r="L950" s="5"/>
      <c r="M950" s="5"/>
      <c r="N950" s="5"/>
      <c r="O950" s="5"/>
      <c r="Q950" s="178"/>
    </row>
    <row r="951" spans="12:17" ht="13">
      <c r="L951" s="5"/>
      <c r="M951" s="5"/>
      <c r="N951" s="5"/>
      <c r="O951" s="5"/>
      <c r="Q951" s="178"/>
    </row>
    <row r="952" spans="12:17" ht="13">
      <c r="L952" s="5"/>
      <c r="M952" s="5"/>
      <c r="N952" s="5"/>
      <c r="O952" s="5"/>
      <c r="Q952" s="178"/>
    </row>
    <row r="953" spans="12:17" ht="13">
      <c r="L953" s="5"/>
      <c r="M953" s="5"/>
      <c r="N953" s="5"/>
      <c r="O953" s="5"/>
      <c r="Q953" s="178"/>
    </row>
    <row r="954" spans="12:17" ht="13">
      <c r="L954" s="5"/>
      <c r="M954" s="5"/>
      <c r="N954" s="5"/>
      <c r="O954" s="5"/>
      <c r="Q954" s="178"/>
    </row>
    <row r="955" spans="12:17" ht="13">
      <c r="L955" s="5"/>
      <c r="M955" s="5"/>
      <c r="N955" s="5"/>
      <c r="O955" s="5"/>
      <c r="Q955" s="178"/>
    </row>
    <row r="956" spans="12:17" ht="13">
      <c r="L956" s="5"/>
      <c r="M956" s="5"/>
      <c r="N956" s="5"/>
      <c r="O956" s="5"/>
      <c r="Q956" s="178"/>
    </row>
    <row r="957" spans="12:17" ht="13">
      <c r="L957" s="5"/>
      <c r="M957" s="5"/>
      <c r="N957" s="5"/>
      <c r="O957" s="5"/>
      <c r="Q957" s="178"/>
    </row>
    <row r="958" spans="12:17" ht="13">
      <c r="L958" s="5"/>
      <c r="M958" s="5"/>
      <c r="N958" s="5"/>
      <c r="O958" s="5"/>
      <c r="Q958" s="178"/>
    </row>
    <row r="959" spans="12:17" ht="13">
      <c r="L959" s="5"/>
      <c r="M959" s="5"/>
      <c r="N959" s="5"/>
      <c r="O959" s="5"/>
      <c r="Q959" s="178"/>
    </row>
    <row r="960" spans="12:17" ht="13">
      <c r="L960" s="5"/>
      <c r="M960" s="5"/>
      <c r="N960" s="5"/>
      <c r="O960" s="5"/>
      <c r="Q960" s="178"/>
    </row>
    <row r="961" spans="12:17" ht="13">
      <c r="L961" s="5"/>
      <c r="M961" s="5"/>
      <c r="N961" s="5"/>
      <c r="O961" s="5"/>
      <c r="Q961" s="178"/>
    </row>
    <row r="962" spans="12:17" ht="13">
      <c r="L962" s="5"/>
      <c r="M962" s="5"/>
      <c r="N962" s="5"/>
      <c r="O962" s="5"/>
      <c r="Q962" s="178"/>
    </row>
    <row r="963" spans="12:17" ht="13">
      <c r="L963" s="5"/>
      <c r="M963" s="5"/>
      <c r="N963" s="5"/>
      <c r="O963" s="5"/>
      <c r="Q963" s="178"/>
    </row>
    <row r="964" spans="12:17" ht="13">
      <c r="L964" s="5"/>
      <c r="M964" s="5"/>
      <c r="N964" s="5"/>
      <c r="O964" s="5"/>
      <c r="Q964" s="178"/>
    </row>
    <row r="965" spans="12:17" ht="13">
      <c r="L965" s="5"/>
      <c r="M965" s="5"/>
      <c r="N965" s="5"/>
      <c r="O965" s="5"/>
      <c r="Q965" s="178"/>
    </row>
    <row r="966" spans="12:17" ht="13">
      <c r="L966" s="5"/>
      <c r="M966" s="5"/>
      <c r="N966" s="5"/>
      <c r="O966" s="5"/>
      <c r="Q966" s="178"/>
    </row>
    <row r="967" spans="12:17" ht="13">
      <c r="L967" s="5"/>
      <c r="M967" s="5"/>
      <c r="N967" s="5"/>
      <c r="O967" s="5"/>
      <c r="Q967" s="178"/>
    </row>
    <row r="968" spans="12:17" ht="13">
      <c r="L968" s="5"/>
      <c r="M968" s="5"/>
      <c r="N968" s="5"/>
      <c r="O968" s="5"/>
      <c r="Q968" s="178"/>
    </row>
    <row r="969" spans="12:17" ht="13">
      <c r="L969" s="5"/>
      <c r="M969" s="5"/>
      <c r="N969" s="5"/>
      <c r="O969" s="5"/>
      <c r="Q969" s="178"/>
    </row>
    <row r="970" spans="12:17" ht="13">
      <c r="L970" s="5"/>
      <c r="M970" s="5"/>
      <c r="N970" s="5"/>
      <c r="O970" s="5"/>
      <c r="Q970" s="178"/>
    </row>
    <row r="971" spans="12:17" ht="13">
      <c r="L971" s="5"/>
      <c r="M971" s="5"/>
      <c r="N971" s="5"/>
      <c r="O971" s="5"/>
      <c r="Q971" s="178"/>
    </row>
    <row r="972" spans="12:17" ht="13">
      <c r="L972" s="5"/>
      <c r="M972" s="5"/>
      <c r="N972" s="5"/>
      <c r="O972" s="5"/>
      <c r="Q972" s="178"/>
    </row>
    <row r="973" spans="12:17" ht="13">
      <c r="L973" s="5"/>
      <c r="M973" s="5"/>
      <c r="N973" s="5"/>
      <c r="O973" s="5"/>
      <c r="Q973" s="178"/>
    </row>
    <row r="974" spans="12:17" ht="13">
      <c r="L974" s="5"/>
      <c r="M974" s="5"/>
      <c r="N974" s="5"/>
      <c r="O974" s="5"/>
      <c r="Q974" s="178"/>
    </row>
    <row r="975" spans="12:17" ht="13">
      <c r="L975" s="5"/>
      <c r="M975" s="5"/>
      <c r="N975" s="5"/>
      <c r="O975" s="5"/>
      <c r="Q975" s="178"/>
    </row>
    <row r="976" spans="12:17" ht="13">
      <c r="L976" s="5"/>
      <c r="M976" s="5"/>
      <c r="N976" s="5"/>
      <c r="O976" s="5"/>
      <c r="Q976" s="178"/>
    </row>
    <row r="977" spans="12:17" ht="13">
      <c r="L977" s="5"/>
      <c r="M977" s="5"/>
      <c r="N977" s="5"/>
      <c r="O977" s="5"/>
      <c r="Q977" s="178"/>
    </row>
    <row r="978" spans="12:17" ht="13">
      <c r="L978" s="5"/>
      <c r="M978" s="5"/>
      <c r="N978" s="5"/>
      <c r="O978" s="5"/>
      <c r="Q978" s="178"/>
    </row>
    <row r="979" spans="12:17" ht="13">
      <c r="L979" s="5"/>
      <c r="M979" s="5"/>
      <c r="N979" s="5"/>
      <c r="O979" s="5"/>
      <c r="Q979" s="178"/>
    </row>
    <row r="980" spans="12:17" ht="13">
      <c r="L980" s="5"/>
      <c r="M980" s="5"/>
      <c r="N980" s="5"/>
      <c r="O980" s="5"/>
      <c r="Q980" s="178"/>
    </row>
    <row r="981" spans="12:17" ht="13">
      <c r="L981" s="5"/>
      <c r="M981" s="5"/>
      <c r="N981" s="5"/>
      <c r="O981" s="5"/>
      <c r="Q981" s="178"/>
    </row>
    <row r="982" spans="12:17" ht="13">
      <c r="L982" s="5"/>
      <c r="M982" s="5"/>
      <c r="N982" s="5"/>
      <c r="O982" s="5"/>
      <c r="Q982" s="178"/>
    </row>
    <row r="983" spans="12:17" ht="13">
      <c r="L983" s="5"/>
      <c r="M983" s="5"/>
      <c r="N983" s="5"/>
      <c r="O983" s="5"/>
      <c r="Q983" s="178"/>
    </row>
    <row r="984" spans="12:17" ht="13">
      <c r="L984" s="5"/>
      <c r="M984" s="5"/>
      <c r="N984" s="5"/>
      <c r="O984" s="5"/>
      <c r="Q984" s="178"/>
    </row>
    <row r="985" spans="12:17" ht="13">
      <c r="L985" s="5"/>
      <c r="M985" s="5"/>
      <c r="N985" s="5"/>
      <c r="O985" s="5"/>
      <c r="Q985" s="178"/>
    </row>
    <row r="986" spans="12:17" ht="13">
      <c r="L986" s="5"/>
      <c r="M986" s="5"/>
      <c r="N986" s="5"/>
      <c r="O986" s="5"/>
      <c r="Q986" s="178"/>
    </row>
    <row r="987" spans="12:17" ht="13">
      <c r="L987" s="5"/>
      <c r="M987" s="5"/>
      <c r="N987" s="5"/>
      <c r="O987" s="5"/>
      <c r="Q987" s="178"/>
    </row>
    <row r="988" spans="12:17" ht="13">
      <c r="L988" s="5"/>
      <c r="M988" s="5"/>
      <c r="N988" s="5"/>
      <c r="O988" s="5"/>
      <c r="Q988" s="178"/>
    </row>
    <row r="989" spans="12:17" ht="13">
      <c r="L989" s="5"/>
      <c r="M989" s="5"/>
      <c r="N989" s="5"/>
      <c r="O989" s="5"/>
      <c r="Q989" s="178"/>
    </row>
    <row r="990" spans="12:17" ht="13">
      <c r="L990" s="5"/>
      <c r="M990" s="5"/>
      <c r="N990" s="5"/>
      <c r="O990" s="5"/>
      <c r="Q990" s="178"/>
    </row>
    <row r="991" spans="12:17" ht="13">
      <c r="L991" s="5"/>
      <c r="M991" s="5"/>
      <c r="N991" s="5"/>
      <c r="O991" s="5"/>
      <c r="Q991" s="178"/>
    </row>
    <row r="992" spans="12:17" ht="13">
      <c r="L992" s="5"/>
      <c r="M992" s="5"/>
      <c r="N992" s="5"/>
      <c r="O992" s="5"/>
      <c r="Q992" s="178"/>
    </row>
    <row r="993" spans="12:17" ht="13">
      <c r="L993" s="5"/>
      <c r="M993" s="5"/>
      <c r="N993" s="5"/>
      <c r="O993" s="5"/>
      <c r="Q993" s="178"/>
    </row>
    <row r="994" spans="12:17" ht="13">
      <c r="L994" s="5"/>
      <c r="M994" s="5"/>
      <c r="N994" s="5"/>
      <c r="O994" s="5"/>
      <c r="Q994" s="178"/>
    </row>
    <row r="995" spans="12:17" ht="13">
      <c r="L995" s="5"/>
      <c r="M995" s="5"/>
      <c r="N995" s="5"/>
      <c r="O995" s="5"/>
      <c r="Q995" s="178"/>
    </row>
    <row r="996" spans="12:17" ht="13">
      <c r="L996" s="5"/>
      <c r="M996" s="5"/>
      <c r="N996" s="5"/>
      <c r="O996" s="5"/>
      <c r="Q996" s="178"/>
    </row>
    <row r="997" spans="12:17" ht="13">
      <c r="L997" s="5"/>
      <c r="M997" s="5"/>
      <c r="N997" s="5"/>
      <c r="O997" s="5"/>
      <c r="Q997" s="178"/>
    </row>
    <row r="998" spans="12:17" ht="13">
      <c r="L998" s="5"/>
      <c r="M998" s="5"/>
      <c r="N998" s="5"/>
      <c r="O998" s="5"/>
      <c r="Q998" s="178"/>
    </row>
    <row r="999" spans="12:17" ht="13">
      <c r="L999" s="5"/>
      <c r="M999" s="5"/>
      <c r="N999" s="5"/>
      <c r="O999" s="5"/>
      <c r="Q999" s="178"/>
    </row>
    <row r="1000" spans="12:17" ht="13">
      <c r="L1000" s="5"/>
      <c r="M1000" s="5"/>
      <c r="N1000" s="5"/>
      <c r="O1000" s="5"/>
      <c r="Q1000" s="178"/>
    </row>
    <row r="1001" spans="12:17" ht="13">
      <c r="L1001" s="5"/>
      <c r="M1001" s="5"/>
      <c r="N1001" s="5"/>
      <c r="O1001" s="5"/>
      <c r="Q1001" s="178"/>
    </row>
    <row r="1002" spans="12:17" ht="13">
      <c r="L1002" s="5"/>
      <c r="M1002" s="5"/>
      <c r="N1002" s="5"/>
      <c r="O1002" s="5"/>
      <c r="Q1002" s="178"/>
    </row>
    <row r="1003" spans="12:17" ht="13">
      <c r="L1003" s="5"/>
      <c r="M1003" s="5"/>
      <c r="N1003" s="5"/>
      <c r="O1003" s="5"/>
      <c r="Q1003" s="178"/>
    </row>
    <row r="1004" spans="12:17" ht="13">
      <c r="L1004" s="5"/>
      <c r="M1004" s="5"/>
      <c r="N1004" s="5"/>
      <c r="O1004" s="5"/>
      <c r="Q1004" s="178"/>
    </row>
    <row r="1005" spans="12:17" ht="13">
      <c r="L1005" s="5"/>
      <c r="M1005" s="5"/>
      <c r="N1005" s="5"/>
      <c r="O1005" s="5"/>
      <c r="Q1005" s="178"/>
    </row>
    <row r="1006" spans="12:17" ht="13">
      <c r="L1006" s="5"/>
      <c r="M1006" s="5"/>
      <c r="N1006" s="5"/>
      <c r="O1006" s="5"/>
      <c r="Q1006" s="178"/>
    </row>
    <row r="1007" spans="12:17" ht="13">
      <c r="L1007" s="5"/>
      <c r="M1007" s="5"/>
      <c r="N1007" s="5"/>
      <c r="O1007" s="5"/>
      <c r="Q1007" s="178"/>
    </row>
    <row r="1008" spans="12:17" ht="13">
      <c r="L1008" s="5"/>
      <c r="M1008" s="5"/>
      <c r="N1008" s="5"/>
      <c r="O1008" s="5"/>
      <c r="Q1008" s="178"/>
    </row>
    <row r="1009" spans="12:17" ht="13">
      <c r="L1009" s="5"/>
      <c r="M1009" s="5"/>
      <c r="N1009" s="5"/>
      <c r="O1009" s="5"/>
      <c r="Q1009" s="178"/>
    </row>
    <row r="1010" spans="12:17" ht="13">
      <c r="L1010" s="5"/>
      <c r="M1010" s="5"/>
      <c r="N1010" s="5"/>
      <c r="O1010" s="5"/>
      <c r="Q1010" s="178"/>
    </row>
    <row r="1011" spans="12:17" ht="13">
      <c r="L1011" s="5"/>
      <c r="M1011" s="5"/>
      <c r="N1011" s="5"/>
      <c r="O1011" s="5"/>
      <c r="Q1011" s="178"/>
    </row>
    <row r="1012" spans="12:17" ht="13">
      <c r="L1012" s="5"/>
      <c r="M1012" s="5"/>
      <c r="N1012" s="5"/>
      <c r="O1012" s="5"/>
      <c r="Q1012" s="178"/>
    </row>
    <row r="1013" spans="12:17" ht="13">
      <c r="L1013" s="5"/>
      <c r="M1013" s="5"/>
      <c r="N1013" s="5"/>
      <c r="O1013" s="5"/>
      <c r="Q1013" s="178"/>
    </row>
    <row r="1014" spans="12:17" ht="13">
      <c r="L1014" s="5"/>
      <c r="M1014" s="5"/>
      <c r="N1014" s="5"/>
      <c r="O1014" s="5"/>
      <c r="Q1014" s="178"/>
    </row>
    <row r="1015" spans="12:17" ht="13">
      <c r="L1015" s="5"/>
      <c r="M1015" s="5"/>
      <c r="N1015" s="5"/>
      <c r="O1015" s="5"/>
      <c r="Q1015" s="178"/>
    </row>
    <row r="1016" spans="12:17" ht="13">
      <c r="L1016" s="5"/>
      <c r="M1016" s="5"/>
      <c r="N1016" s="5"/>
      <c r="O1016" s="5"/>
      <c r="Q1016" s="178"/>
    </row>
    <row r="1017" spans="12:17" ht="13">
      <c r="L1017" s="5"/>
      <c r="M1017" s="5"/>
      <c r="N1017" s="5"/>
      <c r="O1017" s="5"/>
      <c r="Q1017" s="178"/>
    </row>
    <row r="1018" spans="12:17" ht="13">
      <c r="L1018" s="5"/>
      <c r="M1018" s="5"/>
      <c r="N1018" s="5"/>
      <c r="O1018" s="5"/>
      <c r="Q1018" s="178"/>
    </row>
    <row r="1019" spans="12:17" ht="13">
      <c r="L1019" s="5"/>
      <c r="M1019" s="5"/>
      <c r="N1019" s="5"/>
      <c r="O1019" s="5"/>
      <c r="Q1019" s="178"/>
    </row>
    <row r="1020" spans="12:17" ht="13">
      <c r="L1020" s="5"/>
      <c r="M1020" s="5"/>
      <c r="N1020" s="5"/>
      <c r="O1020" s="5"/>
      <c r="Q1020" s="178"/>
    </row>
    <row r="1021" spans="12:17" ht="13">
      <c r="L1021" s="5"/>
      <c r="M1021" s="5"/>
      <c r="N1021" s="5"/>
      <c r="O1021" s="5"/>
      <c r="Q1021" s="178"/>
    </row>
    <row r="1022" spans="12:17" ht="13">
      <c r="L1022" s="5"/>
      <c r="M1022" s="5"/>
      <c r="N1022" s="5"/>
      <c r="O1022" s="5"/>
      <c r="Q1022" s="178"/>
    </row>
    <row r="1023" spans="12:17" ht="13">
      <c r="L1023" s="5"/>
      <c r="M1023" s="5"/>
      <c r="N1023" s="5"/>
      <c r="O1023" s="5"/>
      <c r="Q1023" s="178"/>
    </row>
    <row r="1024" spans="12:17" ht="13">
      <c r="L1024" s="5"/>
      <c r="M1024" s="5"/>
      <c r="N1024" s="5"/>
      <c r="O1024" s="5"/>
      <c r="Q1024" s="178"/>
    </row>
    <row r="1025" spans="12:17" ht="13">
      <c r="L1025" s="5"/>
      <c r="M1025" s="5"/>
      <c r="N1025" s="5"/>
      <c r="O1025" s="5"/>
      <c r="Q1025" s="178"/>
    </row>
    <row r="1026" spans="12:17" ht="13">
      <c r="L1026" s="5"/>
      <c r="M1026" s="5"/>
      <c r="N1026" s="5"/>
      <c r="O1026" s="5"/>
      <c r="Q1026" s="178"/>
    </row>
    <row r="1027" spans="12:17" ht="13">
      <c r="L1027" s="5"/>
      <c r="M1027" s="5"/>
      <c r="N1027" s="5"/>
      <c r="O1027" s="5"/>
      <c r="Q1027" s="178"/>
    </row>
    <row r="1028" spans="12:17" ht="13">
      <c r="L1028" s="5"/>
      <c r="M1028" s="5"/>
      <c r="N1028" s="5"/>
      <c r="O1028" s="5"/>
      <c r="Q1028" s="178"/>
    </row>
    <row r="1029" spans="12:17" ht="13">
      <c r="L1029" s="5"/>
      <c r="M1029" s="5"/>
      <c r="N1029" s="5"/>
      <c r="O1029" s="5"/>
      <c r="Q1029" s="178"/>
    </row>
    <row r="1030" spans="12:17" ht="13">
      <c r="L1030" s="5"/>
      <c r="M1030" s="5"/>
      <c r="N1030" s="5"/>
      <c r="O1030" s="5"/>
      <c r="Q1030" s="178"/>
    </row>
    <row r="1031" spans="12:17" ht="13">
      <c r="L1031" s="5"/>
      <c r="M1031" s="5"/>
      <c r="N1031" s="5"/>
      <c r="O1031" s="5"/>
      <c r="Q1031" s="178"/>
    </row>
    <row r="1032" spans="12:17" ht="13">
      <c r="L1032" s="5"/>
      <c r="M1032" s="5"/>
      <c r="N1032" s="5"/>
      <c r="O1032" s="5"/>
      <c r="Q1032" s="178"/>
    </row>
    <row r="1033" spans="12:17" ht="13">
      <c r="L1033" s="5"/>
      <c r="M1033" s="5"/>
      <c r="N1033" s="5"/>
      <c r="O1033" s="5"/>
      <c r="Q1033" s="178"/>
    </row>
    <row r="1034" spans="12:17" ht="13">
      <c r="L1034" s="5"/>
      <c r="M1034" s="5"/>
      <c r="N1034" s="5"/>
      <c r="O1034" s="5"/>
      <c r="Q1034" s="178"/>
    </row>
    <row r="1035" spans="12:17" ht="13">
      <c r="L1035" s="5"/>
      <c r="M1035" s="5"/>
      <c r="N1035" s="5"/>
      <c r="O1035" s="5"/>
      <c r="Q1035" s="178"/>
    </row>
    <row r="1036" spans="12:17" ht="13">
      <c r="L1036" s="5"/>
      <c r="M1036" s="5"/>
      <c r="N1036" s="5"/>
      <c r="O1036" s="5"/>
      <c r="Q1036" s="178"/>
    </row>
    <row r="1037" spans="12:17" ht="13">
      <c r="L1037" s="5"/>
      <c r="M1037" s="5"/>
      <c r="N1037" s="5"/>
      <c r="O1037" s="5"/>
      <c r="Q1037" s="178"/>
    </row>
    <row r="1038" spans="12:17" ht="13">
      <c r="L1038" s="5"/>
      <c r="M1038" s="5"/>
      <c r="N1038" s="5"/>
      <c r="O1038" s="5"/>
      <c r="Q1038" s="178"/>
    </row>
    <row r="1039" spans="12:17" ht="13">
      <c r="L1039" s="5"/>
      <c r="M1039" s="5"/>
      <c r="N1039" s="5"/>
      <c r="O1039" s="5"/>
      <c r="Q1039" s="178"/>
    </row>
    <row r="1040" spans="12:17" ht="13">
      <c r="L1040" s="5"/>
      <c r="M1040" s="5"/>
      <c r="N1040" s="5"/>
      <c r="O1040" s="5"/>
      <c r="Q1040" s="178"/>
    </row>
    <row r="1041" spans="12:17" ht="13">
      <c r="L1041" s="5"/>
      <c r="M1041" s="5"/>
      <c r="N1041" s="5"/>
      <c r="O1041" s="5"/>
      <c r="Q1041" s="178"/>
    </row>
    <row r="1042" spans="12:17" ht="13">
      <c r="L1042" s="5"/>
      <c r="M1042" s="5"/>
      <c r="N1042" s="5"/>
      <c r="O1042" s="5"/>
      <c r="Q1042" s="178"/>
    </row>
    <row r="1043" spans="12:17" ht="13">
      <c r="L1043" s="5"/>
      <c r="M1043" s="5"/>
      <c r="N1043" s="5"/>
      <c r="O1043" s="5"/>
      <c r="Q1043" s="178"/>
    </row>
    <row r="1044" spans="12:17" ht="13">
      <c r="L1044" s="5"/>
      <c r="M1044" s="5"/>
      <c r="N1044" s="5"/>
      <c r="O1044" s="5"/>
      <c r="Q1044" s="178"/>
    </row>
    <row r="1045" spans="12:17" ht="13">
      <c r="L1045" s="5"/>
      <c r="M1045" s="5"/>
      <c r="N1045" s="5"/>
      <c r="O1045" s="5"/>
      <c r="Q1045" s="178"/>
    </row>
    <row r="1046" spans="12:17" ht="13">
      <c r="L1046" s="5"/>
      <c r="M1046" s="5"/>
      <c r="N1046" s="5"/>
      <c r="O1046" s="5"/>
      <c r="Q1046" s="178"/>
    </row>
    <row r="1047" spans="12:17" ht="13">
      <c r="L1047" s="5"/>
      <c r="M1047" s="5"/>
      <c r="N1047" s="5"/>
      <c r="O1047" s="5"/>
      <c r="Q1047" s="178"/>
    </row>
    <row r="1048" spans="12:17" ht="13">
      <c r="L1048" s="5"/>
      <c r="M1048" s="5"/>
      <c r="N1048" s="5"/>
      <c r="O1048" s="5"/>
      <c r="Q1048" s="178"/>
    </row>
    <row r="1049" spans="12:17" ht="13">
      <c r="L1049" s="5"/>
      <c r="M1049" s="5"/>
      <c r="N1049" s="5"/>
      <c r="O1049" s="5"/>
      <c r="Q1049" s="178"/>
    </row>
    <row r="1050" spans="12:17" ht="13">
      <c r="L1050" s="5"/>
      <c r="M1050" s="5"/>
      <c r="N1050" s="5"/>
      <c r="O1050" s="5"/>
      <c r="Q1050" s="178"/>
    </row>
    <row r="1051" spans="12:17" ht="13">
      <c r="L1051" s="5"/>
      <c r="M1051" s="5"/>
      <c r="N1051" s="5"/>
      <c r="O1051" s="5"/>
      <c r="Q1051" s="178"/>
    </row>
    <row r="1052" spans="12:17" ht="13">
      <c r="L1052" s="5"/>
      <c r="M1052" s="5"/>
      <c r="N1052" s="5"/>
      <c r="O1052" s="5"/>
      <c r="Q1052" s="178"/>
    </row>
    <row r="1053" spans="12:17" ht="13">
      <c r="L1053" s="5"/>
      <c r="M1053" s="5"/>
      <c r="N1053" s="5"/>
      <c r="O1053" s="5"/>
      <c r="Q1053" s="178"/>
    </row>
    <row r="1054" spans="12:17" ht="13">
      <c r="L1054" s="5"/>
      <c r="M1054" s="5"/>
      <c r="N1054" s="5"/>
      <c r="O1054" s="5"/>
      <c r="Q1054" s="178"/>
    </row>
    <row r="1055" spans="12:17" ht="13">
      <c r="L1055" s="5"/>
      <c r="M1055" s="5"/>
      <c r="N1055" s="5"/>
      <c r="O1055" s="5"/>
      <c r="Q1055" s="178"/>
    </row>
    <row r="1056" spans="12:17" ht="13">
      <c r="L1056" s="5"/>
      <c r="M1056" s="5"/>
      <c r="N1056" s="5"/>
      <c r="O1056" s="5"/>
      <c r="Q1056" s="178"/>
    </row>
    <row r="1057" spans="12:17" ht="13">
      <c r="L1057" s="5"/>
      <c r="M1057" s="5"/>
      <c r="N1057" s="5"/>
      <c r="O1057" s="5"/>
      <c r="Q1057" s="178"/>
    </row>
    <row r="1058" spans="12:17" ht="13">
      <c r="L1058" s="5"/>
      <c r="M1058" s="5"/>
      <c r="N1058" s="5"/>
      <c r="O1058" s="5"/>
      <c r="Q1058" s="178"/>
    </row>
    <row r="1059" spans="12:17" ht="13">
      <c r="L1059" s="5"/>
      <c r="M1059" s="5"/>
      <c r="N1059" s="5"/>
      <c r="O1059" s="5"/>
      <c r="Q1059" s="178"/>
    </row>
    <row r="1060" spans="12:17" ht="13">
      <c r="L1060" s="5"/>
      <c r="M1060" s="5"/>
      <c r="N1060" s="5"/>
      <c r="O1060" s="5"/>
      <c r="Q1060" s="178"/>
    </row>
    <row r="1061" spans="12:17" ht="13">
      <c r="L1061" s="5"/>
      <c r="M1061" s="5"/>
      <c r="N1061" s="5"/>
      <c r="O1061" s="5"/>
      <c r="Q1061" s="178"/>
    </row>
    <row r="1062" spans="12:17" ht="13">
      <c r="L1062" s="5"/>
      <c r="M1062" s="5"/>
      <c r="N1062" s="5"/>
      <c r="O1062" s="5"/>
      <c r="Q1062" s="178"/>
    </row>
    <row r="1063" spans="12:17" ht="13">
      <c r="L1063" s="5"/>
      <c r="M1063" s="5"/>
      <c r="N1063" s="5"/>
      <c r="O1063" s="5"/>
      <c r="Q1063" s="178"/>
    </row>
    <row r="1064" spans="12:17" ht="13">
      <c r="L1064" s="5"/>
      <c r="M1064" s="5"/>
      <c r="N1064" s="5"/>
      <c r="O1064" s="5"/>
      <c r="Q1064" s="178"/>
    </row>
    <row r="1065" spans="12:17" ht="13">
      <c r="L1065" s="5"/>
      <c r="M1065" s="5"/>
      <c r="N1065" s="5"/>
      <c r="O1065" s="5"/>
      <c r="Q1065" s="178"/>
    </row>
    <row r="1066" spans="12:17" ht="13">
      <c r="L1066" s="5"/>
      <c r="M1066" s="5"/>
      <c r="N1066" s="5"/>
      <c r="O1066" s="5"/>
      <c r="Q1066" s="178"/>
    </row>
    <row r="1067" spans="12:17" ht="13">
      <c r="L1067" s="5"/>
      <c r="M1067" s="5"/>
      <c r="N1067" s="5"/>
      <c r="O1067" s="5"/>
      <c r="Q1067" s="178"/>
    </row>
    <row r="1068" spans="12:17" ht="13">
      <c r="L1068" s="5"/>
      <c r="M1068" s="5"/>
      <c r="N1068" s="5"/>
      <c r="O1068" s="5"/>
      <c r="Q1068" s="178"/>
    </row>
    <row r="1069" spans="12:17" ht="13">
      <c r="L1069" s="5"/>
      <c r="M1069" s="5"/>
      <c r="N1069" s="5"/>
      <c r="O1069" s="5"/>
      <c r="Q1069" s="178"/>
    </row>
    <row r="1070" spans="12:17" ht="13">
      <c r="L1070" s="5"/>
      <c r="M1070" s="5"/>
      <c r="N1070" s="5"/>
      <c r="O1070" s="5"/>
      <c r="Q1070" s="178"/>
    </row>
    <row r="1071" spans="12:17" ht="13">
      <c r="L1071" s="5"/>
      <c r="M1071" s="5"/>
      <c r="N1071" s="5"/>
      <c r="O1071" s="5"/>
      <c r="Q1071" s="178"/>
    </row>
    <row r="1072" spans="12:17" ht="13">
      <c r="L1072" s="5"/>
      <c r="M1072" s="5"/>
      <c r="N1072" s="5"/>
      <c r="O1072" s="5"/>
      <c r="Q1072" s="178"/>
    </row>
    <row r="1073" spans="12:17" ht="13">
      <c r="L1073" s="5"/>
      <c r="M1073" s="5"/>
      <c r="N1073" s="5"/>
      <c r="O1073" s="5"/>
      <c r="Q1073" s="178"/>
    </row>
    <row r="1074" spans="12:17" ht="13">
      <c r="L1074" s="5"/>
      <c r="M1074" s="5"/>
      <c r="N1074" s="5"/>
      <c r="O1074" s="5"/>
      <c r="Q1074" s="178"/>
    </row>
    <row r="1075" spans="12:17" ht="13">
      <c r="L1075" s="5"/>
      <c r="M1075" s="5"/>
      <c r="N1075" s="5"/>
      <c r="O1075" s="5"/>
      <c r="Q1075" s="178"/>
    </row>
    <row r="1076" spans="12:17" ht="13">
      <c r="L1076" s="5"/>
      <c r="M1076" s="5"/>
      <c r="N1076" s="5"/>
      <c r="O1076" s="5"/>
      <c r="Q1076" s="178"/>
    </row>
    <row r="1077" spans="12:17" ht="13">
      <c r="L1077" s="5"/>
      <c r="M1077" s="5"/>
      <c r="N1077" s="5"/>
      <c r="O1077" s="5"/>
      <c r="Q1077" s="178"/>
    </row>
    <row r="1078" spans="12:17" ht="13">
      <c r="L1078" s="5"/>
      <c r="M1078" s="5"/>
      <c r="N1078" s="5"/>
      <c r="O1078" s="5"/>
      <c r="Q1078" s="178"/>
    </row>
    <row r="1079" spans="12:17" ht="13">
      <c r="L1079" s="5"/>
      <c r="M1079" s="5"/>
      <c r="N1079" s="5"/>
      <c r="O1079" s="5"/>
      <c r="Q1079" s="178"/>
    </row>
    <row r="1080" spans="12:17" ht="13">
      <c r="L1080" s="5"/>
      <c r="M1080" s="5"/>
      <c r="N1080" s="5"/>
      <c r="O1080" s="5"/>
      <c r="Q1080" s="178"/>
    </row>
    <row r="1081" spans="12:17" ht="13">
      <c r="L1081" s="5"/>
      <c r="M1081" s="5"/>
      <c r="N1081" s="5"/>
      <c r="O1081" s="5"/>
      <c r="Q1081" s="178"/>
    </row>
    <row r="1082" spans="12:17" ht="13">
      <c r="L1082" s="5"/>
      <c r="M1082" s="5"/>
      <c r="N1082" s="5"/>
      <c r="O1082" s="5"/>
      <c r="Q1082" s="178"/>
    </row>
    <row r="1083" spans="12:17" ht="13">
      <c r="L1083" s="5"/>
      <c r="M1083" s="5"/>
      <c r="N1083" s="5"/>
      <c r="O1083" s="5"/>
      <c r="Q1083" s="178"/>
    </row>
    <row r="1084" spans="12:17" ht="13">
      <c r="L1084" s="5"/>
      <c r="M1084" s="5"/>
      <c r="N1084" s="5"/>
      <c r="O1084" s="5"/>
      <c r="Q1084" s="178"/>
    </row>
    <row r="1085" spans="12:17" ht="13">
      <c r="L1085" s="5"/>
      <c r="M1085" s="5"/>
      <c r="N1085" s="5"/>
      <c r="O1085" s="5"/>
      <c r="Q1085" s="178"/>
    </row>
    <row r="1086" spans="12:17" ht="13">
      <c r="L1086" s="5"/>
      <c r="M1086" s="5"/>
      <c r="N1086" s="5"/>
      <c r="O1086" s="5"/>
      <c r="Q1086" s="178"/>
    </row>
    <row r="1087" spans="12:17" ht="13">
      <c r="L1087" s="5"/>
      <c r="M1087" s="5"/>
      <c r="N1087" s="5"/>
      <c r="O1087" s="5"/>
      <c r="Q1087" s="178"/>
    </row>
    <row r="1088" spans="12:17" ht="13">
      <c r="L1088" s="5"/>
      <c r="M1088" s="5"/>
      <c r="N1088" s="5"/>
      <c r="O1088" s="5"/>
      <c r="Q1088" s="178"/>
    </row>
    <row r="1089" spans="12:17" ht="13">
      <c r="L1089" s="5"/>
      <c r="M1089" s="5"/>
      <c r="N1089" s="5"/>
      <c r="O1089" s="5"/>
      <c r="Q1089" s="178"/>
    </row>
    <row r="1090" spans="12:17" ht="13">
      <c r="L1090" s="5"/>
      <c r="M1090" s="5"/>
      <c r="N1090" s="5"/>
      <c r="O1090" s="5"/>
      <c r="Q1090" s="178"/>
    </row>
    <row r="1091" spans="12:17" ht="13">
      <c r="L1091" s="5"/>
      <c r="M1091" s="5"/>
      <c r="N1091" s="5"/>
      <c r="O1091" s="5"/>
      <c r="Q1091" s="178"/>
    </row>
    <row r="1092" spans="12:17" ht="13">
      <c r="L1092" s="5"/>
      <c r="M1092" s="5"/>
      <c r="N1092" s="5"/>
      <c r="O1092" s="5"/>
      <c r="Q1092" s="178"/>
    </row>
    <row r="1093" spans="12:17" ht="13">
      <c r="L1093" s="5"/>
      <c r="M1093" s="5"/>
      <c r="N1093" s="5"/>
      <c r="O1093" s="5"/>
      <c r="Q1093" s="178"/>
    </row>
    <row r="1094" spans="12:17" ht="13">
      <c r="L1094" s="5"/>
      <c r="M1094" s="5"/>
      <c r="N1094" s="5"/>
      <c r="O1094" s="5"/>
      <c r="Q1094" s="178"/>
    </row>
    <row r="1095" spans="12:17" ht="13">
      <c r="L1095" s="5"/>
      <c r="M1095" s="5"/>
      <c r="N1095" s="5"/>
      <c r="O1095" s="5"/>
      <c r="Q1095" s="178"/>
    </row>
    <row r="1096" spans="12:17" ht="13">
      <c r="L1096" s="5"/>
      <c r="M1096" s="5"/>
      <c r="N1096" s="5"/>
      <c r="O1096" s="5"/>
      <c r="Q1096" s="178"/>
    </row>
    <row r="1097" spans="12:17" ht="13">
      <c r="L1097" s="5"/>
      <c r="M1097" s="5"/>
      <c r="N1097" s="5"/>
      <c r="O1097" s="5"/>
      <c r="Q1097" s="178"/>
    </row>
    <row r="1098" spans="12:17" ht="13">
      <c r="L1098" s="5"/>
      <c r="M1098" s="5"/>
      <c r="N1098" s="5"/>
      <c r="O1098" s="5"/>
      <c r="Q1098" s="178"/>
    </row>
    <row r="1099" spans="12:17" ht="13">
      <c r="L1099" s="5"/>
      <c r="M1099" s="5"/>
      <c r="N1099" s="5"/>
      <c r="O1099" s="5"/>
      <c r="Q1099" s="178"/>
    </row>
    <row r="1100" spans="12:17" ht="13">
      <c r="L1100" s="5"/>
      <c r="M1100" s="5"/>
      <c r="N1100" s="5"/>
      <c r="O1100" s="5"/>
      <c r="Q1100" s="178"/>
    </row>
    <row r="1101" spans="12:17" ht="13">
      <c r="L1101" s="5"/>
      <c r="M1101" s="5"/>
      <c r="N1101" s="5"/>
      <c r="O1101" s="5"/>
      <c r="Q1101" s="178"/>
    </row>
    <row r="1102" spans="12:17" ht="13">
      <c r="L1102" s="5"/>
      <c r="M1102" s="5"/>
      <c r="N1102" s="5"/>
      <c r="O1102" s="5"/>
      <c r="Q1102" s="178"/>
    </row>
    <row r="1103" spans="12:17" ht="13">
      <c r="L1103" s="5"/>
      <c r="M1103" s="5"/>
      <c r="N1103" s="5"/>
      <c r="O1103" s="5"/>
      <c r="Q1103" s="178"/>
    </row>
    <row r="1104" spans="12:17" ht="13">
      <c r="L1104" s="5"/>
      <c r="M1104" s="5"/>
      <c r="N1104" s="5"/>
      <c r="O1104" s="5"/>
      <c r="Q1104" s="178"/>
    </row>
    <row r="1105" spans="12:17" ht="13">
      <c r="L1105" s="5"/>
      <c r="M1105" s="5"/>
      <c r="N1105" s="5"/>
      <c r="O1105" s="5"/>
      <c r="Q1105" s="178"/>
    </row>
    <row r="1106" spans="12:17" ht="13">
      <c r="L1106" s="5"/>
      <c r="M1106" s="5"/>
      <c r="N1106" s="5"/>
      <c r="O1106" s="5"/>
      <c r="Q1106" s="178"/>
    </row>
    <row r="1107" spans="12:17" ht="13">
      <c r="L1107" s="5"/>
      <c r="M1107" s="5"/>
      <c r="N1107" s="5"/>
      <c r="O1107" s="5"/>
      <c r="Q1107" s="178"/>
    </row>
    <row r="1108" spans="12:17" ht="13">
      <c r="L1108" s="5"/>
      <c r="M1108" s="5"/>
      <c r="N1108" s="5"/>
      <c r="O1108" s="5"/>
      <c r="Q1108" s="178"/>
    </row>
    <row r="1109" spans="12:17" ht="13">
      <c r="L1109" s="5"/>
      <c r="M1109" s="5"/>
      <c r="N1109" s="5"/>
      <c r="O1109" s="5"/>
      <c r="Q1109" s="178"/>
    </row>
    <row r="1110" spans="12:17" ht="13">
      <c r="L1110" s="5"/>
      <c r="M1110" s="5"/>
      <c r="N1110" s="5"/>
      <c r="O1110" s="5"/>
      <c r="Q1110" s="178"/>
    </row>
    <row r="1111" spans="12:17" ht="13">
      <c r="L1111" s="5"/>
      <c r="M1111" s="5"/>
      <c r="N1111" s="5"/>
      <c r="O1111" s="5"/>
      <c r="Q1111" s="178"/>
    </row>
    <row r="1112" spans="12:17" ht="13">
      <c r="L1112" s="5"/>
      <c r="M1112" s="5"/>
      <c r="N1112" s="5"/>
      <c r="O1112" s="5"/>
      <c r="Q1112" s="178"/>
    </row>
    <row r="1113" spans="12:17" ht="13">
      <c r="L1113" s="5"/>
      <c r="M1113" s="5"/>
      <c r="N1113" s="5"/>
      <c r="O1113" s="5"/>
      <c r="Q1113" s="178"/>
    </row>
    <row r="1114" spans="12:17" ht="13">
      <c r="L1114" s="5"/>
      <c r="M1114" s="5"/>
      <c r="N1114" s="5"/>
      <c r="O1114" s="5"/>
      <c r="Q1114" s="178"/>
    </row>
    <row r="1115" spans="12:17" ht="13">
      <c r="L1115" s="5"/>
      <c r="M1115" s="5"/>
      <c r="N1115" s="5"/>
      <c r="O1115" s="5"/>
      <c r="Q1115" s="178"/>
    </row>
    <row r="1116" spans="12:17" ht="13">
      <c r="L1116" s="5"/>
      <c r="M1116" s="5"/>
      <c r="N1116" s="5"/>
      <c r="O1116" s="5"/>
      <c r="Q1116" s="178"/>
    </row>
    <row r="1117" spans="12:17" ht="13">
      <c r="L1117" s="5"/>
      <c r="M1117" s="5"/>
      <c r="N1117" s="5"/>
      <c r="O1117" s="5"/>
      <c r="Q1117" s="178"/>
    </row>
    <row r="1118" spans="12:17" ht="13">
      <c r="L1118" s="5"/>
      <c r="M1118" s="5"/>
      <c r="N1118" s="5"/>
      <c r="O1118" s="5"/>
      <c r="Q1118" s="178"/>
    </row>
    <row r="1119" spans="12:17" ht="13">
      <c r="L1119" s="5"/>
      <c r="M1119" s="5"/>
      <c r="N1119" s="5"/>
      <c r="O1119" s="5"/>
      <c r="Q1119" s="178"/>
    </row>
    <row r="1120" spans="12:17" ht="13">
      <c r="L1120" s="5"/>
      <c r="M1120" s="5"/>
      <c r="N1120" s="5"/>
      <c r="O1120" s="5"/>
      <c r="Q1120" s="178"/>
    </row>
    <row r="1121" spans="12:17" ht="13">
      <c r="L1121" s="5"/>
      <c r="M1121" s="5"/>
      <c r="N1121" s="5"/>
      <c r="O1121" s="5"/>
      <c r="Q1121" s="178"/>
    </row>
    <row r="1122" spans="12:17" ht="13">
      <c r="L1122" s="5"/>
      <c r="M1122" s="5"/>
      <c r="N1122" s="5"/>
      <c r="O1122" s="5"/>
      <c r="Q1122" s="178"/>
    </row>
    <row r="1123" spans="12:17" ht="13">
      <c r="L1123" s="5"/>
      <c r="M1123" s="5"/>
      <c r="N1123" s="5"/>
      <c r="O1123" s="5"/>
      <c r="Q1123" s="178"/>
    </row>
    <row r="1124" spans="12:17" ht="13">
      <c r="L1124" s="5"/>
      <c r="M1124" s="5"/>
      <c r="N1124" s="5"/>
      <c r="O1124" s="5"/>
      <c r="Q1124" s="178"/>
    </row>
    <row r="1125" spans="12:17" ht="13">
      <c r="L1125" s="5"/>
      <c r="M1125" s="5"/>
      <c r="N1125" s="5"/>
      <c r="O1125" s="5"/>
      <c r="Q1125" s="178"/>
    </row>
    <row r="1126" spans="12:17" ht="13">
      <c r="L1126" s="5"/>
      <c r="M1126" s="5"/>
      <c r="N1126" s="5"/>
      <c r="O1126" s="5"/>
      <c r="Q1126" s="178"/>
    </row>
    <row r="1127" spans="12:17" ht="13">
      <c r="L1127" s="5"/>
      <c r="M1127" s="5"/>
      <c r="N1127" s="5"/>
      <c r="O1127" s="5"/>
      <c r="Q1127" s="178"/>
    </row>
    <row r="1128" spans="12:17" ht="13">
      <c r="L1128" s="5"/>
      <c r="M1128" s="5"/>
      <c r="N1128" s="5"/>
      <c r="O1128" s="5"/>
      <c r="Q1128" s="178"/>
    </row>
    <row r="1129" spans="12:17" ht="13">
      <c r="L1129" s="5"/>
      <c r="M1129" s="5"/>
      <c r="N1129" s="5"/>
      <c r="O1129" s="5"/>
      <c r="Q1129" s="178"/>
    </row>
    <row r="1130" spans="12:17" ht="13">
      <c r="L1130" s="5"/>
      <c r="M1130" s="5"/>
      <c r="N1130" s="5"/>
      <c r="O1130" s="5"/>
      <c r="Q1130" s="178"/>
    </row>
    <row r="1131" spans="12:17" ht="13">
      <c r="L1131" s="5"/>
      <c r="M1131" s="5"/>
      <c r="N1131" s="5"/>
      <c r="O1131" s="5"/>
      <c r="Q1131" s="178"/>
    </row>
    <row r="1132" spans="12:17" ht="13">
      <c r="L1132" s="5"/>
      <c r="M1132" s="5"/>
      <c r="N1132" s="5"/>
      <c r="O1132" s="5"/>
      <c r="Q1132" s="178"/>
    </row>
    <row r="1133" spans="12:17" ht="13">
      <c r="L1133" s="5"/>
      <c r="M1133" s="5"/>
      <c r="N1133" s="5"/>
      <c r="O1133" s="5"/>
      <c r="Q1133" s="178"/>
    </row>
    <row r="1134" spans="12:17" ht="13">
      <c r="L1134" s="5"/>
      <c r="M1134" s="5"/>
      <c r="N1134" s="5"/>
      <c r="O1134" s="5"/>
      <c r="Q1134" s="178"/>
    </row>
    <row r="1135" spans="12:17" ht="13">
      <c r="L1135" s="5"/>
      <c r="M1135" s="5"/>
      <c r="N1135" s="5"/>
      <c r="O1135" s="5"/>
      <c r="Q1135" s="178"/>
    </row>
    <row r="1136" spans="12:17" ht="13">
      <c r="L1136" s="5"/>
      <c r="M1136" s="5"/>
      <c r="N1136" s="5"/>
      <c r="O1136" s="5"/>
      <c r="Q1136" s="178"/>
    </row>
    <row r="1137" spans="12:17" ht="13">
      <c r="L1137" s="5"/>
      <c r="M1137" s="5"/>
      <c r="N1137" s="5"/>
      <c r="O1137" s="5"/>
      <c r="Q1137" s="178"/>
    </row>
    <row r="1138" spans="12:17" ht="13">
      <c r="L1138" s="5"/>
      <c r="M1138" s="5"/>
      <c r="N1138" s="5"/>
      <c r="O1138" s="5"/>
      <c r="Q1138" s="178"/>
    </row>
    <row r="1139" spans="12:17" ht="13">
      <c r="L1139" s="5"/>
      <c r="M1139" s="5"/>
      <c r="N1139" s="5"/>
      <c r="O1139" s="5"/>
      <c r="Q1139" s="178"/>
    </row>
    <row r="1140" spans="12:17" ht="13">
      <c r="L1140" s="5"/>
      <c r="M1140" s="5"/>
      <c r="N1140" s="5"/>
      <c r="O1140" s="5"/>
      <c r="Q1140" s="178"/>
    </row>
    <row r="1141" spans="12:17" ht="13">
      <c r="L1141" s="5"/>
      <c r="M1141" s="5"/>
      <c r="N1141" s="5"/>
      <c r="O1141" s="5"/>
      <c r="Q1141" s="178"/>
    </row>
    <row r="1142" spans="12:17" ht="13">
      <c r="L1142" s="5"/>
      <c r="M1142" s="5"/>
      <c r="N1142" s="5"/>
      <c r="O1142" s="5"/>
      <c r="Q1142" s="178"/>
    </row>
    <row r="1143" spans="12:17" ht="13">
      <c r="L1143" s="5"/>
      <c r="M1143" s="5"/>
      <c r="N1143" s="5"/>
      <c r="O1143" s="5"/>
      <c r="Q1143" s="178"/>
    </row>
    <row r="1144" spans="12:17" ht="13">
      <c r="L1144" s="5"/>
      <c r="M1144" s="5"/>
      <c r="N1144" s="5"/>
      <c r="O1144" s="5"/>
      <c r="Q1144" s="178"/>
    </row>
    <row r="1145" spans="12:17" ht="13">
      <c r="L1145" s="5"/>
      <c r="M1145" s="5"/>
      <c r="N1145" s="5"/>
      <c r="O1145" s="5"/>
      <c r="Q1145" s="178"/>
    </row>
    <row r="1146" spans="12:17" ht="13">
      <c r="L1146" s="5"/>
      <c r="M1146" s="5"/>
      <c r="N1146" s="5"/>
      <c r="O1146" s="5"/>
      <c r="Q1146" s="178"/>
    </row>
    <row r="1147" spans="12:17" ht="13">
      <c r="L1147" s="5"/>
      <c r="M1147" s="5"/>
      <c r="N1147" s="5"/>
      <c r="O1147" s="5"/>
      <c r="Q1147" s="178"/>
    </row>
    <row r="1148" spans="12:17" ht="13">
      <c r="L1148" s="5"/>
      <c r="M1148" s="5"/>
      <c r="N1148" s="5"/>
      <c r="O1148" s="5"/>
      <c r="Q1148" s="178"/>
    </row>
    <row r="1149" spans="12:17" ht="13">
      <c r="L1149" s="5"/>
      <c r="M1149" s="5"/>
      <c r="N1149" s="5"/>
      <c r="O1149" s="5"/>
      <c r="Q1149" s="178"/>
    </row>
    <row r="1150" spans="12:17" ht="13">
      <c r="L1150" s="5"/>
      <c r="M1150" s="5"/>
      <c r="N1150" s="5"/>
      <c r="O1150" s="5"/>
      <c r="Q1150" s="178"/>
    </row>
    <row r="1151" spans="12:17" ht="13">
      <c r="L1151" s="5"/>
      <c r="M1151" s="5"/>
      <c r="N1151" s="5"/>
      <c r="O1151" s="5"/>
      <c r="Q1151" s="178"/>
    </row>
    <row r="1152" spans="12:17" ht="13">
      <c r="L1152" s="5"/>
      <c r="M1152" s="5"/>
      <c r="N1152" s="5"/>
      <c r="O1152" s="5"/>
      <c r="Q1152" s="178"/>
    </row>
    <row r="1153" spans="12:17" ht="13">
      <c r="L1153" s="5"/>
      <c r="M1153" s="5"/>
      <c r="N1153" s="5"/>
      <c r="O1153" s="5"/>
      <c r="Q1153" s="178"/>
    </row>
    <row r="1154" spans="12:17" ht="13">
      <c r="L1154" s="5"/>
      <c r="M1154" s="5"/>
      <c r="N1154" s="5"/>
      <c r="O1154" s="5"/>
      <c r="Q1154" s="178"/>
    </row>
    <row r="1155" spans="12:17" ht="13">
      <c r="L1155" s="5"/>
      <c r="M1155" s="5"/>
      <c r="N1155" s="5"/>
      <c r="O1155" s="5"/>
      <c r="Q1155" s="178"/>
    </row>
    <row r="1156" spans="12:17" ht="13">
      <c r="L1156" s="5"/>
      <c r="M1156" s="5"/>
      <c r="N1156" s="5"/>
      <c r="O1156" s="5"/>
      <c r="Q1156" s="178"/>
    </row>
    <row r="1157" spans="12:17" ht="13">
      <c r="L1157" s="5"/>
      <c r="M1157" s="5"/>
      <c r="N1157" s="5"/>
      <c r="O1157" s="5"/>
      <c r="Q1157" s="178"/>
    </row>
    <row r="1158" spans="12:17" ht="13">
      <c r="L1158" s="5"/>
      <c r="M1158" s="5"/>
      <c r="N1158" s="5"/>
      <c r="O1158" s="5"/>
      <c r="Q1158" s="178"/>
    </row>
    <row r="1159" spans="12:17" ht="13">
      <c r="L1159" s="5"/>
      <c r="M1159" s="5"/>
      <c r="N1159" s="5"/>
      <c r="O1159" s="5"/>
      <c r="Q1159" s="178"/>
    </row>
    <row r="1160" spans="12:17" ht="13">
      <c r="L1160" s="5"/>
      <c r="M1160" s="5"/>
      <c r="N1160" s="5"/>
      <c r="O1160" s="5"/>
      <c r="Q1160" s="178"/>
    </row>
    <row r="1161" spans="12:17" ht="13">
      <c r="L1161" s="5"/>
      <c r="M1161" s="5"/>
      <c r="N1161" s="5"/>
      <c r="O1161" s="5"/>
      <c r="Q1161" s="178"/>
    </row>
    <row r="1162" spans="12:17" ht="13">
      <c r="L1162" s="5"/>
      <c r="M1162" s="5"/>
      <c r="N1162" s="5"/>
      <c r="O1162" s="5"/>
      <c r="Q1162" s="178"/>
    </row>
    <row r="1163" spans="12:17" ht="13">
      <c r="L1163" s="5"/>
      <c r="M1163" s="5"/>
      <c r="N1163" s="5"/>
      <c r="O1163" s="5"/>
      <c r="Q1163" s="178"/>
    </row>
    <row r="1164" spans="12:17" ht="13">
      <c r="L1164" s="5"/>
      <c r="M1164" s="5"/>
      <c r="N1164" s="5"/>
      <c r="O1164" s="5"/>
      <c r="Q1164" s="178"/>
    </row>
    <row r="1165" spans="12:17" ht="13">
      <c r="L1165" s="5"/>
      <c r="M1165" s="5"/>
      <c r="N1165" s="5"/>
      <c r="O1165" s="5"/>
      <c r="Q1165" s="178"/>
    </row>
    <row r="1166" spans="12:17" ht="13">
      <c r="L1166" s="5"/>
      <c r="M1166" s="5"/>
      <c r="N1166" s="5"/>
      <c r="O1166" s="5"/>
      <c r="Q1166" s="178"/>
    </row>
    <row r="1167" spans="12:17" ht="13">
      <c r="L1167" s="5"/>
      <c r="M1167" s="5"/>
      <c r="N1167" s="5"/>
      <c r="O1167" s="5"/>
      <c r="Q1167" s="178"/>
    </row>
    <row r="1168" spans="12:17" ht="13">
      <c r="L1168" s="5"/>
      <c r="M1168" s="5"/>
      <c r="N1168" s="5"/>
      <c r="O1168" s="5"/>
      <c r="Q1168" s="178"/>
    </row>
    <row r="1169" spans="12:17" ht="13">
      <c r="L1169" s="5"/>
      <c r="M1169" s="5"/>
      <c r="N1169" s="5"/>
      <c r="O1169" s="5"/>
      <c r="Q1169" s="178"/>
    </row>
    <row r="1170" spans="12:17" ht="13">
      <c r="L1170" s="5"/>
      <c r="M1170" s="5"/>
      <c r="N1170" s="5"/>
      <c r="O1170" s="5"/>
      <c r="Q1170" s="178"/>
    </row>
    <row r="1171" spans="12:17" ht="13">
      <c r="L1171" s="5"/>
      <c r="M1171" s="5"/>
      <c r="N1171" s="5"/>
      <c r="O1171" s="5"/>
      <c r="Q1171" s="178"/>
    </row>
    <row r="1172" spans="12:17" ht="13">
      <c r="L1172" s="5"/>
      <c r="M1172" s="5"/>
      <c r="N1172" s="5"/>
      <c r="O1172" s="5"/>
      <c r="Q1172" s="178"/>
    </row>
    <row r="1173" spans="12:17" ht="13">
      <c r="L1173" s="5"/>
      <c r="M1173" s="5"/>
      <c r="N1173" s="5"/>
      <c r="O1173" s="5"/>
      <c r="Q1173" s="178"/>
    </row>
    <row r="1174" spans="12:17" ht="13">
      <c r="L1174" s="5"/>
      <c r="M1174" s="5"/>
      <c r="N1174" s="5"/>
      <c r="O1174" s="5"/>
      <c r="Q1174" s="178"/>
    </row>
    <row r="1175" spans="12:17" ht="13">
      <c r="L1175" s="5"/>
      <c r="M1175" s="5"/>
      <c r="N1175" s="5"/>
      <c r="O1175" s="5"/>
      <c r="Q1175" s="178"/>
    </row>
    <row r="1176" spans="12:17" ht="13">
      <c r="L1176" s="5"/>
      <c r="M1176" s="5"/>
      <c r="N1176" s="5"/>
      <c r="O1176" s="5"/>
      <c r="Q1176" s="178"/>
    </row>
    <row r="1177" spans="12:17" ht="13">
      <c r="L1177" s="5"/>
      <c r="M1177" s="5"/>
      <c r="N1177" s="5"/>
      <c r="O1177" s="5"/>
      <c r="Q1177" s="178"/>
    </row>
    <row r="1178" spans="12:17" ht="13">
      <c r="L1178" s="5"/>
      <c r="M1178" s="5"/>
      <c r="N1178" s="5"/>
      <c r="O1178" s="5"/>
      <c r="Q1178" s="178"/>
    </row>
    <row r="1179" spans="12:17" ht="13">
      <c r="L1179" s="5"/>
      <c r="M1179" s="5"/>
      <c r="N1179" s="5"/>
      <c r="O1179" s="5"/>
      <c r="Q1179" s="178"/>
    </row>
    <row r="1180" spans="12:17" ht="13">
      <c r="L1180" s="5"/>
      <c r="M1180" s="5"/>
      <c r="N1180" s="5"/>
      <c r="O1180" s="5"/>
      <c r="Q1180" s="178"/>
    </row>
    <row r="1181" spans="12:17" ht="13">
      <c r="L1181" s="5"/>
      <c r="M1181" s="5"/>
      <c r="N1181" s="5"/>
      <c r="O1181" s="5"/>
      <c r="Q1181" s="178"/>
    </row>
    <row r="1182" spans="12:17" ht="13">
      <c r="L1182" s="5"/>
      <c r="M1182" s="5"/>
      <c r="N1182" s="5"/>
      <c r="O1182" s="5"/>
      <c r="Q1182" s="178"/>
    </row>
    <row r="1183" spans="12:17" ht="13">
      <c r="L1183" s="5"/>
      <c r="M1183" s="5"/>
      <c r="N1183" s="5"/>
      <c r="O1183" s="5"/>
      <c r="Q1183" s="178"/>
    </row>
    <row r="1184" spans="12:17" ht="13">
      <c r="L1184" s="5"/>
      <c r="M1184" s="5"/>
      <c r="N1184" s="5"/>
      <c r="O1184" s="5"/>
      <c r="Q1184" s="178"/>
    </row>
    <row r="1185" spans="12:17" ht="13">
      <c r="L1185" s="5"/>
      <c r="M1185" s="5"/>
      <c r="N1185" s="5"/>
      <c r="O1185" s="5"/>
      <c r="Q1185" s="178"/>
    </row>
    <row r="1186" spans="12:17" ht="13">
      <c r="L1186" s="5"/>
      <c r="M1186" s="5"/>
      <c r="N1186" s="5"/>
      <c r="O1186" s="5"/>
      <c r="Q1186" s="178"/>
    </row>
    <row r="1187" spans="12:17" ht="13">
      <c r="L1187" s="5"/>
      <c r="M1187" s="5"/>
      <c r="N1187" s="5"/>
      <c r="O1187" s="5"/>
      <c r="Q1187" s="178"/>
    </row>
    <row r="1188" spans="12:17" ht="13">
      <c r="L1188" s="5"/>
      <c r="M1188" s="5"/>
      <c r="N1188" s="5"/>
      <c r="O1188" s="5"/>
      <c r="Q1188" s="178"/>
    </row>
    <row r="1189" spans="12:17" ht="13">
      <c r="L1189" s="5"/>
      <c r="M1189" s="5"/>
      <c r="N1189" s="5"/>
      <c r="O1189" s="5"/>
      <c r="Q1189" s="178"/>
    </row>
    <row r="1190" spans="12:17" ht="13">
      <c r="L1190" s="5"/>
      <c r="M1190" s="5"/>
      <c r="N1190" s="5"/>
      <c r="O1190" s="5"/>
      <c r="Q1190" s="178"/>
    </row>
    <row r="1191" spans="12:17" ht="13">
      <c r="L1191" s="5"/>
      <c r="M1191" s="5"/>
      <c r="N1191" s="5"/>
      <c r="O1191" s="5"/>
      <c r="Q1191" s="178"/>
    </row>
    <row r="1192" spans="12:17" ht="13">
      <c r="L1192" s="5"/>
      <c r="M1192" s="5"/>
      <c r="N1192" s="5"/>
      <c r="O1192" s="5"/>
      <c r="Q1192" s="178"/>
    </row>
    <row r="1193" spans="12:17" ht="13">
      <c r="L1193" s="5"/>
      <c r="M1193" s="5"/>
      <c r="N1193" s="5"/>
      <c r="O1193" s="5"/>
      <c r="Q1193" s="178"/>
    </row>
    <row r="1194" spans="12:17" ht="13">
      <c r="L1194" s="5"/>
      <c r="M1194" s="5"/>
      <c r="N1194" s="5"/>
      <c r="O1194" s="5"/>
      <c r="Q1194" s="178"/>
    </row>
    <row r="1195" spans="12:17" ht="13">
      <c r="L1195" s="5"/>
      <c r="M1195" s="5"/>
      <c r="N1195" s="5"/>
      <c r="O1195" s="5"/>
      <c r="Q1195" s="178"/>
    </row>
    <row r="1196" spans="12:17" ht="13">
      <c r="L1196" s="5"/>
      <c r="M1196" s="5"/>
      <c r="N1196" s="5"/>
      <c r="O1196" s="5"/>
      <c r="Q1196" s="178"/>
    </row>
    <row r="1197" spans="12:17" ht="13">
      <c r="L1197" s="5"/>
      <c r="M1197" s="5"/>
      <c r="N1197" s="5"/>
      <c r="O1197" s="5"/>
      <c r="Q1197" s="178"/>
    </row>
    <row r="1198" spans="12:17" ht="13">
      <c r="L1198" s="5"/>
      <c r="M1198" s="5"/>
      <c r="N1198" s="5"/>
      <c r="O1198" s="5"/>
      <c r="Q1198" s="178"/>
    </row>
    <row r="1199" spans="12:17" ht="13">
      <c r="L1199" s="5"/>
      <c r="M1199" s="5"/>
      <c r="N1199" s="5"/>
      <c r="O1199" s="5"/>
      <c r="Q1199" s="178"/>
    </row>
    <row r="1200" spans="12:17" ht="13">
      <c r="L1200" s="5"/>
      <c r="M1200" s="5"/>
      <c r="N1200" s="5"/>
      <c r="O1200" s="5"/>
      <c r="Q1200" s="178"/>
    </row>
    <row r="1201" spans="12:17" ht="13">
      <c r="L1201" s="5"/>
      <c r="M1201" s="5"/>
      <c r="N1201" s="5"/>
      <c r="O1201" s="5"/>
      <c r="Q1201" s="178"/>
    </row>
    <row r="1202" spans="12:17" ht="13">
      <c r="L1202" s="5"/>
      <c r="M1202" s="5"/>
      <c r="N1202" s="5"/>
      <c r="O1202" s="5"/>
      <c r="Q1202" s="178"/>
    </row>
    <row r="1203" spans="12:17" ht="13">
      <c r="L1203" s="5"/>
      <c r="M1203" s="5"/>
      <c r="N1203" s="5"/>
      <c r="O1203" s="5"/>
      <c r="Q1203" s="178"/>
    </row>
    <row r="1204" spans="12:17" ht="13">
      <c r="L1204" s="5"/>
      <c r="M1204" s="5"/>
      <c r="N1204" s="5"/>
      <c r="O1204" s="5"/>
      <c r="Q1204" s="178"/>
    </row>
    <row r="1205" spans="12:17" ht="13">
      <c r="L1205" s="5"/>
      <c r="M1205" s="5"/>
      <c r="N1205" s="5"/>
      <c r="O1205" s="5"/>
      <c r="Q1205" s="178"/>
    </row>
    <row r="1206" spans="12:17" ht="13">
      <c r="L1206" s="5"/>
      <c r="M1206" s="5"/>
      <c r="N1206" s="5"/>
      <c r="O1206" s="5"/>
      <c r="Q1206" s="178"/>
    </row>
    <row r="1207" spans="12:17" ht="13">
      <c r="L1207" s="5"/>
      <c r="M1207" s="5"/>
      <c r="N1207" s="5"/>
      <c r="O1207" s="5"/>
      <c r="Q1207" s="178"/>
    </row>
    <row r="1208" spans="12:17" ht="13">
      <c r="L1208" s="5"/>
      <c r="M1208" s="5"/>
      <c r="N1208" s="5"/>
      <c r="O1208" s="5"/>
      <c r="Q1208" s="178"/>
    </row>
    <row r="1209" spans="12:17" ht="13">
      <c r="L1209" s="5"/>
      <c r="M1209" s="5"/>
      <c r="N1209" s="5"/>
      <c r="O1209" s="5"/>
      <c r="Q1209" s="178"/>
    </row>
    <row r="1210" spans="12:17" ht="13">
      <c r="L1210" s="5"/>
      <c r="M1210" s="5"/>
      <c r="N1210" s="5"/>
      <c r="O1210" s="5"/>
      <c r="Q1210" s="178"/>
    </row>
    <row r="1211" spans="12:17" ht="13">
      <c r="L1211" s="5"/>
      <c r="M1211" s="5"/>
      <c r="N1211" s="5"/>
      <c r="O1211" s="5"/>
      <c r="Q1211" s="178"/>
    </row>
    <row r="1212" spans="12:17" ht="13">
      <c r="L1212" s="5"/>
      <c r="M1212" s="5"/>
      <c r="N1212" s="5"/>
      <c r="O1212" s="5"/>
      <c r="Q1212" s="178"/>
    </row>
    <row r="1213" spans="12:17" ht="13">
      <c r="L1213" s="5"/>
      <c r="M1213" s="5"/>
      <c r="N1213" s="5"/>
      <c r="O1213" s="5"/>
      <c r="Q1213" s="178"/>
    </row>
    <row r="1214" spans="12:17" ht="13">
      <c r="L1214" s="5"/>
      <c r="M1214" s="5"/>
      <c r="N1214" s="5"/>
      <c r="O1214" s="5"/>
      <c r="Q1214" s="178"/>
    </row>
    <row r="1215" spans="12:17" ht="13">
      <c r="L1215" s="5"/>
      <c r="M1215" s="5"/>
      <c r="N1215" s="5"/>
      <c r="O1215" s="5"/>
      <c r="Q1215" s="178"/>
    </row>
    <row r="1216" spans="12:17" ht="13">
      <c r="L1216" s="5"/>
      <c r="M1216" s="5"/>
      <c r="N1216" s="5"/>
      <c r="O1216" s="5"/>
      <c r="Q1216" s="178"/>
    </row>
    <row r="1217" spans="12:17" ht="13">
      <c r="L1217" s="5"/>
      <c r="M1217" s="5"/>
      <c r="N1217" s="5"/>
      <c r="O1217" s="5"/>
      <c r="Q1217" s="178"/>
    </row>
    <row r="1218" spans="12:17" ht="13">
      <c r="L1218" s="5"/>
      <c r="M1218" s="5"/>
      <c r="N1218" s="5"/>
      <c r="O1218" s="5"/>
      <c r="Q1218" s="178"/>
    </row>
    <row r="1219" spans="12:17" ht="13">
      <c r="L1219" s="5"/>
      <c r="M1219" s="5"/>
      <c r="N1219" s="5"/>
      <c r="O1219" s="5"/>
      <c r="Q1219" s="178"/>
    </row>
    <row r="1220" spans="12:17" ht="13">
      <c r="L1220" s="5"/>
      <c r="M1220" s="5"/>
      <c r="N1220" s="5"/>
      <c r="O1220" s="5"/>
      <c r="Q1220" s="178"/>
    </row>
    <row r="1221" spans="12:17" ht="13">
      <c r="L1221" s="5"/>
      <c r="M1221" s="5"/>
      <c r="N1221" s="5"/>
      <c r="O1221" s="5"/>
      <c r="Q1221" s="178"/>
    </row>
  </sheetData>
  <dataValidations count="3">
    <dataValidation type="list" allowBlank="1" sqref="L2 L4:L5 L7:L8 L10:L17 L19 L21:L23 L25 L27 L29:L31 L33:L49 L51:L57 L59:L61 L63 L67:L75 L77:L80 L82:L84 L86:L87 L89:L90 L92 L94 L96 L98 L100 L102 L104:L109 L111 L117:L124 L126:L130 L132:L135 L137:L144" xr:uid="{00000000-0002-0000-0A00-000000000000}">
      <formula1>"Sewa Pinjam,Sewa Beli,Lisensi,Lisensi + Guru"</formula1>
    </dataValidation>
    <dataValidation type="list" allowBlank="1" sqref="S2 S4:S5 S7:S17 S19 S21:S23 S25 S27 S29:S31 S33:S57 S59:S61 S63:S75 S77:S80 S82:S87 S89:S90 S92 S94 S96 S98 S100:S102 S104:S109 S111 S117:S128 S132:S135 S137:S140 S142:S144" xr:uid="{00000000-0002-0000-0A00-000001000000}">
      <formula1>"Diginusa,Sekolah"</formula1>
    </dataValidation>
    <dataValidation type="list" allowBlank="1" sqref="K2 K4:K5 K7:K8 K10:K17 K19 K21:K23 K25 K27 K29:K31 K33:K49 K51:K57 K59:K61 K63 K67:K75 K77:K80 K82:K84 K86:K87 K89:K90 K92 K94 K96 K98 K100 K102 K104:K109 K111 K117 K124 K126:K128 K130 K132:K135 K137:K144" xr:uid="{00000000-0002-0000-0A00-000002000000}">
      <formula1>"Retention,Existing,New"</formula1>
    </dataValidation>
  </dataValidations>
  <hyperlinks>
    <hyperlink ref="E21" r:id="rId1" xr:uid="{00000000-0004-0000-0A00-000000000000}"/>
    <hyperlink ref="E22" r:id="rId2" xr:uid="{00000000-0004-0000-0A00-000001000000}"/>
    <hyperlink ref="E23" r:id="rId3" xr:uid="{00000000-0004-0000-0A00-000002000000}"/>
    <hyperlink ref="C104" r:id="rId4" xr:uid="{00000000-0004-0000-0A00-000003000000}"/>
    <hyperlink ref="C105" r:id="rId5" xr:uid="{00000000-0004-0000-0A00-000004000000}"/>
    <hyperlink ref="C106" r:id="rId6" xr:uid="{00000000-0004-0000-0A00-000005000000}"/>
    <hyperlink ref="C107" r:id="rId7" xr:uid="{00000000-0004-0000-0A00-000006000000}"/>
    <hyperlink ref="C108" r:id="rId8" xr:uid="{00000000-0004-0000-0A00-000007000000}"/>
    <hyperlink ref="C109" r:id="rId9" xr:uid="{00000000-0004-0000-0A00-000008000000}"/>
    <hyperlink ref="C132" r:id="rId10" xr:uid="{00000000-0004-0000-0A00-000009000000}"/>
    <hyperlink ref="C133" r:id="rId11" xr:uid="{00000000-0004-0000-0A00-00000A000000}"/>
    <hyperlink ref="C134" r:id="rId12" xr:uid="{00000000-0004-0000-0A00-00000B000000}"/>
    <hyperlink ref="C135" r:id="rId13" xr:uid="{00000000-0004-0000-0A00-00000C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  <pageSetUpPr fitToPage="1"/>
  </sheetPr>
  <dimension ref="A1:AF2634"/>
  <sheetViews>
    <sheetView workbookViewId="0">
      <pane xSplit="1" ySplit="2" topLeftCell="B217" activePane="bottomRight" state="frozen"/>
      <selection pane="topRight" activeCell="B1" sqref="B1"/>
      <selection pane="bottomLeft" activeCell="A3" sqref="A3"/>
      <selection pane="bottomRight" activeCell="Z6" sqref="Z6"/>
    </sheetView>
  </sheetViews>
  <sheetFormatPr baseColWidth="10" defaultColWidth="12.6640625" defaultRowHeight="15.75" customHeight="1"/>
  <cols>
    <col min="1" max="1" width="38.83203125" customWidth="1"/>
    <col min="2" max="2" width="37.1640625" customWidth="1"/>
    <col min="3" max="3" width="31.83203125" customWidth="1"/>
    <col min="4" max="4" width="42.33203125" customWidth="1"/>
    <col min="5" max="6" width="35.33203125" customWidth="1"/>
    <col min="7" max="9" width="27.6640625" customWidth="1"/>
    <col min="10" max="10" width="21.1640625" customWidth="1"/>
    <col min="11" max="11" width="16.83203125" customWidth="1"/>
    <col min="12" max="12" width="21.83203125" customWidth="1"/>
    <col min="13" max="13" width="30.33203125" customWidth="1"/>
    <col min="14" max="14" width="28.5" customWidth="1"/>
    <col min="15" max="15" width="15.6640625" customWidth="1"/>
    <col min="16" max="16" width="27.1640625" customWidth="1"/>
    <col min="17" max="17" width="19.1640625" customWidth="1"/>
    <col min="18" max="18" width="27" customWidth="1"/>
    <col min="19" max="19" width="23.1640625" customWidth="1"/>
    <col min="20" max="21" width="18.1640625" customWidth="1"/>
    <col min="22" max="22" width="31.1640625" customWidth="1"/>
    <col min="23" max="23" width="25" customWidth="1"/>
    <col min="24" max="24" width="21.6640625" customWidth="1"/>
    <col min="25" max="25" width="20.5" customWidth="1"/>
  </cols>
  <sheetData>
    <row r="1" spans="1:32" ht="1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188"/>
      <c r="R1" s="6"/>
      <c r="S1" s="6"/>
      <c r="T1" s="6"/>
      <c r="U1" s="6"/>
      <c r="V1" s="6"/>
      <c r="W1" s="228"/>
      <c r="X1" s="6"/>
      <c r="Y1" s="6"/>
      <c r="AA1" s="5"/>
      <c r="AB1" s="5"/>
      <c r="AC1" s="5"/>
      <c r="AD1" s="5"/>
      <c r="AE1" s="5"/>
      <c r="AF1" s="5"/>
    </row>
    <row r="2" spans="1:32" ht="28">
      <c r="A2" s="161" t="s">
        <v>263</v>
      </c>
      <c r="B2" s="161" t="s">
        <v>941</v>
      </c>
      <c r="C2" s="161" t="s">
        <v>942</v>
      </c>
      <c r="D2" s="161" t="s">
        <v>0</v>
      </c>
      <c r="E2" s="161" t="s">
        <v>1720</v>
      </c>
      <c r="F2" s="161" t="s">
        <v>265</v>
      </c>
      <c r="G2" s="161" t="s">
        <v>1721</v>
      </c>
      <c r="H2" s="161" t="s">
        <v>1722</v>
      </c>
      <c r="I2" s="161" t="s">
        <v>267</v>
      </c>
      <c r="J2" s="161" t="s">
        <v>268</v>
      </c>
      <c r="K2" s="161" t="s">
        <v>269</v>
      </c>
      <c r="L2" s="161" t="s">
        <v>17</v>
      </c>
      <c r="M2" s="161" t="s">
        <v>270</v>
      </c>
      <c r="N2" s="161" t="s">
        <v>272</v>
      </c>
      <c r="O2" s="189" t="s">
        <v>278</v>
      </c>
      <c r="P2" s="161" t="s">
        <v>273</v>
      </c>
      <c r="Q2" s="190" t="s">
        <v>1723</v>
      </c>
      <c r="R2" s="161" t="s">
        <v>271</v>
      </c>
      <c r="S2" s="161" t="s">
        <v>274</v>
      </c>
      <c r="T2" s="161" t="s">
        <v>986</v>
      </c>
      <c r="U2" s="161" t="s">
        <v>987</v>
      </c>
      <c r="V2" s="161" t="s">
        <v>988</v>
      </c>
      <c r="W2" s="161" t="s">
        <v>275</v>
      </c>
      <c r="X2" s="161" t="s">
        <v>276</v>
      </c>
      <c r="Y2" s="161" t="s">
        <v>277</v>
      </c>
      <c r="AA2" s="5"/>
      <c r="AB2" s="5"/>
      <c r="AC2" s="5"/>
      <c r="AD2" s="5"/>
      <c r="AE2" s="5"/>
      <c r="AF2" s="5"/>
    </row>
    <row r="3" spans="1:32" ht="42">
      <c r="A3" s="8" t="s">
        <v>1814</v>
      </c>
      <c r="B3" s="105" t="s">
        <v>1815</v>
      </c>
      <c r="C3" s="97"/>
      <c r="D3" s="98" t="s">
        <v>1816</v>
      </c>
      <c r="E3" s="107" t="s">
        <v>1817</v>
      </c>
      <c r="F3" s="106" t="s">
        <v>1818</v>
      </c>
      <c r="G3" s="106" t="s">
        <v>1818</v>
      </c>
      <c r="H3" s="229" t="s">
        <v>1819</v>
      </c>
      <c r="I3" s="97" t="s">
        <v>1820</v>
      </c>
      <c r="J3" s="97" t="s">
        <v>1821</v>
      </c>
      <c r="K3" s="97" t="s">
        <v>901</v>
      </c>
      <c r="L3" s="61" t="s">
        <v>834</v>
      </c>
      <c r="M3" s="23" t="s">
        <v>799</v>
      </c>
      <c r="N3" s="104"/>
      <c r="O3" s="104"/>
      <c r="P3" s="104">
        <f>550000*2</f>
        <v>1100000</v>
      </c>
      <c r="Q3" s="37" t="s">
        <v>1823</v>
      </c>
      <c r="R3" s="97" t="s">
        <v>790</v>
      </c>
      <c r="S3" s="111" t="s">
        <v>1824</v>
      </c>
      <c r="T3" s="97" t="s">
        <v>1058</v>
      </c>
      <c r="U3" s="36" t="s">
        <v>1037</v>
      </c>
      <c r="V3" s="23"/>
      <c r="W3" s="61"/>
      <c r="X3" s="61" t="s">
        <v>1724</v>
      </c>
      <c r="Y3" s="103" t="s">
        <v>1704</v>
      </c>
    </row>
    <row r="4" spans="1:32" ht="13">
      <c r="A4" s="8"/>
      <c r="B4" s="8"/>
      <c r="C4" s="8"/>
      <c r="D4" s="10"/>
      <c r="E4" s="10"/>
      <c r="F4" s="10"/>
      <c r="G4" s="23"/>
      <c r="H4" s="61"/>
      <c r="I4" s="61"/>
      <c r="J4" s="61"/>
      <c r="K4" s="61"/>
      <c r="L4" s="61"/>
      <c r="M4" s="61"/>
      <c r="N4" s="108"/>
      <c r="O4" s="115"/>
      <c r="P4" s="115"/>
      <c r="Q4" s="10"/>
      <c r="R4" s="103"/>
      <c r="S4" s="10"/>
      <c r="T4" s="61"/>
      <c r="U4" s="61"/>
      <c r="V4" s="10"/>
      <c r="W4" s="61"/>
      <c r="X4" s="61"/>
      <c r="Y4" s="103"/>
    </row>
    <row r="5" spans="1:32" ht="42">
      <c r="A5" s="8" t="s">
        <v>1825</v>
      </c>
      <c r="B5" s="8" t="s">
        <v>1826</v>
      </c>
      <c r="C5" s="8"/>
      <c r="D5" s="10" t="s">
        <v>1827</v>
      </c>
      <c r="E5" s="37" t="s">
        <v>1828</v>
      </c>
      <c r="F5" s="103" t="s">
        <v>1829</v>
      </c>
      <c r="G5" s="23" t="s">
        <v>1830</v>
      </c>
      <c r="H5" s="205" t="s">
        <v>1831</v>
      </c>
      <c r="I5" s="61" t="s">
        <v>895</v>
      </c>
      <c r="J5" s="61" t="s">
        <v>1832</v>
      </c>
      <c r="K5" s="61" t="s">
        <v>1833</v>
      </c>
      <c r="L5" s="61" t="s">
        <v>19</v>
      </c>
      <c r="M5" s="23" t="s">
        <v>248</v>
      </c>
      <c r="N5" s="412">
        <v>16000</v>
      </c>
      <c r="O5" s="412">
        <v>750</v>
      </c>
      <c r="P5" s="412">
        <f>O5*N5</f>
        <v>12000000</v>
      </c>
      <c r="Q5" s="417" t="s">
        <v>1834</v>
      </c>
      <c r="R5" s="83" t="s">
        <v>1835</v>
      </c>
      <c r="S5" s="10"/>
      <c r="T5" s="61"/>
      <c r="U5" s="10" t="s">
        <v>0</v>
      </c>
      <c r="V5" s="10"/>
      <c r="W5" s="61" t="s">
        <v>1746</v>
      </c>
      <c r="X5" s="61" t="s">
        <v>1516</v>
      </c>
      <c r="Y5" s="103" t="s">
        <v>1752</v>
      </c>
    </row>
    <row r="6" spans="1:32" ht="42">
      <c r="A6" s="8" t="s">
        <v>1825</v>
      </c>
      <c r="B6" s="8" t="s">
        <v>1826</v>
      </c>
      <c r="C6" s="8"/>
      <c r="D6" s="10" t="s">
        <v>1836</v>
      </c>
      <c r="E6" s="37" t="s">
        <v>1828</v>
      </c>
      <c r="F6" s="103" t="s">
        <v>1829</v>
      </c>
      <c r="G6" s="23" t="s">
        <v>1830</v>
      </c>
      <c r="H6" s="205" t="s">
        <v>1831</v>
      </c>
      <c r="I6" s="61" t="s">
        <v>895</v>
      </c>
      <c r="J6" s="61" t="s">
        <v>1832</v>
      </c>
      <c r="K6" s="61" t="s">
        <v>1833</v>
      </c>
      <c r="L6" s="61" t="s">
        <v>19</v>
      </c>
      <c r="M6" s="23" t="s">
        <v>248</v>
      </c>
      <c r="N6" s="410"/>
      <c r="O6" s="409"/>
      <c r="P6" s="409"/>
      <c r="Q6" s="410"/>
      <c r="R6" s="83" t="s">
        <v>1835</v>
      </c>
      <c r="S6" s="10"/>
      <c r="T6" s="61"/>
      <c r="U6" s="10" t="s">
        <v>0</v>
      </c>
      <c r="V6" s="10"/>
      <c r="W6" s="61" t="s">
        <v>1746</v>
      </c>
      <c r="X6" s="61" t="s">
        <v>1516</v>
      </c>
      <c r="Y6" s="103" t="s">
        <v>1752</v>
      </c>
    </row>
    <row r="7" spans="1:32" ht="13">
      <c r="A7" s="8"/>
      <c r="B7" s="8"/>
      <c r="C7" s="8"/>
      <c r="D7" s="10"/>
      <c r="E7" s="10"/>
      <c r="F7" s="10"/>
      <c r="G7" s="23"/>
      <c r="H7" s="61"/>
      <c r="I7" s="61"/>
      <c r="J7" s="61"/>
      <c r="K7" s="61"/>
      <c r="L7" s="61"/>
      <c r="M7" s="61"/>
      <c r="N7" s="108"/>
      <c r="O7" s="115"/>
      <c r="P7" s="115"/>
      <c r="Q7" s="10"/>
      <c r="R7" s="103"/>
      <c r="S7" s="10"/>
      <c r="T7" s="61"/>
      <c r="U7" s="61"/>
      <c r="V7" s="10"/>
      <c r="W7" s="61"/>
      <c r="X7" s="61"/>
      <c r="Y7" s="103"/>
    </row>
    <row r="8" spans="1:32" ht="56">
      <c r="A8" s="8" t="s">
        <v>1837</v>
      </c>
      <c r="B8" s="85" t="s">
        <v>1511</v>
      </c>
      <c r="C8" s="8" t="s">
        <v>583</v>
      </c>
      <c r="D8" s="10" t="s">
        <v>1838</v>
      </c>
      <c r="E8" s="37" t="s">
        <v>1839</v>
      </c>
      <c r="F8" s="103" t="s">
        <v>1840</v>
      </c>
      <c r="G8" s="103" t="s">
        <v>1840</v>
      </c>
      <c r="H8" s="205" t="s">
        <v>1841</v>
      </c>
      <c r="I8" s="61" t="s">
        <v>895</v>
      </c>
      <c r="J8" s="183">
        <v>46266</v>
      </c>
      <c r="K8" s="61" t="s">
        <v>1842</v>
      </c>
      <c r="L8" s="61" t="s">
        <v>19</v>
      </c>
      <c r="M8" s="23" t="s">
        <v>283</v>
      </c>
      <c r="N8" s="108">
        <v>1500000</v>
      </c>
      <c r="O8" s="115"/>
      <c r="P8" s="115">
        <f>N8</f>
        <v>1500000</v>
      </c>
      <c r="Q8" s="37" t="s">
        <v>1843</v>
      </c>
      <c r="R8" s="103" t="s">
        <v>884</v>
      </c>
      <c r="S8" s="10"/>
      <c r="T8" s="61"/>
      <c r="U8" s="10" t="s">
        <v>0</v>
      </c>
      <c r="V8" s="10"/>
      <c r="W8" s="61" t="s">
        <v>1746</v>
      </c>
      <c r="X8" s="61" t="s">
        <v>1516</v>
      </c>
      <c r="Y8" s="103" t="s">
        <v>1736</v>
      </c>
    </row>
    <row r="9" spans="1:32" ht="13">
      <c r="A9" s="8"/>
      <c r="B9" s="8"/>
      <c r="C9" s="8"/>
      <c r="D9" s="10"/>
      <c r="E9" s="10"/>
      <c r="F9" s="10"/>
      <c r="G9" s="23"/>
      <c r="H9" s="61"/>
      <c r="I9" s="61"/>
      <c r="J9" s="61"/>
      <c r="K9" s="61"/>
      <c r="L9" s="61"/>
      <c r="M9" s="61"/>
      <c r="N9" s="108"/>
      <c r="O9" s="115"/>
      <c r="P9" s="115"/>
      <c r="Q9" s="10"/>
      <c r="R9" s="103"/>
      <c r="S9" s="10"/>
      <c r="T9" s="61"/>
      <c r="U9" s="61"/>
      <c r="V9" s="10"/>
      <c r="W9" s="61"/>
      <c r="X9" s="61"/>
      <c r="Y9" s="103"/>
    </row>
    <row r="10" spans="1:32" ht="13">
      <c r="A10" s="251" t="s">
        <v>1844</v>
      </c>
      <c r="B10" s="251"/>
      <c r="C10" s="251"/>
      <c r="D10" s="252" t="s">
        <v>1771</v>
      </c>
      <c r="E10" s="252"/>
      <c r="F10" s="252"/>
      <c r="G10" s="253"/>
      <c r="H10" s="254"/>
      <c r="I10" s="254"/>
      <c r="J10" s="254"/>
      <c r="K10" s="254"/>
      <c r="L10" s="254"/>
      <c r="M10" s="254"/>
      <c r="N10" s="255"/>
      <c r="O10" s="256"/>
      <c r="P10" s="256"/>
      <c r="Q10" s="252"/>
      <c r="R10" s="257"/>
      <c r="S10" s="252"/>
      <c r="T10" s="254"/>
      <c r="U10" s="254"/>
      <c r="V10" s="252"/>
      <c r="W10" s="254"/>
      <c r="X10" s="254"/>
      <c r="Y10" s="257"/>
    </row>
    <row r="11" spans="1:32" ht="13">
      <c r="A11" s="8"/>
      <c r="B11" s="8"/>
      <c r="C11" s="8"/>
      <c r="D11" s="10"/>
      <c r="E11" s="10"/>
      <c r="F11" s="10"/>
      <c r="G11" s="23"/>
      <c r="H11" s="61"/>
      <c r="I11" s="61"/>
      <c r="J11" s="61"/>
      <c r="K11" s="61"/>
      <c r="L11" s="61"/>
      <c r="M11" s="61"/>
      <c r="N11" s="108"/>
      <c r="O11" s="115"/>
      <c r="P11" s="115"/>
      <c r="Q11" s="10"/>
      <c r="R11" s="103"/>
      <c r="S11" s="10"/>
      <c r="T11" s="61"/>
      <c r="U11" s="61"/>
      <c r="V11" s="10"/>
      <c r="W11" s="61"/>
      <c r="X11" s="61"/>
      <c r="Y11" s="103"/>
    </row>
    <row r="12" spans="1:32" ht="42">
      <c r="A12" s="8" t="s">
        <v>1846</v>
      </c>
      <c r="B12" s="8"/>
      <c r="C12" s="8"/>
      <c r="D12" s="10" t="s">
        <v>1847</v>
      </c>
      <c r="E12" s="37" t="s">
        <v>1848</v>
      </c>
      <c r="F12" s="36" t="s">
        <v>1849</v>
      </c>
      <c r="G12" s="113" t="s">
        <v>1850</v>
      </c>
      <c r="H12" s="205" t="s">
        <v>1851</v>
      </c>
      <c r="I12" s="103" t="s">
        <v>891</v>
      </c>
      <c r="J12" s="103" t="s">
        <v>1852</v>
      </c>
      <c r="K12" s="103" t="s">
        <v>887</v>
      </c>
      <c r="L12" s="61" t="s">
        <v>834</v>
      </c>
      <c r="M12" s="23" t="s">
        <v>248</v>
      </c>
      <c r="N12" s="108">
        <v>12500</v>
      </c>
      <c r="O12" s="116">
        <v>17</v>
      </c>
      <c r="P12" s="116">
        <f>O12*N12</f>
        <v>212500</v>
      </c>
      <c r="Q12" s="415" t="s">
        <v>1854</v>
      </c>
      <c r="R12" s="103" t="s">
        <v>884</v>
      </c>
      <c r="S12" s="10"/>
      <c r="T12" s="61"/>
      <c r="U12" s="10" t="s">
        <v>0</v>
      </c>
      <c r="V12" s="10"/>
      <c r="W12" s="61" t="s">
        <v>1746</v>
      </c>
      <c r="X12" s="23" t="s">
        <v>1724</v>
      </c>
      <c r="Y12" s="23" t="s">
        <v>1855</v>
      </c>
    </row>
    <row r="13" spans="1:32" ht="42">
      <c r="A13" s="8" t="s">
        <v>1846</v>
      </c>
      <c r="B13" s="8"/>
      <c r="C13" s="8"/>
      <c r="D13" s="10" t="s">
        <v>1856</v>
      </c>
      <c r="E13" s="37" t="s">
        <v>1848</v>
      </c>
      <c r="F13" s="36" t="s">
        <v>1849</v>
      </c>
      <c r="G13" s="113" t="s">
        <v>1850</v>
      </c>
      <c r="H13" s="61" t="s">
        <v>1857</v>
      </c>
      <c r="I13" s="103" t="s">
        <v>891</v>
      </c>
      <c r="J13" s="103" t="s">
        <v>1852</v>
      </c>
      <c r="K13" s="103" t="s">
        <v>887</v>
      </c>
      <c r="L13" s="61" t="s">
        <v>834</v>
      </c>
      <c r="M13" s="23" t="s">
        <v>248</v>
      </c>
      <c r="N13" s="108">
        <v>12500</v>
      </c>
      <c r="O13" s="115">
        <v>146</v>
      </c>
      <c r="P13" s="115">
        <f>O13*N13</f>
        <v>1825000</v>
      </c>
      <c r="Q13" s="410"/>
      <c r="R13" s="103" t="s">
        <v>683</v>
      </c>
      <c r="S13" s="10"/>
      <c r="T13" s="61"/>
      <c r="U13" s="10" t="s">
        <v>0</v>
      </c>
      <c r="V13" s="10"/>
      <c r="W13" s="61" t="s">
        <v>1746</v>
      </c>
      <c r="X13" s="23" t="s">
        <v>1724</v>
      </c>
      <c r="Y13" s="23" t="s">
        <v>1855</v>
      </c>
    </row>
    <row r="14" spans="1:32" ht="13">
      <c r="A14" s="8"/>
      <c r="B14" s="8"/>
      <c r="C14" s="8"/>
      <c r="D14" s="10"/>
      <c r="E14" s="37"/>
      <c r="F14" s="10"/>
      <c r="G14" s="23"/>
      <c r="H14" s="61"/>
      <c r="I14" s="103"/>
      <c r="J14" s="103"/>
      <c r="K14" s="103"/>
      <c r="L14" s="61"/>
      <c r="M14" s="23"/>
      <c r="N14" s="108"/>
      <c r="O14" s="115"/>
      <c r="P14" s="115"/>
      <c r="Q14" s="37"/>
      <c r="R14" s="103"/>
      <c r="S14" s="10"/>
      <c r="T14" s="61"/>
      <c r="U14" s="10"/>
      <c r="V14" s="10"/>
      <c r="W14" s="61"/>
      <c r="X14" s="103"/>
      <c r="Y14" s="103"/>
    </row>
    <row r="15" spans="1:32" ht="28">
      <c r="A15" s="8" t="s">
        <v>1858</v>
      </c>
      <c r="B15" s="8"/>
      <c r="C15" s="8" t="s">
        <v>1859</v>
      </c>
      <c r="D15" s="10" t="s">
        <v>1860</v>
      </c>
      <c r="E15" s="37" t="s">
        <v>1861</v>
      </c>
      <c r="F15" s="10"/>
      <c r="G15" s="23"/>
      <c r="H15" s="61"/>
      <c r="I15" s="103" t="s">
        <v>897</v>
      </c>
      <c r="J15" s="103" t="s">
        <v>1862</v>
      </c>
      <c r="K15" s="103" t="s">
        <v>1863</v>
      </c>
      <c r="L15" s="61" t="s">
        <v>834</v>
      </c>
      <c r="M15" s="23"/>
      <c r="N15" s="108"/>
      <c r="O15" s="115"/>
      <c r="P15" s="115"/>
      <c r="Q15" s="37"/>
      <c r="R15" s="103" t="s">
        <v>1865</v>
      </c>
      <c r="S15" s="10"/>
      <c r="T15" s="61"/>
      <c r="U15" s="10"/>
      <c r="V15" s="10"/>
      <c r="W15" s="61"/>
      <c r="X15" s="103" t="s">
        <v>1300</v>
      </c>
      <c r="Y15" s="103"/>
    </row>
    <row r="16" spans="1:32" ht="13">
      <c r="A16" s="8"/>
      <c r="B16" s="8"/>
      <c r="C16" s="8"/>
      <c r="D16" s="10"/>
      <c r="E16" s="37"/>
      <c r="F16" s="10"/>
      <c r="G16" s="23"/>
      <c r="H16" s="61"/>
      <c r="I16" s="103"/>
      <c r="J16" s="103"/>
      <c r="K16" s="103"/>
      <c r="L16" s="61"/>
      <c r="M16" s="23"/>
      <c r="N16" s="108"/>
      <c r="O16" s="115"/>
      <c r="P16" s="115"/>
      <c r="Q16" s="37"/>
      <c r="R16" s="103"/>
      <c r="S16" s="10"/>
      <c r="T16" s="61"/>
      <c r="U16" s="10"/>
      <c r="V16" s="10"/>
      <c r="W16" s="61"/>
      <c r="X16" s="103"/>
      <c r="Y16" s="103"/>
    </row>
    <row r="17" spans="1:25" ht="28">
      <c r="A17" s="8" t="s">
        <v>1867</v>
      </c>
      <c r="B17" s="8"/>
      <c r="C17" s="8" t="s">
        <v>1868</v>
      </c>
      <c r="D17" s="10" t="s">
        <v>1681</v>
      </c>
      <c r="E17" s="37" t="s">
        <v>1861</v>
      </c>
      <c r="F17" s="10"/>
      <c r="G17" s="23"/>
      <c r="H17" s="61"/>
      <c r="I17" s="103" t="s">
        <v>897</v>
      </c>
      <c r="J17" s="103" t="s">
        <v>1862</v>
      </c>
      <c r="K17" s="103" t="s">
        <v>1863</v>
      </c>
      <c r="L17" s="61" t="s">
        <v>834</v>
      </c>
      <c r="M17" s="23"/>
      <c r="N17" s="108"/>
      <c r="O17" s="115"/>
      <c r="P17" s="115"/>
      <c r="Q17" s="37"/>
      <c r="R17" s="103" t="s">
        <v>1865</v>
      </c>
      <c r="S17" s="10"/>
      <c r="T17" s="61"/>
      <c r="U17" s="10"/>
      <c r="V17" s="10"/>
      <c r="W17" s="61"/>
      <c r="X17" s="103" t="s">
        <v>1300</v>
      </c>
      <c r="Y17" s="103"/>
    </row>
    <row r="18" spans="1:25" ht="13">
      <c r="A18" s="8"/>
      <c r="B18" s="8"/>
      <c r="C18" s="8"/>
      <c r="D18" s="10"/>
      <c r="E18" s="37"/>
      <c r="F18" s="10"/>
      <c r="G18" s="23"/>
      <c r="H18" s="61"/>
      <c r="I18" s="103"/>
      <c r="J18" s="103"/>
      <c r="K18" s="103"/>
      <c r="L18" s="61"/>
      <c r="M18" s="23"/>
      <c r="N18" s="108"/>
      <c r="O18" s="115"/>
      <c r="P18" s="115"/>
      <c r="Q18" s="37"/>
      <c r="R18" s="103"/>
      <c r="S18" s="10"/>
      <c r="T18" s="61"/>
      <c r="U18" s="10"/>
      <c r="V18" s="10"/>
      <c r="W18" s="61"/>
      <c r="X18" s="103"/>
      <c r="Y18" s="103"/>
    </row>
    <row r="19" spans="1:25" ht="56">
      <c r="A19" s="8" t="s">
        <v>1870</v>
      </c>
      <c r="B19" s="85" t="s">
        <v>1871</v>
      </c>
      <c r="C19" s="8" t="s">
        <v>1872</v>
      </c>
      <c r="D19" s="10" t="s">
        <v>1873</v>
      </c>
      <c r="E19" s="10" t="s">
        <v>1874</v>
      </c>
      <c r="F19" s="10"/>
      <c r="G19" s="23" t="s">
        <v>1875</v>
      </c>
      <c r="H19" s="205" t="s">
        <v>1876</v>
      </c>
      <c r="I19" s="103" t="s">
        <v>895</v>
      </c>
      <c r="J19" s="103" t="s">
        <v>1877</v>
      </c>
      <c r="K19" s="103" t="s">
        <v>1822</v>
      </c>
      <c r="L19" s="61" t="s">
        <v>834</v>
      </c>
      <c r="M19" s="23" t="s">
        <v>248</v>
      </c>
      <c r="N19" s="108">
        <v>15000</v>
      </c>
      <c r="O19" s="115">
        <f>99/2</f>
        <v>49.5</v>
      </c>
      <c r="P19" s="115">
        <f>O19*N19</f>
        <v>742500</v>
      </c>
      <c r="Q19" s="37" t="s">
        <v>1880</v>
      </c>
      <c r="R19" s="103" t="s">
        <v>884</v>
      </c>
      <c r="S19" s="10"/>
      <c r="T19" s="61"/>
      <c r="U19" s="10" t="s">
        <v>0</v>
      </c>
      <c r="V19" s="10"/>
      <c r="W19" s="61" t="s">
        <v>462</v>
      </c>
      <c r="X19" s="23" t="s">
        <v>1516</v>
      </c>
      <c r="Y19" s="23" t="s">
        <v>1855</v>
      </c>
    </row>
    <row r="20" spans="1:25" ht="56">
      <c r="A20" s="8" t="s">
        <v>1870</v>
      </c>
      <c r="B20" s="85" t="s">
        <v>1871</v>
      </c>
      <c r="C20" s="8" t="s">
        <v>1872</v>
      </c>
      <c r="D20" s="10" t="s">
        <v>1881</v>
      </c>
      <c r="E20" s="10" t="s">
        <v>1874</v>
      </c>
      <c r="F20" s="10"/>
      <c r="G20" s="23" t="s">
        <v>1875</v>
      </c>
      <c r="H20" s="205" t="s">
        <v>1876</v>
      </c>
      <c r="I20" s="103" t="s">
        <v>895</v>
      </c>
      <c r="J20" s="103" t="s">
        <v>1877</v>
      </c>
      <c r="K20" s="103" t="s">
        <v>1822</v>
      </c>
      <c r="L20" s="61" t="s">
        <v>834</v>
      </c>
      <c r="M20" s="23" t="s">
        <v>248</v>
      </c>
      <c r="N20" s="108">
        <v>15000</v>
      </c>
      <c r="O20" s="115">
        <v>49</v>
      </c>
      <c r="P20" s="115">
        <f>O20*N20</f>
        <v>735000</v>
      </c>
      <c r="Q20" s="37" t="s">
        <v>1883</v>
      </c>
      <c r="R20" s="83" t="s">
        <v>884</v>
      </c>
      <c r="S20" s="103"/>
      <c r="T20" s="23"/>
      <c r="U20" s="10" t="s">
        <v>0</v>
      </c>
      <c r="W20" s="61" t="s">
        <v>462</v>
      </c>
      <c r="X20" s="23" t="s">
        <v>1516</v>
      </c>
      <c r="Y20" s="23" t="s">
        <v>1855</v>
      </c>
    </row>
    <row r="21" spans="1:25" ht="56">
      <c r="A21" s="8" t="s">
        <v>1870</v>
      </c>
      <c r="B21" s="85" t="s">
        <v>1871</v>
      </c>
      <c r="C21" s="8" t="s">
        <v>1872</v>
      </c>
      <c r="D21" s="10" t="s">
        <v>1886</v>
      </c>
      <c r="E21" s="10" t="s">
        <v>1874</v>
      </c>
      <c r="F21" s="10"/>
      <c r="G21" s="23" t="s">
        <v>1875</v>
      </c>
      <c r="H21" s="205" t="s">
        <v>1876</v>
      </c>
      <c r="I21" s="103" t="s">
        <v>895</v>
      </c>
      <c r="J21" s="103" t="s">
        <v>1877</v>
      </c>
      <c r="K21" s="103" t="s">
        <v>1822</v>
      </c>
      <c r="L21" s="61" t="s">
        <v>834</v>
      </c>
      <c r="M21" s="23" t="s">
        <v>248</v>
      </c>
      <c r="N21" s="108">
        <v>15000</v>
      </c>
      <c r="O21" s="115">
        <f t="shared" ref="O21:O22" si="0">446/2</f>
        <v>223</v>
      </c>
      <c r="P21" s="115">
        <f>O21*N21</f>
        <v>3345000</v>
      </c>
      <c r="Q21" s="37" t="s">
        <v>1887</v>
      </c>
      <c r="R21" s="113" t="s">
        <v>1888</v>
      </c>
      <c r="S21" s="10"/>
      <c r="T21" s="61"/>
      <c r="U21" s="10" t="s">
        <v>0</v>
      </c>
      <c r="V21" s="10"/>
      <c r="W21" s="61" t="s">
        <v>462</v>
      </c>
      <c r="X21" s="23" t="s">
        <v>1516</v>
      </c>
      <c r="Y21" s="23" t="s">
        <v>1855</v>
      </c>
    </row>
    <row r="22" spans="1:25" ht="56">
      <c r="A22" s="8" t="s">
        <v>1870</v>
      </c>
      <c r="B22" s="85" t="s">
        <v>1871</v>
      </c>
      <c r="C22" s="8" t="s">
        <v>1872</v>
      </c>
      <c r="D22" s="10" t="s">
        <v>1889</v>
      </c>
      <c r="E22" s="10" t="s">
        <v>1874</v>
      </c>
      <c r="F22" s="10"/>
      <c r="G22" s="23" t="s">
        <v>1875</v>
      </c>
      <c r="H22" s="205" t="s">
        <v>1876</v>
      </c>
      <c r="I22" s="103" t="s">
        <v>895</v>
      </c>
      <c r="J22" s="103" t="s">
        <v>1877</v>
      </c>
      <c r="K22" s="103" t="s">
        <v>1822</v>
      </c>
      <c r="L22" s="61" t="s">
        <v>834</v>
      </c>
      <c r="M22" s="23" t="s">
        <v>248</v>
      </c>
      <c r="N22" s="108">
        <v>15000</v>
      </c>
      <c r="O22" s="115">
        <f t="shared" si="0"/>
        <v>223</v>
      </c>
      <c r="P22" s="115">
        <f>O22*N22</f>
        <v>3345000</v>
      </c>
      <c r="Q22" s="37" t="s">
        <v>1890</v>
      </c>
      <c r="R22" s="113" t="s">
        <v>1888</v>
      </c>
      <c r="S22" s="10"/>
      <c r="T22" s="61"/>
      <c r="U22" s="10" t="s">
        <v>0</v>
      </c>
      <c r="V22" s="10"/>
      <c r="W22" s="61" t="s">
        <v>462</v>
      </c>
      <c r="X22" s="23" t="s">
        <v>1516</v>
      </c>
      <c r="Y22" s="23" t="s">
        <v>1855</v>
      </c>
    </row>
    <row r="23" spans="1:25" ht="56">
      <c r="A23" s="8" t="s">
        <v>1870</v>
      </c>
      <c r="B23" s="85" t="s">
        <v>1871</v>
      </c>
      <c r="C23" s="8" t="s">
        <v>1872</v>
      </c>
      <c r="D23" s="10" t="s">
        <v>1892</v>
      </c>
      <c r="E23" s="10" t="s">
        <v>1874</v>
      </c>
      <c r="F23" s="10"/>
      <c r="G23" s="23" t="s">
        <v>1875</v>
      </c>
      <c r="H23" s="205" t="s">
        <v>1876</v>
      </c>
      <c r="I23" s="103" t="s">
        <v>895</v>
      </c>
      <c r="J23" s="103" t="s">
        <v>1877</v>
      </c>
      <c r="K23" s="103" t="s">
        <v>1822</v>
      </c>
      <c r="L23" s="61" t="s">
        <v>834</v>
      </c>
      <c r="M23" s="23" t="s">
        <v>248</v>
      </c>
      <c r="N23" s="108">
        <v>15000</v>
      </c>
      <c r="O23" s="115">
        <v>277</v>
      </c>
      <c r="P23" s="115">
        <f>O23*N23</f>
        <v>4155000</v>
      </c>
      <c r="Q23" s="37" t="s">
        <v>1893</v>
      </c>
      <c r="R23" s="113" t="s">
        <v>1888</v>
      </c>
      <c r="S23" s="10"/>
      <c r="T23" s="61"/>
      <c r="U23" s="10" t="s">
        <v>0</v>
      </c>
      <c r="V23" s="10"/>
      <c r="W23" s="61" t="s">
        <v>462</v>
      </c>
      <c r="X23" s="23" t="s">
        <v>1516</v>
      </c>
      <c r="Y23" s="23" t="s">
        <v>1855</v>
      </c>
    </row>
    <row r="24" spans="1:25" ht="15">
      <c r="A24" s="8"/>
      <c r="B24" s="8"/>
      <c r="C24" s="8"/>
      <c r="D24" s="10"/>
      <c r="E24" s="230"/>
      <c r="F24" s="10"/>
      <c r="G24" s="192"/>
      <c r="H24" s="261"/>
      <c r="I24" s="61"/>
      <c r="J24" s="61"/>
      <c r="K24" s="61"/>
      <c r="L24" s="61"/>
      <c r="M24" s="23"/>
      <c r="N24" s="108"/>
      <c r="O24" s="262"/>
      <c r="P24" s="262"/>
      <c r="Q24" s="37"/>
      <c r="R24" s="103"/>
      <c r="S24" s="10"/>
      <c r="T24" s="61"/>
      <c r="U24" s="10"/>
      <c r="V24" s="10"/>
      <c r="W24" s="61"/>
      <c r="X24" s="61"/>
      <c r="Y24" s="103"/>
    </row>
    <row r="25" spans="1:25" ht="29">
      <c r="A25" s="8" t="s">
        <v>1895</v>
      </c>
      <c r="B25" s="8"/>
      <c r="C25" s="8" t="s">
        <v>1896</v>
      </c>
      <c r="D25" s="10" t="s">
        <v>1897</v>
      </c>
      <c r="E25" s="230" t="s">
        <v>1861</v>
      </c>
      <c r="F25" s="10"/>
      <c r="G25" s="192"/>
      <c r="H25" s="261"/>
      <c r="I25" s="61" t="s">
        <v>897</v>
      </c>
      <c r="J25" s="61" t="s">
        <v>1862</v>
      </c>
      <c r="K25" s="61" t="s">
        <v>1863</v>
      </c>
      <c r="L25" s="61" t="s">
        <v>834</v>
      </c>
      <c r="M25" s="23"/>
      <c r="N25" s="108"/>
      <c r="O25" s="262"/>
      <c r="P25" s="262"/>
      <c r="Q25" s="37"/>
      <c r="R25" s="103" t="s">
        <v>1865</v>
      </c>
      <c r="S25" s="10"/>
      <c r="T25" s="61"/>
      <c r="U25" s="10"/>
      <c r="V25" s="10"/>
      <c r="W25" s="61"/>
      <c r="X25" s="61" t="s">
        <v>1300</v>
      </c>
      <c r="Y25" s="103"/>
    </row>
    <row r="26" spans="1:25" ht="15">
      <c r="A26" s="8"/>
      <c r="B26" s="8"/>
      <c r="C26" s="8"/>
      <c r="D26" s="10"/>
      <c r="E26" s="230"/>
      <c r="F26" s="10"/>
      <c r="G26" s="192"/>
      <c r="H26" s="192"/>
      <c r="I26" s="61"/>
      <c r="J26" s="61"/>
      <c r="K26" s="61"/>
      <c r="L26" s="23"/>
      <c r="M26" s="23"/>
      <c r="N26" s="108"/>
      <c r="O26" s="20"/>
      <c r="P26" s="20"/>
      <c r="Q26" s="37"/>
      <c r="R26" s="103"/>
      <c r="S26" s="10"/>
      <c r="T26" s="61"/>
      <c r="U26" s="10"/>
      <c r="V26" s="10"/>
      <c r="W26" s="61"/>
      <c r="X26" s="61"/>
      <c r="Y26" s="103"/>
    </row>
    <row r="27" spans="1:25" ht="38.25" customHeight="1">
      <c r="A27" s="8" t="s">
        <v>1900</v>
      </c>
      <c r="B27" s="8"/>
      <c r="C27" s="264" t="s">
        <v>1901</v>
      </c>
      <c r="D27" s="120" t="s">
        <v>1903</v>
      </c>
      <c r="E27" s="230" t="s">
        <v>1904</v>
      </c>
      <c r="F27" s="196"/>
      <c r="G27" s="265" t="s">
        <v>1905</v>
      </c>
      <c r="H27" s="193" t="s">
        <v>1906</v>
      </c>
      <c r="I27" s="61" t="s">
        <v>891</v>
      </c>
      <c r="J27" s="61" t="s">
        <v>1852</v>
      </c>
      <c r="K27" s="61" t="s">
        <v>1907</v>
      </c>
      <c r="L27" s="23" t="s">
        <v>834</v>
      </c>
      <c r="M27" s="23" t="s">
        <v>799</v>
      </c>
      <c r="N27" s="108" t="s">
        <v>892</v>
      </c>
      <c r="O27" s="115"/>
      <c r="P27" s="115">
        <v>1500000</v>
      </c>
      <c r="Q27" s="37" t="s">
        <v>1908</v>
      </c>
      <c r="R27" s="103" t="s">
        <v>1800</v>
      </c>
      <c r="S27" s="108"/>
      <c r="T27" s="61"/>
      <c r="U27" s="10"/>
      <c r="V27" s="10"/>
      <c r="W27" s="61"/>
      <c r="X27" s="61" t="s">
        <v>1724</v>
      </c>
      <c r="Y27" s="103" t="s">
        <v>1704</v>
      </c>
    </row>
    <row r="28" spans="1:25" ht="13">
      <c r="A28" s="8"/>
      <c r="B28" s="85"/>
      <c r="C28" s="8"/>
      <c r="D28" s="120"/>
      <c r="E28" s="199"/>
      <c r="F28" s="196"/>
      <c r="G28" s="200"/>
      <c r="H28" s="200"/>
      <c r="I28" s="61"/>
      <c r="J28" s="61"/>
      <c r="K28" s="61"/>
      <c r="N28" s="108"/>
      <c r="O28" s="115"/>
      <c r="P28" s="115"/>
      <c r="Q28" s="194"/>
      <c r="R28" s="23"/>
      <c r="S28" s="108"/>
      <c r="T28" s="61"/>
      <c r="U28" s="10"/>
      <c r="V28" s="10"/>
      <c r="W28" s="61"/>
      <c r="X28" s="130"/>
      <c r="Y28" s="103"/>
    </row>
    <row r="29" spans="1:25" ht="13">
      <c r="A29" s="267" t="s">
        <v>1910</v>
      </c>
      <c r="B29" s="267"/>
      <c r="C29" s="267"/>
      <c r="D29" s="268" t="s">
        <v>1911</v>
      </c>
      <c r="E29" s="269"/>
      <c r="F29" s="268"/>
      <c r="G29" s="270"/>
      <c r="H29" s="271"/>
      <c r="I29" s="271"/>
      <c r="J29" s="271"/>
      <c r="K29" s="271"/>
      <c r="L29" s="271"/>
      <c r="M29" s="270"/>
      <c r="N29" s="273"/>
      <c r="O29" s="274"/>
      <c r="P29" s="274"/>
      <c r="Q29" s="269"/>
      <c r="R29" s="275"/>
      <c r="S29" s="273"/>
      <c r="T29" s="271"/>
      <c r="U29" s="268"/>
      <c r="V29" s="268"/>
      <c r="W29" s="271"/>
      <c r="X29" s="276"/>
      <c r="Y29" s="275"/>
    </row>
    <row r="30" spans="1:25" ht="13">
      <c r="A30" s="8"/>
      <c r="B30" s="8"/>
      <c r="C30" s="8"/>
      <c r="D30" s="36"/>
      <c r="E30" s="37"/>
      <c r="F30" s="202"/>
      <c r="G30" s="23"/>
      <c r="H30" s="61"/>
      <c r="I30" s="61"/>
      <c r="J30" s="61"/>
      <c r="K30" s="61"/>
      <c r="L30" s="61"/>
      <c r="M30" s="23"/>
      <c r="N30" s="108"/>
      <c r="O30" s="115"/>
      <c r="P30" s="115"/>
      <c r="Q30" s="37"/>
      <c r="R30" s="23"/>
      <c r="S30" s="129"/>
      <c r="T30" s="61"/>
      <c r="U30" s="10"/>
      <c r="V30" s="10"/>
      <c r="W30" s="61"/>
      <c r="X30" s="39"/>
      <c r="Y30" s="103"/>
    </row>
    <row r="31" spans="1:25" ht="28">
      <c r="A31" s="8" t="s">
        <v>1913</v>
      </c>
      <c r="B31" s="8"/>
      <c r="C31" s="8" t="s">
        <v>1859</v>
      </c>
      <c r="D31" s="36" t="s">
        <v>1914</v>
      </c>
      <c r="E31" s="37" t="s">
        <v>1861</v>
      </c>
      <c r="F31" s="202"/>
      <c r="G31" s="23"/>
      <c r="H31" s="61"/>
      <c r="I31" s="61" t="s">
        <v>897</v>
      </c>
      <c r="J31" s="61" t="s">
        <v>1915</v>
      </c>
      <c r="K31" s="61" t="s">
        <v>1916</v>
      </c>
      <c r="L31" s="61" t="s">
        <v>834</v>
      </c>
      <c r="M31" s="23"/>
      <c r="N31" s="108"/>
      <c r="O31" s="115"/>
      <c r="P31" s="115"/>
      <c r="Q31" s="37"/>
      <c r="R31" s="23" t="s">
        <v>1865</v>
      </c>
      <c r="S31" s="129"/>
      <c r="T31" s="61"/>
      <c r="U31" s="10"/>
      <c r="V31" s="10"/>
      <c r="W31" s="61"/>
      <c r="X31" s="130" t="s">
        <v>1300</v>
      </c>
      <c r="Y31" s="103"/>
    </row>
    <row r="32" spans="1:25" ht="13">
      <c r="A32" s="8"/>
      <c r="B32" s="8"/>
      <c r="C32" s="8"/>
      <c r="D32" s="36"/>
      <c r="E32" s="37"/>
      <c r="F32" s="202"/>
      <c r="G32" s="23"/>
      <c r="H32" s="61"/>
      <c r="I32" s="61"/>
      <c r="J32" s="61"/>
      <c r="K32" s="61"/>
      <c r="L32" s="61"/>
      <c r="M32" s="23"/>
      <c r="N32" s="108"/>
      <c r="O32" s="115"/>
      <c r="P32" s="115"/>
      <c r="Q32" s="37"/>
      <c r="R32" s="23"/>
      <c r="S32" s="129"/>
      <c r="T32" s="61"/>
      <c r="U32" s="10"/>
      <c r="V32" s="10"/>
      <c r="W32" s="61"/>
      <c r="X32" s="39"/>
      <c r="Y32" s="103"/>
    </row>
    <row r="33" spans="1:25" ht="13">
      <c r="A33" s="267" t="s">
        <v>1918</v>
      </c>
      <c r="B33" s="267"/>
      <c r="C33" s="267"/>
      <c r="D33" s="277" t="s">
        <v>1919</v>
      </c>
      <c r="E33" s="269"/>
      <c r="F33" s="278"/>
      <c r="G33" s="270"/>
      <c r="H33" s="271"/>
      <c r="I33" s="271"/>
      <c r="J33" s="271"/>
      <c r="K33" s="271"/>
      <c r="L33" s="271"/>
      <c r="M33" s="270"/>
      <c r="N33" s="273"/>
      <c r="O33" s="274"/>
      <c r="P33" s="274"/>
      <c r="Q33" s="269"/>
      <c r="R33" s="270"/>
      <c r="S33" s="279"/>
      <c r="T33" s="271"/>
      <c r="U33" s="268"/>
      <c r="V33" s="268"/>
      <c r="W33" s="271"/>
      <c r="X33" s="276"/>
      <c r="Y33" s="275"/>
    </row>
    <row r="34" spans="1:25" ht="13">
      <c r="A34" s="8"/>
      <c r="B34" s="8"/>
      <c r="C34" s="8"/>
      <c r="D34" s="36"/>
      <c r="E34" s="37"/>
      <c r="F34" s="202"/>
      <c r="G34" s="23"/>
      <c r="H34" s="61"/>
      <c r="I34" s="61"/>
      <c r="J34" s="61"/>
      <c r="K34" s="61"/>
      <c r="L34" s="61"/>
      <c r="M34" s="23"/>
      <c r="N34" s="108"/>
      <c r="O34" s="115"/>
      <c r="P34" s="115"/>
      <c r="Q34" s="37"/>
      <c r="R34" s="23"/>
      <c r="S34" s="129"/>
      <c r="T34" s="61"/>
      <c r="U34" s="10"/>
      <c r="V34" s="10"/>
      <c r="W34" s="61"/>
      <c r="X34" s="39"/>
      <c r="Y34" s="103"/>
    </row>
    <row r="35" spans="1:25" ht="42">
      <c r="A35" s="8" t="s">
        <v>1921</v>
      </c>
      <c r="B35" s="8"/>
      <c r="C35" s="8"/>
      <c r="D35" s="10" t="s">
        <v>1922</v>
      </c>
      <c r="E35" s="37" t="s">
        <v>1923</v>
      </c>
      <c r="F35" s="103" t="s">
        <v>1924</v>
      </c>
      <c r="G35" s="103" t="s">
        <v>1924</v>
      </c>
      <c r="H35" s="205" t="s">
        <v>1925</v>
      </c>
      <c r="I35" s="61" t="s">
        <v>891</v>
      </c>
      <c r="J35" s="61" t="s">
        <v>1926</v>
      </c>
      <c r="K35" s="61" t="s">
        <v>887</v>
      </c>
      <c r="L35" s="61" t="s">
        <v>834</v>
      </c>
      <c r="M35" s="23" t="s">
        <v>283</v>
      </c>
      <c r="N35" s="108"/>
      <c r="O35" s="115"/>
      <c r="P35" s="115">
        <v>18980000</v>
      </c>
      <c r="Q35" s="37" t="s">
        <v>1927</v>
      </c>
      <c r="R35" s="103" t="s">
        <v>683</v>
      </c>
      <c r="S35" s="108">
        <v>60000</v>
      </c>
      <c r="T35" s="61"/>
      <c r="U35" s="41" t="s">
        <v>0</v>
      </c>
      <c r="V35" s="10"/>
      <c r="W35" s="61" t="s">
        <v>366</v>
      </c>
      <c r="X35" s="61" t="s">
        <v>1724</v>
      </c>
      <c r="Y35" s="103" t="s">
        <v>1928</v>
      </c>
    </row>
    <row r="36" spans="1:25" ht="13">
      <c r="A36" s="8"/>
      <c r="B36" s="8"/>
      <c r="C36" s="8"/>
      <c r="D36" s="87"/>
      <c r="E36" s="37"/>
      <c r="F36" s="36"/>
      <c r="G36" s="36"/>
      <c r="H36" s="61"/>
      <c r="I36" s="61"/>
      <c r="J36" s="61"/>
      <c r="K36" s="61"/>
      <c r="L36" s="61"/>
      <c r="M36" s="23"/>
      <c r="N36" s="108"/>
      <c r="O36" s="115"/>
      <c r="P36" s="115"/>
      <c r="Q36" s="37"/>
      <c r="R36" s="83"/>
      <c r="S36" s="90"/>
      <c r="T36" s="61"/>
      <c r="U36" s="41"/>
      <c r="V36" s="10"/>
      <c r="W36" s="61"/>
      <c r="X36" s="280"/>
      <c r="Y36" s="83"/>
    </row>
    <row r="37" spans="1:25" ht="14">
      <c r="A37" s="267" t="s">
        <v>1929</v>
      </c>
      <c r="B37" s="267"/>
      <c r="C37" s="267"/>
      <c r="D37" s="281" t="s">
        <v>1930</v>
      </c>
      <c r="E37" s="269"/>
      <c r="F37" s="277"/>
      <c r="G37" s="277"/>
      <c r="H37" s="271"/>
      <c r="I37" s="271"/>
      <c r="J37" s="271"/>
      <c r="K37" s="271"/>
      <c r="L37" s="271"/>
      <c r="M37" s="270"/>
      <c r="N37" s="273"/>
      <c r="O37" s="274"/>
      <c r="P37" s="274"/>
      <c r="Q37" s="269"/>
      <c r="R37" s="282"/>
      <c r="S37" s="283"/>
      <c r="T37" s="271"/>
      <c r="U37" s="284"/>
      <c r="V37" s="268"/>
      <c r="W37" s="271"/>
      <c r="X37" s="285"/>
      <c r="Y37" s="282"/>
    </row>
    <row r="38" spans="1:25" ht="13">
      <c r="A38" s="8"/>
      <c r="B38" s="8"/>
      <c r="C38" s="8"/>
      <c r="D38" s="87"/>
      <c r="E38" s="37"/>
      <c r="F38" s="36"/>
      <c r="G38" s="36"/>
      <c r="H38" s="61"/>
      <c r="I38" s="61"/>
      <c r="J38" s="61"/>
      <c r="K38" s="61"/>
      <c r="L38" s="61"/>
      <c r="M38" s="23"/>
      <c r="N38" s="108"/>
      <c r="O38" s="115"/>
      <c r="P38" s="115"/>
      <c r="Q38" s="37"/>
      <c r="R38" s="83"/>
      <c r="S38" s="90"/>
      <c r="T38" s="61"/>
      <c r="U38" s="41"/>
      <c r="V38" s="10"/>
      <c r="W38" s="61"/>
      <c r="X38" s="280"/>
      <c r="Y38" s="83"/>
    </row>
    <row r="39" spans="1:25" ht="28">
      <c r="A39" s="8" t="s">
        <v>1933</v>
      </c>
      <c r="B39" s="87" t="s">
        <v>290</v>
      </c>
      <c r="C39" s="85" t="s">
        <v>1934</v>
      </c>
      <c r="D39" s="87" t="s">
        <v>1935</v>
      </c>
      <c r="E39" s="37" t="s">
        <v>1936</v>
      </c>
      <c r="F39" s="36"/>
      <c r="G39" s="36"/>
      <c r="H39" s="61"/>
      <c r="I39" s="61" t="s">
        <v>895</v>
      </c>
      <c r="J39" s="61" t="s">
        <v>1937</v>
      </c>
      <c r="K39" s="61" t="s">
        <v>1938</v>
      </c>
      <c r="L39" s="61" t="s">
        <v>19</v>
      </c>
      <c r="M39" s="23" t="s">
        <v>1740</v>
      </c>
      <c r="N39" s="412">
        <v>120000</v>
      </c>
      <c r="O39" s="412">
        <v>1417</v>
      </c>
      <c r="P39" s="412">
        <v>170000000</v>
      </c>
      <c r="Q39" s="417" t="s">
        <v>1939</v>
      </c>
      <c r="R39" s="83"/>
      <c r="S39" s="90"/>
      <c r="T39" s="61"/>
      <c r="U39" s="41"/>
      <c r="V39" s="10"/>
      <c r="W39" s="61" t="s">
        <v>462</v>
      </c>
      <c r="X39" s="286" t="s">
        <v>1516</v>
      </c>
      <c r="Y39" s="113" t="s">
        <v>1155</v>
      </c>
    </row>
    <row r="40" spans="1:25" ht="28">
      <c r="A40" s="8" t="s">
        <v>1933</v>
      </c>
      <c r="B40" s="87" t="s">
        <v>290</v>
      </c>
      <c r="C40" s="85" t="s">
        <v>1934</v>
      </c>
      <c r="D40" s="87" t="s">
        <v>1940</v>
      </c>
      <c r="E40" s="37" t="s">
        <v>1936</v>
      </c>
      <c r="F40" s="36"/>
      <c r="G40" s="36"/>
      <c r="H40" s="61"/>
      <c r="I40" s="61" t="s">
        <v>895</v>
      </c>
      <c r="J40" s="61" t="s">
        <v>1937</v>
      </c>
      <c r="K40" s="61" t="s">
        <v>1938</v>
      </c>
      <c r="L40" s="61" t="s">
        <v>19</v>
      </c>
      <c r="M40" s="23" t="s">
        <v>1740</v>
      </c>
      <c r="N40" s="409"/>
      <c r="O40" s="409"/>
      <c r="P40" s="409"/>
      <c r="Q40" s="409"/>
      <c r="R40" s="83"/>
      <c r="S40" s="90"/>
      <c r="T40" s="61"/>
      <c r="U40" s="41"/>
      <c r="V40" s="10"/>
      <c r="W40" s="61" t="s">
        <v>462</v>
      </c>
      <c r="X40" s="286" t="s">
        <v>1516</v>
      </c>
      <c r="Y40" s="113" t="s">
        <v>1155</v>
      </c>
    </row>
    <row r="41" spans="1:25" ht="28">
      <c r="A41" s="8" t="s">
        <v>1933</v>
      </c>
      <c r="B41" s="87" t="s">
        <v>290</v>
      </c>
      <c r="C41" s="85" t="s">
        <v>1934</v>
      </c>
      <c r="D41" s="87" t="s">
        <v>1941</v>
      </c>
      <c r="E41" s="37" t="s">
        <v>1936</v>
      </c>
      <c r="F41" s="36"/>
      <c r="G41" s="36"/>
      <c r="H41" s="61"/>
      <c r="I41" s="61" t="s">
        <v>895</v>
      </c>
      <c r="J41" s="61" t="s">
        <v>1937</v>
      </c>
      <c r="K41" s="61" t="s">
        <v>1938</v>
      </c>
      <c r="L41" s="61" t="s">
        <v>19</v>
      </c>
      <c r="M41" s="23" t="s">
        <v>1740</v>
      </c>
      <c r="N41" s="410"/>
      <c r="O41" s="409"/>
      <c r="P41" s="409"/>
      <c r="Q41" s="410"/>
      <c r="R41" s="83"/>
      <c r="S41" s="90"/>
      <c r="T41" s="61"/>
      <c r="U41" s="41"/>
      <c r="V41" s="10"/>
      <c r="W41" s="61" t="s">
        <v>462</v>
      </c>
      <c r="X41" s="286" t="s">
        <v>1516</v>
      </c>
      <c r="Y41" s="113" t="s">
        <v>1155</v>
      </c>
    </row>
    <row r="42" spans="1:25" ht="13">
      <c r="A42" s="8"/>
      <c r="B42" s="8"/>
      <c r="C42" s="8"/>
      <c r="D42" s="87"/>
      <c r="E42" s="37"/>
      <c r="F42" s="36"/>
      <c r="G42" s="36"/>
      <c r="H42" s="61"/>
      <c r="I42" s="61"/>
      <c r="J42" s="61"/>
      <c r="K42" s="61"/>
      <c r="L42" s="61"/>
      <c r="M42" s="23"/>
      <c r="N42" s="108"/>
      <c r="O42" s="115"/>
      <c r="P42" s="115"/>
      <c r="Q42" s="37"/>
      <c r="R42" s="83"/>
      <c r="S42" s="90"/>
      <c r="T42" s="61"/>
      <c r="U42" s="41"/>
      <c r="V42" s="10"/>
      <c r="W42" s="61"/>
      <c r="X42" s="280"/>
      <c r="Y42" s="83"/>
    </row>
    <row r="43" spans="1:25" ht="14">
      <c r="A43" s="267" t="s">
        <v>1943</v>
      </c>
      <c r="B43" s="267"/>
      <c r="C43" s="267"/>
      <c r="D43" s="281" t="s">
        <v>1944</v>
      </c>
      <c r="E43" s="269"/>
      <c r="F43" s="277"/>
      <c r="G43" s="277"/>
      <c r="H43" s="271"/>
      <c r="I43" s="271"/>
      <c r="J43" s="271"/>
      <c r="K43" s="271"/>
      <c r="L43" s="271"/>
      <c r="M43" s="270"/>
      <c r="N43" s="273"/>
      <c r="O43" s="274"/>
      <c r="P43" s="274"/>
      <c r="Q43" s="269"/>
      <c r="R43" s="282"/>
      <c r="S43" s="283"/>
      <c r="T43" s="271"/>
      <c r="U43" s="284"/>
      <c r="V43" s="268"/>
      <c r="W43" s="271"/>
      <c r="X43" s="276"/>
      <c r="Y43" s="282"/>
    </row>
    <row r="44" spans="1:25" ht="13">
      <c r="A44" s="8"/>
      <c r="B44" s="8"/>
      <c r="C44" s="8"/>
      <c r="D44" s="87"/>
      <c r="E44" s="37"/>
      <c r="F44" s="36"/>
      <c r="G44" s="36"/>
      <c r="H44" s="61"/>
      <c r="I44" s="61"/>
      <c r="J44" s="61"/>
      <c r="K44" s="61"/>
      <c r="L44" s="61"/>
      <c r="M44" s="23"/>
      <c r="N44" s="108"/>
      <c r="O44" s="115"/>
      <c r="P44" s="115"/>
      <c r="Q44" s="37"/>
      <c r="R44" s="83"/>
      <c r="S44" s="90"/>
      <c r="T44" s="61"/>
      <c r="U44" s="41"/>
      <c r="V44" s="10"/>
      <c r="W44" s="61"/>
      <c r="X44" s="280"/>
      <c r="Y44" s="83"/>
    </row>
    <row r="45" spans="1:25" ht="56">
      <c r="A45" s="8" t="s">
        <v>1946</v>
      </c>
      <c r="B45" s="87" t="s">
        <v>746</v>
      </c>
      <c r="C45" s="87" t="s">
        <v>1947</v>
      </c>
      <c r="D45" s="87" t="s">
        <v>1948</v>
      </c>
      <c r="E45" s="37" t="s">
        <v>1949</v>
      </c>
      <c r="F45" s="36" t="s">
        <v>1950</v>
      </c>
      <c r="G45" s="36" t="s">
        <v>1950</v>
      </c>
      <c r="H45" s="205" t="s">
        <v>1951</v>
      </c>
      <c r="I45" s="61" t="s">
        <v>895</v>
      </c>
      <c r="J45" s="61" t="s">
        <v>1926</v>
      </c>
      <c r="K45" s="61" t="s">
        <v>1822</v>
      </c>
      <c r="L45" s="61" t="s">
        <v>19</v>
      </c>
      <c r="M45" s="23" t="s">
        <v>253</v>
      </c>
      <c r="N45" s="108">
        <v>40000</v>
      </c>
      <c r="O45" s="115">
        <v>280</v>
      </c>
      <c r="P45" s="115">
        <f>O45*N45</f>
        <v>11200000</v>
      </c>
      <c r="Q45" s="37" t="s">
        <v>1952</v>
      </c>
      <c r="R45" s="83" t="s">
        <v>683</v>
      </c>
      <c r="S45" s="90"/>
      <c r="T45" s="61" t="s">
        <v>1954</v>
      </c>
      <c r="U45" s="41" t="s">
        <v>1037</v>
      </c>
      <c r="V45" s="10"/>
      <c r="W45" s="61" t="s">
        <v>1746</v>
      </c>
      <c r="X45" s="288" t="s">
        <v>1257</v>
      </c>
      <c r="Y45" s="83" t="s">
        <v>1155</v>
      </c>
    </row>
    <row r="46" spans="1:25" ht="13">
      <c r="A46" s="8"/>
      <c r="B46" s="8"/>
      <c r="C46" s="8"/>
      <c r="D46" s="87"/>
      <c r="E46" s="37"/>
      <c r="F46" s="36"/>
      <c r="G46" s="36"/>
      <c r="H46" s="61"/>
      <c r="I46" s="61"/>
      <c r="J46" s="61"/>
      <c r="K46" s="61"/>
      <c r="L46" s="61"/>
      <c r="M46" s="23"/>
      <c r="N46" s="108"/>
      <c r="O46" s="115"/>
      <c r="P46" s="115"/>
      <c r="Q46" s="37"/>
      <c r="R46" s="83"/>
      <c r="S46" s="90"/>
      <c r="T46" s="61"/>
      <c r="U46" s="41"/>
      <c r="V46" s="10"/>
      <c r="W46" s="61"/>
      <c r="X46" s="280"/>
      <c r="Y46" s="83"/>
    </row>
    <row r="47" spans="1:25" ht="28">
      <c r="A47" s="8" t="s">
        <v>1955</v>
      </c>
      <c r="B47" s="8"/>
      <c r="C47" s="8" t="s">
        <v>1956</v>
      </c>
      <c r="D47" s="10" t="s">
        <v>1957</v>
      </c>
      <c r="E47" s="37" t="s">
        <v>1958</v>
      </c>
      <c r="F47" s="10"/>
      <c r="G47" s="23" t="s">
        <v>1959</v>
      </c>
      <c r="H47" s="205" t="s">
        <v>1961</v>
      </c>
      <c r="I47" s="61" t="s">
        <v>891</v>
      </c>
      <c r="J47" s="61" t="s">
        <v>1926</v>
      </c>
      <c r="K47" s="61" t="s">
        <v>887</v>
      </c>
      <c r="L47" s="61" t="s">
        <v>834</v>
      </c>
      <c r="M47" s="23" t="s">
        <v>248</v>
      </c>
      <c r="N47" s="412">
        <v>15000</v>
      </c>
      <c r="O47" s="414" t="s">
        <v>1962</v>
      </c>
      <c r="P47" s="412"/>
      <c r="Q47" s="415" t="s">
        <v>1964</v>
      </c>
      <c r="R47" s="103" t="s">
        <v>683</v>
      </c>
      <c r="S47" s="10"/>
      <c r="T47" s="61"/>
      <c r="U47" s="10"/>
      <c r="V47" s="10"/>
      <c r="W47" s="61" t="s">
        <v>1744</v>
      </c>
      <c r="X47" s="61" t="s">
        <v>1707</v>
      </c>
      <c r="Y47" s="103" t="s">
        <v>1855</v>
      </c>
    </row>
    <row r="48" spans="1:25" ht="28">
      <c r="A48" s="8" t="s">
        <v>1955</v>
      </c>
      <c r="B48" s="8"/>
      <c r="C48" s="8" t="s">
        <v>1956</v>
      </c>
      <c r="D48" s="10" t="s">
        <v>1965</v>
      </c>
      <c r="E48" s="37" t="s">
        <v>1958</v>
      </c>
      <c r="F48" s="23" t="s">
        <v>1966</v>
      </c>
      <c r="G48" s="23" t="s">
        <v>1959</v>
      </c>
      <c r="H48" s="205" t="s">
        <v>1961</v>
      </c>
      <c r="I48" s="61" t="s">
        <v>891</v>
      </c>
      <c r="J48" s="61" t="s">
        <v>1926</v>
      </c>
      <c r="K48" s="61" t="s">
        <v>887</v>
      </c>
      <c r="L48" s="61" t="s">
        <v>834</v>
      </c>
      <c r="M48" s="23" t="s">
        <v>248</v>
      </c>
      <c r="N48" s="409"/>
      <c r="O48" s="409"/>
      <c r="P48" s="409"/>
      <c r="Q48" s="409"/>
      <c r="R48" s="23" t="s">
        <v>683</v>
      </c>
      <c r="S48" s="87"/>
      <c r="T48" s="23"/>
      <c r="U48" s="10"/>
      <c r="V48" s="10"/>
      <c r="W48" s="61" t="s">
        <v>1744</v>
      </c>
      <c r="X48" s="61" t="s">
        <v>1707</v>
      </c>
      <c r="Y48" s="103" t="s">
        <v>1855</v>
      </c>
    </row>
    <row r="49" spans="1:25" ht="42">
      <c r="A49" s="8" t="s">
        <v>1955</v>
      </c>
      <c r="B49" s="8"/>
      <c r="C49" s="8" t="s">
        <v>1956</v>
      </c>
      <c r="D49" s="120" t="s">
        <v>1968</v>
      </c>
      <c r="E49" s="37" t="s">
        <v>1958</v>
      </c>
      <c r="F49" s="23"/>
      <c r="G49" s="23" t="s">
        <v>1959</v>
      </c>
      <c r="H49" s="205" t="s">
        <v>1961</v>
      </c>
      <c r="I49" s="61" t="s">
        <v>891</v>
      </c>
      <c r="J49" s="61" t="s">
        <v>1926</v>
      </c>
      <c r="K49" s="61" t="s">
        <v>887</v>
      </c>
      <c r="L49" s="61" t="s">
        <v>834</v>
      </c>
      <c r="M49" s="23" t="s">
        <v>248</v>
      </c>
      <c r="N49" s="409"/>
      <c r="O49" s="409"/>
      <c r="P49" s="409"/>
      <c r="Q49" s="409"/>
      <c r="R49" s="113" t="s">
        <v>1970</v>
      </c>
      <c r="S49" s="87"/>
      <c r="T49" s="23"/>
      <c r="U49" s="10"/>
      <c r="V49" s="10"/>
      <c r="W49" s="61" t="s">
        <v>1744</v>
      </c>
      <c r="X49" s="61" t="s">
        <v>1707</v>
      </c>
      <c r="Y49" s="103" t="s">
        <v>1855</v>
      </c>
    </row>
    <row r="50" spans="1:25" ht="42">
      <c r="A50" s="8" t="s">
        <v>1955</v>
      </c>
      <c r="B50" s="8"/>
      <c r="C50" s="8" t="s">
        <v>1956</v>
      </c>
      <c r="D50" s="120" t="s">
        <v>1971</v>
      </c>
      <c r="E50" s="37" t="s">
        <v>1958</v>
      </c>
      <c r="F50" s="23"/>
      <c r="G50" s="23" t="s">
        <v>1959</v>
      </c>
      <c r="H50" s="205" t="s">
        <v>1961</v>
      </c>
      <c r="I50" s="61" t="s">
        <v>891</v>
      </c>
      <c r="J50" s="61" t="s">
        <v>1926</v>
      </c>
      <c r="K50" s="61" t="s">
        <v>887</v>
      </c>
      <c r="L50" s="61" t="s">
        <v>834</v>
      </c>
      <c r="M50" s="23" t="s">
        <v>248</v>
      </c>
      <c r="N50" s="410"/>
      <c r="O50" s="410"/>
      <c r="P50" s="410"/>
      <c r="Q50" s="410"/>
      <c r="R50" s="113" t="s">
        <v>1970</v>
      </c>
      <c r="S50" s="87"/>
      <c r="T50" s="23"/>
      <c r="U50" s="10"/>
      <c r="V50" s="10"/>
      <c r="W50" s="61" t="s">
        <v>1744</v>
      </c>
      <c r="X50" s="61" t="s">
        <v>1707</v>
      </c>
      <c r="Y50" s="103" t="s">
        <v>1855</v>
      </c>
    </row>
    <row r="51" spans="1:25" ht="13">
      <c r="A51" s="8"/>
      <c r="B51" s="8"/>
      <c r="C51" s="85"/>
      <c r="D51" s="120"/>
      <c r="E51" s="207"/>
      <c r="F51" s="10"/>
      <c r="G51" s="209"/>
      <c r="H51" s="200"/>
      <c r="I51" s="61"/>
      <c r="J51" s="61"/>
      <c r="K51" s="61"/>
      <c r="L51" s="23"/>
      <c r="M51" s="23"/>
      <c r="N51" s="108"/>
      <c r="O51" s="206"/>
      <c r="P51" s="208">
        <f>P52/4</f>
        <v>29910000</v>
      </c>
      <c r="Q51" s="194"/>
      <c r="R51" s="23"/>
      <c r="S51" s="87"/>
      <c r="T51" s="23"/>
      <c r="U51" s="10"/>
      <c r="V51" s="10"/>
      <c r="W51" s="61"/>
      <c r="X51" s="61"/>
      <c r="Y51" s="23"/>
    </row>
    <row r="52" spans="1:25" ht="14">
      <c r="A52" s="8" t="s">
        <v>1972</v>
      </c>
      <c r="B52" s="8" t="s">
        <v>1973</v>
      </c>
      <c r="C52" s="85" t="s">
        <v>1974</v>
      </c>
      <c r="D52" s="120" t="s">
        <v>1975</v>
      </c>
      <c r="E52" s="195" t="s">
        <v>1976</v>
      </c>
      <c r="F52" s="23"/>
      <c r="G52" s="197" t="s">
        <v>1977</v>
      </c>
      <c r="H52" s="201" t="s">
        <v>1978</v>
      </c>
      <c r="I52" s="61" t="s">
        <v>891</v>
      </c>
      <c r="J52" s="61" t="s">
        <v>1926</v>
      </c>
      <c r="K52" s="61" t="s">
        <v>887</v>
      </c>
      <c r="L52" s="23" t="s">
        <v>834</v>
      </c>
      <c r="M52" s="23" t="s">
        <v>283</v>
      </c>
      <c r="N52" s="108" t="s">
        <v>859</v>
      </c>
      <c r="O52" s="206">
        <f>104/2</f>
        <v>52</v>
      </c>
      <c r="P52" s="416">
        <v>119640000</v>
      </c>
      <c r="Q52" s="415" t="s">
        <v>1979</v>
      </c>
      <c r="R52" s="113" t="s">
        <v>884</v>
      </c>
      <c r="S52" s="87"/>
      <c r="T52" s="23"/>
      <c r="U52" s="10"/>
      <c r="V52" s="10"/>
      <c r="W52" s="61" t="s">
        <v>1001</v>
      </c>
      <c r="X52" s="61" t="s">
        <v>1713</v>
      </c>
      <c r="Y52" s="23" t="s">
        <v>1928</v>
      </c>
    </row>
    <row r="53" spans="1:25" ht="14">
      <c r="A53" s="8" t="s">
        <v>1972</v>
      </c>
      <c r="B53" s="8" t="s">
        <v>1973</v>
      </c>
      <c r="C53" s="85" t="s">
        <v>1974</v>
      </c>
      <c r="D53" s="10" t="s">
        <v>1980</v>
      </c>
      <c r="E53" s="195" t="s">
        <v>1976</v>
      </c>
      <c r="F53" s="23"/>
      <c r="G53" s="197" t="s">
        <v>1977</v>
      </c>
      <c r="H53" s="201" t="s">
        <v>1978</v>
      </c>
      <c r="I53" s="61" t="s">
        <v>891</v>
      </c>
      <c r="J53" s="61" t="s">
        <v>1926</v>
      </c>
      <c r="K53" s="61" t="s">
        <v>887</v>
      </c>
      <c r="L53" s="23" t="s">
        <v>834</v>
      </c>
      <c r="M53" s="23" t="s">
        <v>283</v>
      </c>
      <c r="N53" s="108">
        <v>150000</v>
      </c>
      <c r="O53" s="115">
        <f>596/2</f>
        <v>298</v>
      </c>
      <c r="P53" s="409"/>
      <c r="Q53" s="409"/>
      <c r="R53" s="113" t="s">
        <v>683</v>
      </c>
      <c r="S53" s="10"/>
      <c r="T53" s="23"/>
      <c r="U53" s="10"/>
      <c r="V53" s="10"/>
      <c r="W53" s="61" t="s">
        <v>1001</v>
      </c>
      <c r="X53" s="61" t="s">
        <v>1713</v>
      </c>
      <c r="Y53" s="23" t="s">
        <v>1928</v>
      </c>
    </row>
    <row r="54" spans="1:25" ht="14">
      <c r="A54" s="8" t="s">
        <v>1972</v>
      </c>
      <c r="B54" s="8" t="s">
        <v>1973</v>
      </c>
      <c r="C54" s="85" t="s">
        <v>1974</v>
      </c>
      <c r="D54" s="10" t="s">
        <v>1982</v>
      </c>
      <c r="E54" s="195" t="s">
        <v>1976</v>
      </c>
      <c r="F54" s="10"/>
      <c r="G54" s="197" t="s">
        <v>1977</v>
      </c>
      <c r="H54" s="201" t="s">
        <v>1978</v>
      </c>
      <c r="I54" s="61" t="s">
        <v>891</v>
      </c>
      <c r="J54" s="61" t="s">
        <v>1926</v>
      </c>
      <c r="K54" s="61" t="s">
        <v>887</v>
      </c>
      <c r="L54" s="23" t="s">
        <v>834</v>
      </c>
      <c r="M54" s="23" t="s">
        <v>283</v>
      </c>
      <c r="N54" s="108">
        <v>160000</v>
      </c>
      <c r="O54" s="115">
        <f>189/2</f>
        <v>94.5</v>
      </c>
      <c r="P54" s="409"/>
      <c r="Q54" s="409"/>
      <c r="R54" s="23" t="s">
        <v>1983</v>
      </c>
      <c r="S54" s="10"/>
      <c r="T54" s="23"/>
      <c r="U54" s="10"/>
      <c r="V54" s="10"/>
      <c r="W54" s="61" t="s">
        <v>1001</v>
      </c>
      <c r="X54" s="61" t="s">
        <v>1713</v>
      </c>
      <c r="Y54" s="23" t="s">
        <v>1928</v>
      </c>
    </row>
    <row r="55" spans="1:25" ht="14">
      <c r="A55" s="8" t="s">
        <v>1972</v>
      </c>
      <c r="B55" s="8" t="s">
        <v>1973</v>
      </c>
      <c r="C55" s="85" t="s">
        <v>1974</v>
      </c>
      <c r="D55" s="126" t="s">
        <v>1984</v>
      </c>
      <c r="E55" s="291" t="s">
        <v>1985</v>
      </c>
      <c r="F55" s="126"/>
      <c r="G55" s="197" t="s">
        <v>1977</v>
      </c>
      <c r="H55" s="201" t="s">
        <v>1978</v>
      </c>
      <c r="I55" s="61" t="s">
        <v>891</v>
      </c>
      <c r="J55" s="61" t="s">
        <v>1926</v>
      </c>
      <c r="K55" s="61" t="s">
        <v>887</v>
      </c>
      <c r="L55" s="23" t="s">
        <v>834</v>
      </c>
      <c r="M55" s="23" t="s">
        <v>283</v>
      </c>
      <c r="N55" s="292" t="s">
        <v>859</v>
      </c>
      <c r="O55" s="206">
        <f>104/2</f>
        <v>52</v>
      </c>
      <c r="P55" s="409"/>
      <c r="Q55" s="409"/>
      <c r="R55" s="113" t="s">
        <v>884</v>
      </c>
      <c r="S55" s="102"/>
      <c r="T55" s="246"/>
      <c r="U55" s="40"/>
      <c r="V55" s="40"/>
      <c r="W55" s="61" t="s">
        <v>1001</v>
      </c>
      <c r="X55" s="61" t="s">
        <v>1713</v>
      </c>
      <c r="Y55" s="23" t="s">
        <v>1928</v>
      </c>
    </row>
    <row r="56" spans="1:25" ht="14">
      <c r="A56" s="8" t="s">
        <v>1972</v>
      </c>
      <c r="B56" s="8" t="s">
        <v>1973</v>
      </c>
      <c r="C56" s="85" t="s">
        <v>1974</v>
      </c>
      <c r="D56" s="126" t="s">
        <v>1986</v>
      </c>
      <c r="E56" s="291" t="s">
        <v>1985</v>
      </c>
      <c r="F56" s="126"/>
      <c r="G56" s="197" t="s">
        <v>1977</v>
      </c>
      <c r="H56" s="201" t="s">
        <v>1978</v>
      </c>
      <c r="I56" s="61" t="s">
        <v>891</v>
      </c>
      <c r="J56" s="61" t="s">
        <v>1926</v>
      </c>
      <c r="K56" s="61" t="s">
        <v>887</v>
      </c>
      <c r="L56" s="23" t="s">
        <v>834</v>
      </c>
      <c r="M56" s="23" t="s">
        <v>283</v>
      </c>
      <c r="N56" s="292">
        <v>150000</v>
      </c>
      <c r="O56" s="115">
        <f>596/2</f>
        <v>298</v>
      </c>
      <c r="P56" s="409"/>
      <c r="Q56" s="409"/>
      <c r="R56" s="113" t="s">
        <v>683</v>
      </c>
      <c r="S56" s="102"/>
      <c r="T56" s="246"/>
      <c r="U56" s="40"/>
      <c r="V56" s="40"/>
      <c r="W56" s="61" t="s">
        <v>1001</v>
      </c>
      <c r="X56" s="61" t="s">
        <v>1713</v>
      </c>
      <c r="Y56" s="23" t="s">
        <v>1928</v>
      </c>
    </row>
    <row r="57" spans="1:25" ht="14">
      <c r="A57" s="8" t="s">
        <v>1972</v>
      </c>
      <c r="B57" s="8" t="s">
        <v>1973</v>
      </c>
      <c r="C57" s="85" t="s">
        <v>1974</v>
      </c>
      <c r="D57" s="126" t="s">
        <v>1987</v>
      </c>
      <c r="E57" s="291" t="s">
        <v>1985</v>
      </c>
      <c r="F57" s="126"/>
      <c r="G57" s="197" t="s">
        <v>1977</v>
      </c>
      <c r="H57" s="201" t="s">
        <v>1978</v>
      </c>
      <c r="I57" s="61" t="s">
        <v>891</v>
      </c>
      <c r="J57" s="61" t="s">
        <v>1926</v>
      </c>
      <c r="K57" s="61" t="s">
        <v>887</v>
      </c>
      <c r="L57" s="23" t="s">
        <v>834</v>
      </c>
      <c r="M57" s="23" t="s">
        <v>283</v>
      </c>
      <c r="N57" s="292">
        <v>160000</v>
      </c>
      <c r="O57" s="115">
        <f>189/2</f>
        <v>94.5</v>
      </c>
      <c r="P57" s="410"/>
      <c r="Q57" s="410"/>
      <c r="R57" s="23" t="s">
        <v>1983</v>
      </c>
      <c r="S57" s="102"/>
      <c r="T57" s="246"/>
      <c r="U57" s="40"/>
      <c r="V57" s="40"/>
      <c r="W57" s="61" t="s">
        <v>1001</v>
      </c>
      <c r="X57" s="61" t="s">
        <v>1713</v>
      </c>
      <c r="Y57" s="23" t="s">
        <v>1928</v>
      </c>
    </row>
    <row r="58" spans="1:25" ht="13">
      <c r="A58" s="65"/>
      <c r="B58" s="65"/>
      <c r="C58" s="126"/>
      <c r="D58" s="126"/>
      <c r="E58" s="291"/>
      <c r="F58" s="126"/>
      <c r="G58" s="246"/>
      <c r="H58" s="185"/>
      <c r="I58" s="185"/>
      <c r="J58" s="293"/>
      <c r="K58" s="185"/>
      <c r="L58" s="246"/>
      <c r="M58" s="246"/>
      <c r="N58" s="292"/>
      <c r="O58" s="292"/>
      <c r="P58" s="292"/>
      <c r="Q58" s="37"/>
      <c r="R58" s="246"/>
      <c r="S58" s="102"/>
      <c r="T58" s="246"/>
      <c r="U58" s="40"/>
      <c r="V58" s="40"/>
      <c r="W58" s="185"/>
      <c r="X58" s="185"/>
      <c r="Y58" s="227"/>
    </row>
    <row r="59" spans="1:25" ht="56">
      <c r="A59" s="65" t="s">
        <v>1990</v>
      </c>
      <c r="B59" s="291" t="s">
        <v>1991</v>
      </c>
      <c r="C59" s="10" t="s">
        <v>1992</v>
      </c>
      <c r="D59" s="40" t="s">
        <v>1993</v>
      </c>
      <c r="E59" s="291" t="s">
        <v>1994</v>
      </c>
      <c r="F59" s="40" t="s">
        <v>1995</v>
      </c>
      <c r="G59" s="40" t="s">
        <v>1995</v>
      </c>
      <c r="H59" s="294" t="s">
        <v>1996</v>
      </c>
      <c r="I59" s="185" t="s">
        <v>891</v>
      </c>
      <c r="J59" s="185" t="s">
        <v>1926</v>
      </c>
      <c r="K59" s="185" t="s">
        <v>887</v>
      </c>
      <c r="L59" s="246" t="s">
        <v>834</v>
      </c>
      <c r="M59" s="246" t="s">
        <v>248</v>
      </c>
      <c r="N59" s="292">
        <v>12500</v>
      </c>
      <c r="O59" s="292">
        <v>111</v>
      </c>
      <c r="P59" s="292">
        <f>O59*N59</f>
        <v>1387500</v>
      </c>
      <c r="Q59" s="37" t="s">
        <v>1997</v>
      </c>
      <c r="R59" s="246" t="s">
        <v>1998</v>
      </c>
      <c r="S59" s="102"/>
      <c r="T59" s="292"/>
      <c r="U59" s="40"/>
      <c r="V59" s="40"/>
      <c r="W59" s="61" t="s">
        <v>1001</v>
      </c>
      <c r="X59" s="61" t="s">
        <v>1713</v>
      </c>
      <c r="Y59" s="23" t="s">
        <v>1928</v>
      </c>
    </row>
    <row r="60" spans="1:25" ht="56">
      <c r="A60" s="65" t="s">
        <v>1990</v>
      </c>
      <c r="B60" s="291" t="s">
        <v>1991</v>
      </c>
      <c r="C60" s="10" t="s">
        <v>1992</v>
      </c>
      <c r="D60" s="10" t="s">
        <v>1999</v>
      </c>
      <c r="E60" s="291" t="s">
        <v>1994</v>
      </c>
      <c r="F60" s="10" t="s">
        <v>2000</v>
      </c>
      <c r="G60" s="10" t="s">
        <v>2000</v>
      </c>
      <c r="H60" s="205" t="s">
        <v>2001</v>
      </c>
      <c r="I60" s="185" t="s">
        <v>891</v>
      </c>
      <c r="J60" s="185" t="s">
        <v>1926</v>
      </c>
      <c r="K60" s="185" t="s">
        <v>887</v>
      </c>
      <c r="L60" s="246" t="s">
        <v>834</v>
      </c>
      <c r="M60" s="246" t="s">
        <v>248</v>
      </c>
      <c r="N60" s="108">
        <v>15000</v>
      </c>
      <c r="O60" s="115">
        <v>78</v>
      </c>
      <c r="P60" s="115">
        <f>O60*N60</f>
        <v>1170000</v>
      </c>
      <c r="Q60" s="37" t="s">
        <v>2002</v>
      </c>
      <c r="R60" s="83" t="s">
        <v>1983</v>
      </c>
      <c r="S60" s="10"/>
      <c r="T60" s="23"/>
      <c r="U60" s="10"/>
      <c r="V60" s="10"/>
      <c r="W60" s="61" t="s">
        <v>1001</v>
      </c>
      <c r="X60" s="61" t="s">
        <v>1713</v>
      </c>
      <c r="Y60" s="23" t="s">
        <v>1928</v>
      </c>
    </row>
    <row r="61" spans="1:25" ht="13">
      <c r="A61" s="8"/>
      <c r="B61" s="8"/>
      <c r="C61" s="10"/>
      <c r="D61" s="36"/>
      <c r="E61" s="195"/>
      <c r="F61" s="10"/>
      <c r="G61" s="197"/>
      <c r="H61" s="197"/>
      <c r="I61" s="61"/>
      <c r="J61" s="61"/>
      <c r="K61" s="61"/>
      <c r="L61" s="23"/>
      <c r="M61" s="23"/>
      <c r="N61" s="108"/>
      <c r="O61" s="115"/>
      <c r="P61" s="115"/>
      <c r="Q61" s="194"/>
      <c r="R61" s="23"/>
      <c r="S61" s="10"/>
      <c r="T61" s="23"/>
      <c r="U61" s="10"/>
      <c r="V61" s="10"/>
      <c r="W61" s="61"/>
      <c r="X61" s="61"/>
      <c r="Y61" s="23"/>
    </row>
    <row r="62" spans="1:25" ht="42">
      <c r="A62" s="8" t="s">
        <v>2003</v>
      </c>
      <c r="B62" s="8"/>
      <c r="C62" s="10" t="s">
        <v>2004</v>
      </c>
      <c r="D62" s="10" t="s">
        <v>2005</v>
      </c>
      <c r="E62" s="37" t="s">
        <v>2006</v>
      </c>
      <c r="F62" s="10"/>
      <c r="G62" s="23"/>
      <c r="H62" s="61"/>
      <c r="I62" s="61"/>
      <c r="J62" s="61"/>
      <c r="K62" s="61"/>
      <c r="L62" s="23"/>
      <c r="M62" s="23"/>
      <c r="N62" s="108"/>
      <c r="O62" s="115"/>
      <c r="P62" s="115"/>
      <c r="Q62" s="10"/>
      <c r="R62" s="103"/>
      <c r="S62" s="10"/>
      <c r="T62" s="23"/>
      <c r="U62" s="10"/>
      <c r="V62" s="10"/>
      <c r="W62" s="61"/>
      <c r="X62" s="61"/>
      <c r="Y62" s="103"/>
    </row>
    <row r="63" spans="1:25" ht="13">
      <c r="A63" s="8"/>
      <c r="B63" s="8"/>
      <c r="C63" s="10"/>
      <c r="D63" s="36"/>
      <c r="E63" s="87"/>
      <c r="F63" s="10"/>
      <c r="G63" s="23"/>
      <c r="H63" s="61"/>
      <c r="I63" s="61"/>
      <c r="J63" s="61"/>
      <c r="K63" s="61"/>
      <c r="L63" s="23"/>
      <c r="M63" s="23"/>
      <c r="N63" s="108"/>
      <c r="O63" s="115"/>
      <c r="P63" s="115"/>
      <c r="Q63" s="194"/>
      <c r="R63" s="23"/>
      <c r="S63" s="10"/>
      <c r="T63" s="23"/>
      <c r="U63" s="10"/>
      <c r="V63" s="10"/>
      <c r="W63" s="61"/>
      <c r="X63" s="61"/>
      <c r="Y63" s="83"/>
    </row>
    <row r="64" spans="1:25" ht="56">
      <c r="A64" s="8" t="s">
        <v>2007</v>
      </c>
      <c r="B64" s="8" t="s">
        <v>746</v>
      </c>
      <c r="C64" s="10"/>
      <c r="D64" s="10" t="s">
        <v>2008</v>
      </c>
      <c r="E64" s="37" t="s">
        <v>2009</v>
      </c>
      <c r="F64" s="10"/>
      <c r="G64" s="23" t="s">
        <v>2010</v>
      </c>
      <c r="H64" s="205" t="s">
        <v>2011</v>
      </c>
      <c r="I64" s="61" t="s">
        <v>895</v>
      </c>
      <c r="J64" s="61" t="s">
        <v>1926</v>
      </c>
      <c r="K64" s="61" t="s">
        <v>1822</v>
      </c>
      <c r="L64" s="23" t="s">
        <v>834</v>
      </c>
      <c r="M64" s="23" t="s">
        <v>283</v>
      </c>
      <c r="N64" s="108">
        <v>58000</v>
      </c>
      <c r="O64" s="115">
        <v>329</v>
      </c>
      <c r="P64" s="115">
        <f>O64*N64</f>
        <v>19082000</v>
      </c>
      <c r="Q64" s="37" t="s">
        <v>2012</v>
      </c>
      <c r="R64" s="103" t="s">
        <v>1694</v>
      </c>
      <c r="S64" s="10"/>
      <c r="T64" s="23" t="s">
        <v>1045</v>
      </c>
      <c r="U64" s="10" t="s">
        <v>1037</v>
      </c>
      <c r="V64" s="10"/>
      <c r="W64" s="61" t="s">
        <v>366</v>
      </c>
      <c r="X64" s="61" t="s">
        <v>1257</v>
      </c>
      <c r="Y64" s="103" t="s">
        <v>1155</v>
      </c>
    </row>
    <row r="65" spans="1:25" ht="13">
      <c r="A65" s="8"/>
      <c r="B65" s="8"/>
      <c r="C65" s="10"/>
      <c r="D65" s="36"/>
      <c r="E65" s="87"/>
      <c r="F65" s="10"/>
      <c r="G65" s="23"/>
      <c r="H65" s="61"/>
      <c r="I65" s="61"/>
      <c r="J65" s="61"/>
      <c r="K65" s="61"/>
      <c r="L65" s="23"/>
      <c r="M65" s="23"/>
      <c r="N65" s="115"/>
      <c r="O65" s="115"/>
      <c r="P65" s="108"/>
      <c r="Q65" s="37"/>
      <c r="R65" s="23"/>
      <c r="S65" s="10"/>
      <c r="T65" s="23"/>
      <c r="U65" s="10"/>
      <c r="W65" s="61"/>
      <c r="X65" s="61"/>
      <c r="Y65" s="113"/>
    </row>
    <row r="66" spans="1:25" ht="13">
      <c r="A66" s="8" t="s">
        <v>2013</v>
      </c>
      <c r="B66" s="8" t="s">
        <v>2014</v>
      </c>
      <c r="C66" s="10"/>
      <c r="D66" s="87"/>
      <c r="E66" s="87"/>
      <c r="F66" s="10"/>
      <c r="G66" s="23"/>
      <c r="H66" s="61"/>
      <c r="I66" s="61"/>
      <c r="J66" s="61"/>
      <c r="K66" s="61"/>
      <c r="L66" s="23"/>
      <c r="M66" s="23"/>
      <c r="N66" s="115"/>
      <c r="O66" s="115"/>
      <c r="P66" s="108"/>
      <c r="Q66" s="37"/>
      <c r="R66" s="23"/>
      <c r="S66" s="10"/>
      <c r="T66" s="23"/>
      <c r="U66" s="10"/>
      <c r="V66" s="10"/>
      <c r="W66" s="61"/>
      <c r="X66" s="61"/>
      <c r="Y66" s="113"/>
    </row>
    <row r="67" spans="1:25" ht="13">
      <c r="A67" s="8"/>
      <c r="B67" s="8"/>
      <c r="C67" s="10"/>
      <c r="D67" s="87"/>
      <c r="E67" s="87"/>
      <c r="F67" s="10"/>
      <c r="G67" s="23"/>
      <c r="H67" s="61"/>
      <c r="I67" s="61"/>
      <c r="J67" s="61"/>
      <c r="K67" s="61"/>
      <c r="L67" s="23"/>
      <c r="M67" s="23"/>
      <c r="N67" s="115"/>
      <c r="O67" s="115"/>
      <c r="P67" s="108"/>
      <c r="Q67" s="37"/>
      <c r="R67" s="23"/>
      <c r="S67" s="10"/>
      <c r="T67" s="23"/>
      <c r="U67" s="10"/>
      <c r="V67" s="10"/>
      <c r="W67" s="61"/>
      <c r="X67" s="61"/>
      <c r="Y67" s="113"/>
    </row>
    <row r="68" spans="1:25" ht="56">
      <c r="A68" s="8" t="s">
        <v>2015</v>
      </c>
      <c r="B68" s="8" t="s">
        <v>746</v>
      </c>
      <c r="C68" s="10"/>
      <c r="D68" s="87" t="s">
        <v>1718</v>
      </c>
      <c r="E68" s="87" t="s">
        <v>2016</v>
      </c>
      <c r="F68" s="37" t="s">
        <v>2017</v>
      </c>
      <c r="G68" s="37" t="s">
        <v>2017</v>
      </c>
      <c r="H68" s="205" t="s">
        <v>1789</v>
      </c>
      <c r="I68" s="61" t="s">
        <v>1161</v>
      </c>
      <c r="J68" s="61" t="s">
        <v>1937</v>
      </c>
      <c r="K68" s="61" t="s">
        <v>909</v>
      </c>
      <c r="L68" s="23" t="s">
        <v>940</v>
      </c>
      <c r="M68" s="23" t="s">
        <v>248</v>
      </c>
      <c r="N68" s="115">
        <v>10000</v>
      </c>
      <c r="O68" s="115">
        <v>70</v>
      </c>
      <c r="P68" s="108">
        <f>O68*N68</f>
        <v>700000</v>
      </c>
      <c r="Q68" s="37" t="s">
        <v>2018</v>
      </c>
      <c r="R68" s="23" t="s">
        <v>884</v>
      </c>
      <c r="S68" s="10"/>
      <c r="T68" s="23"/>
      <c r="U68" s="10"/>
      <c r="V68" s="10"/>
      <c r="W68" s="61" t="s">
        <v>462</v>
      </c>
      <c r="X68" s="61" t="s">
        <v>1257</v>
      </c>
      <c r="Y68" s="113" t="s">
        <v>1155</v>
      </c>
    </row>
    <row r="69" spans="1:25" ht="13">
      <c r="A69" s="8"/>
      <c r="B69" s="8"/>
      <c r="C69" s="10"/>
      <c r="D69" s="87"/>
      <c r="E69" s="87"/>
      <c r="F69" s="10"/>
      <c r="G69" s="23"/>
      <c r="H69" s="61"/>
      <c r="I69" s="61"/>
      <c r="J69" s="61"/>
      <c r="K69" s="61"/>
      <c r="L69" s="23"/>
      <c r="M69" s="23"/>
      <c r="N69" s="115"/>
      <c r="O69" s="115"/>
      <c r="P69" s="108"/>
      <c r="Q69" s="37"/>
      <c r="R69" s="113"/>
      <c r="S69" s="10"/>
      <c r="T69" s="23"/>
      <c r="U69" s="10"/>
      <c r="W69" s="61"/>
      <c r="X69" s="61"/>
      <c r="Y69" s="113"/>
    </row>
    <row r="70" spans="1:25" ht="14">
      <c r="A70" s="8" t="s">
        <v>2019</v>
      </c>
      <c r="B70" s="8" t="s">
        <v>746</v>
      </c>
      <c r="C70" s="10"/>
      <c r="D70" s="87" t="s">
        <v>2020</v>
      </c>
      <c r="E70" s="87"/>
      <c r="F70" s="10"/>
      <c r="G70" s="23"/>
      <c r="H70" s="61"/>
      <c r="I70" s="61"/>
      <c r="J70" s="61"/>
      <c r="K70" s="61"/>
      <c r="L70" s="23"/>
      <c r="M70" s="23"/>
      <c r="N70" s="115"/>
      <c r="O70" s="115"/>
      <c r="P70" s="108"/>
      <c r="Q70" s="37"/>
      <c r="R70" s="113"/>
      <c r="S70" s="10"/>
      <c r="T70" s="23"/>
      <c r="U70" s="10"/>
      <c r="V70" s="10"/>
      <c r="W70" s="61"/>
      <c r="X70" s="61"/>
      <c r="Y70" s="113"/>
    </row>
    <row r="71" spans="1:25" ht="13">
      <c r="A71" s="8"/>
      <c r="B71" s="8"/>
      <c r="C71" s="10"/>
      <c r="D71" s="87"/>
      <c r="E71" s="87"/>
      <c r="F71" s="10"/>
      <c r="G71" s="23"/>
      <c r="H71" s="61"/>
      <c r="I71" s="61"/>
      <c r="J71" s="61"/>
      <c r="K71" s="61"/>
      <c r="L71" s="23"/>
      <c r="M71" s="23"/>
      <c r="N71" s="108"/>
      <c r="O71" s="115"/>
      <c r="P71" s="115"/>
      <c r="Q71" s="194"/>
      <c r="R71" s="23"/>
      <c r="S71" s="10"/>
      <c r="T71" s="23"/>
      <c r="U71" s="10"/>
      <c r="V71" s="10"/>
      <c r="W71" s="61"/>
      <c r="X71" s="61"/>
      <c r="Y71" s="83"/>
    </row>
    <row r="72" spans="1:25" ht="13">
      <c r="A72" s="8" t="s">
        <v>2021</v>
      </c>
      <c r="B72" s="8" t="s">
        <v>746</v>
      </c>
      <c r="C72" s="10"/>
      <c r="D72" s="10" t="s">
        <v>1725</v>
      </c>
      <c r="E72" s="211"/>
      <c r="F72" s="211"/>
      <c r="G72" s="192"/>
      <c r="H72" s="212"/>
      <c r="I72" s="61"/>
      <c r="J72" s="61"/>
      <c r="K72" s="61"/>
      <c r="L72" s="23"/>
      <c r="M72" s="23"/>
      <c r="N72" s="108"/>
      <c r="O72" s="217"/>
      <c r="P72" s="115"/>
      <c r="Q72" s="37"/>
      <c r="R72" s="103"/>
      <c r="S72" s="10"/>
      <c r="T72" s="23"/>
      <c r="U72" s="10"/>
      <c r="V72" s="10"/>
      <c r="W72" s="61"/>
      <c r="X72" s="112"/>
      <c r="Y72" s="103"/>
    </row>
    <row r="73" spans="1:25" ht="13">
      <c r="A73" s="8"/>
      <c r="B73" s="8"/>
      <c r="C73" s="10"/>
      <c r="D73" s="10"/>
      <c r="E73" s="211"/>
      <c r="F73" s="211"/>
      <c r="G73" s="192"/>
      <c r="H73" s="197"/>
      <c r="I73" s="61"/>
      <c r="J73" s="61"/>
      <c r="K73" s="61"/>
      <c r="L73" s="23"/>
      <c r="M73" s="23"/>
      <c r="N73" s="213"/>
      <c r="O73" s="115"/>
      <c r="P73" s="115"/>
      <c r="Q73" s="10"/>
      <c r="R73" s="103"/>
      <c r="S73" s="10"/>
      <c r="T73" s="23"/>
      <c r="U73" s="10"/>
      <c r="V73" s="10"/>
      <c r="W73" s="61"/>
      <c r="X73" s="103"/>
      <c r="Y73" s="103"/>
    </row>
    <row r="74" spans="1:25" ht="56">
      <c r="A74" s="8" t="s">
        <v>2022</v>
      </c>
      <c r="B74" s="8" t="s">
        <v>746</v>
      </c>
      <c r="C74" s="10" t="s">
        <v>1947</v>
      </c>
      <c r="D74" s="40" t="s">
        <v>1726</v>
      </c>
      <c r="E74" s="230" t="s">
        <v>2023</v>
      </c>
      <c r="F74" s="10" t="s">
        <v>2024</v>
      </c>
      <c r="G74" s="192" t="s">
        <v>2025</v>
      </c>
      <c r="H74" s="198" t="s">
        <v>2026</v>
      </c>
      <c r="I74" s="23" t="s">
        <v>895</v>
      </c>
      <c r="J74" s="23" t="s">
        <v>1926</v>
      </c>
      <c r="K74" s="23" t="s">
        <v>1822</v>
      </c>
      <c r="L74" s="23" t="s">
        <v>19</v>
      </c>
      <c r="M74" s="23" t="s">
        <v>248</v>
      </c>
      <c r="N74" s="108">
        <v>13000</v>
      </c>
      <c r="O74" s="108">
        <v>581</v>
      </c>
      <c r="P74" s="108">
        <f>O74*N74</f>
        <v>7553000</v>
      </c>
      <c r="Q74" s="37" t="s">
        <v>2027</v>
      </c>
      <c r="R74" s="103" t="s">
        <v>683</v>
      </c>
      <c r="S74" s="10"/>
      <c r="T74" s="23"/>
      <c r="U74" s="10"/>
      <c r="V74" s="10"/>
      <c r="W74" s="61" t="s">
        <v>1746</v>
      </c>
      <c r="X74" s="103" t="s">
        <v>1257</v>
      </c>
      <c r="Y74" s="103" t="s">
        <v>1155</v>
      </c>
    </row>
    <row r="75" spans="1:25" ht="13">
      <c r="A75" s="8"/>
      <c r="B75" s="8"/>
      <c r="C75" s="10"/>
      <c r="D75" s="10"/>
      <c r="E75" s="230"/>
      <c r="F75" s="10"/>
      <c r="G75" s="192"/>
      <c r="H75" s="197"/>
      <c r="I75" s="23"/>
      <c r="J75" s="23"/>
      <c r="K75" s="23"/>
      <c r="L75" s="23"/>
      <c r="M75" s="23"/>
      <c r="N75" s="108"/>
      <c r="O75" s="103"/>
      <c r="P75" s="90"/>
      <c r="Q75" s="37"/>
      <c r="R75" s="235"/>
      <c r="S75" s="10"/>
      <c r="T75" s="23"/>
      <c r="U75" s="10"/>
      <c r="V75" s="10"/>
      <c r="W75" s="61"/>
      <c r="X75" s="103"/>
      <c r="Y75" s="103"/>
    </row>
    <row r="76" spans="1:25" ht="54.75" customHeight="1">
      <c r="A76" s="8" t="s">
        <v>2028</v>
      </c>
      <c r="B76" s="8" t="s">
        <v>898</v>
      </c>
      <c r="C76" s="37" t="s">
        <v>2029</v>
      </c>
      <c r="D76" s="36" t="s">
        <v>345</v>
      </c>
      <c r="E76" s="230" t="s">
        <v>1742</v>
      </c>
      <c r="F76" s="36"/>
      <c r="G76" s="191" t="s">
        <v>2030</v>
      </c>
      <c r="H76" s="198" t="s">
        <v>1845</v>
      </c>
      <c r="I76" s="23" t="s">
        <v>891</v>
      </c>
      <c r="J76" s="23" t="s">
        <v>1926</v>
      </c>
      <c r="K76" s="23" t="s">
        <v>887</v>
      </c>
      <c r="L76" s="23" t="s">
        <v>19</v>
      </c>
      <c r="M76" s="23" t="s">
        <v>283</v>
      </c>
      <c r="N76" s="216">
        <v>42000</v>
      </c>
      <c r="O76" s="296" t="s">
        <v>1743</v>
      </c>
      <c r="P76" s="115"/>
      <c r="Q76" s="37" t="s">
        <v>2031</v>
      </c>
      <c r="R76" s="113" t="s">
        <v>2032</v>
      </c>
      <c r="S76" s="129">
        <v>28000</v>
      </c>
      <c r="T76" s="23" t="s">
        <v>1853</v>
      </c>
      <c r="U76" s="10"/>
      <c r="V76" s="36" t="s">
        <v>2033</v>
      </c>
      <c r="W76" s="61" t="s">
        <v>819</v>
      </c>
      <c r="X76" s="103" t="s">
        <v>1183</v>
      </c>
      <c r="Y76" s="103" t="s">
        <v>2034</v>
      </c>
    </row>
    <row r="77" spans="1:25" ht="56">
      <c r="A77" s="8" t="s">
        <v>2028</v>
      </c>
      <c r="B77" s="8" t="s">
        <v>898</v>
      </c>
      <c r="C77" s="37" t="s">
        <v>2029</v>
      </c>
      <c r="D77" s="10" t="s">
        <v>176</v>
      </c>
      <c r="E77" s="230" t="s">
        <v>1742</v>
      </c>
      <c r="F77" s="10"/>
      <c r="G77" s="191" t="s">
        <v>2030</v>
      </c>
      <c r="H77" s="198" t="s">
        <v>1845</v>
      </c>
      <c r="I77" s="23" t="s">
        <v>891</v>
      </c>
      <c r="J77" s="23" t="s">
        <v>1926</v>
      </c>
      <c r="K77" s="23" t="s">
        <v>887</v>
      </c>
      <c r="L77" s="23" t="s">
        <v>19</v>
      </c>
      <c r="M77" s="23" t="s">
        <v>283</v>
      </c>
      <c r="N77" s="108">
        <v>61000</v>
      </c>
      <c r="O77" s="297" t="s">
        <v>1743</v>
      </c>
      <c r="P77" s="115"/>
      <c r="Q77" s="37" t="s">
        <v>2035</v>
      </c>
      <c r="R77" s="83" t="s">
        <v>2036</v>
      </c>
      <c r="S77" s="90">
        <v>56000</v>
      </c>
      <c r="T77" s="23"/>
      <c r="U77" s="10"/>
      <c r="V77" s="10" t="s">
        <v>2037</v>
      </c>
      <c r="W77" s="61" t="s">
        <v>819</v>
      </c>
      <c r="X77" s="103" t="s">
        <v>1183</v>
      </c>
      <c r="Y77" s="103" t="s">
        <v>2034</v>
      </c>
    </row>
    <row r="78" spans="1:25" ht="56">
      <c r="A78" s="8" t="s">
        <v>2028</v>
      </c>
      <c r="B78" s="8" t="s">
        <v>898</v>
      </c>
      <c r="C78" s="37" t="s">
        <v>2029</v>
      </c>
      <c r="D78" s="10" t="s">
        <v>338</v>
      </c>
      <c r="E78" s="230" t="s">
        <v>1742</v>
      </c>
      <c r="F78" s="10"/>
      <c r="G78" s="191" t="s">
        <v>2030</v>
      </c>
      <c r="H78" s="198" t="s">
        <v>1845</v>
      </c>
      <c r="I78" s="23" t="s">
        <v>891</v>
      </c>
      <c r="J78" s="23" t="s">
        <v>1926</v>
      </c>
      <c r="K78" s="23" t="s">
        <v>887</v>
      </c>
      <c r="L78" s="23" t="s">
        <v>19</v>
      </c>
      <c r="M78" s="23" t="s">
        <v>283</v>
      </c>
      <c r="N78" s="129">
        <v>61000</v>
      </c>
      <c r="O78" s="296" t="s">
        <v>1743</v>
      </c>
      <c r="P78" s="115"/>
      <c r="Q78" s="37" t="s">
        <v>2038</v>
      </c>
      <c r="R78" s="83" t="s">
        <v>2039</v>
      </c>
      <c r="S78" s="90">
        <v>56000</v>
      </c>
      <c r="T78" s="23"/>
      <c r="U78" s="10"/>
      <c r="V78" s="10" t="s">
        <v>2040</v>
      </c>
      <c r="W78" s="61" t="s">
        <v>819</v>
      </c>
      <c r="X78" s="103" t="s">
        <v>1183</v>
      </c>
      <c r="Y78" s="103" t="s">
        <v>2034</v>
      </c>
    </row>
    <row r="79" spans="1:25" ht="56">
      <c r="A79" s="8" t="s">
        <v>2028</v>
      </c>
      <c r="B79" s="8" t="s">
        <v>898</v>
      </c>
      <c r="C79" s="37" t="s">
        <v>2029</v>
      </c>
      <c r="D79" s="109" t="s">
        <v>83</v>
      </c>
      <c r="E79" s="230" t="s">
        <v>1864</v>
      </c>
      <c r="F79" s="10"/>
      <c r="G79" s="191" t="s">
        <v>2030</v>
      </c>
      <c r="H79" s="198" t="s">
        <v>1845</v>
      </c>
      <c r="I79" s="23" t="s">
        <v>891</v>
      </c>
      <c r="J79" s="23" t="s">
        <v>1926</v>
      </c>
      <c r="K79" s="23" t="s">
        <v>887</v>
      </c>
      <c r="L79" s="23" t="s">
        <v>19</v>
      </c>
      <c r="M79" s="23" t="s">
        <v>283</v>
      </c>
      <c r="N79" s="216">
        <v>42000</v>
      </c>
      <c r="O79" s="296" t="s">
        <v>1743</v>
      </c>
      <c r="P79" s="115"/>
      <c r="Q79" s="37" t="s">
        <v>2041</v>
      </c>
      <c r="R79" s="113" t="s">
        <v>2032</v>
      </c>
      <c r="S79" s="129">
        <v>28000</v>
      </c>
      <c r="T79" s="23"/>
      <c r="U79" s="10"/>
      <c r="V79" s="10" t="s">
        <v>2042</v>
      </c>
      <c r="W79" s="61" t="s">
        <v>819</v>
      </c>
      <c r="X79" s="103" t="s">
        <v>1183</v>
      </c>
      <c r="Y79" s="103" t="s">
        <v>2034</v>
      </c>
    </row>
    <row r="80" spans="1:25" ht="56">
      <c r="A80" s="8" t="s">
        <v>2028</v>
      </c>
      <c r="B80" s="8" t="s">
        <v>898</v>
      </c>
      <c r="C80" s="37" t="s">
        <v>2029</v>
      </c>
      <c r="D80" s="109" t="s">
        <v>178</v>
      </c>
      <c r="E80" s="230" t="s">
        <v>1864</v>
      </c>
      <c r="F80" s="10"/>
      <c r="G80" s="191" t="s">
        <v>2030</v>
      </c>
      <c r="H80" s="198" t="s">
        <v>1845</v>
      </c>
      <c r="I80" s="23" t="s">
        <v>891</v>
      </c>
      <c r="J80" s="23" t="s">
        <v>1926</v>
      </c>
      <c r="K80" s="23" t="s">
        <v>887</v>
      </c>
      <c r="L80" s="23" t="s">
        <v>19</v>
      </c>
      <c r="M80" s="23" t="s">
        <v>283</v>
      </c>
      <c r="N80" s="108">
        <v>61000</v>
      </c>
      <c r="O80" s="297" t="s">
        <v>1743</v>
      </c>
      <c r="P80" s="115"/>
      <c r="Q80" s="37" t="s">
        <v>2043</v>
      </c>
      <c r="R80" s="83" t="s">
        <v>2036</v>
      </c>
      <c r="S80" s="90">
        <v>56000</v>
      </c>
      <c r="T80" s="23"/>
      <c r="U80" s="10"/>
      <c r="V80" s="10" t="s">
        <v>2044</v>
      </c>
      <c r="W80" s="61" t="s">
        <v>819</v>
      </c>
      <c r="X80" s="103" t="s">
        <v>1183</v>
      </c>
      <c r="Y80" s="103" t="s">
        <v>2034</v>
      </c>
    </row>
    <row r="81" spans="1:25" ht="15">
      <c r="A81" s="8"/>
      <c r="B81" s="8"/>
      <c r="C81" s="10"/>
      <c r="D81" s="18"/>
      <c r="E81" s="37"/>
      <c r="F81" s="10"/>
      <c r="G81" s="85"/>
      <c r="H81" s="61"/>
      <c r="I81" s="61"/>
      <c r="J81" s="61"/>
      <c r="K81" s="61"/>
      <c r="L81" s="23"/>
      <c r="M81" s="23"/>
      <c r="N81" s="108"/>
      <c r="O81" s="217"/>
      <c r="P81" s="115"/>
      <c r="Q81" s="37"/>
      <c r="R81" s="103"/>
      <c r="S81" s="10"/>
      <c r="T81" s="23"/>
      <c r="U81" s="10"/>
      <c r="V81" s="10"/>
      <c r="W81" s="61"/>
      <c r="X81" s="61"/>
      <c r="Y81" s="113"/>
    </row>
    <row r="82" spans="1:25" ht="56">
      <c r="A82" s="8" t="s">
        <v>2045</v>
      </c>
      <c r="B82" s="8"/>
      <c r="C82" s="10" t="s">
        <v>2046</v>
      </c>
      <c r="D82" s="109" t="s">
        <v>35</v>
      </c>
      <c r="E82" s="37" t="s">
        <v>2047</v>
      </c>
      <c r="F82" s="10"/>
      <c r="G82" s="85" t="s">
        <v>2048</v>
      </c>
      <c r="H82" s="205" t="s">
        <v>2049</v>
      </c>
      <c r="I82" s="61" t="s">
        <v>895</v>
      </c>
      <c r="J82" s="61" t="s">
        <v>1937</v>
      </c>
      <c r="K82" s="61" t="s">
        <v>1822</v>
      </c>
      <c r="L82" s="23" t="s">
        <v>19</v>
      </c>
      <c r="M82" s="23" t="s">
        <v>248</v>
      </c>
      <c r="N82" s="108">
        <v>20000</v>
      </c>
      <c r="O82" s="236">
        <v>140</v>
      </c>
      <c r="P82" s="115">
        <f>O82*N82</f>
        <v>2800000</v>
      </c>
      <c r="Q82" s="37" t="s">
        <v>2050</v>
      </c>
      <c r="R82" s="83" t="s">
        <v>1694</v>
      </c>
      <c r="S82" s="10"/>
      <c r="T82" s="23"/>
      <c r="U82" s="10"/>
      <c r="V82" s="10"/>
      <c r="W82" s="61" t="s">
        <v>819</v>
      </c>
      <c r="X82" s="103" t="s">
        <v>1183</v>
      </c>
      <c r="Y82" s="103" t="s">
        <v>2034</v>
      </c>
    </row>
    <row r="83" spans="1:25" ht="15">
      <c r="A83" s="8"/>
      <c r="B83" s="8"/>
      <c r="C83" s="10"/>
      <c r="D83" s="18"/>
      <c r="E83" s="37"/>
      <c r="F83" s="10"/>
      <c r="G83" s="85"/>
      <c r="H83" s="61"/>
      <c r="I83" s="61"/>
      <c r="J83" s="61"/>
      <c r="K83" s="61"/>
      <c r="L83" s="23"/>
      <c r="M83" s="23"/>
      <c r="N83" s="108"/>
      <c r="O83" s="217"/>
      <c r="P83" s="115"/>
      <c r="Q83" s="37"/>
      <c r="R83" s="83"/>
      <c r="S83" s="10"/>
      <c r="T83" s="23"/>
      <c r="U83" s="10"/>
      <c r="V83" s="10"/>
      <c r="W83" s="61"/>
      <c r="X83" s="61"/>
      <c r="Y83" s="113"/>
    </row>
    <row r="84" spans="1:25" ht="14">
      <c r="A84" s="8" t="s">
        <v>2051</v>
      </c>
      <c r="B84" s="8"/>
      <c r="C84" s="10"/>
      <c r="D84" s="109" t="s">
        <v>1681</v>
      </c>
      <c r="E84" s="10"/>
      <c r="F84" s="10"/>
      <c r="G84" s="8"/>
      <c r="H84" s="61"/>
      <c r="I84" s="61"/>
      <c r="J84" s="61"/>
      <c r="K84" s="61"/>
      <c r="L84" s="23"/>
      <c r="M84" s="23"/>
      <c r="N84" s="108"/>
      <c r="O84" s="115"/>
      <c r="P84" s="115"/>
      <c r="Q84" s="214"/>
      <c r="R84" s="103"/>
      <c r="S84" s="10"/>
      <c r="T84" s="23"/>
      <c r="U84" s="10"/>
      <c r="V84" s="10"/>
      <c r="W84" s="61"/>
      <c r="X84" s="61"/>
      <c r="Y84" s="113"/>
    </row>
    <row r="85" spans="1:25" ht="13">
      <c r="A85" s="65"/>
      <c r="B85" s="65"/>
      <c r="C85" s="10"/>
      <c r="D85" s="40"/>
      <c r="E85" s="250"/>
      <c r="F85" s="40"/>
      <c r="G85" s="246"/>
      <c r="H85" s="185"/>
      <c r="I85" s="185"/>
      <c r="J85" s="185"/>
      <c r="K85" s="185"/>
      <c r="L85" s="246"/>
      <c r="M85" s="246"/>
      <c r="N85" s="292"/>
      <c r="O85" s="298"/>
      <c r="P85" s="298"/>
      <c r="Q85" s="37"/>
      <c r="R85" s="245"/>
      <c r="S85" s="245"/>
      <c r="T85" s="246"/>
      <c r="U85" s="40"/>
      <c r="V85" s="40"/>
      <c r="W85" s="185"/>
      <c r="X85" s="185"/>
      <c r="Y85" s="245"/>
    </row>
    <row r="86" spans="1:25" ht="56">
      <c r="A86" s="65" t="s">
        <v>2052</v>
      </c>
      <c r="B86" s="65" t="s">
        <v>649</v>
      </c>
      <c r="C86" s="10"/>
      <c r="D86" s="126" t="s">
        <v>88</v>
      </c>
      <c r="E86" s="250" t="s">
        <v>1756</v>
      </c>
      <c r="F86" s="126" t="s">
        <v>709</v>
      </c>
      <c r="G86" s="246" t="s">
        <v>2053</v>
      </c>
      <c r="H86" s="294" t="s">
        <v>1776</v>
      </c>
      <c r="I86" s="185" t="s">
        <v>891</v>
      </c>
      <c r="J86" s="185" t="s">
        <v>1937</v>
      </c>
      <c r="K86" s="185" t="s">
        <v>887</v>
      </c>
      <c r="L86" s="246" t="s">
        <v>19</v>
      </c>
      <c r="M86" s="246" t="s">
        <v>248</v>
      </c>
      <c r="N86" s="292">
        <v>13000</v>
      </c>
      <c r="O86" s="298">
        <v>520</v>
      </c>
      <c r="P86" s="298">
        <f>O86*N86</f>
        <v>6760000</v>
      </c>
      <c r="Q86" s="37" t="s">
        <v>2054</v>
      </c>
      <c r="R86" s="246" t="s">
        <v>1694</v>
      </c>
      <c r="S86" s="102"/>
      <c r="T86" s="246"/>
      <c r="U86" s="40"/>
      <c r="V86" s="40"/>
      <c r="W86" s="185" t="s">
        <v>710</v>
      </c>
      <c r="X86" s="185" t="s">
        <v>1257</v>
      </c>
      <c r="Y86" s="245" t="s">
        <v>1773</v>
      </c>
    </row>
    <row r="87" spans="1:25" ht="13">
      <c r="A87" s="65"/>
      <c r="B87" s="65"/>
      <c r="C87" s="10"/>
      <c r="D87" s="126"/>
      <c r="E87" s="250"/>
      <c r="F87" s="126"/>
      <c r="G87" s="246"/>
      <c r="H87" s="185"/>
      <c r="I87" s="185"/>
      <c r="J87" s="185"/>
      <c r="K87" s="185"/>
      <c r="L87" s="246"/>
      <c r="M87" s="246"/>
      <c r="N87" s="292"/>
      <c r="O87" s="298"/>
      <c r="P87" s="298"/>
      <c r="Q87" s="37"/>
      <c r="R87" s="246"/>
      <c r="S87" s="102"/>
      <c r="T87" s="246"/>
      <c r="U87" s="40"/>
      <c r="V87" s="40"/>
      <c r="W87" s="185"/>
      <c r="X87" s="185"/>
      <c r="Y87" s="245"/>
    </row>
    <row r="88" spans="1:25" ht="56">
      <c r="A88" s="65" t="s">
        <v>2055</v>
      </c>
      <c r="B88" s="65" t="s">
        <v>717</v>
      </c>
      <c r="C88" s="10" t="s">
        <v>1277</v>
      </c>
      <c r="D88" s="126" t="s">
        <v>858</v>
      </c>
      <c r="E88" s="250" t="s">
        <v>1760</v>
      </c>
      <c r="F88" s="126"/>
      <c r="G88" s="246" t="s">
        <v>2056</v>
      </c>
      <c r="H88" s="294" t="s">
        <v>1761</v>
      </c>
      <c r="I88" s="185" t="s">
        <v>891</v>
      </c>
      <c r="J88" s="185" t="s">
        <v>1926</v>
      </c>
      <c r="K88" s="185" t="s">
        <v>887</v>
      </c>
      <c r="L88" s="246" t="s">
        <v>19</v>
      </c>
      <c r="M88" s="246" t="s">
        <v>248</v>
      </c>
      <c r="N88" s="292" t="s">
        <v>859</v>
      </c>
      <c r="O88" s="298"/>
      <c r="P88" s="298"/>
      <c r="Q88" s="37" t="s">
        <v>2057</v>
      </c>
      <c r="R88" s="246" t="s">
        <v>884</v>
      </c>
      <c r="S88" s="102"/>
      <c r="T88" s="246"/>
      <c r="U88" s="40"/>
      <c r="V88" s="40"/>
      <c r="W88" s="185" t="s">
        <v>1437</v>
      </c>
      <c r="X88" s="185" t="s">
        <v>1279</v>
      </c>
      <c r="Y88" s="245" t="s">
        <v>1855</v>
      </c>
    </row>
    <row r="89" spans="1:25" ht="56">
      <c r="A89" s="65" t="s">
        <v>2055</v>
      </c>
      <c r="B89" s="65" t="s">
        <v>717</v>
      </c>
      <c r="C89" s="10" t="s">
        <v>1277</v>
      </c>
      <c r="D89" s="36" t="s">
        <v>860</v>
      </c>
      <c r="E89" s="250" t="s">
        <v>1760</v>
      </c>
      <c r="F89" s="36"/>
      <c r="G89" s="246" t="s">
        <v>2056</v>
      </c>
      <c r="H89" s="294" t="s">
        <v>1761</v>
      </c>
      <c r="I89" s="185" t="s">
        <v>891</v>
      </c>
      <c r="J89" s="185" t="s">
        <v>1926</v>
      </c>
      <c r="K89" s="185" t="s">
        <v>887</v>
      </c>
      <c r="L89" s="246" t="s">
        <v>19</v>
      </c>
      <c r="M89" s="246" t="s">
        <v>248</v>
      </c>
      <c r="N89" s="108">
        <v>15000</v>
      </c>
      <c r="O89" s="115">
        <v>433</v>
      </c>
      <c r="P89" s="115">
        <f>O89*N89</f>
        <v>6495000</v>
      </c>
      <c r="Q89" s="37" t="s">
        <v>2058</v>
      </c>
      <c r="R89" s="23" t="s">
        <v>683</v>
      </c>
      <c r="S89" s="10"/>
      <c r="T89" s="23"/>
      <c r="U89" s="10"/>
      <c r="V89" s="10"/>
      <c r="W89" s="185" t="s">
        <v>1437</v>
      </c>
      <c r="X89" s="185" t="s">
        <v>1279</v>
      </c>
      <c r="Y89" s="245" t="s">
        <v>1855</v>
      </c>
    </row>
    <row r="90" spans="1:25" ht="56">
      <c r="A90" s="65" t="s">
        <v>2055</v>
      </c>
      <c r="B90" s="65" t="s">
        <v>717</v>
      </c>
      <c r="C90" s="10" t="s">
        <v>1277</v>
      </c>
      <c r="D90" s="10" t="s">
        <v>861</v>
      </c>
      <c r="E90" s="250" t="s">
        <v>1760</v>
      </c>
      <c r="F90" s="10"/>
      <c r="G90" s="246" t="s">
        <v>2056</v>
      </c>
      <c r="H90" s="294" t="s">
        <v>1761</v>
      </c>
      <c r="I90" s="185" t="s">
        <v>891</v>
      </c>
      <c r="J90" s="185" t="s">
        <v>1926</v>
      </c>
      <c r="K90" s="185" t="s">
        <v>887</v>
      </c>
      <c r="L90" s="246" t="s">
        <v>19</v>
      </c>
      <c r="M90" s="246" t="s">
        <v>248</v>
      </c>
      <c r="N90" s="108">
        <v>15000</v>
      </c>
      <c r="O90" s="115">
        <v>182</v>
      </c>
      <c r="P90" s="115">
        <f>O90*N90</f>
        <v>2730000</v>
      </c>
      <c r="Q90" s="37" t="s">
        <v>2059</v>
      </c>
      <c r="R90" s="103" t="s">
        <v>1983</v>
      </c>
      <c r="S90" s="10"/>
      <c r="T90" s="23"/>
      <c r="U90" s="10"/>
      <c r="V90" s="10"/>
      <c r="W90" s="185" t="s">
        <v>1437</v>
      </c>
      <c r="X90" s="185" t="s">
        <v>1279</v>
      </c>
      <c r="Y90" s="245" t="s">
        <v>1855</v>
      </c>
    </row>
    <row r="91" spans="1:25" ht="56">
      <c r="A91" s="65" t="s">
        <v>2055</v>
      </c>
      <c r="B91" s="65" t="s">
        <v>717</v>
      </c>
      <c r="C91" s="10" t="s">
        <v>1277</v>
      </c>
      <c r="D91" s="10" t="s">
        <v>862</v>
      </c>
      <c r="E91" s="250" t="s">
        <v>1760</v>
      </c>
      <c r="F91" s="10"/>
      <c r="G91" s="246" t="s">
        <v>2056</v>
      </c>
      <c r="H91" s="294" t="s">
        <v>1761</v>
      </c>
      <c r="I91" s="185" t="s">
        <v>891</v>
      </c>
      <c r="J91" s="185" t="s">
        <v>1926</v>
      </c>
      <c r="K91" s="185" t="s">
        <v>887</v>
      </c>
      <c r="L91" s="246" t="s">
        <v>19</v>
      </c>
      <c r="M91" s="246" t="s">
        <v>248</v>
      </c>
      <c r="N91" s="108">
        <v>15000</v>
      </c>
      <c r="O91" s="236">
        <v>150</v>
      </c>
      <c r="P91" s="115">
        <f>O91*N91</f>
        <v>2250000</v>
      </c>
      <c r="Q91" s="37" t="s">
        <v>2060</v>
      </c>
      <c r="R91" s="103" t="s">
        <v>1788</v>
      </c>
      <c r="S91" s="10"/>
      <c r="T91" s="23"/>
      <c r="U91" s="10"/>
      <c r="V91" s="10"/>
      <c r="W91" s="185" t="s">
        <v>1437</v>
      </c>
      <c r="X91" s="185" t="s">
        <v>1279</v>
      </c>
      <c r="Y91" s="245" t="s">
        <v>1855</v>
      </c>
    </row>
    <row r="92" spans="1:25" ht="13">
      <c r="A92" s="8"/>
      <c r="B92" s="85"/>
      <c r="C92" s="10"/>
      <c r="D92" s="10"/>
      <c r="E92" s="37"/>
      <c r="F92" s="10"/>
      <c r="G92" s="10"/>
      <c r="H92" s="61"/>
      <c r="I92" s="61"/>
      <c r="J92" s="61"/>
      <c r="K92" s="61"/>
      <c r="L92" s="23"/>
      <c r="M92" s="23"/>
      <c r="N92" s="108"/>
      <c r="O92" s="236"/>
      <c r="P92" s="115"/>
      <c r="Q92" s="214"/>
      <c r="R92" s="103"/>
      <c r="S92" s="10"/>
      <c r="T92" s="23"/>
      <c r="U92" s="10"/>
      <c r="V92" s="10"/>
      <c r="W92" s="61"/>
      <c r="X92" s="61"/>
      <c r="Y92" s="23"/>
    </row>
    <row r="93" spans="1:25" ht="56">
      <c r="A93" s="8" t="s">
        <v>2063</v>
      </c>
      <c r="B93" s="85" t="s">
        <v>2064</v>
      </c>
      <c r="C93" s="10"/>
      <c r="D93" s="37" t="s">
        <v>2065</v>
      </c>
      <c r="E93" s="10" t="s">
        <v>2066</v>
      </c>
      <c r="F93" s="10" t="s">
        <v>2067</v>
      </c>
      <c r="G93" s="113" t="s">
        <v>2068</v>
      </c>
      <c r="H93" s="169" t="s">
        <v>2069</v>
      </c>
      <c r="I93" s="23" t="s">
        <v>895</v>
      </c>
      <c r="J93" s="23" t="s">
        <v>1926</v>
      </c>
      <c r="K93" s="23" t="s">
        <v>1822</v>
      </c>
      <c r="L93" s="23" t="s">
        <v>834</v>
      </c>
      <c r="M93" s="23" t="s">
        <v>248</v>
      </c>
      <c r="N93" s="90">
        <v>15000</v>
      </c>
      <c r="O93" s="236">
        <v>258</v>
      </c>
      <c r="P93" s="108">
        <f>O93*N93</f>
        <v>3870000</v>
      </c>
      <c r="Q93" s="37" t="s">
        <v>2070</v>
      </c>
      <c r="R93" s="103" t="s">
        <v>1694</v>
      </c>
      <c r="S93" s="10"/>
      <c r="T93" s="23"/>
      <c r="U93" s="10"/>
      <c r="V93" s="10"/>
      <c r="W93" s="61" t="s">
        <v>452</v>
      </c>
      <c r="X93" s="61" t="s">
        <v>1039</v>
      </c>
      <c r="Y93" s="103" t="s">
        <v>1704</v>
      </c>
    </row>
    <row r="94" spans="1:25" ht="13">
      <c r="A94" s="8"/>
      <c r="B94" s="8"/>
      <c r="C94" s="10"/>
      <c r="D94" s="37"/>
      <c r="E94" s="37"/>
      <c r="F94" s="37"/>
      <c r="G94" s="113"/>
      <c r="H94" s="23"/>
      <c r="I94" s="23"/>
      <c r="J94" s="23"/>
      <c r="K94" s="23"/>
      <c r="L94" s="23"/>
      <c r="M94" s="23"/>
      <c r="N94" s="108"/>
      <c r="O94" s="237"/>
      <c r="P94" s="108"/>
      <c r="Q94" s="37"/>
      <c r="R94" s="23"/>
      <c r="S94" s="10"/>
      <c r="T94" s="131"/>
      <c r="U94" s="10"/>
      <c r="V94" s="10"/>
      <c r="W94" s="61"/>
      <c r="X94" s="61"/>
      <c r="Y94" s="103"/>
    </row>
    <row r="95" spans="1:25" ht="56">
      <c r="A95" s="8" t="s">
        <v>2072</v>
      </c>
      <c r="B95" s="8" t="s">
        <v>812</v>
      </c>
      <c r="C95" s="10" t="s">
        <v>2073</v>
      </c>
      <c r="D95" s="37" t="s">
        <v>203</v>
      </c>
      <c r="E95" s="10" t="s">
        <v>2074</v>
      </c>
      <c r="F95" s="10"/>
      <c r="G95" s="113" t="s">
        <v>2075</v>
      </c>
      <c r="H95" s="169" t="s">
        <v>1805</v>
      </c>
      <c r="I95" s="23" t="s">
        <v>897</v>
      </c>
      <c r="J95" s="23" t="s">
        <v>1926</v>
      </c>
      <c r="K95" s="23" t="s">
        <v>1755</v>
      </c>
      <c r="L95" s="23" t="s">
        <v>19</v>
      </c>
      <c r="M95" s="23" t="s">
        <v>283</v>
      </c>
      <c r="N95" s="90">
        <v>15000</v>
      </c>
      <c r="O95" s="217">
        <f t="shared" ref="O95:O96" si="1">346/2</f>
        <v>173</v>
      </c>
      <c r="P95" s="108">
        <f>O95*N95</f>
        <v>2595000</v>
      </c>
      <c r="Q95" s="37" t="s">
        <v>2076</v>
      </c>
      <c r="R95" s="23" t="s">
        <v>884</v>
      </c>
      <c r="S95" s="10"/>
      <c r="T95" s="131" t="s">
        <v>1058</v>
      </c>
      <c r="U95" s="10"/>
      <c r="V95" s="10"/>
      <c r="W95" s="61" t="s">
        <v>284</v>
      </c>
      <c r="X95" s="61" t="s">
        <v>1279</v>
      </c>
      <c r="Y95" s="103" t="s">
        <v>2077</v>
      </c>
    </row>
    <row r="96" spans="1:25" ht="56">
      <c r="A96" s="8" t="s">
        <v>2072</v>
      </c>
      <c r="B96" s="8" t="s">
        <v>812</v>
      </c>
      <c r="C96" s="10" t="s">
        <v>2073</v>
      </c>
      <c r="D96" s="37" t="s">
        <v>52</v>
      </c>
      <c r="E96" s="10" t="s">
        <v>2074</v>
      </c>
      <c r="F96" s="10"/>
      <c r="G96" s="113" t="s">
        <v>2075</v>
      </c>
      <c r="H96" s="169" t="s">
        <v>1805</v>
      </c>
      <c r="I96" s="23" t="s">
        <v>897</v>
      </c>
      <c r="J96" s="23" t="s">
        <v>1926</v>
      </c>
      <c r="K96" s="23" t="s">
        <v>1755</v>
      </c>
      <c r="L96" s="23" t="s">
        <v>19</v>
      </c>
      <c r="M96" s="23" t="s">
        <v>283</v>
      </c>
      <c r="N96" s="90">
        <v>15000</v>
      </c>
      <c r="O96" s="217">
        <f t="shared" si="1"/>
        <v>173</v>
      </c>
      <c r="P96" s="108">
        <f>O96*N96</f>
        <v>2595000</v>
      </c>
      <c r="Q96" s="37" t="s">
        <v>2078</v>
      </c>
      <c r="R96" s="23" t="s">
        <v>1788</v>
      </c>
      <c r="S96" s="10"/>
      <c r="T96" s="131"/>
      <c r="U96" s="10"/>
      <c r="V96" s="10"/>
      <c r="W96" s="61" t="s">
        <v>284</v>
      </c>
      <c r="X96" s="61" t="s">
        <v>1279</v>
      </c>
      <c r="Y96" s="103" t="s">
        <v>2077</v>
      </c>
    </row>
    <row r="97" spans="1:25" ht="56">
      <c r="A97" s="8" t="s">
        <v>2072</v>
      </c>
      <c r="B97" s="8" t="s">
        <v>812</v>
      </c>
      <c r="C97" s="10" t="s">
        <v>2073</v>
      </c>
      <c r="D97" s="37" t="s">
        <v>158</v>
      </c>
      <c r="E97" s="10" t="s">
        <v>2074</v>
      </c>
      <c r="F97" s="10"/>
      <c r="G97" s="113" t="s">
        <v>2075</v>
      </c>
      <c r="H97" s="169" t="s">
        <v>1805</v>
      </c>
      <c r="I97" s="23" t="s">
        <v>897</v>
      </c>
      <c r="J97" s="23" t="s">
        <v>1926</v>
      </c>
      <c r="K97" s="23" t="s">
        <v>1755</v>
      </c>
      <c r="L97" s="23" t="s">
        <v>19</v>
      </c>
      <c r="M97" s="23" t="s">
        <v>283</v>
      </c>
      <c r="N97" s="90">
        <v>32000</v>
      </c>
      <c r="O97" s="217">
        <f t="shared" ref="O97:O98" si="2">219/2</f>
        <v>109.5</v>
      </c>
      <c r="P97" s="108">
        <f>O97*N97</f>
        <v>3504000</v>
      </c>
      <c r="Q97" s="37" t="s">
        <v>2079</v>
      </c>
      <c r="R97" s="23" t="s">
        <v>1988</v>
      </c>
      <c r="S97" s="10"/>
      <c r="T97" s="131"/>
      <c r="U97" s="10"/>
      <c r="V97" s="10"/>
      <c r="W97" s="61" t="s">
        <v>284</v>
      </c>
      <c r="X97" s="61" t="s">
        <v>1279</v>
      </c>
      <c r="Y97" s="103" t="s">
        <v>2077</v>
      </c>
    </row>
    <row r="98" spans="1:25" ht="49.5" customHeight="1">
      <c r="A98" s="8" t="s">
        <v>2072</v>
      </c>
      <c r="B98" s="8" t="s">
        <v>812</v>
      </c>
      <c r="C98" s="10" t="s">
        <v>2073</v>
      </c>
      <c r="D98" s="36" t="s">
        <v>110</v>
      </c>
      <c r="E98" s="10" t="s">
        <v>2074</v>
      </c>
      <c r="F98" s="37"/>
      <c r="G98" s="113" t="s">
        <v>2075</v>
      </c>
      <c r="H98" s="169" t="s">
        <v>1805</v>
      </c>
      <c r="I98" s="23" t="s">
        <v>897</v>
      </c>
      <c r="J98" s="23" t="s">
        <v>1926</v>
      </c>
      <c r="K98" s="23" t="s">
        <v>1755</v>
      </c>
      <c r="L98" s="23" t="s">
        <v>19</v>
      </c>
      <c r="M98" s="23" t="s">
        <v>283</v>
      </c>
      <c r="N98" s="90">
        <v>32000</v>
      </c>
      <c r="O98" s="217">
        <f t="shared" si="2"/>
        <v>109.5</v>
      </c>
      <c r="P98" s="108">
        <f>O98*N98</f>
        <v>3504000</v>
      </c>
      <c r="Q98" s="37" t="s">
        <v>2080</v>
      </c>
      <c r="R98" s="23" t="s">
        <v>2081</v>
      </c>
      <c r="S98" s="10"/>
      <c r="T98" s="10"/>
      <c r="U98" s="36"/>
      <c r="W98" s="61" t="s">
        <v>284</v>
      </c>
      <c r="X98" s="61" t="s">
        <v>1279</v>
      </c>
      <c r="Y98" s="103" t="s">
        <v>2077</v>
      </c>
    </row>
    <row r="99" spans="1:25" ht="13">
      <c r="A99" s="8"/>
      <c r="B99" s="8"/>
      <c r="C99" s="10"/>
      <c r="D99" s="37"/>
      <c r="E99" s="10"/>
      <c r="F99" s="10"/>
      <c r="G99" s="113"/>
      <c r="H99" s="23"/>
      <c r="I99" s="23"/>
      <c r="J99" s="23"/>
      <c r="K99" s="23"/>
      <c r="L99" s="23"/>
      <c r="M99" s="23"/>
      <c r="N99" s="10"/>
      <c r="O99" s="217"/>
      <c r="P99" s="108"/>
      <c r="Q99" s="194"/>
      <c r="R99" s="36"/>
      <c r="S99" s="10"/>
      <c r="T99" s="131"/>
      <c r="U99" s="10"/>
      <c r="V99" s="10"/>
      <c r="W99" s="61"/>
      <c r="X99" s="61"/>
      <c r="Y99" s="103"/>
    </row>
    <row r="100" spans="1:25" ht="56">
      <c r="A100" s="8" t="s">
        <v>2082</v>
      </c>
      <c r="B100" s="8"/>
      <c r="C100" s="10"/>
      <c r="D100" s="10" t="s">
        <v>1783</v>
      </c>
      <c r="E100" s="37" t="s">
        <v>1784</v>
      </c>
      <c r="F100" s="10" t="s">
        <v>1785</v>
      </c>
      <c r="G100" s="23" t="s">
        <v>1786</v>
      </c>
      <c r="H100" s="205" t="s">
        <v>1787</v>
      </c>
      <c r="I100" s="23" t="s">
        <v>897</v>
      </c>
      <c r="J100" s="23" t="s">
        <v>1937</v>
      </c>
      <c r="K100" s="23" t="s">
        <v>1755</v>
      </c>
      <c r="L100" s="23" t="s">
        <v>19</v>
      </c>
      <c r="M100" s="23" t="s">
        <v>248</v>
      </c>
      <c r="N100" s="90">
        <v>15000</v>
      </c>
      <c r="O100" s="236">
        <v>270</v>
      </c>
      <c r="P100" s="108">
        <f>O100*N100</f>
        <v>4050000</v>
      </c>
      <c r="Q100" s="37" t="s">
        <v>2084</v>
      </c>
      <c r="R100" s="23" t="s">
        <v>1788</v>
      </c>
      <c r="S100" s="10"/>
      <c r="T100" s="131"/>
      <c r="U100" s="10"/>
      <c r="V100" s="10"/>
      <c r="W100" s="61" t="s">
        <v>710</v>
      </c>
      <c r="X100" s="61" t="s">
        <v>1109</v>
      </c>
      <c r="Y100" s="103" t="s">
        <v>1704</v>
      </c>
    </row>
    <row r="101" spans="1:25" ht="13">
      <c r="A101" s="8"/>
      <c r="B101" s="8"/>
      <c r="C101" s="10"/>
      <c r="D101" s="10"/>
      <c r="E101" s="37"/>
      <c r="F101" s="10"/>
      <c r="G101" s="113"/>
      <c r="H101" s="23"/>
      <c r="I101" s="23"/>
      <c r="J101" s="23"/>
      <c r="K101" s="23"/>
      <c r="L101" s="23"/>
      <c r="M101" s="23"/>
      <c r="N101" s="90"/>
      <c r="O101" s="217"/>
      <c r="P101" s="108"/>
      <c r="Q101" s="37"/>
      <c r="R101" s="36"/>
      <c r="S101" s="10"/>
      <c r="T101" s="131"/>
      <c r="U101" s="10"/>
      <c r="V101" s="10"/>
      <c r="W101" s="61"/>
      <c r="X101" s="61"/>
      <c r="Y101" s="103"/>
    </row>
    <row r="102" spans="1:25" ht="56">
      <c r="A102" s="8" t="s">
        <v>2085</v>
      </c>
      <c r="B102" s="8" t="s">
        <v>721</v>
      </c>
      <c r="C102" s="10" t="s">
        <v>2086</v>
      </c>
      <c r="D102" s="10" t="s">
        <v>931</v>
      </c>
      <c r="E102" s="37" t="s">
        <v>2087</v>
      </c>
      <c r="F102" s="10"/>
      <c r="G102" s="113" t="s">
        <v>2088</v>
      </c>
      <c r="H102" s="169" t="s">
        <v>2089</v>
      </c>
      <c r="I102" s="23" t="s">
        <v>891</v>
      </c>
      <c r="J102" s="23" t="s">
        <v>1926</v>
      </c>
      <c r="K102" s="23" t="s">
        <v>887</v>
      </c>
      <c r="L102" s="23" t="s">
        <v>19</v>
      </c>
      <c r="M102" s="23" t="s">
        <v>248</v>
      </c>
      <c r="N102" s="90">
        <v>7500</v>
      </c>
      <c r="O102" s="236">
        <v>550</v>
      </c>
      <c r="P102" s="108">
        <f>O102*N102</f>
        <v>4125000</v>
      </c>
      <c r="Q102" s="37" t="s">
        <v>2090</v>
      </c>
      <c r="R102" s="23" t="s">
        <v>683</v>
      </c>
      <c r="S102" s="10"/>
      <c r="T102" s="131"/>
      <c r="U102" s="10"/>
      <c r="V102" s="10"/>
      <c r="W102" s="61" t="s">
        <v>710</v>
      </c>
      <c r="X102" s="61" t="s">
        <v>1707</v>
      </c>
      <c r="Y102" s="23" t="s">
        <v>2091</v>
      </c>
    </row>
    <row r="103" spans="1:25" ht="56">
      <c r="A103" s="8" t="s">
        <v>2085</v>
      </c>
      <c r="B103" s="8" t="s">
        <v>721</v>
      </c>
      <c r="C103" s="10" t="s">
        <v>2086</v>
      </c>
      <c r="D103" s="10" t="s">
        <v>1291</v>
      </c>
      <c r="E103" s="37" t="s">
        <v>2092</v>
      </c>
      <c r="F103" s="10"/>
      <c r="G103" s="113" t="s">
        <v>2088</v>
      </c>
      <c r="H103" s="169" t="s">
        <v>2089</v>
      </c>
      <c r="I103" s="23" t="s">
        <v>891</v>
      </c>
      <c r="J103" s="23" t="s">
        <v>1926</v>
      </c>
      <c r="K103" s="23" t="s">
        <v>887</v>
      </c>
      <c r="L103" s="23" t="s">
        <v>19</v>
      </c>
      <c r="M103" s="23" t="s">
        <v>248</v>
      </c>
      <c r="N103" s="90">
        <v>7500</v>
      </c>
      <c r="O103" s="236">
        <v>100</v>
      </c>
      <c r="P103" s="108">
        <f>O103*N103</f>
        <v>750000</v>
      </c>
      <c r="Q103" s="37" t="s">
        <v>2093</v>
      </c>
      <c r="R103" s="23" t="s">
        <v>683</v>
      </c>
      <c r="S103" s="10"/>
      <c r="T103" s="131"/>
      <c r="U103" s="10"/>
      <c r="V103" s="10"/>
      <c r="W103" s="61" t="s">
        <v>710</v>
      </c>
      <c r="X103" s="61" t="s">
        <v>1707</v>
      </c>
      <c r="Y103" s="23" t="s">
        <v>2091</v>
      </c>
    </row>
    <row r="104" spans="1:25" ht="13">
      <c r="A104" s="8"/>
      <c r="B104" s="8"/>
      <c r="C104" s="10"/>
      <c r="D104" s="10"/>
      <c r="E104" s="37"/>
      <c r="F104" s="10"/>
      <c r="G104" s="113"/>
      <c r="H104" s="23"/>
      <c r="I104" s="23"/>
      <c r="J104" s="23"/>
      <c r="K104" s="23"/>
      <c r="L104" s="23"/>
      <c r="M104" s="23"/>
      <c r="N104" s="90"/>
      <c r="O104" s="217"/>
      <c r="P104" s="108"/>
      <c r="Q104" s="37"/>
      <c r="R104" s="36"/>
      <c r="S104" s="10"/>
      <c r="T104" s="131"/>
      <c r="U104" s="10"/>
      <c r="V104" s="10"/>
      <c r="W104" s="61"/>
      <c r="X104" s="61"/>
      <c r="Y104" s="103"/>
    </row>
    <row r="105" spans="1:25" ht="56">
      <c r="A105" s="8" t="s">
        <v>2094</v>
      </c>
      <c r="B105" s="8" t="s">
        <v>814</v>
      </c>
      <c r="C105" s="10"/>
      <c r="D105" s="10" t="s">
        <v>2095</v>
      </c>
      <c r="E105" s="37" t="s">
        <v>2096</v>
      </c>
      <c r="F105" s="10" t="s">
        <v>1764</v>
      </c>
      <c r="G105" s="5" t="s">
        <v>1765</v>
      </c>
      <c r="H105" s="229" t="s">
        <v>1766</v>
      </c>
      <c r="I105" s="97" t="s">
        <v>895</v>
      </c>
      <c r="J105" s="97" t="s">
        <v>1767</v>
      </c>
      <c r="K105" s="97" t="s">
        <v>1755</v>
      </c>
      <c r="L105" s="61" t="s">
        <v>19</v>
      </c>
      <c r="M105" s="23" t="s">
        <v>253</v>
      </c>
      <c r="N105" s="90"/>
      <c r="O105" s="217"/>
      <c r="P105" s="108">
        <v>15500000</v>
      </c>
      <c r="Q105" s="37" t="s">
        <v>2097</v>
      </c>
      <c r="R105" s="97" t="s">
        <v>1768</v>
      </c>
      <c r="S105" s="98"/>
      <c r="T105" s="99" t="s">
        <v>1058</v>
      </c>
      <c r="U105" s="10" t="s">
        <v>1037</v>
      </c>
      <c r="V105" s="23"/>
      <c r="W105" s="61"/>
      <c r="X105" s="61" t="s">
        <v>994</v>
      </c>
      <c r="Y105" s="103" t="s">
        <v>1770</v>
      </c>
    </row>
    <row r="106" spans="1:25" ht="13">
      <c r="A106" s="8"/>
      <c r="B106" s="8"/>
      <c r="C106" s="10"/>
      <c r="D106" s="10"/>
      <c r="E106" s="10"/>
      <c r="F106" s="10"/>
      <c r="G106" s="113"/>
      <c r="H106" s="23"/>
      <c r="I106" s="23"/>
      <c r="J106" s="23"/>
      <c r="K106" s="23"/>
      <c r="L106" s="23"/>
      <c r="M106" s="23"/>
      <c r="N106" s="90"/>
      <c r="O106" s="217"/>
      <c r="P106" s="108"/>
      <c r="Q106" s="37"/>
      <c r="R106" s="36"/>
      <c r="S106" s="10"/>
      <c r="T106" s="131"/>
      <c r="U106" s="10"/>
      <c r="V106" s="10"/>
      <c r="W106" s="61"/>
      <c r="X106" s="61"/>
      <c r="Y106" s="103"/>
    </row>
    <row r="107" spans="1:25" ht="56">
      <c r="A107" s="8" t="s">
        <v>2098</v>
      </c>
      <c r="B107" s="8"/>
      <c r="C107" s="10"/>
      <c r="D107" s="37" t="s">
        <v>2099</v>
      </c>
      <c r="E107" s="37" t="s">
        <v>2100</v>
      </c>
      <c r="F107" s="10" t="s">
        <v>2101</v>
      </c>
      <c r="G107" s="10" t="s">
        <v>2101</v>
      </c>
      <c r="H107" s="169" t="s">
        <v>2102</v>
      </c>
      <c r="I107" s="23" t="s">
        <v>891</v>
      </c>
      <c r="J107" s="23" t="s">
        <v>1926</v>
      </c>
      <c r="K107" s="23" t="s">
        <v>887</v>
      </c>
      <c r="L107" s="23" t="s">
        <v>19</v>
      </c>
      <c r="M107" s="23" t="s">
        <v>248</v>
      </c>
      <c r="N107" s="90">
        <v>12500</v>
      </c>
      <c r="O107" s="236">
        <v>485</v>
      </c>
      <c r="P107" s="108">
        <f>O107*N107</f>
        <v>6062500</v>
      </c>
      <c r="Q107" s="37" t="s">
        <v>2103</v>
      </c>
      <c r="R107" s="23" t="s">
        <v>683</v>
      </c>
      <c r="S107" s="10"/>
      <c r="T107" s="131"/>
      <c r="U107" s="10"/>
      <c r="V107" s="10"/>
      <c r="W107" s="61" t="s">
        <v>819</v>
      </c>
      <c r="X107" s="61" t="s">
        <v>1714</v>
      </c>
      <c r="Y107" s="103" t="s">
        <v>2034</v>
      </c>
    </row>
    <row r="108" spans="1:25" ht="13">
      <c r="A108" s="8"/>
      <c r="B108" s="8"/>
      <c r="C108" s="10"/>
      <c r="D108" s="37"/>
      <c r="E108" s="42"/>
      <c r="F108" s="103"/>
      <c r="G108" s="23"/>
      <c r="H108" s="61"/>
      <c r="I108" s="61"/>
      <c r="J108" s="61"/>
      <c r="K108" s="61"/>
      <c r="L108" s="23"/>
      <c r="M108" s="131"/>
      <c r="N108" s="216"/>
      <c r="O108" s="108"/>
      <c r="P108" s="115"/>
      <c r="Q108" s="37"/>
      <c r="R108" s="103"/>
      <c r="S108" s="10"/>
      <c r="T108" s="131"/>
      <c r="U108" s="10"/>
      <c r="V108" s="10"/>
      <c r="W108" s="61"/>
      <c r="X108" s="61"/>
      <c r="Y108" s="103"/>
    </row>
    <row r="109" spans="1:25" ht="56">
      <c r="A109" s="8" t="s">
        <v>2104</v>
      </c>
      <c r="B109" s="8" t="s">
        <v>781</v>
      </c>
      <c r="C109" s="10" t="s">
        <v>732</v>
      </c>
      <c r="D109" s="37" t="s">
        <v>2105</v>
      </c>
      <c r="E109" s="42" t="s">
        <v>2106</v>
      </c>
      <c r="F109" s="10" t="s">
        <v>2107</v>
      </c>
      <c r="G109" s="10" t="s">
        <v>2107</v>
      </c>
      <c r="H109" s="205" t="s">
        <v>2108</v>
      </c>
      <c r="I109" s="61" t="s">
        <v>895</v>
      </c>
      <c r="J109" s="61" t="s">
        <v>1926</v>
      </c>
      <c r="K109" s="61" t="s">
        <v>1822</v>
      </c>
      <c r="L109" s="23" t="s">
        <v>834</v>
      </c>
      <c r="M109" s="131" t="s">
        <v>789</v>
      </c>
      <c r="N109" s="216">
        <v>27000</v>
      </c>
      <c r="O109" s="108">
        <v>160</v>
      </c>
      <c r="P109" s="115">
        <f>O109*N109</f>
        <v>4320000</v>
      </c>
      <c r="Q109" s="37" t="s">
        <v>2109</v>
      </c>
      <c r="R109" s="103" t="s">
        <v>1636</v>
      </c>
      <c r="S109" s="10"/>
      <c r="T109" s="131"/>
      <c r="U109" s="10"/>
      <c r="V109" s="10"/>
      <c r="W109" s="61" t="s">
        <v>819</v>
      </c>
      <c r="X109" s="61" t="s">
        <v>1714</v>
      </c>
      <c r="Y109" s="103" t="s">
        <v>2034</v>
      </c>
    </row>
    <row r="110" spans="1:25" ht="18" customHeight="1">
      <c r="A110" s="8"/>
      <c r="B110" s="9"/>
      <c r="C110" s="10"/>
      <c r="D110" s="120"/>
      <c r="E110" s="223"/>
      <c r="F110" s="23"/>
      <c r="G110" s="23"/>
      <c r="H110" s="212"/>
      <c r="I110" s="61"/>
      <c r="J110" s="61"/>
      <c r="K110" s="61"/>
      <c r="L110" s="23"/>
      <c r="M110" s="131"/>
      <c r="N110" s="216"/>
      <c r="O110" s="239"/>
      <c r="P110" s="234"/>
      <c r="Q110" s="37"/>
      <c r="R110" s="23"/>
      <c r="S110" s="10"/>
      <c r="T110" s="179"/>
      <c r="U110" s="10"/>
      <c r="V110" s="10"/>
      <c r="W110" s="61"/>
      <c r="X110" s="61"/>
      <c r="Y110" s="23"/>
    </row>
    <row r="111" spans="1:25" ht="14">
      <c r="A111" s="41" t="s">
        <v>2112</v>
      </c>
      <c r="B111" s="41"/>
      <c r="C111" s="10"/>
      <c r="D111" s="10" t="s">
        <v>208</v>
      </c>
      <c r="E111" s="250" t="s">
        <v>2113</v>
      </c>
      <c r="F111" s="10"/>
      <c r="G111" s="103" t="s">
        <v>2114</v>
      </c>
      <c r="H111" s="220" t="s">
        <v>1804</v>
      </c>
      <c r="I111" s="112" t="s">
        <v>897</v>
      </c>
      <c r="J111" s="112" t="s">
        <v>1937</v>
      </c>
      <c r="K111" s="112" t="s">
        <v>2115</v>
      </c>
      <c r="L111" s="23" t="s">
        <v>19</v>
      </c>
      <c r="M111" s="247" t="s">
        <v>248</v>
      </c>
      <c r="N111" s="180" t="s">
        <v>859</v>
      </c>
      <c r="O111" s="108"/>
      <c r="P111" s="115"/>
      <c r="Q111" s="10"/>
      <c r="R111" s="103" t="s">
        <v>884</v>
      </c>
      <c r="S111" s="90"/>
      <c r="T111" s="187"/>
      <c r="V111" s="10"/>
      <c r="W111" s="112" t="s">
        <v>1747</v>
      </c>
      <c r="X111" s="103" t="s">
        <v>1147</v>
      </c>
      <c r="Y111" s="61" t="s">
        <v>1736</v>
      </c>
    </row>
    <row r="112" spans="1:25" ht="56">
      <c r="A112" s="41" t="s">
        <v>2112</v>
      </c>
      <c r="B112" s="290"/>
      <c r="C112" s="10"/>
      <c r="D112" s="40" t="s">
        <v>59</v>
      </c>
      <c r="E112" s="250" t="s">
        <v>2113</v>
      </c>
      <c r="F112" s="40" t="s">
        <v>2116</v>
      </c>
      <c r="G112" s="103" t="s">
        <v>2114</v>
      </c>
      <c r="H112" s="220" t="s">
        <v>1804</v>
      </c>
      <c r="I112" s="112" t="s">
        <v>897</v>
      </c>
      <c r="J112" s="112" t="s">
        <v>1937</v>
      </c>
      <c r="K112" s="112" t="s">
        <v>2115</v>
      </c>
      <c r="L112" s="23" t="s">
        <v>19</v>
      </c>
      <c r="M112" s="247" t="s">
        <v>248</v>
      </c>
      <c r="N112" s="299" t="s">
        <v>2117</v>
      </c>
      <c r="O112" s="236">
        <v>250</v>
      </c>
      <c r="P112" s="248">
        <f>11500*250</f>
        <v>2875000</v>
      </c>
      <c r="Q112" s="37" t="s">
        <v>2118</v>
      </c>
      <c r="R112" s="245" t="s">
        <v>1694</v>
      </c>
      <c r="S112" s="40"/>
      <c r="T112" s="300"/>
      <c r="U112" s="40"/>
      <c r="V112" s="40"/>
      <c r="W112" s="112" t="s">
        <v>1747</v>
      </c>
      <c r="X112" s="103" t="s">
        <v>1147</v>
      </c>
      <c r="Y112" s="61" t="s">
        <v>1736</v>
      </c>
    </row>
    <row r="113" spans="1:32" ht="13">
      <c r="A113" s="65"/>
      <c r="B113" s="290"/>
      <c r="C113" s="10"/>
      <c r="D113" s="40"/>
      <c r="E113" s="250"/>
      <c r="F113" s="40"/>
      <c r="G113" s="245"/>
      <c r="H113" s="249"/>
      <c r="I113" s="249"/>
      <c r="J113" s="249"/>
      <c r="K113" s="249"/>
      <c r="L113" s="246"/>
      <c r="M113" s="247"/>
      <c r="N113" s="299"/>
      <c r="O113" s="239"/>
      <c r="P113" s="248"/>
      <c r="Q113" s="250"/>
      <c r="R113" s="245"/>
      <c r="S113" s="40"/>
      <c r="T113" s="300"/>
      <c r="U113" s="40"/>
      <c r="V113" s="40"/>
      <c r="W113" s="185"/>
      <c r="X113" s="246"/>
      <c r="Y113" s="246"/>
    </row>
    <row r="114" spans="1:32" ht="56">
      <c r="A114" s="65" t="s">
        <v>2119</v>
      </c>
      <c r="B114" s="290"/>
      <c r="C114" s="10"/>
      <c r="D114" s="40" t="s">
        <v>2120</v>
      </c>
      <c r="E114" s="250" t="s">
        <v>2121</v>
      </c>
      <c r="F114" s="40" t="s">
        <v>729</v>
      </c>
      <c r="G114" s="245" t="s">
        <v>729</v>
      </c>
      <c r="H114" s="301" t="s">
        <v>2122</v>
      </c>
      <c r="I114" s="249" t="s">
        <v>895</v>
      </c>
      <c r="J114" s="249" t="s">
        <v>1926</v>
      </c>
      <c r="K114" s="249" t="s">
        <v>1822</v>
      </c>
      <c r="L114" s="246" t="s">
        <v>19</v>
      </c>
      <c r="M114" s="247" t="s">
        <v>248</v>
      </c>
      <c r="N114" s="299">
        <v>12500</v>
      </c>
      <c r="O114" s="239">
        <v>335</v>
      </c>
      <c r="P114" s="292">
        <f>O114*N114</f>
        <v>4187500</v>
      </c>
      <c r="Q114" s="37" t="s">
        <v>2123</v>
      </c>
      <c r="R114" s="302" t="s">
        <v>1983</v>
      </c>
      <c r="S114" s="40"/>
      <c r="T114" s="300"/>
      <c r="U114" s="40"/>
      <c r="V114" s="40"/>
      <c r="W114" s="185" t="s">
        <v>1744</v>
      </c>
      <c r="X114" s="246" t="s">
        <v>1147</v>
      </c>
      <c r="Y114" s="246" t="s">
        <v>1773</v>
      </c>
    </row>
    <row r="115" spans="1:32" ht="56">
      <c r="A115" s="65" t="s">
        <v>2119</v>
      </c>
      <c r="B115" s="290"/>
      <c r="C115" s="10"/>
      <c r="D115" s="40" t="s">
        <v>2124</v>
      </c>
      <c r="E115" s="250" t="s">
        <v>2125</v>
      </c>
      <c r="F115" s="40" t="s">
        <v>730</v>
      </c>
      <c r="G115" s="245" t="s">
        <v>730</v>
      </c>
      <c r="H115" s="301" t="s">
        <v>2126</v>
      </c>
      <c r="I115" s="249" t="s">
        <v>895</v>
      </c>
      <c r="J115" s="249" t="s">
        <v>1926</v>
      </c>
      <c r="K115" s="249" t="s">
        <v>1822</v>
      </c>
      <c r="L115" s="246" t="s">
        <v>19</v>
      </c>
      <c r="M115" s="247" t="s">
        <v>248</v>
      </c>
      <c r="N115" s="299">
        <v>12500</v>
      </c>
      <c r="O115" s="239">
        <v>186</v>
      </c>
      <c r="P115" s="292">
        <f>O115*N115</f>
        <v>2325000</v>
      </c>
      <c r="Q115" s="37" t="s">
        <v>2127</v>
      </c>
      <c r="R115" s="302" t="s">
        <v>1983</v>
      </c>
      <c r="S115" s="40"/>
      <c r="T115" s="300"/>
      <c r="U115" s="40"/>
      <c r="V115" s="40"/>
      <c r="W115" s="185" t="s">
        <v>1744</v>
      </c>
      <c r="X115" s="246" t="s">
        <v>1147</v>
      </c>
      <c r="Y115" s="246" t="s">
        <v>1773</v>
      </c>
    </row>
    <row r="116" spans="1:32" ht="13">
      <c r="A116" s="8"/>
      <c r="B116" s="41"/>
      <c r="C116" s="10"/>
      <c r="D116" s="10"/>
      <c r="E116" s="10"/>
      <c r="F116" s="10"/>
      <c r="G116" s="103"/>
      <c r="H116" s="112"/>
      <c r="I116" s="112"/>
      <c r="J116" s="112"/>
      <c r="K116" s="112"/>
      <c r="L116" s="23"/>
      <c r="M116" s="131"/>
      <c r="N116" s="180"/>
      <c r="O116" s="219"/>
      <c r="P116" s="184"/>
      <c r="Q116" s="214"/>
      <c r="R116" s="103"/>
      <c r="S116" s="10"/>
      <c r="T116" s="179"/>
      <c r="U116" s="10"/>
      <c r="V116" s="10"/>
      <c r="W116" s="61"/>
      <c r="X116" s="221"/>
      <c r="Y116" s="23"/>
    </row>
    <row r="117" spans="1:32" ht="56">
      <c r="A117" s="290" t="s">
        <v>2128</v>
      </c>
      <c r="B117" s="41" t="s">
        <v>821</v>
      </c>
      <c r="D117" s="10" t="s">
        <v>167</v>
      </c>
      <c r="E117" s="291" t="s">
        <v>2129</v>
      </c>
      <c r="F117" s="126" t="s">
        <v>2130</v>
      </c>
      <c r="G117" s="103" t="s">
        <v>2131</v>
      </c>
      <c r="H117" s="112">
        <v>88214253260</v>
      </c>
      <c r="I117" s="112" t="s">
        <v>895</v>
      </c>
      <c r="J117" s="112" t="s">
        <v>1926</v>
      </c>
      <c r="K117" s="112" t="s">
        <v>1822</v>
      </c>
      <c r="L117" s="23" t="s">
        <v>19</v>
      </c>
      <c r="M117" s="131" t="s">
        <v>248</v>
      </c>
      <c r="N117" s="180">
        <v>15000</v>
      </c>
      <c r="O117" s="303">
        <v>127</v>
      </c>
      <c r="P117" s="184">
        <f>O117*N117</f>
        <v>1905000</v>
      </c>
      <c r="Q117" s="37" t="s">
        <v>2132</v>
      </c>
      <c r="R117" s="83" t="s">
        <v>683</v>
      </c>
      <c r="S117" s="90"/>
      <c r="T117" s="179"/>
      <c r="U117" s="10"/>
      <c r="V117" s="10"/>
      <c r="W117" s="112" t="s">
        <v>1437</v>
      </c>
      <c r="X117" s="61" t="s">
        <v>1300</v>
      </c>
      <c r="Y117" s="103" t="s">
        <v>1772</v>
      </c>
    </row>
    <row r="118" spans="1:32" ht="56">
      <c r="A118" s="290" t="s">
        <v>2128</v>
      </c>
      <c r="B118" s="41" t="s">
        <v>821</v>
      </c>
      <c r="C118" s="41"/>
      <c r="D118" s="36" t="s">
        <v>115</v>
      </c>
      <c r="E118" s="291" t="s">
        <v>2129</v>
      </c>
      <c r="F118" s="36" t="s">
        <v>2133</v>
      </c>
      <c r="G118" s="103" t="s">
        <v>2131</v>
      </c>
      <c r="H118" s="112">
        <v>88214253260</v>
      </c>
      <c r="I118" s="112" t="s">
        <v>895</v>
      </c>
      <c r="J118" s="112" t="s">
        <v>1926</v>
      </c>
      <c r="K118" s="112" t="s">
        <v>1822</v>
      </c>
      <c r="L118" s="23" t="s">
        <v>19</v>
      </c>
      <c r="M118" s="131" t="s">
        <v>248</v>
      </c>
      <c r="N118" s="180">
        <v>15000</v>
      </c>
      <c r="O118" s="303">
        <v>161</v>
      </c>
      <c r="P118" s="184">
        <f>O118*N118</f>
        <v>2415000</v>
      </c>
      <c r="Q118" s="37" t="s">
        <v>2134</v>
      </c>
      <c r="R118" s="83" t="s">
        <v>683</v>
      </c>
      <c r="S118" s="10"/>
      <c r="T118" s="10"/>
      <c r="U118" s="10"/>
      <c r="V118" s="10"/>
      <c r="W118" s="112" t="s">
        <v>1437</v>
      </c>
      <c r="X118" s="61" t="s">
        <v>1300</v>
      </c>
      <c r="Y118" s="103" t="s">
        <v>1772</v>
      </c>
    </row>
    <row r="119" spans="1:32" ht="13">
      <c r="A119" s="8"/>
      <c r="B119" s="36"/>
      <c r="C119" s="36"/>
      <c r="D119" s="36"/>
      <c r="E119" s="36"/>
      <c r="F119" s="36"/>
      <c r="G119" s="23"/>
      <c r="H119" s="23"/>
      <c r="I119" s="23"/>
      <c r="J119" s="23"/>
      <c r="K119" s="23"/>
      <c r="L119" s="23"/>
      <c r="M119" s="23"/>
      <c r="N119" s="90"/>
      <c r="O119" s="217"/>
      <c r="P119" s="108"/>
      <c r="Q119" s="214"/>
      <c r="R119" s="103"/>
      <c r="S119" s="10"/>
      <c r="T119" s="10"/>
      <c r="U119" s="10"/>
      <c r="V119" s="10"/>
      <c r="W119" s="103"/>
      <c r="X119" s="103"/>
      <c r="Y119" s="103"/>
    </row>
    <row r="120" spans="1:32" ht="28">
      <c r="A120" s="65" t="s">
        <v>2136</v>
      </c>
      <c r="B120" s="126" t="s">
        <v>821</v>
      </c>
      <c r="C120" s="126"/>
      <c r="D120" s="126" t="s">
        <v>167</v>
      </c>
      <c r="E120" s="291" t="s">
        <v>2129</v>
      </c>
      <c r="F120" s="126" t="s">
        <v>2130</v>
      </c>
      <c r="G120" s="291"/>
      <c r="H120" s="246"/>
      <c r="I120" s="246"/>
      <c r="J120" s="246"/>
      <c r="K120" s="246"/>
      <c r="L120" s="246"/>
      <c r="M120" s="246"/>
      <c r="N120" s="102"/>
      <c r="O120" s="305"/>
      <c r="P120" s="412">
        <v>75000000</v>
      </c>
      <c r="Q120" s="417" t="s">
        <v>2137</v>
      </c>
      <c r="R120" s="245" t="s">
        <v>2138</v>
      </c>
      <c r="S120" s="102"/>
      <c r="T120" s="246"/>
      <c r="U120" s="40"/>
      <c r="V120" s="40"/>
      <c r="W120" s="245"/>
      <c r="X120" s="245" t="s">
        <v>1300</v>
      </c>
      <c r="Y120" s="245"/>
      <c r="Z120" s="306"/>
      <c r="AA120" s="306"/>
      <c r="AB120" s="306"/>
      <c r="AC120" s="306"/>
      <c r="AD120" s="306"/>
      <c r="AE120" s="306"/>
      <c r="AF120" s="306"/>
    </row>
    <row r="121" spans="1:32" ht="28">
      <c r="A121" s="65" t="s">
        <v>2136</v>
      </c>
      <c r="B121" s="126" t="s">
        <v>821</v>
      </c>
      <c r="C121" s="36"/>
      <c r="D121" s="36" t="s">
        <v>115</v>
      </c>
      <c r="E121" s="291" t="s">
        <v>2129</v>
      </c>
      <c r="F121" s="36" t="s">
        <v>2133</v>
      </c>
      <c r="G121" s="23"/>
      <c r="H121" s="23"/>
      <c r="I121" s="23"/>
      <c r="J121" s="23"/>
      <c r="K121" s="23"/>
      <c r="L121" s="23"/>
      <c r="M121" s="23"/>
      <c r="N121" s="90"/>
      <c r="O121" s="219"/>
      <c r="P121" s="410"/>
      <c r="Q121" s="410"/>
      <c r="R121" s="245" t="s">
        <v>2138</v>
      </c>
      <c r="S121" s="90"/>
      <c r="T121" s="23"/>
      <c r="U121" s="10"/>
      <c r="V121" s="10"/>
      <c r="W121" s="103"/>
      <c r="X121" s="245" t="s">
        <v>1300</v>
      </c>
      <c r="Y121" s="103"/>
    </row>
    <row r="122" spans="1:32" ht="13">
      <c r="A122" s="8"/>
      <c r="B122" s="36"/>
      <c r="C122" s="36"/>
      <c r="D122" s="36"/>
      <c r="E122" s="36"/>
      <c r="F122" s="36"/>
      <c r="G122" s="23"/>
      <c r="H122" s="23"/>
      <c r="I122" s="23"/>
      <c r="J122" s="23"/>
      <c r="K122" s="23"/>
      <c r="L122" s="23"/>
      <c r="M122" s="23"/>
      <c r="N122" s="90"/>
      <c r="O122" s="219"/>
      <c r="P122" s="108"/>
      <c r="Q122" s="214"/>
      <c r="R122" s="103"/>
      <c r="S122" s="90"/>
      <c r="T122" s="23"/>
      <c r="U122" s="10"/>
      <c r="V122" s="10"/>
      <c r="W122" s="103"/>
      <c r="X122" s="103"/>
      <c r="Y122" s="103"/>
    </row>
    <row r="123" spans="1:32" ht="56">
      <c r="A123" s="65" t="s">
        <v>2139</v>
      </c>
      <c r="B123" s="8" t="s">
        <v>735</v>
      </c>
      <c r="C123" s="8" t="s">
        <v>2140</v>
      </c>
      <c r="D123" s="10" t="s">
        <v>2141</v>
      </c>
      <c r="E123" s="37" t="s">
        <v>2142</v>
      </c>
      <c r="F123" s="10" t="s">
        <v>2143</v>
      </c>
      <c r="G123" s="10" t="s">
        <v>2143</v>
      </c>
      <c r="H123" s="205" t="s">
        <v>2144</v>
      </c>
      <c r="I123" s="61" t="s">
        <v>897</v>
      </c>
      <c r="J123" s="61" t="s">
        <v>1926</v>
      </c>
      <c r="K123" s="61" t="s">
        <v>1755</v>
      </c>
      <c r="L123" s="23" t="s">
        <v>834</v>
      </c>
      <c r="M123" s="23" t="s">
        <v>248</v>
      </c>
      <c r="N123" s="90">
        <v>12500</v>
      </c>
      <c r="O123" s="108">
        <v>73</v>
      </c>
      <c r="P123" s="108">
        <f>O123*N123</f>
        <v>912500</v>
      </c>
      <c r="Q123" s="37" t="s">
        <v>2145</v>
      </c>
      <c r="R123" s="103" t="s">
        <v>884</v>
      </c>
      <c r="S123" s="90"/>
      <c r="T123" s="23"/>
      <c r="U123" s="10"/>
      <c r="V123" s="10"/>
      <c r="W123" s="61" t="s">
        <v>366</v>
      </c>
      <c r="X123" s="61" t="s">
        <v>1713</v>
      </c>
      <c r="Y123" s="103" t="s">
        <v>1855</v>
      </c>
    </row>
    <row r="124" spans="1:32" ht="56">
      <c r="A124" s="65" t="s">
        <v>2139</v>
      </c>
      <c r="B124" s="8" t="s">
        <v>735</v>
      </c>
      <c r="C124" s="8" t="s">
        <v>2140</v>
      </c>
      <c r="D124" s="36" t="s">
        <v>2146</v>
      </c>
      <c r="E124" s="37" t="s">
        <v>2142</v>
      </c>
      <c r="F124" s="10" t="s">
        <v>2147</v>
      </c>
      <c r="G124" s="10" t="s">
        <v>2147</v>
      </c>
      <c r="H124" s="205" t="s">
        <v>2148</v>
      </c>
      <c r="I124" s="61" t="s">
        <v>897</v>
      </c>
      <c r="J124" s="61" t="s">
        <v>1926</v>
      </c>
      <c r="K124" s="61" t="s">
        <v>1755</v>
      </c>
      <c r="L124" s="23" t="s">
        <v>834</v>
      </c>
      <c r="M124" s="23" t="s">
        <v>248</v>
      </c>
      <c r="N124" s="90">
        <v>12500</v>
      </c>
      <c r="O124" s="23">
        <v>503</v>
      </c>
      <c r="P124" s="108">
        <f>O124*N124</f>
        <v>6287500</v>
      </c>
      <c r="Q124" s="37" t="s">
        <v>2149</v>
      </c>
      <c r="R124" s="103" t="s">
        <v>1788</v>
      </c>
      <c r="S124" s="90"/>
      <c r="T124" s="23"/>
      <c r="U124" s="10"/>
      <c r="V124" s="10"/>
      <c r="W124" s="61" t="s">
        <v>366</v>
      </c>
      <c r="X124" s="61" t="s">
        <v>1713</v>
      </c>
      <c r="Y124" s="103" t="s">
        <v>1855</v>
      </c>
    </row>
    <row r="125" spans="1:32" ht="56">
      <c r="A125" s="65" t="s">
        <v>2139</v>
      </c>
      <c r="B125" s="8" t="s">
        <v>735</v>
      </c>
      <c r="C125" s="8" t="s">
        <v>2140</v>
      </c>
      <c r="D125" s="36" t="s">
        <v>2150</v>
      </c>
      <c r="E125" s="37" t="s">
        <v>2142</v>
      </c>
      <c r="F125" s="10" t="s">
        <v>2151</v>
      </c>
      <c r="G125" s="10" t="s">
        <v>2151</v>
      </c>
      <c r="H125" s="205" t="s">
        <v>2152</v>
      </c>
      <c r="I125" s="61" t="s">
        <v>897</v>
      </c>
      <c r="J125" s="61" t="s">
        <v>1926</v>
      </c>
      <c r="K125" s="61" t="s">
        <v>1755</v>
      </c>
      <c r="L125" s="23" t="s">
        <v>834</v>
      </c>
      <c r="M125" s="23" t="s">
        <v>248</v>
      </c>
      <c r="N125" s="90">
        <v>15000</v>
      </c>
      <c r="O125" s="104">
        <v>386</v>
      </c>
      <c r="P125" s="108">
        <f>O125*N125</f>
        <v>5790000</v>
      </c>
      <c r="Q125" s="37" t="s">
        <v>2153</v>
      </c>
      <c r="R125" s="103" t="s">
        <v>1983</v>
      </c>
      <c r="S125" s="90"/>
      <c r="T125" s="23"/>
      <c r="U125" s="10"/>
      <c r="V125" s="10"/>
      <c r="W125" s="61" t="s">
        <v>366</v>
      </c>
      <c r="X125" s="61" t="s">
        <v>1713</v>
      </c>
      <c r="Y125" s="103" t="s">
        <v>1855</v>
      </c>
    </row>
    <row r="126" spans="1:32" ht="54.75" customHeight="1">
      <c r="A126" s="65" t="s">
        <v>2139</v>
      </c>
      <c r="B126" s="8" t="s">
        <v>735</v>
      </c>
      <c r="C126" s="8" t="s">
        <v>2140</v>
      </c>
      <c r="D126" s="10" t="s">
        <v>2154</v>
      </c>
      <c r="E126" s="37" t="s">
        <v>2142</v>
      </c>
      <c r="F126" s="10" t="s">
        <v>2155</v>
      </c>
      <c r="G126" s="10" t="s">
        <v>2155</v>
      </c>
      <c r="H126" s="205" t="s">
        <v>2156</v>
      </c>
      <c r="I126" s="61" t="s">
        <v>897</v>
      </c>
      <c r="J126" s="61" t="s">
        <v>1926</v>
      </c>
      <c r="K126" s="61" t="s">
        <v>1755</v>
      </c>
      <c r="L126" s="23" t="s">
        <v>834</v>
      </c>
      <c r="M126" s="23" t="s">
        <v>248</v>
      </c>
      <c r="N126" s="90">
        <v>15000</v>
      </c>
      <c r="O126" s="23">
        <v>309</v>
      </c>
      <c r="P126" s="108">
        <f>O126*N126</f>
        <v>4635000</v>
      </c>
      <c r="Q126" s="37" t="s">
        <v>2157</v>
      </c>
      <c r="R126" s="103" t="s">
        <v>1983</v>
      </c>
      <c r="S126" s="90"/>
      <c r="T126" s="23"/>
      <c r="U126" s="10"/>
      <c r="V126" s="10"/>
      <c r="W126" s="61" t="s">
        <v>366</v>
      </c>
      <c r="X126" s="61" t="s">
        <v>1713</v>
      </c>
      <c r="Y126" s="103" t="s">
        <v>1855</v>
      </c>
    </row>
    <row r="127" spans="1:32" ht="13">
      <c r="A127" s="8"/>
      <c r="B127" s="8"/>
      <c r="C127" s="8"/>
      <c r="D127" s="10"/>
      <c r="E127" s="10"/>
      <c r="F127" s="10"/>
      <c r="G127" s="23"/>
      <c r="H127" s="61"/>
      <c r="I127" s="61"/>
      <c r="J127" s="61"/>
      <c r="K127" s="61"/>
      <c r="L127" s="23"/>
      <c r="M127" s="23"/>
      <c r="N127" s="90"/>
      <c r="O127" s="23"/>
      <c r="P127" s="23"/>
      <c r="Q127" s="10"/>
      <c r="R127" s="103"/>
      <c r="S127" s="90"/>
      <c r="T127" s="23"/>
      <c r="U127" s="10"/>
      <c r="V127" s="10"/>
      <c r="W127" s="61"/>
      <c r="X127" s="61"/>
      <c r="Y127" s="103"/>
    </row>
    <row r="128" spans="1:32" ht="56">
      <c r="A128" s="8" t="s">
        <v>2158</v>
      </c>
      <c r="B128" s="8"/>
      <c r="C128" s="8"/>
      <c r="D128" s="36" t="s">
        <v>2160</v>
      </c>
      <c r="E128" s="87" t="s">
        <v>2162</v>
      </c>
      <c r="F128" s="36" t="s">
        <v>2163</v>
      </c>
      <c r="G128" s="36" t="s">
        <v>2163</v>
      </c>
      <c r="H128" s="205" t="s">
        <v>2164</v>
      </c>
      <c r="I128" s="61" t="s">
        <v>895</v>
      </c>
      <c r="J128" s="61" t="s">
        <v>1926</v>
      </c>
      <c r="K128" s="61" t="s">
        <v>1822</v>
      </c>
      <c r="L128" s="131" t="s">
        <v>834</v>
      </c>
      <c r="M128" s="131" t="s">
        <v>248</v>
      </c>
      <c r="N128" s="108">
        <v>20000</v>
      </c>
      <c r="O128" s="108">
        <v>250</v>
      </c>
      <c r="P128" s="108">
        <f>O128*N128</f>
        <v>5000000</v>
      </c>
      <c r="Q128" s="37" t="s">
        <v>2165</v>
      </c>
      <c r="R128" s="103" t="s">
        <v>1983</v>
      </c>
      <c r="S128" s="23"/>
      <c r="T128" s="187"/>
      <c r="U128" s="10"/>
      <c r="V128" s="10"/>
      <c r="W128" s="61" t="s">
        <v>1001</v>
      </c>
      <c r="X128" s="61" t="s">
        <v>2166</v>
      </c>
      <c r="Y128" s="23" t="s">
        <v>1794</v>
      </c>
    </row>
    <row r="129" spans="1:25" ht="13">
      <c r="A129" s="8"/>
      <c r="B129" s="8"/>
      <c r="C129" s="8"/>
      <c r="D129" s="36"/>
      <c r="E129" s="87"/>
      <c r="F129" s="10"/>
      <c r="G129" s="23"/>
      <c r="H129" s="61"/>
      <c r="I129" s="61"/>
      <c r="J129" s="61"/>
      <c r="K129" s="61"/>
      <c r="L129" s="131"/>
      <c r="M129" s="131"/>
      <c r="N129" s="90"/>
      <c r="O129" s="103"/>
      <c r="P129" s="216"/>
      <c r="Q129" s="37"/>
      <c r="R129" s="103"/>
      <c r="S129" s="90"/>
      <c r="T129" s="179"/>
      <c r="U129" s="10"/>
      <c r="V129" s="10"/>
      <c r="W129" s="61"/>
      <c r="X129" s="61"/>
      <c r="Y129" s="23"/>
    </row>
    <row r="130" spans="1:25" ht="56">
      <c r="A130" s="41" t="s">
        <v>2169</v>
      </c>
      <c r="B130" s="41"/>
      <c r="C130" s="41"/>
      <c r="D130" s="10" t="s">
        <v>1309</v>
      </c>
      <c r="E130" s="10" t="s">
        <v>2170</v>
      </c>
      <c r="F130" s="41" t="s">
        <v>2171</v>
      </c>
      <c r="G130" s="112" t="s">
        <v>2172</v>
      </c>
      <c r="H130" s="220" t="s">
        <v>2173</v>
      </c>
      <c r="I130" s="112" t="s">
        <v>895</v>
      </c>
      <c r="J130" s="112" t="s">
        <v>1926</v>
      </c>
      <c r="K130" s="112" t="s">
        <v>1822</v>
      </c>
      <c r="L130" s="131" t="s">
        <v>19</v>
      </c>
      <c r="M130" s="131" t="s">
        <v>283</v>
      </c>
      <c r="N130" s="90">
        <v>7750000</v>
      </c>
      <c r="O130" s="103"/>
      <c r="P130" s="90">
        <f>N130</f>
        <v>7750000</v>
      </c>
      <c r="Q130" s="37" t="s">
        <v>2174</v>
      </c>
      <c r="R130" s="103" t="s">
        <v>1694</v>
      </c>
      <c r="S130" s="184" t="s">
        <v>2175</v>
      </c>
      <c r="T130" s="179" t="s">
        <v>1058</v>
      </c>
      <c r="U130" s="10" t="s">
        <v>1037</v>
      </c>
      <c r="V130" s="10"/>
      <c r="W130" s="112" t="s">
        <v>819</v>
      </c>
      <c r="X130" s="61" t="s">
        <v>1183</v>
      </c>
      <c r="Y130" s="103" t="s">
        <v>2034</v>
      </c>
    </row>
    <row r="131" spans="1:25" ht="13">
      <c r="A131" s="8"/>
      <c r="B131" s="9"/>
      <c r="C131" s="8"/>
      <c r="D131" s="36"/>
      <c r="E131" s="37"/>
      <c r="F131" s="223"/>
      <c r="G131" s="212"/>
      <c r="H131" s="212"/>
      <c r="I131" s="61"/>
      <c r="J131" s="61"/>
      <c r="K131" s="61"/>
      <c r="L131" s="131"/>
      <c r="M131" s="131"/>
      <c r="N131" s="23"/>
      <c r="P131" s="129"/>
      <c r="Q131" s="37"/>
      <c r="R131" s="23"/>
      <c r="S131" s="224"/>
      <c r="T131" s="23"/>
      <c r="U131" s="10"/>
      <c r="W131" s="61"/>
      <c r="X131" s="61"/>
      <c r="Y131" s="23"/>
    </row>
    <row r="132" spans="1:25" ht="70">
      <c r="A132" s="8" t="s">
        <v>2176</v>
      </c>
      <c r="B132" s="41" t="s">
        <v>2177</v>
      </c>
      <c r="C132" s="41" t="s">
        <v>2178</v>
      </c>
      <c r="D132" s="10" t="s">
        <v>904</v>
      </c>
      <c r="E132" s="37" t="s">
        <v>2179</v>
      </c>
      <c r="F132" s="10"/>
      <c r="G132" s="42" t="s">
        <v>2180</v>
      </c>
      <c r="H132" s="218" t="s">
        <v>1751</v>
      </c>
      <c r="I132" s="61" t="s">
        <v>897</v>
      </c>
      <c r="J132" s="61" t="s">
        <v>1937</v>
      </c>
      <c r="K132" s="61" t="s">
        <v>1755</v>
      </c>
      <c r="L132" s="131" t="s">
        <v>19</v>
      </c>
      <c r="M132" s="131" t="s">
        <v>248</v>
      </c>
      <c r="N132" s="129" t="s">
        <v>2181</v>
      </c>
      <c r="O132" s="103">
        <v>49</v>
      </c>
      <c r="P132" s="307">
        <f>12500*49</f>
        <v>612500</v>
      </c>
      <c r="Q132" s="37" t="s">
        <v>2182</v>
      </c>
      <c r="R132" s="103" t="s">
        <v>884</v>
      </c>
      <c r="S132" s="90"/>
      <c r="T132" s="179"/>
      <c r="U132" s="10"/>
      <c r="V132" s="10"/>
      <c r="W132" s="61" t="s">
        <v>452</v>
      </c>
      <c r="X132" s="61" t="s">
        <v>1279</v>
      </c>
      <c r="Y132" s="23" t="s">
        <v>1928</v>
      </c>
    </row>
    <row r="133" spans="1:25" ht="56">
      <c r="A133" s="8" t="s">
        <v>2176</v>
      </c>
      <c r="B133" s="41" t="s">
        <v>2177</v>
      </c>
      <c r="C133" s="41" t="s">
        <v>2178</v>
      </c>
      <c r="D133" s="10" t="s">
        <v>905</v>
      </c>
      <c r="E133" s="37" t="s">
        <v>2179</v>
      </c>
      <c r="F133" s="23"/>
      <c r="G133" s="42" t="s">
        <v>2180</v>
      </c>
      <c r="H133" s="218" t="s">
        <v>1751</v>
      </c>
      <c r="I133" s="61" t="s">
        <v>897</v>
      </c>
      <c r="J133" s="61" t="s">
        <v>1937</v>
      </c>
      <c r="K133" s="61" t="s">
        <v>1755</v>
      </c>
      <c r="L133" s="131" t="s">
        <v>19</v>
      </c>
      <c r="M133" s="131" t="s">
        <v>248</v>
      </c>
      <c r="N133" s="90">
        <v>12500</v>
      </c>
      <c r="O133" s="103">
        <v>145</v>
      </c>
      <c r="P133" s="307">
        <f>O133*N133</f>
        <v>1812500</v>
      </c>
      <c r="Q133" s="37" t="s">
        <v>2184</v>
      </c>
      <c r="R133" s="103" t="s">
        <v>1788</v>
      </c>
      <c r="S133" s="90"/>
      <c r="T133" s="187"/>
      <c r="U133" s="10"/>
      <c r="V133" s="10"/>
      <c r="W133" s="61" t="s">
        <v>452</v>
      </c>
      <c r="X133" s="61" t="s">
        <v>1279</v>
      </c>
      <c r="Y133" s="23" t="s">
        <v>1928</v>
      </c>
    </row>
    <row r="134" spans="1:25" ht="56">
      <c r="A134" s="8" t="s">
        <v>2176</v>
      </c>
      <c r="B134" s="41" t="s">
        <v>2177</v>
      </c>
      <c r="C134" s="41" t="s">
        <v>2178</v>
      </c>
      <c r="D134" s="10" t="s">
        <v>906</v>
      </c>
      <c r="E134" s="37" t="s">
        <v>2179</v>
      </c>
      <c r="F134" s="23"/>
      <c r="G134" s="42" t="s">
        <v>2180</v>
      </c>
      <c r="H134" s="218" t="s">
        <v>1751</v>
      </c>
      <c r="I134" s="61" t="s">
        <v>897</v>
      </c>
      <c r="J134" s="61" t="s">
        <v>1937</v>
      </c>
      <c r="K134" s="61" t="s">
        <v>1755</v>
      </c>
      <c r="L134" s="131" t="s">
        <v>19</v>
      </c>
      <c r="M134" s="131" t="s">
        <v>248</v>
      </c>
      <c r="N134" s="90">
        <v>24000</v>
      </c>
      <c r="O134" s="103">
        <v>89</v>
      </c>
      <c r="P134" s="307">
        <f>O134*N134</f>
        <v>2136000</v>
      </c>
      <c r="Q134" s="37" t="s">
        <v>2185</v>
      </c>
      <c r="R134" s="103" t="s">
        <v>1988</v>
      </c>
      <c r="S134" s="90"/>
      <c r="T134" s="187"/>
      <c r="U134" s="10"/>
      <c r="V134" s="10"/>
      <c r="W134" s="61" t="s">
        <v>452</v>
      </c>
      <c r="X134" s="61" t="s">
        <v>1279</v>
      </c>
      <c r="Y134" s="23" t="s">
        <v>1928</v>
      </c>
    </row>
    <row r="135" spans="1:25" ht="56">
      <c r="A135" s="8" t="s">
        <v>2176</v>
      </c>
      <c r="B135" s="41" t="s">
        <v>2177</v>
      </c>
      <c r="C135" s="41" t="s">
        <v>2178</v>
      </c>
      <c r="D135" s="10" t="s">
        <v>907</v>
      </c>
      <c r="E135" s="37" t="s">
        <v>2179</v>
      </c>
      <c r="F135" s="23"/>
      <c r="G135" s="42" t="s">
        <v>2180</v>
      </c>
      <c r="H135" s="218" t="s">
        <v>1751</v>
      </c>
      <c r="I135" s="61" t="s">
        <v>897</v>
      </c>
      <c r="J135" s="61" t="s">
        <v>1937</v>
      </c>
      <c r="K135" s="61" t="s">
        <v>1755</v>
      </c>
      <c r="L135" s="131" t="s">
        <v>19</v>
      </c>
      <c r="M135" s="131" t="s">
        <v>248</v>
      </c>
      <c r="N135" s="90">
        <v>24000</v>
      </c>
      <c r="O135" s="103">
        <v>100</v>
      </c>
      <c r="P135" s="307">
        <f>O135*N135</f>
        <v>2400000</v>
      </c>
      <c r="Q135" s="37" t="s">
        <v>2186</v>
      </c>
      <c r="R135" s="103" t="s">
        <v>2081</v>
      </c>
      <c r="S135" s="90"/>
      <c r="T135" s="187"/>
      <c r="U135" s="10"/>
      <c r="V135" s="10"/>
      <c r="W135" s="61" t="s">
        <v>452</v>
      </c>
      <c r="X135" s="61" t="s">
        <v>1279</v>
      </c>
      <c r="Y135" s="23" t="s">
        <v>1928</v>
      </c>
    </row>
    <row r="136" spans="1:25" ht="13">
      <c r="A136" s="41"/>
      <c r="B136" s="41"/>
      <c r="C136" s="41"/>
      <c r="D136" s="10"/>
      <c r="E136" s="37"/>
      <c r="F136" s="23"/>
      <c r="G136" s="23"/>
      <c r="H136" s="61"/>
      <c r="I136" s="112"/>
      <c r="J136" s="112"/>
      <c r="K136" s="112"/>
      <c r="L136" s="131" t="s">
        <v>19</v>
      </c>
      <c r="M136" s="131"/>
      <c r="N136" s="90"/>
      <c r="O136" s="103"/>
      <c r="P136" s="90"/>
      <c r="Q136" s="214"/>
      <c r="R136" s="103"/>
      <c r="S136" s="90"/>
      <c r="T136" s="187"/>
      <c r="U136" s="10"/>
      <c r="V136" s="10"/>
      <c r="W136" s="112"/>
      <c r="X136" s="61"/>
      <c r="Y136" s="103"/>
    </row>
    <row r="137" spans="1:25" ht="13">
      <c r="A137" s="41" t="s">
        <v>2187</v>
      </c>
      <c r="B137" s="41"/>
      <c r="C137" s="37"/>
      <c r="D137" s="41" t="s">
        <v>1989</v>
      </c>
      <c r="E137" s="37"/>
      <c r="F137" s="23"/>
      <c r="G137" s="23"/>
      <c r="H137" s="61"/>
      <c r="I137" s="103"/>
      <c r="J137" s="112"/>
      <c r="K137" s="112"/>
      <c r="L137" s="131"/>
      <c r="M137" s="131"/>
      <c r="N137" s="90"/>
      <c r="O137" s="103"/>
      <c r="P137" s="103"/>
      <c r="Q137" s="37"/>
      <c r="R137" s="103"/>
      <c r="S137" s="10"/>
      <c r="T137" s="179"/>
      <c r="U137" s="10"/>
      <c r="V137" s="10"/>
      <c r="W137" s="112"/>
      <c r="X137" s="112"/>
      <c r="Y137" s="103"/>
    </row>
    <row r="138" spans="1:25" ht="13">
      <c r="A138" s="8"/>
      <c r="B138" s="308"/>
      <c r="C138" s="41"/>
      <c r="D138" s="36"/>
      <c r="E138" s="42"/>
      <c r="F138" s="61"/>
      <c r="G138" s="61"/>
      <c r="H138" s="41"/>
      <c r="I138" s="23"/>
      <c r="J138" s="61"/>
      <c r="K138" s="61"/>
      <c r="L138" s="131"/>
      <c r="M138" s="131"/>
      <c r="N138" s="108"/>
      <c r="O138" s="113"/>
      <c r="P138" s="113"/>
      <c r="Q138" s="37"/>
      <c r="R138" s="113"/>
      <c r="S138" s="10"/>
      <c r="T138" s="179"/>
      <c r="U138" s="10"/>
      <c r="V138" s="10"/>
      <c r="W138" s="61"/>
      <c r="X138" s="61"/>
      <c r="Y138" s="113"/>
    </row>
    <row r="139" spans="1:25" ht="56">
      <c r="A139" s="41" t="s">
        <v>2188</v>
      </c>
      <c r="B139" s="308" t="s">
        <v>717</v>
      </c>
      <c r="C139" s="37" t="s">
        <v>1277</v>
      </c>
      <c r="D139" s="41" t="s">
        <v>867</v>
      </c>
      <c r="E139" s="37" t="s">
        <v>1760</v>
      </c>
      <c r="F139" s="23"/>
      <c r="G139" s="23" t="s">
        <v>2189</v>
      </c>
      <c r="H139" s="205" t="s">
        <v>1761</v>
      </c>
      <c r="I139" s="103" t="s">
        <v>891</v>
      </c>
      <c r="J139" s="112" t="s">
        <v>1926</v>
      </c>
      <c r="K139" s="112" t="s">
        <v>887</v>
      </c>
      <c r="L139" s="131" t="s">
        <v>19</v>
      </c>
      <c r="M139" s="131" t="s">
        <v>248</v>
      </c>
      <c r="N139" s="90">
        <v>15000</v>
      </c>
      <c r="O139" s="103">
        <f>45+47</f>
        <v>92</v>
      </c>
      <c r="P139" s="90">
        <f>O139*N139</f>
        <v>1380000</v>
      </c>
      <c r="Q139" s="37" t="s">
        <v>2190</v>
      </c>
      <c r="R139" s="83" t="s">
        <v>2191</v>
      </c>
      <c r="S139" s="10"/>
      <c r="T139" s="179"/>
      <c r="U139" s="36"/>
      <c r="V139" s="10"/>
      <c r="W139" s="112" t="s">
        <v>462</v>
      </c>
      <c r="X139" s="112" t="s">
        <v>1279</v>
      </c>
      <c r="Y139" s="103" t="s">
        <v>1736</v>
      </c>
    </row>
    <row r="140" spans="1:25" ht="56">
      <c r="A140" s="41" t="s">
        <v>2188</v>
      </c>
      <c r="B140" s="308" t="s">
        <v>717</v>
      </c>
      <c r="C140" s="37" t="s">
        <v>1277</v>
      </c>
      <c r="D140" s="8" t="s">
        <v>84</v>
      </c>
      <c r="E140" s="37" t="s">
        <v>1760</v>
      </c>
      <c r="F140" s="36"/>
      <c r="G140" s="23" t="s">
        <v>2189</v>
      </c>
      <c r="H140" s="205" t="s">
        <v>1761</v>
      </c>
      <c r="I140" s="103" t="s">
        <v>891</v>
      </c>
      <c r="J140" s="112" t="s">
        <v>1926</v>
      </c>
      <c r="K140" s="112" t="s">
        <v>887</v>
      </c>
      <c r="L140" s="131" t="s">
        <v>19</v>
      </c>
      <c r="M140" s="131" t="s">
        <v>248</v>
      </c>
      <c r="N140" s="90">
        <v>15000</v>
      </c>
      <c r="O140" s="23">
        <f>61+74</f>
        <v>135</v>
      </c>
      <c r="P140" s="90">
        <f>O140*N140</f>
        <v>2025000</v>
      </c>
      <c r="Q140" s="37" t="s">
        <v>2192</v>
      </c>
      <c r="R140" s="83" t="s">
        <v>2191</v>
      </c>
      <c r="S140" s="36"/>
      <c r="T140" s="225"/>
      <c r="U140" s="36"/>
      <c r="V140" s="36"/>
      <c r="W140" s="112" t="s">
        <v>462</v>
      </c>
      <c r="X140" s="112" t="s">
        <v>1279</v>
      </c>
      <c r="Y140" s="103" t="s">
        <v>1736</v>
      </c>
    </row>
    <row r="141" spans="1:25" ht="13">
      <c r="A141" s="8"/>
      <c r="B141" s="8"/>
      <c r="C141" s="8"/>
      <c r="D141" s="36"/>
      <c r="E141" s="87"/>
      <c r="F141" s="36"/>
      <c r="G141" s="23"/>
      <c r="H141" s="61"/>
      <c r="I141" s="61"/>
      <c r="J141" s="61"/>
      <c r="K141" s="61"/>
      <c r="L141" s="131"/>
      <c r="M141" s="131"/>
      <c r="N141" s="108"/>
      <c r="O141" s="23"/>
      <c r="P141" s="108"/>
      <c r="Q141" s="87"/>
      <c r="R141" s="23"/>
      <c r="S141" s="36"/>
      <c r="T141" s="225"/>
      <c r="U141" s="36"/>
      <c r="V141" s="36"/>
      <c r="W141" s="61"/>
      <c r="X141" s="61"/>
      <c r="Y141" s="23"/>
    </row>
    <row r="142" spans="1:25" ht="56">
      <c r="A142" s="41" t="s">
        <v>2193</v>
      </c>
      <c r="B142" s="41" t="s">
        <v>781</v>
      </c>
      <c r="C142" s="41" t="s">
        <v>732</v>
      </c>
      <c r="D142" s="10" t="s">
        <v>2195</v>
      </c>
      <c r="E142" s="37" t="s">
        <v>2196</v>
      </c>
      <c r="F142" s="10" t="s">
        <v>1798</v>
      </c>
      <c r="G142" s="10" t="s">
        <v>1798</v>
      </c>
      <c r="H142" s="220" t="s">
        <v>1799</v>
      </c>
      <c r="I142" s="61" t="s">
        <v>891</v>
      </c>
      <c r="J142" s="61" t="s">
        <v>1926</v>
      </c>
      <c r="K142" s="61" t="s">
        <v>887</v>
      </c>
      <c r="L142" s="131" t="s">
        <v>19</v>
      </c>
      <c r="M142" s="131" t="s">
        <v>248</v>
      </c>
      <c r="N142" s="90">
        <v>11000</v>
      </c>
      <c r="O142" s="90">
        <v>290</v>
      </c>
      <c r="P142" s="90">
        <f>N142*O142</f>
        <v>3190000</v>
      </c>
      <c r="Q142" s="37" t="s">
        <v>2197</v>
      </c>
      <c r="R142" s="23" t="s">
        <v>1694</v>
      </c>
      <c r="S142" s="10"/>
      <c r="T142" s="131"/>
      <c r="U142" s="36"/>
      <c r="V142" s="10"/>
      <c r="W142" s="61" t="s">
        <v>819</v>
      </c>
      <c r="X142" s="61" t="s">
        <v>1714</v>
      </c>
      <c r="Y142" s="83" t="s">
        <v>2034</v>
      </c>
    </row>
    <row r="143" spans="1:25" ht="13">
      <c r="A143" s="41"/>
      <c r="B143" s="41"/>
      <c r="C143" s="41"/>
      <c r="D143" s="10"/>
      <c r="E143" s="10"/>
      <c r="F143" s="10"/>
      <c r="G143" s="103"/>
      <c r="H143" s="41"/>
      <c r="I143" s="112"/>
      <c r="J143" s="112"/>
      <c r="K143" s="112"/>
      <c r="L143" s="131"/>
      <c r="M143" s="131"/>
      <c r="N143" s="90"/>
      <c r="O143" s="103"/>
      <c r="P143" s="108"/>
      <c r="Q143" s="120"/>
      <c r="R143" s="103"/>
      <c r="S143" s="10"/>
      <c r="T143" s="179"/>
      <c r="U143" s="10"/>
      <c r="V143" s="10"/>
      <c r="W143" s="112"/>
      <c r="X143" s="112"/>
      <c r="Y143" s="103"/>
    </row>
    <row r="144" spans="1:25" ht="56">
      <c r="A144" s="290" t="s">
        <v>2198</v>
      </c>
      <c r="B144" s="41" t="s">
        <v>433</v>
      </c>
      <c r="C144" s="41" t="s">
        <v>434</v>
      </c>
      <c r="D144" s="10" t="s">
        <v>1059</v>
      </c>
      <c r="E144" s="37" t="s">
        <v>2199</v>
      </c>
      <c r="F144" s="10"/>
      <c r="G144" s="103" t="s">
        <v>2200</v>
      </c>
      <c r="H144" s="220" t="s">
        <v>2201</v>
      </c>
      <c r="I144" s="112" t="s">
        <v>891</v>
      </c>
      <c r="J144" s="112" t="s">
        <v>1926</v>
      </c>
      <c r="K144" s="112" t="s">
        <v>887</v>
      </c>
      <c r="L144" s="131" t="s">
        <v>19</v>
      </c>
      <c r="M144" s="131" t="s">
        <v>253</v>
      </c>
      <c r="N144" s="90">
        <v>18000</v>
      </c>
      <c r="O144" s="90">
        <v>759</v>
      </c>
      <c r="P144" s="108">
        <f>O144*N144</f>
        <v>13662000</v>
      </c>
      <c r="Q144" s="37" t="s">
        <v>2203</v>
      </c>
      <c r="R144" s="103" t="s">
        <v>1788</v>
      </c>
      <c r="S144" s="90"/>
      <c r="T144" s="187" t="s">
        <v>2204</v>
      </c>
      <c r="U144" s="10" t="s">
        <v>1037</v>
      </c>
      <c r="V144" s="10"/>
      <c r="W144" s="112" t="s">
        <v>837</v>
      </c>
      <c r="X144" s="61" t="s">
        <v>1279</v>
      </c>
      <c r="Y144" s="103" t="s">
        <v>1155</v>
      </c>
    </row>
    <row r="145" spans="1:25" ht="56">
      <c r="A145" s="290" t="s">
        <v>2198</v>
      </c>
      <c r="B145" s="41" t="s">
        <v>433</v>
      </c>
      <c r="C145" s="41" t="s">
        <v>434</v>
      </c>
      <c r="D145" s="10" t="s">
        <v>1085</v>
      </c>
      <c r="E145" s="37" t="s">
        <v>2199</v>
      </c>
      <c r="F145" s="10"/>
      <c r="G145" s="103" t="s">
        <v>2200</v>
      </c>
      <c r="H145" s="220" t="s">
        <v>2201</v>
      </c>
      <c r="I145" s="112" t="s">
        <v>891</v>
      </c>
      <c r="J145" s="112" t="s">
        <v>1926</v>
      </c>
      <c r="K145" s="112" t="s">
        <v>887</v>
      </c>
      <c r="L145" s="131" t="s">
        <v>19</v>
      </c>
      <c r="M145" s="131" t="s">
        <v>253</v>
      </c>
      <c r="N145" s="90">
        <v>20500</v>
      </c>
      <c r="O145" s="90">
        <v>518</v>
      </c>
      <c r="P145" s="108">
        <f>O145*N145</f>
        <v>10619000</v>
      </c>
      <c r="Q145" s="37" t="s">
        <v>2205</v>
      </c>
      <c r="R145" s="103" t="s">
        <v>1988</v>
      </c>
      <c r="S145" s="90"/>
      <c r="T145" s="187"/>
      <c r="U145" s="10"/>
      <c r="V145" s="10"/>
      <c r="W145" s="112" t="s">
        <v>837</v>
      </c>
      <c r="X145" s="61" t="s">
        <v>1279</v>
      </c>
      <c r="Y145" s="103" t="s">
        <v>1155</v>
      </c>
    </row>
    <row r="146" spans="1:25" ht="56">
      <c r="A146" s="290" t="s">
        <v>2198</v>
      </c>
      <c r="B146" s="41" t="s">
        <v>433</v>
      </c>
      <c r="C146" s="41" t="s">
        <v>434</v>
      </c>
      <c r="D146" s="10" t="s">
        <v>1086</v>
      </c>
      <c r="E146" s="37" t="s">
        <v>2199</v>
      </c>
      <c r="F146" s="10"/>
      <c r="G146" s="103" t="s">
        <v>2200</v>
      </c>
      <c r="H146" s="220" t="s">
        <v>2201</v>
      </c>
      <c r="I146" s="112" t="s">
        <v>891</v>
      </c>
      <c r="J146" s="112" t="s">
        <v>1926</v>
      </c>
      <c r="K146" s="112" t="s">
        <v>887</v>
      </c>
      <c r="L146" s="131" t="s">
        <v>19</v>
      </c>
      <c r="M146" s="131" t="s">
        <v>253</v>
      </c>
      <c r="N146" s="90">
        <v>14500</v>
      </c>
      <c r="O146" s="90">
        <v>632</v>
      </c>
      <c r="P146" s="108">
        <f>O146*N146</f>
        <v>9164000</v>
      </c>
      <c r="Q146" s="37" t="s">
        <v>2207</v>
      </c>
      <c r="R146" s="103" t="s">
        <v>2208</v>
      </c>
      <c r="S146" s="90"/>
      <c r="T146" s="187"/>
      <c r="U146" s="10"/>
      <c r="V146" s="10"/>
      <c r="W146" s="112" t="s">
        <v>837</v>
      </c>
      <c r="X146" s="61" t="s">
        <v>1279</v>
      </c>
      <c r="Y146" s="103" t="s">
        <v>1155</v>
      </c>
    </row>
    <row r="147" spans="1:25" ht="56">
      <c r="A147" s="290" t="s">
        <v>2198</v>
      </c>
      <c r="B147" s="41" t="s">
        <v>433</v>
      </c>
      <c r="C147" s="41" t="s">
        <v>434</v>
      </c>
      <c r="D147" s="10" t="s">
        <v>1060</v>
      </c>
      <c r="E147" s="10" t="s">
        <v>2209</v>
      </c>
      <c r="F147" s="10"/>
      <c r="G147" s="103" t="s">
        <v>2200</v>
      </c>
      <c r="H147" s="220" t="s">
        <v>2201</v>
      </c>
      <c r="I147" s="112" t="s">
        <v>891</v>
      </c>
      <c r="J147" s="112" t="s">
        <v>1926</v>
      </c>
      <c r="K147" s="112" t="s">
        <v>887</v>
      </c>
      <c r="L147" s="131" t="s">
        <v>19</v>
      </c>
      <c r="M147" s="131" t="s">
        <v>253</v>
      </c>
      <c r="N147" s="90">
        <v>13000</v>
      </c>
      <c r="O147" s="90">
        <v>49</v>
      </c>
      <c r="P147" s="108">
        <f>O147*N147</f>
        <v>637000</v>
      </c>
      <c r="Q147" s="37" t="s">
        <v>2210</v>
      </c>
      <c r="R147" s="103" t="s">
        <v>884</v>
      </c>
      <c r="S147" s="90"/>
      <c r="T147" s="187"/>
      <c r="U147" s="10"/>
      <c r="V147" s="10"/>
      <c r="W147" s="112" t="s">
        <v>837</v>
      </c>
      <c r="X147" s="61" t="s">
        <v>1279</v>
      </c>
      <c r="Y147" s="103" t="s">
        <v>1155</v>
      </c>
    </row>
    <row r="148" spans="1:25" ht="56">
      <c r="A148" s="290" t="s">
        <v>2198</v>
      </c>
      <c r="B148" s="41" t="s">
        <v>433</v>
      </c>
      <c r="C148" s="41" t="s">
        <v>434</v>
      </c>
      <c r="D148" s="10" t="s">
        <v>1064</v>
      </c>
      <c r="E148" s="10" t="s">
        <v>2211</v>
      </c>
      <c r="F148" s="10"/>
      <c r="G148" s="103" t="s">
        <v>2200</v>
      </c>
      <c r="H148" s="220" t="s">
        <v>2201</v>
      </c>
      <c r="I148" s="112" t="s">
        <v>891</v>
      </c>
      <c r="J148" s="112" t="s">
        <v>1926</v>
      </c>
      <c r="K148" s="112" t="s">
        <v>887</v>
      </c>
      <c r="L148" s="131" t="s">
        <v>19</v>
      </c>
      <c r="M148" s="131" t="s">
        <v>253</v>
      </c>
      <c r="N148" s="90">
        <v>11000</v>
      </c>
      <c r="O148" s="90">
        <v>31</v>
      </c>
      <c r="P148" s="108">
        <f>O148*N148</f>
        <v>341000</v>
      </c>
      <c r="Q148" s="37" t="s">
        <v>2212</v>
      </c>
      <c r="R148" s="103" t="s">
        <v>884</v>
      </c>
      <c r="S148" s="90"/>
      <c r="T148" s="187"/>
      <c r="U148" s="10"/>
      <c r="V148" s="10"/>
      <c r="W148" s="112" t="s">
        <v>837</v>
      </c>
      <c r="X148" s="61" t="s">
        <v>1279</v>
      </c>
      <c r="Y148" s="103" t="s">
        <v>1155</v>
      </c>
    </row>
    <row r="149" spans="1:25" ht="56">
      <c r="A149" s="290" t="s">
        <v>2198</v>
      </c>
      <c r="B149" s="41" t="s">
        <v>433</v>
      </c>
      <c r="C149" s="41" t="s">
        <v>434</v>
      </c>
      <c r="D149" s="10" t="s">
        <v>1065</v>
      </c>
      <c r="E149" s="10" t="s">
        <v>2211</v>
      </c>
      <c r="F149" s="10"/>
      <c r="G149" s="103" t="s">
        <v>2200</v>
      </c>
      <c r="H149" s="220" t="s">
        <v>2201</v>
      </c>
      <c r="I149" s="112" t="s">
        <v>891</v>
      </c>
      <c r="J149" s="112" t="s">
        <v>1926</v>
      </c>
      <c r="K149" s="112" t="s">
        <v>887</v>
      </c>
      <c r="L149" s="131" t="s">
        <v>19</v>
      </c>
      <c r="M149" s="131" t="s">
        <v>253</v>
      </c>
      <c r="N149" s="90">
        <v>11000</v>
      </c>
      <c r="O149" s="90">
        <v>132</v>
      </c>
      <c r="P149" s="108">
        <f>O149*N149</f>
        <v>1452000</v>
      </c>
      <c r="Q149" s="37" t="s">
        <v>2213</v>
      </c>
      <c r="R149" s="103" t="s">
        <v>1788</v>
      </c>
      <c r="S149" s="90"/>
      <c r="T149" s="187"/>
      <c r="U149" s="10"/>
      <c r="V149" s="10"/>
      <c r="W149" s="112" t="s">
        <v>837</v>
      </c>
      <c r="X149" s="61" t="s">
        <v>1279</v>
      </c>
      <c r="Y149" s="103" t="s">
        <v>1155</v>
      </c>
    </row>
    <row r="150" spans="1:25" ht="56">
      <c r="A150" s="290" t="s">
        <v>2198</v>
      </c>
      <c r="B150" s="41" t="s">
        <v>433</v>
      </c>
      <c r="C150" s="41" t="s">
        <v>434</v>
      </c>
      <c r="D150" s="1" t="s">
        <v>1069</v>
      </c>
      <c r="E150" s="37" t="s">
        <v>2214</v>
      </c>
      <c r="F150" s="10"/>
      <c r="G150" s="103" t="s">
        <v>2200</v>
      </c>
      <c r="H150" s="220" t="s">
        <v>2201</v>
      </c>
      <c r="I150" s="112" t="s">
        <v>891</v>
      </c>
      <c r="J150" s="112" t="s">
        <v>1926</v>
      </c>
      <c r="K150" s="112" t="s">
        <v>887</v>
      </c>
      <c r="L150" s="131" t="s">
        <v>19</v>
      </c>
      <c r="M150" s="131" t="s">
        <v>253</v>
      </c>
      <c r="N150" s="90">
        <v>11000</v>
      </c>
      <c r="O150" s="90">
        <v>47</v>
      </c>
      <c r="P150" s="108">
        <f>O150*N150</f>
        <v>517000</v>
      </c>
      <c r="Q150" s="37" t="s">
        <v>2215</v>
      </c>
      <c r="R150" s="103" t="s">
        <v>884</v>
      </c>
      <c r="S150" s="90"/>
      <c r="T150" s="187"/>
      <c r="U150" s="10"/>
      <c r="V150" s="10"/>
      <c r="W150" s="112" t="s">
        <v>837</v>
      </c>
      <c r="X150" s="61" t="s">
        <v>1279</v>
      </c>
      <c r="Y150" s="103" t="s">
        <v>1155</v>
      </c>
    </row>
    <row r="151" spans="1:25" ht="56">
      <c r="A151" s="290" t="s">
        <v>2198</v>
      </c>
      <c r="B151" s="41" t="s">
        <v>433</v>
      </c>
      <c r="C151" s="41" t="s">
        <v>434</v>
      </c>
      <c r="D151" s="10" t="s">
        <v>1087</v>
      </c>
      <c r="E151" s="10" t="s">
        <v>1866</v>
      </c>
      <c r="F151" s="10"/>
      <c r="G151" s="103" t="s">
        <v>2200</v>
      </c>
      <c r="H151" s="220" t="s">
        <v>2201</v>
      </c>
      <c r="I151" s="112" t="s">
        <v>891</v>
      </c>
      <c r="J151" s="112" t="s">
        <v>1926</v>
      </c>
      <c r="K151" s="112" t="s">
        <v>887</v>
      </c>
      <c r="L151" s="131" t="s">
        <v>19</v>
      </c>
      <c r="M151" s="131" t="s">
        <v>253</v>
      </c>
      <c r="N151" s="90">
        <v>22500</v>
      </c>
      <c r="O151" s="90">
        <v>230</v>
      </c>
      <c r="P151" s="108">
        <f>O151*N151</f>
        <v>5175000</v>
      </c>
      <c r="Q151" s="37" t="s">
        <v>2216</v>
      </c>
      <c r="R151" s="103" t="s">
        <v>1988</v>
      </c>
      <c r="S151" s="90"/>
      <c r="T151" s="187"/>
      <c r="U151" s="10"/>
      <c r="V151" s="10"/>
      <c r="W151" s="112" t="s">
        <v>837</v>
      </c>
      <c r="X151" s="61" t="s">
        <v>1279</v>
      </c>
      <c r="Y151" s="103" t="s">
        <v>1155</v>
      </c>
    </row>
    <row r="152" spans="1:25" ht="56">
      <c r="A152" s="290" t="s">
        <v>2198</v>
      </c>
      <c r="B152" s="41" t="s">
        <v>433</v>
      </c>
      <c r="C152" s="41" t="s">
        <v>434</v>
      </c>
      <c r="D152" s="10" t="s">
        <v>1088</v>
      </c>
      <c r="E152" s="10" t="s">
        <v>1866</v>
      </c>
      <c r="F152" s="10"/>
      <c r="G152" s="103" t="s">
        <v>2200</v>
      </c>
      <c r="H152" s="220" t="s">
        <v>2201</v>
      </c>
      <c r="I152" s="112" t="s">
        <v>891</v>
      </c>
      <c r="J152" s="112" t="s">
        <v>1926</v>
      </c>
      <c r="K152" s="112" t="s">
        <v>887</v>
      </c>
      <c r="L152" s="131" t="s">
        <v>19</v>
      </c>
      <c r="M152" s="131" t="s">
        <v>253</v>
      </c>
      <c r="N152" s="90">
        <v>22500</v>
      </c>
      <c r="O152" s="90">
        <v>234</v>
      </c>
      <c r="P152" s="108">
        <f>O152*N152</f>
        <v>5265000</v>
      </c>
      <c r="Q152" s="37" t="s">
        <v>2217</v>
      </c>
      <c r="R152" s="103" t="s">
        <v>2208</v>
      </c>
      <c r="S152" s="90"/>
      <c r="T152" s="187"/>
      <c r="U152" s="10"/>
      <c r="V152" s="10"/>
      <c r="W152" s="112" t="s">
        <v>837</v>
      </c>
      <c r="X152" s="61" t="s">
        <v>1279</v>
      </c>
      <c r="Y152" s="103" t="s">
        <v>1155</v>
      </c>
    </row>
    <row r="153" spans="1:25" ht="56">
      <c r="A153" s="290" t="s">
        <v>2198</v>
      </c>
      <c r="B153" s="41" t="s">
        <v>433</v>
      </c>
      <c r="C153" s="41" t="s">
        <v>434</v>
      </c>
      <c r="D153" s="10" t="s">
        <v>1073</v>
      </c>
      <c r="E153" s="10" t="s">
        <v>1869</v>
      </c>
      <c r="F153" s="10"/>
      <c r="G153" s="103" t="s">
        <v>2200</v>
      </c>
      <c r="H153" s="220" t="s">
        <v>2201</v>
      </c>
      <c r="I153" s="112" t="s">
        <v>891</v>
      </c>
      <c r="J153" s="112" t="s">
        <v>1926</v>
      </c>
      <c r="K153" s="112" t="s">
        <v>887</v>
      </c>
      <c r="L153" s="131" t="s">
        <v>19</v>
      </c>
      <c r="M153" s="131" t="s">
        <v>253</v>
      </c>
      <c r="N153" s="90">
        <v>12000</v>
      </c>
      <c r="O153" s="90">
        <v>161</v>
      </c>
      <c r="P153" s="108">
        <f>O153*N153</f>
        <v>1932000</v>
      </c>
      <c r="Q153" s="37" t="s">
        <v>2221</v>
      </c>
      <c r="R153" s="103" t="s">
        <v>1988</v>
      </c>
      <c r="S153" s="90"/>
      <c r="T153" s="187"/>
      <c r="U153" s="10"/>
      <c r="V153" s="10"/>
      <c r="W153" s="112" t="s">
        <v>837</v>
      </c>
      <c r="X153" s="61" t="s">
        <v>1279</v>
      </c>
      <c r="Y153" s="103" t="s">
        <v>1155</v>
      </c>
    </row>
    <row r="154" spans="1:25" ht="56">
      <c r="A154" s="290" t="s">
        <v>2198</v>
      </c>
      <c r="B154" s="41" t="s">
        <v>433</v>
      </c>
      <c r="C154" s="41" t="s">
        <v>434</v>
      </c>
      <c r="D154" s="10" t="s">
        <v>1076</v>
      </c>
      <c r="E154" s="37" t="s">
        <v>2222</v>
      </c>
      <c r="F154" s="10"/>
      <c r="G154" s="103" t="s">
        <v>2200</v>
      </c>
      <c r="H154" s="220" t="s">
        <v>2201</v>
      </c>
      <c r="I154" s="112" t="s">
        <v>891</v>
      </c>
      <c r="J154" s="112" t="s">
        <v>1926</v>
      </c>
      <c r="K154" s="112" t="s">
        <v>887</v>
      </c>
      <c r="L154" s="131" t="s">
        <v>19</v>
      </c>
      <c r="M154" s="131" t="s">
        <v>253</v>
      </c>
      <c r="N154" s="90">
        <v>10000</v>
      </c>
      <c r="O154" s="90">
        <v>29</v>
      </c>
      <c r="P154" s="108">
        <f>O154*N154</f>
        <v>290000</v>
      </c>
      <c r="Q154" s="37" t="s">
        <v>2223</v>
      </c>
      <c r="R154" s="103" t="s">
        <v>884</v>
      </c>
      <c r="S154" s="90"/>
      <c r="T154" s="187"/>
      <c r="U154" s="10"/>
      <c r="V154" s="10"/>
      <c r="W154" s="112" t="s">
        <v>837</v>
      </c>
      <c r="X154" s="61" t="s">
        <v>1279</v>
      </c>
      <c r="Y154" s="103" t="s">
        <v>1155</v>
      </c>
    </row>
    <row r="155" spans="1:25" ht="56">
      <c r="A155" s="290" t="s">
        <v>2198</v>
      </c>
      <c r="B155" s="41" t="s">
        <v>433</v>
      </c>
      <c r="C155" s="41" t="s">
        <v>434</v>
      </c>
      <c r="D155" s="10" t="s">
        <v>1079</v>
      </c>
      <c r="E155" s="10" t="s">
        <v>2224</v>
      </c>
      <c r="F155" s="10"/>
      <c r="G155" s="103" t="s">
        <v>2200</v>
      </c>
      <c r="H155" s="220" t="s">
        <v>2201</v>
      </c>
      <c r="I155" s="112" t="s">
        <v>891</v>
      </c>
      <c r="J155" s="112" t="s">
        <v>1926</v>
      </c>
      <c r="K155" s="112" t="s">
        <v>887</v>
      </c>
      <c r="L155" s="131" t="s">
        <v>19</v>
      </c>
      <c r="M155" s="131" t="s">
        <v>253</v>
      </c>
      <c r="N155" s="90">
        <v>8500</v>
      </c>
      <c r="O155" s="90">
        <v>114</v>
      </c>
      <c r="P155" s="108">
        <f>O155*N155</f>
        <v>969000</v>
      </c>
      <c r="Q155" s="37" t="s">
        <v>2225</v>
      </c>
      <c r="R155" s="103" t="s">
        <v>884</v>
      </c>
      <c r="S155" s="90"/>
      <c r="T155" s="187"/>
      <c r="U155" s="10"/>
      <c r="V155" s="10"/>
      <c r="W155" s="112" t="s">
        <v>837</v>
      </c>
      <c r="X155" s="61" t="s">
        <v>1279</v>
      </c>
      <c r="Y155" s="103" t="s">
        <v>1155</v>
      </c>
    </row>
    <row r="156" spans="1:25" ht="56">
      <c r="A156" s="290" t="s">
        <v>2198</v>
      </c>
      <c r="B156" s="41" t="s">
        <v>433</v>
      </c>
      <c r="C156" s="41" t="s">
        <v>434</v>
      </c>
      <c r="D156" s="10" t="s">
        <v>1080</v>
      </c>
      <c r="E156" s="10" t="s">
        <v>2224</v>
      </c>
      <c r="F156" s="10"/>
      <c r="G156" s="103" t="s">
        <v>2200</v>
      </c>
      <c r="H156" s="220" t="s">
        <v>2201</v>
      </c>
      <c r="I156" s="112" t="s">
        <v>891</v>
      </c>
      <c r="J156" s="112" t="s">
        <v>1926</v>
      </c>
      <c r="K156" s="112" t="s">
        <v>887</v>
      </c>
      <c r="L156" s="131" t="s">
        <v>19</v>
      </c>
      <c r="M156" s="131" t="s">
        <v>253</v>
      </c>
      <c r="N156" s="90">
        <v>8500</v>
      </c>
      <c r="O156" s="90">
        <v>585</v>
      </c>
      <c r="P156" s="108">
        <f>O156*N156</f>
        <v>4972500</v>
      </c>
      <c r="Q156" s="37" t="s">
        <v>2226</v>
      </c>
      <c r="R156" s="103" t="s">
        <v>1788</v>
      </c>
      <c r="S156" s="90"/>
      <c r="T156" s="187"/>
      <c r="U156" s="10"/>
      <c r="V156" s="10"/>
      <c r="W156" s="112" t="s">
        <v>837</v>
      </c>
      <c r="X156" s="61" t="s">
        <v>1279</v>
      </c>
      <c r="Y156" s="103" t="s">
        <v>1155</v>
      </c>
    </row>
    <row r="157" spans="1:25" ht="56">
      <c r="A157" s="290" t="s">
        <v>2198</v>
      </c>
      <c r="B157" s="41" t="s">
        <v>433</v>
      </c>
      <c r="C157" s="41" t="s">
        <v>434</v>
      </c>
      <c r="D157" s="10" t="s">
        <v>2227</v>
      </c>
      <c r="E157" s="37" t="s">
        <v>2228</v>
      </c>
      <c r="F157" s="10"/>
      <c r="G157" s="103" t="s">
        <v>2200</v>
      </c>
      <c r="H157" s="220" t="s">
        <v>2201</v>
      </c>
      <c r="I157" s="112" t="s">
        <v>891</v>
      </c>
      <c r="J157" s="112" t="s">
        <v>1926</v>
      </c>
      <c r="K157" s="112" t="s">
        <v>887</v>
      </c>
      <c r="L157" s="131" t="s">
        <v>19</v>
      </c>
      <c r="M157" s="131" t="s">
        <v>253</v>
      </c>
      <c r="N157" s="90">
        <v>10000</v>
      </c>
      <c r="O157" s="90">
        <v>36</v>
      </c>
      <c r="P157" s="108">
        <f>O157*N157</f>
        <v>360000</v>
      </c>
      <c r="Q157" s="37" t="s">
        <v>2229</v>
      </c>
      <c r="R157" s="103" t="s">
        <v>884</v>
      </c>
      <c r="S157" s="90"/>
      <c r="T157" s="187"/>
      <c r="U157" s="10"/>
      <c r="V157" s="10"/>
      <c r="W157" s="112" t="s">
        <v>837</v>
      </c>
      <c r="X157" s="61" t="s">
        <v>1279</v>
      </c>
      <c r="Y157" s="103" t="s">
        <v>1155</v>
      </c>
    </row>
    <row r="158" spans="1:25" ht="56">
      <c r="A158" s="290" t="s">
        <v>2198</v>
      </c>
      <c r="B158" s="41" t="s">
        <v>433</v>
      </c>
      <c r="C158" s="41" t="s">
        <v>434</v>
      </c>
      <c r="D158" s="10" t="s">
        <v>1737</v>
      </c>
      <c r="E158" s="10"/>
      <c r="F158" s="10"/>
      <c r="G158" s="103" t="s">
        <v>2200</v>
      </c>
      <c r="H158" s="220" t="s">
        <v>2201</v>
      </c>
      <c r="I158" s="112" t="s">
        <v>891</v>
      </c>
      <c r="J158" s="112" t="s">
        <v>1926</v>
      </c>
      <c r="K158" s="112" t="s">
        <v>887</v>
      </c>
      <c r="L158" s="131" t="s">
        <v>19</v>
      </c>
      <c r="M158" s="131" t="s">
        <v>253</v>
      </c>
      <c r="N158" s="90">
        <v>8500</v>
      </c>
      <c r="O158" s="90">
        <v>159</v>
      </c>
      <c r="P158" s="108">
        <f>O158*N158</f>
        <v>1351500</v>
      </c>
      <c r="Q158" s="37" t="s">
        <v>2230</v>
      </c>
      <c r="R158" s="103" t="s">
        <v>1788</v>
      </c>
      <c r="S158" s="90"/>
      <c r="T158" s="187"/>
      <c r="U158" s="10"/>
      <c r="V158" s="10"/>
      <c r="W158" s="112" t="s">
        <v>837</v>
      </c>
      <c r="X158" s="61" t="s">
        <v>1279</v>
      </c>
      <c r="Y158" s="103" t="s">
        <v>1155</v>
      </c>
    </row>
    <row r="159" spans="1:25" ht="56">
      <c r="A159" s="290" t="s">
        <v>2198</v>
      </c>
      <c r="B159" s="41" t="s">
        <v>433</v>
      </c>
      <c r="C159" s="41" t="s">
        <v>434</v>
      </c>
      <c r="D159" s="10" t="s">
        <v>1738</v>
      </c>
      <c r="E159" s="10"/>
      <c r="F159" s="10"/>
      <c r="G159" s="103" t="s">
        <v>2200</v>
      </c>
      <c r="H159" s="220" t="s">
        <v>2201</v>
      </c>
      <c r="I159" s="112" t="s">
        <v>891</v>
      </c>
      <c r="J159" s="112" t="s">
        <v>1926</v>
      </c>
      <c r="K159" s="112" t="s">
        <v>887</v>
      </c>
      <c r="L159" s="131" t="s">
        <v>19</v>
      </c>
      <c r="M159" s="131" t="s">
        <v>253</v>
      </c>
      <c r="N159" s="90">
        <v>8500</v>
      </c>
      <c r="O159" s="90">
        <v>79</v>
      </c>
      <c r="P159" s="108">
        <f>O159*N159</f>
        <v>671500</v>
      </c>
      <c r="Q159" s="37" t="s">
        <v>2231</v>
      </c>
      <c r="R159" s="103" t="s">
        <v>1988</v>
      </c>
      <c r="S159" s="90"/>
      <c r="T159" s="187"/>
      <c r="U159" s="10"/>
      <c r="V159" s="10"/>
      <c r="W159" s="112" t="s">
        <v>837</v>
      </c>
      <c r="X159" s="61" t="s">
        <v>1279</v>
      </c>
      <c r="Y159" s="103" t="s">
        <v>1155</v>
      </c>
    </row>
    <row r="160" spans="1:25" ht="56">
      <c r="A160" s="290" t="s">
        <v>2198</v>
      </c>
      <c r="B160" s="41" t="s">
        <v>433</v>
      </c>
      <c r="C160" s="41" t="s">
        <v>434</v>
      </c>
      <c r="D160" s="10" t="s">
        <v>1055</v>
      </c>
      <c r="E160" s="10"/>
      <c r="F160" s="10"/>
      <c r="G160" s="103" t="s">
        <v>2200</v>
      </c>
      <c r="H160" s="220" t="s">
        <v>2201</v>
      </c>
      <c r="I160" s="112" t="s">
        <v>891</v>
      </c>
      <c r="J160" s="112" t="s">
        <v>1926</v>
      </c>
      <c r="K160" s="112" t="s">
        <v>887</v>
      </c>
      <c r="L160" s="131" t="s">
        <v>19</v>
      </c>
      <c r="M160" s="131" t="s">
        <v>253</v>
      </c>
      <c r="N160" s="90">
        <v>15000</v>
      </c>
      <c r="O160" s="90">
        <v>415</v>
      </c>
      <c r="P160" s="108">
        <f>O160*N160</f>
        <v>6225000</v>
      </c>
      <c r="Q160" s="37" t="s">
        <v>2232</v>
      </c>
      <c r="R160" s="103" t="s">
        <v>2208</v>
      </c>
      <c r="S160" s="90"/>
      <c r="T160" s="187"/>
      <c r="U160" s="10"/>
      <c r="V160" s="10"/>
      <c r="W160" s="112" t="s">
        <v>837</v>
      </c>
      <c r="X160" s="61" t="s">
        <v>1279</v>
      </c>
      <c r="Y160" s="103" t="s">
        <v>1155</v>
      </c>
    </row>
    <row r="161" spans="1:25" ht="13">
      <c r="A161" s="41"/>
      <c r="B161" s="41"/>
      <c r="C161" s="41"/>
      <c r="D161" s="10"/>
      <c r="E161" s="10"/>
      <c r="F161" s="10"/>
      <c r="G161" s="103"/>
      <c r="H161" s="41"/>
      <c r="I161" s="112"/>
      <c r="J161" s="112"/>
      <c r="K161" s="112"/>
      <c r="L161" s="131"/>
      <c r="M161" s="131"/>
      <c r="N161" s="90"/>
      <c r="O161" s="90"/>
      <c r="P161" s="108"/>
      <c r="Q161" s="120"/>
      <c r="R161" s="103"/>
      <c r="S161" s="90"/>
      <c r="T161" s="187"/>
      <c r="U161" s="10"/>
      <c r="V161" s="10"/>
      <c r="W161" s="112"/>
      <c r="X161" s="61"/>
      <c r="Y161" s="103"/>
    </row>
    <row r="162" spans="1:25" ht="56">
      <c r="A162" s="41" t="s">
        <v>2233</v>
      </c>
      <c r="B162" s="41" t="s">
        <v>2234</v>
      </c>
      <c r="C162" s="41" t="s">
        <v>1981</v>
      </c>
      <c r="D162" s="10" t="s">
        <v>1221</v>
      </c>
      <c r="E162" s="10" t="s">
        <v>2235</v>
      </c>
      <c r="F162" s="10"/>
      <c r="G162" s="103" t="s">
        <v>2236</v>
      </c>
      <c r="H162" s="220" t="s">
        <v>1759</v>
      </c>
      <c r="I162" s="112" t="s">
        <v>891</v>
      </c>
      <c r="J162" s="112" t="s">
        <v>1937</v>
      </c>
      <c r="K162" s="112" t="s">
        <v>887</v>
      </c>
      <c r="L162" s="131" t="s">
        <v>19</v>
      </c>
      <c r="M162" s="131" t="s">
        <v>283</v>
      </c>
      <c r="N162" s="90" t="s">
        <v>892</v>
      </c>
      <c r="O162" s="90"/>
      <c r="P162" s="108">
        <f t="shared" ref="P162:P164" si="3">8500000/3</f>
        <v>2833333.3333333335</v>
      </c>
      <c r="Q162" s="37" t="s">
        <v>2237</v>
      </c>
      <c r="R162" s="103" t="s">
        <v>683</v>
      </c>
      <c r="S162" s="90"/>
      <c r="T162" s="187" t="s">
        <v>1058</v>
      </c>
      <c r="U162" s="10" t="s">
        <v>1037</v>
      </c>
      <c r="V162" s="10"/>
      <c r="W162" s="112" t="s">
        <v>819</v>
      </c>
      <c r="X162" s="61" t="s">
        <v>1714</v>
      </c>
      <c r="Y162" s="103" t="s">
        <v>2034</v>
      </c>
    </row>
    <row r="163" spans="1:25" ht="56">
      <c r="A163" s="41" t="s">
        <v>2233</v>
      </c>
      <c r="B163" s="41" t="s">
        <v>2234</v>
      </c>
      <c r="C163" s="41" t="s">
        <v>1981</v>
      </c>
      <c r="D163" s="41" t="s">
        <v>1232</v>
      </c>
      <c r="E163" s="10" t="s">
        <v>2235</v>
      </c>
      <c r="F163" s="112"/>
      <c r="G163" s="103" t="s">
        <v>2236</v>
      </c>
      <c r="H163" s="220" t="s">
        <v>1759</v>
      </c>
      <c r="I163" s="112" t="s">
        <v>891</v>
      </c>
      <c r="J163" s="112" t="s">
        <v>1937</v>
      </c>
      <c r="K163" s="112" t="s">
        <v>887</v>
      </c>
      <c r="L163" s="131" t="s">
        <v>19</v>
      </c>
      <c r="M163" s="131" t="s">
        <v>283</v>
      </c>
      <c r="N163" s="90" t="s">
        <v>892</v>
      </c>
      <c r="O163" s="103"/>
      <c r="P163" s="108">
        <f t="shared" si="3"/>
        <v>2833333.3333333335</v>
      </c>
      <c r="Q163" s="37" t="s">
        <v>2238</v>
      </c>
      <c r="R163" s="103" t="s">
        <v>683</v>
      </c>
      <c r="S163" s="103"/>
      <c r="T163" s="131"/>
      <c r="U163" s="10" t="s">
        <v>1037</v>
      </c>
      <c r="V163" s="10"/>
      <c r="W163" s="112" t="s">
        <v>819</v>
      </c>
      <c r="X163" s="61" t="s">
        <v>1714</v>
      </c>
      <c r="Y163" s="103" t="s">
        <v>2034</v>
      </c>
    </row>
    <row r="164" spans="1:25" ht="56">
      <c r="A164" s="41" t="s">
        <v>2233</v>
      </c>
      <c r="B164" s="41" t="s">
        <v>2234</v>
      </c>
      <c r="C164" s="41" t="s">
        <v>1981</v>
      </c>
      <c r="D164" s="41" t="s">
        <v>1237</v>
      </c>
      <c r="E164" s="10" t="s">
        <v>2235</v>
      </c>
      <c r="F164" s="112"/>
      <c r="G164" s="103" t="s">
        <v>2236</v>
      </c>
      <c r="H164" s="220" t="s">
        <v>1759</v>
      </c>
      <c r="I164" s="112" t="s">
        <v>891</v>
      </c>
      <c r="J164" s="112" t="s">
        <v>1937</v>
      </c>
      <c r="K164" s="112" t="s">
        <v>887</v>
      </c>
      <c r="L164" s="131" t="s">
        <v>19</v>
      </c>
      <c r="M164" s="131" t="s">
        <v>283</v>
      </c>
      <c r="N164" s="90" t="s">
        <v>892</v>
      </c>
      <c r="O164" s="103"/>
      <c r="P164" s="108">
        <f t="shared" si="3"/>
        <v>2833333.3333333335</v>
      </c>
      <c r="Q164" s="37" t="s">
        <v>2239</v>
      </c>
      <c r="R164" s="103" t="s">
        <v>683</v>
      </c>
      <c r="S164" s="103"/>
      <c r="T164" s="131"/>
      <c r="U164" s="10" t="s">
        <v>1037</v>
      </c>
      <c r="V164" s="10"/>
      <c r="W164" s="112" t="s">
        <v>819</v>
      </c>
      <c r="X164" s="61" t="s">
        <v>1714</v>
      </c>
      <c r="Y164" s="103" t="s">
        <v>2034</v>
      </c>
    </row>
    <row r="165" spans="1:25" ht="13">
      <c r="A165" s="41"/>
      <c r="B165" s="41"/>
      <c r="C165" s="10"/>
      <c r="D165" s="41"/>
      <c r="E165" s="112"/>
      <c r="F165" s="112"/>
      <c r="G165" s="103"/>
      <c r="H165" s="112"/>
      <c r="I165" s="112"/>
      <c r="J165" s="112"/>
      <c r="K165" s="112"/>
      <c r="L165" s="23"/>
      <c r="M165" s="83"/>
      <c r="N165" s="90"/>
      <c r="O165" s="103"/>
      <c r="P165" s="103"/>
      <c r="Q165" s="10"/>
      <c r="R165" s="83"/>
      <c r="S165" s="103"/>
      <c r="T165" s="23"/>
      <c r="U165" s="10"/>
      <c r="V165" s="10"/>
      <c r="W165" s="61"/>
      <c r="X165" s="61"/>
      <c r="Y165" s="103"/>
    </row>
    <row r="166" spans="1:25" ht="42">
      <c r="A166" s="8" t="s">
        <v>2240</v>
      </c>
      <c r="B166" s="85"/>
      <c r="C166" s="87" t="s">
        <v>2241</v>
      </c>
      <c r="D166" s="8" t="s">
        <v>2242</v>
      </c>
      <c r="E166" s="210" t="s">
        <v>2243</v>
      </c>
      <c r="F166" s="9" t="s">
        <v>2244</v>
      </c>
      <c r="G166" s="9" t="s">
        <v>2244</v>
      </c>
      <c r="H166" s="205" t="s">
        <v>2245</v>
      </c>
      <c r="I166" s="61" t="s">
        <v>891</v>
      </c>
      <c r="J166" s="61" t="s">
        <v>1926</v>
      </c>
      <c r="K166" s="61" t="s">
        <v>887</v>
      </c>
      <c r="L166" s="23" t="s">
        <v>834</v>
      </c>
      <c r="M166" s="131" t="s">
        <v>248</v>
      </c>
      <c r="N166" s="108">
        <v>13000</v>
      </c>
      <c r="O166" s="129">
        <v>440</v>
      </c>
      <c r="P166" s="129" t="s">
        <v>2246</v>
      </c>
      <c r="Q166" s="37" t="s">
        <v>2247</v>
      </c>
      <c r="R166" s="113" t="s">
        <v>683</v>
      </c>
      <c r="S166" s="103"/>
      <c r="T166" s="23"/>
      <c r="U166" s="36"/>
      <c r="V166" s="36"/>
      <c r="W166" s="61" t="s">
        <v>366</v>
      </c>
      <c r="X166" s="61" t="s">
        <v>828</v>
      </c>
      <c r="Y166" s="23" t="s">
        <v>1769</v>
      </c>
    </row>
    <row r="167" spans="1:25" ht="13">
      <c r="A167" s="8"/>
      <c r="B167" s="85"/>
      <c r="C167" s="36"/>
      <c r="D167" s="8"/>
      <c r="E167" s="210"/>
      <c r="F167" s="9"/>
      <c r="G167" s="210"/>
      <c r="H167" s="61"/>
      <c r="I167" s="61"/>
      <c r="J167" s="61"/>
      <c r="K167" s="61"/>
      <c r="L167" s="23"/>
      <c r="M167" s="131"/>
      <c r="N167" s="108"/>
      <c r="O167" s="113"/>
      <c r="P167" s="129"/>
      <c r="Q167" s="37"/>
      <c r="R167" s="113"/>
      <c r="S167" s="103"/>
      <c r="T167" s="23"/>
      <c r="U167" s="36"/>
      <c r="V167" s="36"/>
      <c r="W167" s="61"/>
      <c r="X167" s="61"/>
      <c r="Y167" s="23"/>
    </row>
    <row r="168" spans="1:25" ht="42">
      <c r="A168" s="8" t="s">
        <v>2248</v>
      </c>
      <c r="B168" s="85" t="s">
        <v>726</v>
      </c>
      <c r="C168" s="36"/>
      <c r="D168" s="8" t="s">
        <v>2249</v>
      </c>
      <c r="E168" s="210" t="s">
        <v>2250</v>
      </c>
      <c r="F168" s="9" t="s">
        <v>2251</v>
      </c>
      <c r="G168" s="210" t="s">
        <v>2252</v>
      </c>
      <c r="H168" s="205" t="s">
        <v>2253</v>
      </c>
      <c r="I168" s="61" t="s">
        <v>895</v>
      </c>
      <c r="J168" s="61" t="s">
        <v>1926</v>
      </c>
      <c r="K168" s="61" t="s">
        <v>1822</v>
      </c>
      <c r="L168" s="23" t="s">
        <v>834</v>
      </c>
      <c r="M168" s="131" t="s">
        <v>248</v>
      </c>
      <c r="N168" s="108" t="s">
        <v>1741</v>
      </c>
      <c r="O168" s="113"/>
      <c r="P168" s="129">
        <v>15000000</v>
      </c>
      <c r="Q168" s="37" t="s">
        <v>2254</v>
      </c>
      <c r="R168" s="113" t="s">
        <v>884</v>
      </c>
      <c r="S168" s="103"/>
      <c r="T168" s="23"/>
      <c r="U168" s="36"/>
      <c r="V168" s="36"/>
      <c r="W168" s="61" t="s">
        <v>366</v>
      </c>
      <c r="X168" s="61" t="s">
        <v>1147</v>
      </c>
      <c r="Y168" s="23" t="s">
        <v>2255</v>
      </c>
    </row>
    <row r="169" spans="1:25" ht="13">
      <c r="A169" s="8"/>
      <c r="B169" s="8"/>
      <c r="C169" s="36"/>
      <c r="D169" s="41"/>
      <c r="E169" s="210"/>
      <c r="F169" s="82"/>
      <c r="G169" s="210"/>
      <c r="H169" s="61"/>
      <c r="I169" s="61"/>
      <c r="J169" s="61"/>
      <c r="K169" s="61"/>
      <c r="L169" s="23"/>
      <c r="M169" s="131"/>
      <c r="N169" s="108"/>
      <c r="O169" s="103"/>
      <c r="P169" s="129"/>
      <c r="Q169" s="37"/>
      <c r="R169" s="113"/>
      <c r="S169" s="103"/>
      <c r="T169" s="23"/>
      <c r="U169" s="10"/>
      <c r="V169" s="10"/>
      <c r="W169" s="61"/>
      <c r="X169" s="61"/>
      <c r="Y169" s="23"/>
    </row>
    <row r="170" spans="1:25" ht="56">
      <c r="A170" s="41" t="s">
        <v>2256</v>
      </c>
      <c r="B170" s="41" t="s">
        <v>2257</v>
      </c>
      <c r="C170" s="10" t="s">
        <v>2258</v>
      </c>
      <c r="D170" s="41" t="s">
        <v>2259</v>
      </c>
      <c r="E170" s="309" t="s">
        <v>2260</v>
      </c>
      <c r="F170" s="82" t="s">
        <v>2261</v>
      </c>
      <c r="G170" s="113" t="s">
        <v>2159</v>
      </c>
      <c r="H170" s="198" t="s">
        <v>2161</v>
      </c>
      <c r="I170" s="112" t="s">
        <v>891</v>
      </c>
      <c r="J170" s="112" t="s">
        <v>1926</v>
      </c>
      <c r="K170" s="112" t="s">
        <v>887</v>
      </c>
      <c r="L170" s="23" t="s">
        <v>19</v>
      </c>
      <c r="M170" s="23" t="s">
        <v>248</v>
      </c>
      <c r="N170" s="108">
        <v>10000</v>
      </c>
      <c r="O170" s="227">
        <v>350</v>
      </c>
      <c r="P170" s="108">
        <f>O170*N170</f>
        <v>3500000</v>
      </c>
      <c r="Q170" s="37" t="s">
        <v>2264</v>
      </c>
      <c r="R170" s="23" t="s">
        <v>1788</v>
      </c>
      <c r="S170" s="92"/>
      <c r="T170" s="103"/>
      <c r="U170" s="10"/>
      <c r="V170" s="10"/>
      <c r="W170" s="61" t="s">
        <v>819</v>
      </c>
      <c r="X170" s="61" t="s">
        <v>1183</v>
      </c>
      <c r="Y170" s="113" t="s">
        <v>2034</v>
      </c>
    </row>
    <row r="171" spans="1:25" ht="13">
      <c r="A171" s="41"/>
      <c r="B171" s="41"/>
      <c r="C171" s="10"/>
      <c r="D171" s="10"/>
      <c r="E171" s="82"/>
      <c r="F171" s="10"/>
      <c r="G171" s="113"/>
      <c r="H171" s="197"/>
      <c r="I171" s="112"/>
      <c r="J171" s="112"/>
      <c r="K171" s="112"/>
      <c r="L171" s="23"/>
      <c r="M171" s="23"/>
      <c r="N171" s="108"/>
      <c r="O171" s="227"/>
      <c r="P171" s="108"/>
      <c r="Q171" s="204"/>
      <c r="R171" s="23"/>
      <c r="S171" s="10"/>
      <c r="T171" s="10"/>
      <c r="U171" s="36"/>
      <c r="V171" s="10"/>
      <c r="W171" s="61"/>
      <c r="X171" s="61"/>
      <c r="Y171" s="113"/>
    </row>
    <row r="172" spans="1:25" ht="14">
      <c r="A172" s="10" t="s">
        <v>2265</v>
      </c>
      <c r="B172" s="10" t="s">
        <v>2266</v>
      </c>
      <c r="C172" s="10" t="s">
        <v>763</v>
      </c>
      <c r="D172" s="10" t="s">
        <v>922</v>
      </c>
      <c r="E172" s="10" t="s">
        <v>2061</v>
      </c>
      <c r="F172" s="10"/>
      <c r="G172" s="103"/>
      <c r="H172" s="10"/>
      <c r="I172" s="103" t="s">
        <v>891</v>
      </c>
      <c r="J172" s="103" t="s">
        <v>1937</v>
      </c>
      <c r="K172" s="103" t="s">
        <v>887</v>
      </c>
      <c r="L172" s="23" t="s">
        <v>19</v>
      </c>
      <c r="M172" s="23" t="s">
        <v>253</v>
      </c>
      <c r="N172" s="90" t="s">
        <v>1741</v>
      </c>
      <c r="O172" s="103"/>
      <c r="P172" s="412">
        <v>17900000</v>
      </c>
      <c r="Q172" s="415" t="s">
        <v>2267</v>
      </c>
      <c r="R172" s="103" t="s">
        <v>884</v>
      </c>
      <c r="S172" s="10"/>
      <c r="T172" s="10" t="s">
        <v>1058</v>
      </c>
      <c r="U172" s="36" t="s">
        <v>1037</v>
      </c>
      <c r="V172" s="10"/>
      <c r="W172" s="103" t="s">
        <v>819</v>
      </c>
      <c r="X172" s="103" t="s">
        <v>1714</v>
      </c>
      <c r="Y172" s="83" t="s">
        <v>2034</v>
      </c>
    </row>
    <row r="173" spans="1:25" ht="14">
      <c r="A173" s="10" t="s">
        <v>2265</v>
      </c>
      <c r="B173" s="10" t="s">
        <v>2266</v>
      </c>
      <c r="C173" s="10" t="s">
        <v>763</v>
      </c>
      <c r="D173" s="126" t="s">
        <v>923</v>
      </c>
      <c r="E173" s="10" t="s">
        <v>2061</v>
      </c>
      <c r="F173" s="40"/>
      <c r="G173" s="246" t="s">
        <v>2268</v>
      </c>
      <c r="H173" s="310" t="s">
        <v>2062</v>
      </c>
      <c r="I173" s="103" t="s">
        <v>891</v>
      </c>
      <c r="J173" s="103" t="s">
        <v>1937</v>
      </c>
      <c r="K173" s="103" t="s">
        <v>887</v>
      </c>
      <c r="L173" s="23" t="s">
        <v>19</v>
      </c>
      <c r="M173" s="23" t="s">
        <v>253</v>
      </c>
      <c r="N173" s="90" t="s">
        <v>1741</v>
      </c>
      <c r="O173" s="245"/>
      <c r="P173" s="409"/>
      <c r="Q173" s="409"/>
      <c r="R173" s="302" t="s">
        <v>683</v>
      </c>
      <c r="S173" s="40"/>
      <c r="T173" s="40"/>
      <c r="U173" s="126" t="s">
        <v>1037</v>
      </c>
      <c r="V173" s="40"/>
      <c r="W173" s="103" t="s">
        <v>819</v>
      </c>
      <c r="X173" s="103" t="s">
        <v>1714</v>
      </c>
      <c r="Y173" s="83" t="s">
        <v>2034</v>
      </c>
    </row>
    <row r="174" spans="1:25" ht="14">
      <c r="A174" s="10" t="s">
        <v>2265</v>
      </c>
      <c r="B174" s="10" t="s">
        <v>2266</v>
      </c>
      <c r="C174" s="10" t="s">
        <v>763</v>
      </c>
      <c r="D174" s="36" t="s">
        <v>924</v>
      </c>
      <c r="E174" s="10" t="s">
        <v>2061</v>
      </c>
      <c r="F174" s="10"/>
      <c r="G174" s="23"/>
      <c r="H174" s="23"/>
      <c r="I174" s="103" t="s">
        <v>891</v>
      </c>
      <c r="J174" s="103" t="s">
        <v>1937</v>
      </c>
      <c r="K174" s="103" t="s">
        <v>887</v>
      </c>
      <c r="L174" s="23" t="s">
        <v>19</v>
      </c>
      <c r="M174" s="23" t="s">
        <v>253</v>
      </c>
      <c r="N174" s="90" t="s">
        <v>1741</v>
      </c>
      <c r="O174" s="103"/>
      <c r="P174" s="409"/>
      <c r="Q174" s="409"/>
      <c r="R174" s="83" t="s">
        <v>683</v>
      </c>
      <c r="S174" s="10"/>
      <c r="T174" s="10" t="s">
        <v>1058</v>
      </c>
      <c r="U174" s="126" t="s">
        <v>1037</v>
      </c>
      <c r="V174" s="10"/>
      <c r="W174" s="103" t="s">
        <v>819</v>
      </c>
      <c r="X174" s="103" t="s">
        <v>1714</v>
      </c>
      <c r="Y174" s="83" t="s">
        <v>2034</v>
      </c>
    </row>
    <row r="175" spans="1:25" ht="28">
      <c r="A175" s="10" t="s">
        <v>2265</v>
      </c>
      <c r="B175" s="10" t="s">
        <v>2266</v>
      </c>
      <c r="C175" s="10" t="s">
        <v>763</v>
      </c>
      <c r="D175" s="126" t="s">
        <v>925</v>
      </c>
      <c r="E175" s="37" t="s">
        <v>2071</v>
      </c>
      <c r="F175" s="40"/>
      <c r="G175" s="227"/>
      <c r="H175" s="246"/>
      <c r="I175" s="103" t="s">
        <v>891</v>
      </c>
      <c r="J175" s="103" t="s">
        <v>1937</v>
      </c>
      <c r="K175" s="103" t="s">
        <v>887</v>
      </c>
      <c r="L175" s="23" t="s">
        <v>19</v>
      </c>
      <c r="M175" s="23" t="s">
        <v>253</v>
      </c>
      <c r="N175" s="90" t="s">
        <v>1741</v>
      </c>
      <c r="O175" s="245"/>
      <c r="P175" s="410"/>
      <c r="Q175" s="410"/>
      <c r="R175" s="302" t="s">
        <v>683</v>
      </c>
      <c r="S175" s="40"/>
      <c r="T175" s="40"/>
      <c r="U175" s="126" t="s">
        <v>1037</v>
      </c>
      <c r="V175" s="40"/>
      <c r="W175" s="103" t="s">
        <v>819</v>
      </c>
      <c r="X175" s="103" t="s">
        <v>1714</v>
      </c>
      <c r="Y175" s="83" t="s">
        <v>2034</v>
      </c>
    </row>
    <row r="176" spans="1:25" ht="13">
      <c r="A176" s="36"/>
      <c r="B176" s="36"/>
      <c r="C176" s="36"/>
      <c r="D176" s="36"/>
      <c r="E176" s="87"/>
      <c r="F176" s="103"/>
      <c r="G176" s="23"/>
      <c r="H176" s="23"/>
      <c r="I176" s="103"/>
      <c r="J176" s="103"/>
      <c r="K176" s="103"/>
      <c r="L176" s="23"/>
      <c r="M176" s="23"/>
      <c r="N176" s="90"/>
      <c r="O176" s="90"/>
      <c r="P176" s="108"/>
      <c r="Q176" s="214"/>
      <c r="R176" s="83"/>
      <c r="S176" s="10"/>
      <c r="T176" s="103"/>
      <c r="U176" s="36"/>
      <c r="V176" s="10"/>
      <c r="W176" s="103"/>
      <c r="X176" s="103"/>
      <c r="Y176" s="83"/>
    </row>
    <row r="177" spans="1:25" ht="56">
      <c r="A177" s="40" t="s">
        <v>2269</v>
      </c>
      <c r="B177" s="10" t="s">
        <v>1442</v>
      </c>
      <c r="C177" s="37" t="s">
        <v>2270</v>
      </c>
      <c r="D177" s="10" t="s">
        <v>1727</v>
      </c>
      <c r="E177" s="37" t="s">
        <v>2271</v>
      </c>
      <c r="F177" s="10"/>
      <c r="G177" s="103" t="s">
        <v>2272</v>
      </c>
      <c r="H177" s="240" t="s">
        <v>1790</v>
      </c>
      <c r="I177" s="103" t="s">
        <v>891</v>
      </c>
      <c r="J177" s="103" t="s">
        <v>1937</v>
      </c>
      <c r="K177" s="103" t="s">
        <v>887</v>
      </c>
      <c r="L177" s="23" t="s">
        <v>940</v>
      </c>
      <c r="M177" s="131" t="s">
        <v>283</v>
      </c>
      <c r="N177" s="108" t="s">
        <v>1741</v>
      </c>
      <c r="O177" s="108"/>
      <c r="P177" s="108">
        <f t="shared" ref="P177:P182" si="4">10000000/6</f>
        <v>1666666.6666666667</v>
      </c>
      <c r="Q177" s="37" t="s">
        <v>2273</v>
      </c>
      <c r="R177" s="103" t="s">
        <v>884</v>
      </c>
      <c r="S177" s="90"/>
      <c r="T177" s="103" t="s">
        <v>1058</v>
      </c>
      <c r="U177" s="10" t="s">
        <v>1037</v>
      </c>
      <c r="V177" s="10"/>
      <c r="W177" s="103" t="s">
        <v>1001</v>
      </c>
      <c r="X177" s="103" t="s">
        <v>1257</v>
      </c>
      <c r="Y177" s="103" t="s">
        <v>1772</v>
      </c>
    </row>
    <row r="178" spans="1:25" ht="56">
      <c r="A178" s="40" t="s">
        <v>2269</v>
      </c>
      <c r="B178" s="10" t="s">
        <v>1442</v>
      </c>
      <c r="C178" s="37" t="s">
        <v>2270</v>
      </c>
      <c r="D178" s="36" t="s">
        <v>1728</v>
      </c>
      <c r="E178" s="37" t="s">
        <v>2271</v>
      </c>
      <c r="F178" s="23"/>
      <c r="G178" s="103" t="s">
        <v>2272</v>
      </c>
      <c r="H178" s="240" t="s">
        <v>1790</v>
      </c>
      <c r="I178" s="103" t="s">
        <v>891</v>
      </c>
      <c r="J178" s="103" t="s">
        <v>1937</v>
      </c>
      <c r="K178" s="103" t="s">
        <v>887</v>
      </c>
      <c r="L178" s="23" t="s">
        <v>940</v>
      </c>
      <c r="M178" s="131" t="s">
        <v>283</v>
      </c>
      <c r="N178" s="108" t="s">
        <v>1741</v>
      </c>
      <c r="O178" s="108"/>
      <c r="P178" s="108">
        <f t="shared" si="4"/>
        <v>1666666.6666666667</v>
      </c>
      <c r="Q178" s="37" t="s">
        <v>2274</v>
      </c>
      <c r="R178" s="103" t="s">
        <v>683</v>
      </c>
      <c r="S178" s="90"/>
      <c r="T178" s="103"/>
      <c r="U178" s="10"/>
      <c r="V178" s="103"/>
      <c r="W178" s="103" t="s">
        <v>1001</v>
      </c>
      <c r="X178" s="103" t="s">
        <v>1257</v>
      </c>
      <c r="Y178" s="103" t="s">
        <v>1772</v>
      </c>
    </row>
    <row r="179" spans="1:25" ht="56">
      <c r="A179" s="40" t="s">
        <v>2269</v>
      </c>
      <c r="B179" s="10" t="s">
        <v>1442</v>
      </c>
      <c r="C179" s="37" t="s">
        <v>2270</v>
      </c>
      <c r="D179" s="36" t="s">
        <v>1729</v>
      </c>
      <c r="E179" s="37" t="s">
        <v>2271</v>
      </c>
      <c r="F179" s="23"/>
      <c r="G179" s="103" t="s">
        <v>2272</v>
      </c>
      <c r="H179" s="240" t="s">
        <v>1790</v>
      </c>
      <c r="I179" s="103" t="s">
        <v>891</v>
      </c>
      <c r="J179" s="103" t="s">
        <v>1937</v>
      </c>
      <c r="K179" s="103" t="s">
        <v>887</v>
      </c>
      <c r="L179" s="23" t="s">
        <v>940</v>
      </c>
      <c r="M179" s="131" t="s">
        <v>283</v>
      </c>
      <c r="N179" s="108" t="s">
        <v>1741</v>
      </c>
      <c r="O179" s="108"/>
      <c r="P179" s="108">
        <f t="shared" si="4"/>
        <v>1666666.6666666667</v>
      </c>
      <c r="Q179" s="37" t="s">
        <v>2275</v>
      </c>
      <c r="R179" s="103" t="s">
        <v>683</v>
      </c>
      <c r="S179" s="10"/>
      <c r="T179" s="103"/>
      <c r="U179" s="10"/>
      <c r="V179" s="103"/>
      <c r="W179" s="103" t="s">
        <v>1001</v>
      </c>
      <c r="X179" s="103" t="s">
        <v>1257</v>
      </c>
      <c r="Y179" s="103" t="s">
        <v>1772</v>
      </c>
    </row>
    <row r="180" spans="1:25" ht="56">
      <c r="A180" s="40" t="s">
        <v>2269</v>
      </c>
      <c r="B180" s="10" t="s">
        <v>1442</v>
      </c>
      <c r="C180" s="37" t="s">
        <v>2270</v>
      </c>
      <c r="D180" s="126" t="s">
        <v>1730</v>
      </c>
      <c r="E180" s="250" t="s">
        <v>2276</v>
      </c>
      <c r="F180" s="40"/>
      <c r="G180" s="103" t="s">
        <v>2272</v>
      </c>
      <c r="H180" s="240" t="s">
        <v>1790</v>
      </c>
      <c r="I180" s="103" t="s">
        <v>891</v>
      </c>
      <c r="J180" s="103" t="s">
        <v>1937</v>
      </c>
      <c r="K180" s="103" t="s">
        <v>887</v>
      </c>
      <c r="L180" s="23" t="s">
        <v>940</v>
      </c>
      <c r="M180" s="131" t="s">
        <v>283</v>
      </c>
      <c r="N180" s="108" t="s">
        <v>1741</v>
      </c>
      <c r="O180" s="108"/>
      <c r="P180" s="108">
        <f t="shared" si="4"/>
        <v>1666666.6666666667</v>
      </c>
      <c r="Q180" s="37" t="s">
        <v>2277</v>
      </c>
      <c r="R180" s="103" t="s">
        <v>884</v>
      </c>
      <c r="T180" s="245" t="s">
        <v>1058</v>
      </c>
      <c r="U180" s="40" t="s">
        <v>1037</v>
      </c>
      <c r="V180" s="40"/>
      <c r="W180" s="103" t="s">
        <v>1001</v>
      </c>
      <c r="X180" s="103" t="s">
        <v>1257</v>
      </c>
      <c r="Y180" s="103" t="s">
        <v>1772</v>
      </c>
    </row>
    <row r="181" spans="1:25" ht="56">
      <c r="A181" s="40" t="s">
        <v>2269</v>
      </c>
      <c r="B181" s="10" t="s">
        <v>1442</v>
      </c>
      <c r="C181" s="37" t="s">
        <v>2270</v>
      </c>
      <c r="D181" s="126" t="s">
        <v>1731</v>
      </c>
      <c r="E181" s="250" t="s">
        <v>2276</v>
      </c>
      <c r="F181" s="40"/>
      <c r="G181" s="103" t="s">
        <v>2272</v>
      </c>
      <c r="H181" s="240" t="s">
        <v>1790</v>
      </c>
      <c r="I181" s="103" t="s">
        <v>891</v>
      </c>
      <c r="J181" s="103" t="s">
        <v>1937</v>
      </c>
      <c r="K181" s="103" t="s">
        <v>887</v>
      </c>
      <c r="L181" s="23" t="s">
        <v>940</v>
      </c>
      <c r="M181" s="131" t="s">
        <v>283</v>
      </c>
      <c r="N181" s="108" t="s">
        <v>1741</v>
      </c>
      <c r="O181" s="108"/>
      <c r="P181" s="108">
        <f t="shared" si="4"/>
        <v>1666666.6666666667</v>
      </c>
      <c r="Q181" s="37" t="s">
        <v>2278</v>
      </c>
      <c r="R181" s="103" t="s">
        <v>683</v>
      </c>
      <c r="S181" s="102"/>
      <c r="T181" s="245"/>
      <c r="U181" s="40"/>
      <c r="V181" s="40"/>
      <c r="W181" s="103" t="s">
        <v>1001</v>
      </c>
      <c r="X181" s="103" t="s">
        <v>1257</v>
      </c>
      <c r="Y181" s="103" t="s">
        <v>1772</v>
      </c>
    </row>
    <row r="182" spans="1:25" ht="56">
      <c r="A182" s="40" t="s">
        <v>2269</v>
      </c>
      <c r="B182" s="10" t="s">
        <v>1442</v>
      </c>
      <c r="C182" s="37" t="s">
        <v>2270</v>
      </c>
      <c r="D182" s="36" t="s">
        <v>1732</v>
      </c>
      <c r="E182" s="250" t="s">
        <v>2276</v>
      </c>
      <c r="F182" s="23"/>
      <c r="G182" s="103" t="s">
        <v>2272</v>
      </c>
      <c r="H182" s="240" t="s">
        <v>1790</v>
      </c>
      <c r="I182" s="103" t="s">
        <v>891</v>
      </c>
      <c r="J182" s="103" t="s">
        <v>1937</v>
      </c>
      <c r="K182" s="103" t="s">
        <v>887</v>
      </c>
      <c r="L182" s="23" t="s">
        <v>940</v>
      </c>
      <c r="M182" s="131" t="s">
        <v>283</v>
      </c>
      <c r="N182" s="108" t="s">
        <v>1741</v>
      </c>
      <c r="O182" s="61"/>
      <c r="P182" s="108">
        <f t="shared" si="4"/>
        <v>1666666.6666666667</v>
      </c>
      <c r="Q182" s="37" t="s">
        <v>2279</v>
      </c>
      <c r="R182" s="103" t="s">
        <v>683</v>
      </c>
      <c r="S182" s="10"/>
      <c r="T182" s="103"/>
      <c r="U182" s="10"/>
      <c r="V182" s="10"/>
      <c r="W182" s="103" t="s">
        <v>1001</v>
      </c>
      <c r="X182" s="103" t="s">
        <v>1257</v>
      </c>
      <c r="Y182" s="103" t="s">
        <v>1772</v>
      </c>
    </row>
    <row r="183" spans="1:25" ht="13">
      <c r="A183" s="40"/>
      <c r="B183" s="40"/>
      <c r="C183" s="250"/>
      <c r="D183" s="40"/>
      <c r="E183" s="40"/>
      <c r="F183" s="40"/>
      <c r="G183" s="227"/>
      <c r="H183" s="185"/>
      <c r="I183" s="245"/>
      <c r="J183" s="245"/>
      <c r="K183" s="245"/>
      <c r="L183" s="246"/>
      <c r="M183" s="247"/>
      <c r="N183" s="298"/>
      <c r="O183" s="311"/>
      <c r="P183" s="246"/>
      <c r="Q183" s="250"/>
      <c r="R183" s="185"/>
      <c r="S183" s="102"/>
      <c r="T183" s="245"/>
      <c r="U183" s="40"/>
      <c r="V183" s="40"/>
      <c r="W183" s="245"/>
      <c r="X183" s="245"/>
      <c r="Y183" s="245"/>
    </row>
    <row r="184" spans="1:25" ht="56">
      <c r="A184" s="40" t="s">
        <v>2280</v>
      </c>
      <c r="B184" s="40" t="s">
        <v>1808</v>
      </c>
      <c r="C184" s="250" t="s">
        <v>1809</v>
      </c>
      <c r="D184" s="40" t="s">
        <v>2281</v>
      </c>
      <c r="E184" s="250" t="s">
        <v>1810</v>
      </c>
      <c r="F184" s="40"/>
      <c r="G184" s="227" t="s">
        <v>1811</v>
      </c>
      <c r="H184" s="294" t="s">
        <v>1812</v>
      </c>
      <c r="I184" s="245" t="s">
        <v>891</v>
      </c>
      <c r="J184" s="245" t="s">
        <v>1937</v>
      </c>
      <c r="K184" s="245" t="s">
        <v>887</v>
      </c>
      <c r="L184" s="246" t="s">
        <v>19</v>
      </c>
      <c r="M184" s="247" t="s">
        <v>789</v>
      </c>
      <c r="N184" s="292">
        <v>11000</v>
      </c>
      <c r="O184" s="227">
        <v>345</v>
      </c>
      <c r="P184" s="292">
        <f>O184*N184</f>
        <v>3795000</v>
      </c>
      <c r="Q184" s="37" t="s">
        <v>2282</v>
      </c>
      <c r="R184" s="185" t="s">
        <v>790</v>
      </c>
      <c r="S184" s="102"/>
      <c r="T184" s="245"/>
      <c r="U184" s="40"/>
      <c r="V184" s="40"/>
      <c r="W184" s="245" t="s">
        <v>819</v>
      </c>
      <c r="X184" s="245" t="s">
        <v>1183</v>
      </c>
      <c r="Y184" s="245" t="s">
        <v>2034</v>
      </c>
    </row>
    <row r="185" spans="1:25" ht="56">
      <c r="A185" s="40" t="s">
        <v>2280</v>
      </c>
      <c r="B185" s="40" t="s">
        <v>1808</v>
      </c>
      <c r="C185" s="250" t="s">
        <v>1809</v>
      </c>
      <c r="D185" s="40" t="s">
        <v>2283</v>
      </c>
      <c r="E185" s="250" t="s">
        <v>1810</v>
      </c>
      <c r="F185" s="40" t="s">
        <v>1813</v>
      </c>
      <c r="G185" s="227" t="s">
        <v>1811</v>
      </c>
      <c r="H185" s="294" t="s">
        <v>1812</v>
      </c>
      <c r="I185" s="245" t="s">
        <v>891</v>
      </c>
      <c r="J185" s="245" t="s">
        <v>1937</v>
      </c>
      <c r="K185" s="245" t="s">
        <v>887</v>
      </c>
      <c r="L185" s="246" t="s">
        <v>19</v>
      </c>
      <c r="M185" s="247" t="s">
        <v>789</v>
      </c>
      <c r="N185" s="312">
        <v>11000</v>
      </c>
      <c r="O185" s="313">
        <v>185</v>
      </c>
      <c r="P185" s="314">
        <f>O185*N185</f>
        <v>2035000</v>
      </c>
      <c r="Q185" s="37" t="s">
        <v>2284</v>
      </c>
      <c r="R185" s="185" t="s">
        <v>790</v>
      </c>
      <c r="S185" s="102"/>
      <c r="T185" s="245"/>
      <c r="U185" s="40"/>
      <c r="V185" s="40"/>
      <c r="W185" s="245" t="s">
        <v>819</v>
      </c>
      <c r="X185" s="245" t="s">
        <v>1183</v>
      </c>
      <c r="Y185" s="245" t="s">
        <v>2034</v>
      </c>
    </row>
    <row r="186" spans="1:25" ht="13">
      <c r="A186" s="40"/>
      <c r="B186" s="40"/>
      <c r="C186" s="250"/>
      <c r="D186" s="40"/>
      <c r="E186" s="40"/>
      <c r="F186" s="40"/>
      <c r="G186" s="227"/>
      <c r="H186" s="185"/>
      <c r="I186" s="245"/>
      <c r="J186" s="245"/>
      <c r="K186" s="245"/>
      <c r="L186" s="246"/>
      <c r="M186" s="247"/>
      <c r="N186" s="298"/>
      <c r="O186" s="311"/>
      <c r="P186" s="246"/>
      <c r="Q186" s="250"/>
      <c r="R186" s="185"/>
      <c r="S186" s="102"/>
      <c r="T186" s="245"/>
      <c r="U186" s="40"/>
      <c r="V186" s="40"/>
      <c r="W186" s="245"/>
      <c r="X186" s="245"/>
      <c r="Y186" s="245"/>
    </row>
    <row r="187" spans="1:25" ht="13">
      <c r="A187" s="40" t="s">
        <v>2286</v>
      </c>
      <c r="B187" s="40" t="s">
        <v>1808</v>
      </c>
      <c r="C187" s="250"/>
      <c r="D187" s="40" t="s">
        <v>2281</v>
      </c>
      <c r="E187" s="40"/>
      <c r="F187" s="40"/>
      <c r="G187" s="227"/>
      <c r="H187" s="185"/>
      <c r="I187" s="245"/>
      <c r="J187" s="245"/>
      <c r="K187" s="245"/>
      <c r="L187" s="246"/>
      <c r="M187" s="247"/>
      <c r="N187" s="298"/>
      <c r="O187" s="311"/>
      <c r="P187" s="246"/>
      <c r="Q187" s="250"/>
      <c r="R187" s="185"/>
      <c r="S187" s="102"/>
      <c r="T187" s="245"/>
      <c r="U187" s="40"/>
      <c r="V187" s="40"/>
      <c r="W187" s="245"/>
      <c r="X187" s="245"/>
      <c r="Y187" s="245"/>
    </row>
    <row r="188" spans="1:25" ht="13">
      <c r="A188" s="40" t="s">
        <v>2286</v>
      </c>
      <c r="B188" s="40" t="s">
        <v>1808</v>
      </c>
      <c r="C188" s="36"/>
      <c r="D188" s="40" t="s">
        <v>2283</v>
      </c>
      <c r="E188" s="37"/>
      <c r="F188" s="10"/>
      <c r="G188" s="113"/>
      <c r="H188" s="23"/>
      <c r="I188" s="23"/>
      <c r="J188" s="23"/>
      <c r="K188" s="23"/>
      <c r="L188" s="23"/>
      <c r="M188" s="23"/>
      <c r="N188" s="108"/>
      <c r="O188" s="23"/>
      <c r="P188" s="108"/>
      <c r="Q188" s="37"/>
      <c r="R188" s="23"/>
      <c r="S188" s="10"/>
      <c r="T188" s="10"/>
      <c r="U188" s="10"/>
      <c r="V188" s="10"/>
      <c r="W188" s="103"/>
      <c r="X188" s="23"/>
      <c r="Y188" s="23"/>
    </row>
    <row r="189" spans="1:25" ht="13">
      <c r="A189" s="10"/>
      <c r="B189" s="10"/>
      <c r="C189" s="10"/>
      <c r="D189" s="190"/>
      <c r="F189" s="5"/>
      <c r="G189" s="5"/>
      <c r="H189" s="103"/>
      <c r="I189" s="103"/>
      <c r="J189" s="112"/>
      <c r="K189" s="231"/>
      <c r="L189" s="23"/>
      <c r="M189" s="23"/>
      <c r="Q189" s="10"/>
      <c r="T189" s="10"/>
      <c r="V189" s="10"/>
      <c r="W189" s="103"/>
      <c r="X189" s="103"/>
      <c r="Y189" s="83"/>
    </row>
    <row r="190" spans="1:25" ht="56">
      <c r="A190" s="10" t="s">
        <v>2287</v>
      </c>
      <c r="B190" s="10" t="s">
        <v>810</v>
      </c>
      <c r="C190" s="10"/>
      <c r="D190" s="36" t="s">
        <v>1691</v>
      </c>
      <c r="E190" s="87" t="s">
        <v>2135</v>
      </c>
      <c r="F190" s="23" t="s">
        <v>2288</v>
      </c>
      <c r="G190" s="23" t="s">
        <v>2288</v>
      </c>
      <c r="H190" s="169" t="s">
        <v>2289</v>
      </c>
      <c r="I190" s="23" t="s">
        <v>891</v>
      </c>
      <c r="J190" s="61" t="s">
        <v>1937</v>
      </c>
      <c r="K190" s="232" t="s">
        <v>887</v>
      </c>
      <c r="L190" s="23" t="s">
        <v>19</v>
      </c>
      <c r="M190" s="23" t="s">
        <v>253</v>
      </c>
      <c r="N190" s="108" t="s">
        <v>892</v>
      </c>
      <c r="O190" s="238"/>
      <c r="P190" s="108">
        <v>9000000</v>
      </c>
      <c r="Q190" s="37" t="s">
        <v>2290</v>
      </c>
      <c r="R190" s="103" t="s">
        <v>1788</v>
      </c>
      <c r="S190" s="113"/>
      <c r="T190" s="10" t="s">
        <v>1954</v>
      </c>
      <c r="U190" s="36" t="s">
        <v>1037</v>
      </c>
      <c r="V190" s="10"/>
      <c r="W190" s="245" t="s">
        <v>819</v>
      </c>
      <c r="X190" s="245" t="s">
        <v>1183</v>
      </c>
      <c r="Y190" s="245" t="s">
        <v>2034</v>
      </c>
    </row>
    <row r="191" spans="1:25" ht="13">
      <c r="A191" s="10"/>
      <c r="B191" s="10"/>
      <c r="C191" s="10"/>
      <c r="D191" s="36"/>
      <c r="E191" s="87"/>
      <c r="F191" s="23"/>
      <c r="G191" s="23"/>
      <c r="H191" s="23"/>
      <c r="I191" s="23"/>
      <c r="J191" s="61"/>
      <c r="K191" s="232"/>
      <c r="L191" s="23"/>
      <c r="M191" s="23"/>
      <c r="N191" s="108"/>
      <c r="O191" s="238"/>
      <c r="P191" s="108"/>
      <c r="Q191" s="37"/>
      <c r="R191" s="103"/>
      <c r="S191" s="260"/>
      <c r="T191" s="10"/>
      <c r="U191" s="36"/>
      <c r="V191" s="10"/>
      <c r="W191" s="23"/>
      <c r="X191" s="23"/>
      <c r="Y191" s="113"/>
    </row>
    <row r="192" spans="1:25" ht="56">
      <c r="A192" s="10" t="s">
        <v>2291</v>
      </c>
      <c r="B192" s="10"/>
      <c r="C192" s="10"/>
      <c r="D192" s="36" t="s">
        <v>1796</v>
      </c>
      <c r="E192" s="87" t="s">
        <v>1797</v>
      </c>
      <c r="F192" s="23" t="s">
        <v>1719</v>
      </c>
      <c r="G192" s="23" t="s">
        <v>1719</v>
      </c>
      <c r="H192" s="169" t="s">
        <v>1745</v>
      </c>
      <c r="I192" s="23" t="s">
        <v>891</v>
      </c>
      <c r="J192" s="61" t="s">
        <v>1937</v>
      </c>
      <c r="K192" s="232" t="s">
        <v>887</v>
      </c>
      <c r="L192" s="23" t="s">
        <v>19</v>
      </c>
      <c r="M192" s="23" t="s">
        <v>248</v>
      </c>
      <c r="N192" s="108" t="s">
        <v>892</v>
      </c>
      <c r="O192" s="238"/>
      <c r="P192" s="108">
        <v>450000</v>
      </c>
      <c r="Q192" s="37" t="s">
        <v>2292</v>
      </c>
      <c r="R192" s="83" t="s">
        <v>884</v>
      </c>
      <c r="S192" s="129"/>
      <c r="T192" s="10"/>
      <c r="U192" s="36"/>
      <c r="V192" s="10"/>
      <c r="W192" s="245" t="s">
        <v>819</v>
      </c>
      <c r="X192" s="245" t="s">
        <v>1183</v>
      </c>
      <c r="Y192" s="245" t="s">
        <v>2034</v>
      </c>
    </row>
    <row r="193" spans="1:25" ht="13">
      <c r="A193" s="10"/>
      <c r="B193" s="10"/>
      <c r="C193" s="10"/>
      <c r="D193" s="36"/>
      <c r="E193" s="87"/>
      <c r="F193" s="23"/>
      <c r="G193" s="23"/>
      <c r="H193" s="23"/>
      <c r="I193" s="23"/>
      <c r="J193" s="61"/>
      <c r="K193" s="232"/>
      <c r="L193" s="23"/>
      <c r="M193" s="23"/>
      <c r="N193" s="108"/>
      <c r="O193" s="238"/>
      <c r="P193" s="108"/>
      <c r="Q193" s="37"/>
      <c r="R193" s="83"/>
      <c r="S193" s="129"/>
      <c r="T193" s="10"/>
      <c r="U193" s="36"/>
      <c r="V193" s="10"/>
      <c r="W193" s="23"/>
      <c r="X193" s="23"/>
      <c r="Y193" s="113"/>
    </row>
    <row r="194" spans="1:25" ht="56">
      <c r="A194" s="10" t="s">
        <v>2294</v>
      </c>
      <c r="B194" s="10" t="s">
        <v>820</v>
      </c>
      <c r="C194" s="10" t="s">
        <v>2295</v>
      </c>
      <c r="D194" s="10" t="s">
        <v>2296</v>
      </c>
      <c r="E194" s="107" t="s">
        <v>2297</v>
      </c>
      <c r="F194" s="98"/>
      <c r="G194" s="23" t="s">
        <v>2298</v>
      </c>
      <c r="H194" s="169" t="s">
        <v>2299</v>
      </c>
      <c r="I194" s="23" t="s">
        <v>895</v>
      </c>
      <c r="J194" s="61" t="s">
        <v>1926</v>
      </c>
      <c r="K194" s="232" t="s">
        <v>1822</v>
      </c>
      <c r="L194" s="23" t="s">
        <v>19</v>
      </c>
      <c r="M194" s="23" t="s">
        <v>253</v>
      </c>
      <c r="N194" s="90">
        <v>31565</v>
      </c>
      <c r="O194" s="103">
        <v>46</v>
      </c>
      <c r="P194" s="108">
        <f>O194*N194</f>
        <v>1451990</v>
      </c>
      <c r="Q194" s="37" t="s">
        <v>2300</v>
      </c>
      <c r="R194" s="103" t="s">
        <v>884</v>
      </c>
      <c r="S194" s="10"/>
      <c r="T194" s="10" t="s">
        <v>1044</v>
      </c>
      <c r="U194" s="36" t="s">
        <v>1037</v>
      </c>
      <c r="V194" s="10"/>
      <c r="W194" s="23" t="s">
        <v>284</v>
      </c>
      <c r="X194" s="23" t="s">
        <v>1279</v>
      </c>
      <c r="Y194" s="113" t="s">
        <v>1855</v>
      </c>
    </row>
    <row r="195" spans="1:25" ht="56">
      <c r="A195" s="10" t="s">
        <v>2294</v>
      </c>
      <c r="B195" s="10" t="s">
        <v>820</v>
      </c>
      <c r="C195" s="10" t="s">
        <v>2295</v>
      </c>
      <c r="D195" s="36" t="s">
        <v>2301</v>
      </c>
      <c r="E195" s="107" t="s">
        <v>2297</v>
      </c>
      <c r="F195" s="98"/>
      <c r="G195" s="23" t="s">
        <v>2298</v>
      </c>
      <c r="H195" s="169" t="s">
        <v>2299</v>
      </c>
      <c r="I195" s="23" t="s">
        <v>895</v>
      </c>
      <c r="J195" s="61" t="s">
        <v>1926</v>
      </c>
      <c r="K195" s="232" t="s">
        <v>1822</v>
      </c>
      <c r="L195" s="23" t="s">
        <v>19</v>
      </c>
      <c r="M195" s="23" t="s">
        <v>253</v>
      </c>
      <c r="N195" s="90">
        <v>31565</v>
      </c>
      <c r="O195" s="102">
        <v>291</v>
      </c>
      <c r="P195" s="108">
        <f>O195*N195</f>
        <v>9185415</v>
      </c>
      <c r="Q195" s="37" t="s">
        <v>2302</v>
      </c>
      <c r="R195" s="103" t="s">
        <v>1788</v>
      </c>
      <c r="S195" s="260" t="s">
        <v>2303</v>
      </c>
      <c r="T195" s="10"/>
      <c r="U195" s="36"/>
      <c r="V195" s="10"/>
      <c r="W195" s="23" t="s">
        <v>284</v>
      </c>
      <c r="X195" s="23" t="s">
        <v>1279</v>
      </c>
      <c r="Y195" s="113" t="s">
        <v>1855</v>
      </c>
    </row>
    <row r="196" spans="1:25" ht="56">
      <c r="A196" s="10" t="s">
        <v>2294</v>
      </c>
      <c r="B196" s="10" t="s">
        <v>820</v>
      </c>
      <c r="C196" s="10" t="s">
        <v>2295</v>
      </c>
      <c r="D196" s="36" t="s">
        <v>2304</v>
      </c>
      <c r="E196" s="107" t="s">
        <v>2297</v>
      </c>
      <c r="F196" s="10"/>
      <c r="G196" s="23" t="s">
        <v>2298</v>
      </c>
      <c r="H196" s="169" t="s">
        <v>2299</v>
      </c>
      <c r="I196" s="23" t="s">
        <v>895</v>
      </c>
      <c r="J196" s="61" t="s">
        <v>1926</v>
      </c>
      <c r="K196" s="232" t="s">
        <v>1822</v>
      </c>
      <c r="L196" s="23" t="s">
        <v>19</v>
      </c>
      <c r="M196" s="23" t="s">
        <v>253</v>
      </c>
      <c r="N196" s="90">
        <v>35845</v>
      </c>
      <c r="O196" s="103">
        <v>293</v>
      </c>
      <c r="P196" s="108">
        <f>O196*N196</f>
        <v>10502585</v>
      </c>
      <c r="Q196" s="37" t="s">
        <v>2305</v>
      </c>
      <c r="R196" s="103" t="s">
        <v>1988</v>
      </c>
      <c r="S196" s="90">
        <v>80000</v>
      </c>
      <c r="T196" s="10"/>
      <c r="U196" s="36"/>
      <c r="V196" s="10"/>
      <c r="W196" s="23" t="s">
        <v>284</v>
      </c>
      <c r="X196" s="23" t="s">
        <v>1279</v>
      </c>
      <c r="Y196" s="113" t="s">
        <v>1855</v>
      </c>
    </row>
    <row r="197" spans="1:25" ht="56">
      <c r="A197" s="10" t="s">
        <v>2294</v>
      </c>
      <c r="B197" s="10" t="s">
        <v>820</v>
      </c>
      <c r="C197" s="10" t="s">
        <v>2295</v>
      </c>
      <c r="D197" s="36" t="s">
        <v>2306</v>
      </c>
      <c r="E197" s="233" t="s">
        <v>2307</v>
      </c>
      <c r="F197" s="10"/>
      <c r="G197" s="23" t="s">
        <v>2298</v>
      </c>
      <c r="H197" s="169" t="s">
        <v>2299</v>
      </c>
      <c r="I197" s="23" t="s">
        <v>895</v>
      </c>
      <c r="J197" s="61" t="s">
        <v>1926</v>
      </c>
      <c r="K197" s="232" t="s">
        <v>1822</v>
      </c>
      <c r="L197" s="23" t="s">
        <v>19</v>
      </c>
      <c r="M197" s="23" t="s">
        <v>253</v>
      </c>
      <c r="N197" s="108">
        <v>53500</v>
      </c>
      <c r="O197" s="23">
        <v>65</v>
      </c>
      <c r="P197" s="108">
        <f>O197*N197</f>
        <v>3477500</v>
      </c>
      <c r="Q197" s="37" t="s">
        <v>2308</v>
      </c>
      <c r="R197" s="103" t="s">
        <v>884</v>
      </c>
      <c r="S197" s="260"/>
      <c r="T197" s="103"/>
      <c r="U197" s="36"/>
      <c r="V197" s="10"/>
      <c r="W197" s="23" t="s">
        <v>284</v>
      </c>
      <c r="X197" s="23" t="s">
        <v>1279</v>
      </c>
      <c r="Y197" s="113" t="s">
        <v>1855</v>
      </c>
    </row>
    <row r="198" spans="1:25" ht="56">
      <c r="A198" s="10" t="s">
        <v>2294</v>
      </c>
      <c r="B198" s="10" t="s">
        <v>820</v>
      </c>
      <c r="C198" s="10" t="s">
        <v>2295</v>
      </c>
      <c r="D198" s="10" t="s">
        <v>2309</v>
      </c>
      <c r="E198" s="233" t="s">
        <v>2310</v>
      </c>
      <c r="F198" s="10"/>
      <c r="G198" s="23" t="s">
        <v>2298</v>
      </c>
      <c r="H198" s="169" t="s">
        <v>2299</v>
      </c>
      <c r="I198" s="23" t="s">
        <v>895</v>
      </c>
      <c r="J198" s="61" t="s">
        <v>1926</v>
      </c>
      <c r="K198" s="232" t="s">
        <v>1822</v>
      </c>
      <c r="L198" s="23" t="s">
        <v>19</v>
      </c>
      <c r="M198" s="23" t="s">
        <v>253</v>
      </c>
      <c r="N198" s="90">
        <v>58850</v>
      </c>
      <c r="O198" s="103">
        <v>86</v>
      </c>
      <c r="P198" s="108">
        <f>O198*N198</f>
        <v>5061100</v>
      </c>
      <c r="Q198" s="37" t="s">
        <v>2311</v>
      </c>
      <c r="R198" s="103" t="s">
        <v>1988</v>
      </c>
      <c r="S198" s="90">
        <v>80000</v>
      </c>
      <c r="T198" s="10"/>
      <c r="U198" s="36"/>
      <c r="V198" s="10"/>
      <c r="W198" s="23" t="s">
        <v>284</v>
      </c>
      <c r="X198" s="23" t="s">
        <v>1279</v>
      </c>
      <c r="Y198" s="113" t="s">
        <v>1855</v>
      </c>
    </row>
    <row r="199" spans="1:25" ht="56">
      <c r="A199" s="10" t="s">
        <v>2294</v>
      </c>
      <c r="B199" s="10" t="s">
        <v>820</v>
      </c>
      <c r="C199" s="10" t="s">
        <v>2295</v>
      </c>
      <c r="D199" s="36" t="s">
        <v>2312</v>
      </c>
      <c r="E199" s="233" t="s">
        <v>2313</v>
      </c>
      <c r="F199" s="10"/>
      <c r="G199" s="23" t="s">
        <v>2298</v>
      </c>
      <c r="H199" s="169" t="s">
        <v>2299</v>
      </c>
      <c r="I199" s="23" t="s">
        <v>895</v>
      </c>
      <c r="J199" s="61" t="s">
        <v>1926</v>
      </c>
      <c r="K199" s="232" t="s">
        <v>1822</v>
      </c>
      <c r="L199" s="23" t="s">
        <v>834</v>
      </c>
      <c r="M199" s="23" t="s">
        <v>253</v>
      </c>
      <c r="N199" s="108">
        <v>65000</v>
      </c>
      <c r="O199" s="23">
        <v>82</v>
      </c>
      <c r="P199" s="108">
        <f>O199*N199</f>
        <v>5330000</v>
      </c>
      <c r="Q199" s="37" t="s">
        <v>2314</v>
      </c>
      <c r="R199" s="83" t="s">
        <v>2208</v>
      </c>
      <c r="S199" s="90">
        <v>80000</v>
      </c>
      <c r="T199" s="10"/>
      <c r="U199" s="36"/>
      <c r="V199" s="10"/>
      <c r="W199" s="23" t="s">
        <v>284</v>
      </c>
      <c r="X199" s="23" t="s">
        <v>1279</v>
      </c>
      <c r="Y199" s="113" t="s">
        <v>1855</v>
      </c>
    </row>
    <row r="200" spans="1:25" ht="13">
      <c r="A200" s="10"/>
      <c r="B200" s="10"/>
      <c r="C200" s="10"/>
      <c r="D200" s="36"/>
      <c r="E200" s="233"/>
      <c r="F200" s="10"/>
      <c r="G200" s="23"/>
      <c r="H200" s="23"/>
      <c r="I200" s="23"/>
      <c r="J200" s="61"/>
      <c r="K200" s="232"/>
      <c r="L200" s="23"/>
      <c r="M200" s="23"/>
      <c r="N200" s="108"/>
      <c r="O200" s="272"/>
      <c r="P200" s="108"/>
      <c r="Q200" s="37"/>
      <c r="R200" s="83"/>
      <c r="S200" s="103"/>
      <c r="T200" s="10"/>
      <c r="U200" s="36"/>
      <c r="V200" s="10"/>
      <c r="W200" s="23"/>
      <c r="X200" s="23"/>
      <c r="Y200" s="113"/>
    </row>
    <row r="201" spans="1:25" ht="56">
      <c r="A201" s="10" t="s">
        <v>2315</v>
      </c>
      <c r="B201" s="10" t="s">
        <v>1774</v>
      </c>
      <c r="C201" s="10"/>
      <c r="D201" s="10" t="s">
        <v>2316</v>
      </c>
      <c r="E201" s="114" t="s">
        <v>1748</v>
      </c>
      <c r="F201" s="103" t="s">
        <v>2317</v>
      </c>
      <c r="G201" s="103" t="s">
        <v>2317</v>
      </c>
      <c r="H201" s="169" t="s">
        <v>2318</v>
      </c>
      <c r="I201" s="23" t="s">
        <v>891</v>
      </c>
      <c r="J201" s="61" t="s">
        <v>1926</v>
      </c>
      <c r="K201" s="232" t="s">
        <v>887</v>
      </c>
      <c r="L201" s="23" t="s">
        <v>19</v>
      </c>
      <c r="M201" s="23" t="s">
        <v>248</v>
      </c>
      <c r="N201" s="90" t="s">
        <v>1741</v>
      </c>
      <c r="O201" s="263"/>
      <c r="P201" s="108">
        <v>1500000</v>
      </c>
      <c r="Q201" s="37" t="s">
        <v>2319</v>
      </c>
      <c r="R201" s="83" t="s">
        <v>884</v>
      </c>
      <c r="S201" s="10"/>
      <c r="T201" s="103"/>
      <c r="U201" s="10"/>
      <c r="V201" s="10"/>
      <c r="W201" s="23" t="s">
        <v>1746</v>
      </c>
      <c r="X201" s="23" t="s">
        <v>1257</v>
      </c>
      <c r="Y201" s="113" t="s">
        <v>1770</v>
      </c>
    </row>
    <row r="202" spans="1:25" ht="13">
      <c r="A202" s="10"/>
      <c r="B202" s="10"/>
      <c r="C202" s="10"/>
      <c r="D202" s="36"/>
      <c r="E202" s="114"/>
      <c r="F202" s="23"/>
      <c r="G202" s="23"/>
      <c r="H202" s="23"/>
      <c r="I202" s="23"/>
      <c r="J202" s="61"/>
      <c r="K202" s="232"/>
      <c r="L202" s="23"/>
      <c r="M202" s="23"/>
      <c r="N202" s="108"/>
      <c r="O202" s="272"/>
      <c r="P202" s="108"/>
      <c r="Q202" s="37"/>
      <c r="R202" s="113"/>
      <c r="S202" s="260"/>
      <c r="T202" s="10"/>
      <c r="U202" s="10"/>
      <c r="V202" s="10"/>
      <c r="W202" s="23"/>
      <c r="X202" s="23"/>
      <c r="Y202" s="113"/>
    </row>
    <row r="203" spans="1:25" ht="13">
      <c r="A203" s="10" t="s">
        <v>2320</v>
      </c>
      <c r="B203" s="10"/>
      <c r="C203" s="10"/>
      <c r="D203" s="10" t="s">
        <v>2321</v>
      </c>
      <c r="E203" s="103"/>
      <c r="F203" s="103"/>
      <c r="G203" s="23"/>
      <c r="H203" s="23"/>
      <c r="I203" s="23"/>
      <c r="J203" s="61"/>
      <c r="K203" s="232"/>
      <c r="L203" s="23"/>
      <c r="M203" s="23"/>
      <c r="N203" s="90"/>
      <c r="O203" s="263"/>
      <c r="P203" s="103"/>
      <c r="Q203" s="37"/>
      <c r="R203" s="103"/>
      <c r="S203" s="37"/>
      <c r="T203" s="103"/>
      <c r="U203" s="10"/>
      <c r="V203" s="10"/>
      <c r="W203" s="23"/>
      <c r="X203" s="23"/>
      <c r="Y203" s="113"/>
    </row>
    <row r="204" spans="1:25" ht="13">
      <c r="A204" s="10"/>
      <c r="B204" s="10"/>
      <c r="C204" s="10"/>
      <c r="D204" s="36"/>
      <c r="E204" s="87"/>
      <c r="F204" s="36"/>
      <c r="G204" s="23"/>
      <c r="H204" s="23"/>
      <c r="I204" s="23"/>
      <c r="J204" s="61"/>
      <c r="K204" s="232"/>
      <c r="L204" s="23"/>
      <c r="M204" s="23"/>
      <c r="N204" s="90"/>
      <c r="O204" s="263"/>
      <c r="P204" s="115"/>
      <c r="Q204" s="37"/>
      <c r="R204" s="113"/>
      <c r="S204" s="10"/>
      <c r="T204" s="10"/>
      <c r="U204" s="10"/>
      <c r="V204" s="10"/>
      <c r="W204" s="23"/>
      <c r="X204" s="23"/>
      <c r="Y204" s="113"/>
    </row>
    <row r="205" spans="1:25" ht="56">
      <c r="A205" s="10" t="s">
        <v>2322</v>
      </c>
      <c r="B205" s="10" t="s">
        <v>785</v>
      </c>
      <c r="C205" s="10"/>
      <c r="D205" s="36" t="s">
        <v>2323</v>
      </c>
      <c r="E205" s="87" t="s">
        <v>2324</v>
      </c>
      <c r="F205" s="36" t="s">
        <v>2325</v>
      </c>
      <c r="G205" s="36" t="s">
        <v>2325</v>
      </c>
      <c r="H205" s="169" t="s">
        <v>2326</v>
      </c>
      <c r="I205" s="23" t="s">
        <v>891</v>
      </c>
      <c r="J205" s="61" t="s">
        <v>1926</v>
      </c>
      <c r="K205" s="232" t="s">
        <v>887</v>
      </c>
      <c r="L205" s="23" t="s">
        <v>19</v>
      </c>
      <c r="M205" s="23" t="s">
        <v>248</v>
      </c>
      <c r="N205" s="90">
        <v>20000</v>
      </c>
      <c r="O205" s="103">
        <v>400</v>
      </c>
      <c r="P205" s="115">
        <f>O205*N205</f>
        <v>8000000</v>
      </c>
      <c r="Q205" s="37" t="s">
        <v>2327</v>
      </c>
      <c r="R205" s="113" t="s">
        <v>2328</v>
      </c>
      <c r="S205" s="129"/>
      <c r="T205" s="103"/>
      <c r="U205" s="10"/>
      <c r="V205" s="10"/>
      <c r="W205" s="23" t="s">
        <v>1746</v>
      </c>
      <c r="X205" s="23" t="s">
        <v>1516</v>
      </c>
      <c r="Y205" s="113" t="s">
        <v>1794</v>
      </c>
    </row>
    <row r="206" spans="1:25" ht="13">
      <c r="A206" s="10"/>
      <c r="B206" s="10"/>
      <c r="C206" s="10"/>
      <c r="D206" s="10"/>
      <c r="E206" s="87"/>
      <c r="F206" s="10"/>
      <c r="G206" s="23"/>
      <c r="H206" s="23"/>
      <c r="I206" s="23"/>
      <c r="J206" s="61"/>
      <c r="K206" s="232"/>
      <c r="L206" s="23"/>
      <c r="M206" s="23"/>
      <c r="N206" s="90"/>
      <c r="O206" s="263"/>
      <c r="P206" s="115"/>
      <c r="Q206" s="37"/>
      <c r="R206" s="113"/>
      <c r="S206" s="129"/>
      <c r="T206" s="10"/>
      <c r="U206" s="10"/>
      <c r="V206" s="10"/>
      <c r="W206" s="23"/>
      <c r="X206" s="23"/>
      <c r="Y206" s="113"/>
    </row>
    <row r="207" spans="1:25" ht="28">
      <c r="A207" s="10" t="s">
        <v>2329</v>
      </c>
      <c r="B207" s="10" t="s">
        <v>371</v>
      </c>
      <c r="C207" s="10" t="s">
        <v>372</v>
      </c>
      <c r="D207" s="36" t="s">
        <v>2330</v>
      </c>
      <c r="E207" s="87" t="s">
        <v>1792</v>
      </c>
      <c r="F207" s="23"/>
      <c r="G207" s="113" t="s">
        <v>2331</v>
      </c>
      <c r="H207" s="169" t="s">
        <v>2332</v>
      </c>
      <c r="I207" s="23" t="s">
        <v>897</v>
      </c>
      <c r="J207" s="61" t="s">
        <v>1937</v>
      </c>
      <c r="K207" s="232" t="s">
        <v>1755</v>
      </c>
      <c r="L207" s="23" t="s">
        <v>834</v>
      </c>
      <c r="M207" s="23" t="s">
        <v>283</v>
      </c>
      <c r="N207" s="414" t="s">
        <v>2333</v>
      </c>
      <c r="O207" s="238"/>
      <c r="P207" s="412">
        <v>6000000</v>
      </c>
      <c r="Q207" s="417" t="s">
        <v>2334</v>
      </c>
      <c r="R207" s="113" t="s">
        <v>884</v>
      </c>
      <c r="S207" s="260"/>
      <c r="T207" s="103"/>
      <c r="U207" s="10"/>
      <c r="V207" s="10"/>
      <c r="W207" s="23" t="s">
        <v>1746</v>
      </c>
      <c r="X207" s="23" t="s">
        <v>1039</v>
      </c>
      <c r="Y207" s="113" t="s">
        <v>1794</v>
      </c>
    </row>
    <row r="208" spans="1:25" ht="28.5" customHeight="1">
      <c r="A208" s="10" t="s">
        <v>2329</v>
      </c>
      <c r="B208" s="10" t="s">
        <v>371</v>
      </c>
      <c r="C208" s="10" t="s">
        <v>372</v>
      </c>
      <c r="D208" s="36" t="s">
        <v>2335</v>
      </c>
      <c r="E208" s="87" t="s">
        <v>1792</v>
      </c>
      <c r="F208" s="23"/>
      <c r="G208" s="113" t="s">
        <v>2331</v>
      </c>
      <c r="H208" s="169" t="s">
        <v>2332</v>
      </c>
      <c r="I208" s="23" t="s">
        <v>897</v>
      </c>
      <c r="J208" s="61" t="s">
        <v>1937</v>
      </c>
      <c r="K208" s="232" t="s">
        <v>1755</v>
      </c>
      <c r="L208" s="23" t="s">
        <v>834</v>
      </c>
      <c r="M208" s="23" t="s">
        <v>283</v>
      </c>
      <c r="N208" s="410"/>
      <c r="O208" s="238"/>
      <c r="P208" s="410"/>
      <c r="Q208" s="410"/>
      <c r="R208" s="23" t="s">
        <v>2336</v>
      </c>
      <c r="S208" s="10"/>
      <c r="T208" s="10"/>
      <c r="U208" s="10"/>
      <c r="V208" s="10"/>
      <c r="W208" s="23" t="s">
        <v>1746</v>
      </c>
      <c r="X208" s="23" t="s">
        <v>1039</v>
      </c>
      <c r="Y208" s="113" t="s">
        <v>1794</v>
      </c>
    </row>
    <row r="209" spans="1:25" ht="16.5" customHeight="1">
      <c r="A209" s="10"/>
      <c r="B209" s="10"/>
      <c r="C209" s="10"/>
      <c r="D209" s="287"/>
      <c r="E209" s="87"/>
      <c r="F209" s="23"/>
      <c r="G209" s="23"/>
      <c r="H209" s="23"/>
      <c r="I209" s="23"/>
      <c r="J209" s="61"/>
      <c r="K209" s="232"/>
      <c r="L209" s="23"/>
      <c r="M209" s="23"/>
      <c r="N209" s="23"/>
      <c r="O209" s="238"/>
      <c r="P209" s="129"/>
      <c r="Q209" s="37"/>
      <c r="R209" s="23"/>
      <c r="S209" s="10"/>
      <c r="T209" s="10"/>
      <c r="U209" s="10"/>
      <c r="V209" s="10"/>
      <c r="W209" s="23"/>
      <c r="X209" s="23"/>
      <c r="Y209" s="113"/>
    </row>
    <row r="210" spans="1:25" ht="56">
      <c r="A210" s="10" t="s">
        <v>2337</v>
      </c>
      <c r="B210" s="10" t="s">
        <v>1774</v>
      </c>
      <c r="C210" s="10"/>
      <c r="D210" s="10" t="s">
        <v>2338</v>
      </c>
      <c r="E210" s="37" t="s">
        <v>1748</v>
      </c>
      <c r="F210" s="10" t="s">
        <v>1749</v>
      </c>
      <c r="G210" s="37" t="s">
        <v>1749</v>
      </c>
      <c r="H210" s="169" t="s">
        <v>1750</v>
      </c>
      <c r="I210" s="23" t="s">
        <v>891</v>
      </c>
      <c r="J210" s="61" t="s">
        <v>1926</v>
      </c>
      <c r="K210" s="232" t="s">
        <v>887</v>
      </c>
      <c r="L210" s="23" t="s">
        <v>19</v>
      </c>
      <c r="M210" s="23" t="s">
        <v>253</v>
      </c>
      <c r="N210" s="90">
        <v>28000</v>
      </c>
      <c r="O210" s="102">
        <v>472</v>
      </c>
      <c r="P210" s="90">
        <f>O210*N210</f>
        <v>13216000</v>
      </c>
      <c r="Q210" s="37" t="s">
        <v>2339</v>
      </c>
      <c r="R210" s="103" t="s">
        <v>1694</v>
      </c>
      <c r="S210" s="103" t="s">
        <v>2340</v>
      </c>
      <c r="T210" s="10" t="s">
        <v>1045</v>
      </c>
      <c r="U210" s="10" t="s">
        <v>1037</v>
      </c>
      <c r="V210" s="10"/>
      <c r="W210" s="23" t="s">
        <v>2341</v>
      </c>
      <c r="X210" s="23" t="s">
        <v>1257</v>
      </c>
      <c r="Y210" s="113" t="s">
        <v>1770</v>
      </c>
    </row>
    <row r="211" spans="1:25" ht="13">
      <c r="A211" s="10"/>
      <c r="B211" s="10"/>
      <c r="C211" s="10"/>
      <c r="D211" s="36"/>
      <c r="E211" s="37"/>
      <c r="F211" s="10"/>
      <c r="G211" s="23"/>
      <c r="H211" s="23"/>
      <c r="I211" s="23"/>
      <c r="J211" s="61"/>
      <c r="K211" s="232"/>
      <c r="L211" s="23"/>
      <c r="M211" s="23"/>
      <c r="N211" s="108"/>
      <c r="O211" s="266"/>
      <c r="P211" s="90"/>
      <c r="Q211" s="37"/>
      <c r="R211" s="23"/>
      <c r="S211" s="129"/>
      <c r="T211" s="10"/>
      <c r="U211" s="10"/>
      <c r="V211" s="10"/>
      <c r="W211" s="23"/>
      <c r="X211" s="23"/>
      <c r="Y211" s="113"/>
    </row>
    <row r="212" spans="1:25" ht="13">
      <c r="A212" s="10" t="s">
        <v>2342</v>
      </c>
      <c r="B212" s="10" t="s">
        <v>916</v>
      </c>
      <c r="C212" s="10" t="s">
        <v>1878</v>
      </c>
      <c r="D212" s="258" t="s">
        <v>1879</v>
      </c>
      <c r="F212" s="5"/>
      <c r="G212" s="5"/>
      <c r="H212" s="103"/>
      <c r="I212" s="103"/>
      <c r="J212" s="112"/>
      <c r="K212" s="231"/>
      <c r="L212" s="23"/>
      <c r="M212" s="23"/>
      <c r="Q212" s="10"/>
      <c r="T212" s="10"/>
      <c r="V212" s="10"/>
      <c r="W212" s="103"/>
      <c r="X212" s="103"/>
      <c r="Y212" s="83"/>
    </row>
    <row r="213" spans="1:25" ht="56">
      <c r="A213" s="10" t="s">
        <v>2342</v>
      </c>
      <c r="B213" s="10" t="s">
        <v>916</v>
      </c>
      <c r="C213" s="10" t="s">
        <v>1878</v>
      </c>
      <c r="D213" s="36" t="s">
        <v>1394</v>
      </c>
      <c r="E213" s="87" t="s">
        <v>1882</v>
      </c>
      <c r="F213" s="23"/>
      <c r="G213" s="23" t="s">
        <v>1884</v>
      </c>
      <c r="H213" s="169" t="s">
        <v>1885</v>
      </c>
      <c r="I213" s="23" t="s">
        <v>895</v>
      </c>
      <c r="J213" s="61" t="s">
        <v>1767</v>
      </c>
      <c r="K213" s="232" t="s">
        <v>1755</v>
      </c>
      <c r="L213" s="23" t="s">
        <v>19</v>
      </c>
      <c r="M213" s="23" t="s">
        <v>248</v>
      </c>
      <c r="N213" s="108">
        <v>10000</v>
      </c>
      <c r="O213" s="238">
        <v>17</v>
      </c>
      <c r="P213" s="108">
        <f>N213*O213</f>
        <v>170000</v>
      </c>
      <c r="Q213" s="37" t="s">
        <v>2343</v>
      </c>
      <c r="R213" s="103" t="s">
        <v>884</v>
      </c>
      <c r="S213" s="113"/>
      <c r="T213" s="10"/>
      <c r="U213" s="36"/>
      <c r="V213" s="10"/>
      <c r="W213" s="23" t="s">
        <v>837</v>
      </c>
      <c r="X213" s="23" t="s">
        <v>1147</v>
      </c>
      <c r="Y213" s="113" t="s">
        <v>1715</v>
      </c>
    </row>
    <row r="214" spans="1:25" ht="56">
      <c r="A214" s="10" t="s">
        <v>2342</v>
      </c>
      <c r="B214" s="10" t="s">
        <v>916</v>
      </c>
      <c r="C214" s="10" t="s">
        <v>1878</v>
      </c>
      <c r="D214" s="36" t="s">
        <v>1398</v>
      </c>
      <c r="E214" s="87" t="s">
        <v>1891</v>
      </c>
      <c r="F214" s="23"/>
      <c r="G214" s="23" t="s">
        <v>1884</v>
      </c>
      <c r="H214" s="169" t="s">
        <v>1885</v>
      </c>
      <c r="I214" s="23" t="s">
        <v>895</v>
      </c>
      <c r="J214" s="61" t="s">
        <v>1767</v>
      </c>
      <c r="K214" s="232" t="s">
        <v>1755</v>
      </c>
      <c r="L214" s="23" t="s">
        <v>19</v>
      </c>
      <c r="M214" s="23" t="s">
        <v>248</v>
      </c>
      <c r="N214" s="108">
        <v>12500</v>
      </c>
      <c r="O214" s="238">
        <v>115</v>
      </c>
      <c r="P214" s="108">
        <f>N214*O214</f>
        <v>1437500</v>
      </c>
      <c r="Q214" s="37" t="s">
        <v>2344</v>
      </c>
      <c r="R214" s="83" t="s">
        <v>250</v>
      </c>
      <c r="S214" s="260" t="s">
        <v>1894</v>
      </c>
      <c r="T214" s="10"/>
      <c r="U214" s="36"/>
      <c r="V214" s="10"/>
      <c r="W214" s="23" t="s">
        <v>837</v>
      </c>
      <c r="X214" s="23" t="s">
        <v>1147</v>
      </c>
      <c r="Y214" s="113" t="s">
        <v>1715</v>
      </c>
    </row>
    <row r="215" spans="1:25" ht="56">
      <c r="A215" s="10" t="s">
        <v>2342</v>
      </c>
      <c r="B215" s="10" t="s">
        <v>916</v>
      </c>
      <c r="C215" s="10" t="s">
        <v>1878</v>
      </c>
      <c r="D215" s="36" t="s">
        <v>1399</v>
      </c>
      <c r="E215" s="87" t="s">
        <v>1891</v>
      </c>
      <c r="F215" s="23"/>
      <c r="G215" s="23" t="s">
        <v>1884</v>
      </c>
      <c r="H215" s="169" t="s">
        <v>1885</v>
      </c>
      <c r="I215" s="23" t="s">
        <v>895</v>
      </c>
      <c r="J215" s="61" t="s">
        <v>1767</v>
      </c>
      <c r="K215" s="232" t="s">
        <v>1755</v>
      </c>
      <c r="L215" s="23" t="s">
        <v>19</v>
      </c>
      <c r="M215" s="23" t="s">
        <v>248</v>
      </c>
      <c r="N215" s="108">
        <v>15000</v>
      </c>
      <c r="O215" s="238">
        <v>160</v>
      </c>
      <c r="P215" s="108">
        <f>N215*O215</f>
        <v>2400000</v>
      </c>
      <c r="Q215" s="37" t="s">
        <v>2345</v>
      </c>
      <c r="R215" s="83" t="s">
        <v>1775</v>
      </c>
      <c r="S215" s="129" t="s">
        <v>1898</v>
      </c>
      <c r="T215" s="10"/>
      <c r="U215" s="36"/>
      <c r="V215" s="10"/>
      <c r="W215" s="23" t="s">
        <v>837</v>
      </c>
      <c r="X215" s="23" t="s">
        <v>1147</v>
      </c>
      <c r="Y215" s="113" t="s">
        <v>1715</v>
      </c>
    </row>
    <row r="216" spans="1:25" ht="56">
      <c r="A216" s="10" t="s">
        <v>2342</v>
      </c>
      <c r="B216" s="10" t="s">
        <v>916</v>
      </c>
      <c r="C216" s="10" t="s">
        <v>1878</v>
      </c>
      <c r="D216" s="36" t="s">
        <v>870</v>
      </c>
      <c r="E216" s="87" t="s">
        <v>1899</v>
      </c>
      <c r="F216" s="23"/>
      <c r="G216" s="23" t="s">
        <v>1884</v>
      </c>
      <c r="H216" s="169" t="s">
        <v>1885</v>
      </c>
      <c r="I216" s="23" t="s">
        <v>895</v>
      </c>
      <c r="J216" s="61" t="s">
        <v>1767</v>
      </c>
      <c r="K216" s="232" t="s">
        <v>1755</v>
      </c>
      <c r="L216" s="23" t="s">
        <v>19</v>
      </c>
      <c r="M216" s="23" t="s">
        <v>248</v>
      </c>
      <c r="N216" s="108">
        <v>15000</v>
      </c>
      <c r="O216" s="238">
        <v>58</v>
      </c>
      <c r="P216" s="108">
        <f>N216*O216</f>
        <v>870000</v>
      </c>
      <c r="Q216" s="37" t="s">
        <v>2346</v>
      </c>
      <c r="R216" s="83" t="s">
        <v>1775</v>
      </c>
      <c r="S216" s="129" t="s">
        <v>1898</v>
      </c>
      <c r="T216" s="10"/>
      <c r="U216" s="36"/>
      <c r="V216" s="10"/>
      <c r="W216" s="23" t="s">
        <v>837</v>
      </c>
      <c r="X216" s="23" t="s">
        <v>1147</v>
      </c>
      <c r="Y216" s="113" t="s">
        <v>1715</v>
      </c>
    </row>
    <row r="217" spans="1:25" ht="56">
      <c r="A217" s="10" t="s">
        <v>2342</v>
      </c>
      <c r="B217" s="10" t="s">
        <v>916</v>
      </c>
      <c r="C217" s="10" t="s">
        <v>1878</v>
      </c>
      <c r="D217" s="10" t="s">
        <v>1402</v>
      </c>
      <c r="E217" s="107" t="s">
        <v>1902</v>
      </c>
      <c r="F217" s="98"/>
      <c r="G217" s="23" t="s">
        <v>1884</v>
      </c>
      <c r="H217" s="169" t="s">
        <v>1885</v>
      </c>
      <c r="I217" s="23" t="s">
        <v>895</v>
      </c>
      <c r="J217" s="61" t="s">
        <v>1767</v>
      </c>
      <c r="K217" s="232" t="s">
        <v>1755</v>
      </c>
      <c r="L217" s="23" t="s">
        <v>19</v>
      </c>
      <c r="M217" s="23" t="s">
        <v>248</v>
      </c>
      <c r="N217" s="90">
        <v>10000</v>
      </c>
      <c r="O217" s="263">
        <v>58</v>
      </c>
      <c r="P217" s="108">
        <f>N217*O217</f>
        <v>580000</v>
      </c>
      <c r="Q217" s="37" t="s">
        <v>2347</v>
      </c>
      <c r="R217" s="103" t="s">
        <v>884</v>
      </c>
      <c r="S217" s="10"/>
      <c r="T217" s="10"/>
      <c r="U217" s="36"/>
      <c r="V217" s="10"/>
      <c r="W217" s="23" t="s">
        <v>837</v>
      </c>
      <c r="X217" s="23" t="s">
        <v>1147</v>
      </c>
      <c r="Y217" s="113" t="s">
        <v>1715</v>
      </c>
    </row>
    <row r="218" spans="1:25" ht="56">
      <c r="A218" s="10" t="s">
        <v>2342</v>
      </c>
      <c r="B218" s="10" t="s">
        <v>916</v>
      </c>
      <c r="C218" s="10" t="s">
        <v>1878</v>
      </c>
      <c r="D218" s="36" t="s">
        <v>871</v>
      </c>
      <c r="E218" s="107" t="s">
        <v>1902</v>
      </c>
      <c r="F218" s="98"/>
      <c r="G218" s="23" t="s">
        <v>1884</v>
      </c>
      <c r="H218" s="169" t="s">
        <v>1885</v>
      </c>
      <c r="I218" s="23" t="s">
        <v>895</v>
      </c>
      <c r="J218" s="61" t="s">
        <v>1767</v>
      </c>
      <c r="K218" s="232" t="s">
        <v>1755</v>
      </c>
      <c r="L218" s="23" t="s">
        <v>19</v>
      </c>
      <c r="M218" s="23" t="s">
        <v>248</v>
      </c>
      <c r="N218" s="90">
        <v>12500</v>
      </c>
      <c r="O218" s="266">
        <v>317</v>
      </c>
      <c r="P218" s="108">
        <f>N218*O218</f>
        <v>3962500</v>
      </c>
      <c r="Q218" s="37" t="s">
        <v>2348</v>
      </c>
      <c r="R218" s="83" t="s">
        <v>250</v>
      </c>
      <c r="S218" s="260" t="s">
        <v>1894</v>
      </c>
      <c r="T218" s="10"/>
      <c r="U218" s="36"/>
      <c r="V218" s="10"/>
      <c r="W218" s="23" t="s">
        <v>837</v>
      </c>
      <c r="X218" s="23" t="s">
        <v>1147</v>
      </c>
      <c r="Y218" s="113" t="s">
        <v>1715</v>
      </c>
    </row>
    <row r="219" spans="1:25" ht="56">
      <c r="A219" s="10" t="s">
        <v>2342</v>
      </c>
      <c r="B219" s="10" t="s">
        <v>916</v>
      </c>
      <c r="C219" s="10" t="s">
        <v>1878</v>
      </c>
      <c r="D219" s="36" t="s">
        <v>1404</v>
      </c>
      <c r="E219" s="233" t="s">
        <v>1909</v>
      </c>
      <c r="F219" s="10"/>
      <c r="G219" s="23" t="s">
        <v>1884</v>
      </c>
      <c r="H219" s="169" t="s">
        <v>1885</v>
      </c>
      <c r="I219" s="23" t="s">
        <v>895</v>
      </c>
      <c r="J219" s="61" t="s">
        <v>1767</v>
      </c>
      <c r="K219" s="232" t="s">
        <v>1755</v>
      </c>
      <c r="L219" s="23" t="s">
        <v>19</v>
      </c>
      <c r="M219" s="23" t="s">
        <v>248</v>
      </c>
      <c r="N219" s="90">
        <v>10000</v>
      </c>
      <c r="O219" s="263">
        <v>81</v>
      </c>
      <c r="P219" s="108">
        <f>N219*O219</f>
        <v>810000</v>
      </c>
      <c r="Q219" s="37" t="s">
        <v>2349</v>
      </c>
      <c r="R219" s="103" t="s">
        <v>884</v>
      </c>
      <c r="S219" s="10"/>
      <c r="T219" s="10"/>
      <c r="U219" s="36"/>
      <c r="V219" s="10"/>
      <c r="W219" s="23" t="s">
        <v>837</v>
      </c>
      <c r="X219" s="23" t="s">
        <v>1147</v>
      </c>
      <c r="Y219" s="113" t="s">
        <v>1715</v>
      </c>
    </row>
    <row r="220" spans="1:25" ht="56">
      <c r="A220" s="10" t="s">
        <v>2342</v>
      </c>
      <c r="B220" s="10" t="s">
        <v>916</v>
      </c>
      <c r="C220" s="10" t="s">
        <v>1878</v>
      </c>
      <c r="D220" s="36" t="s">
        <v>1409</v>
      </c>
      <c r="E220" s="233" t="s">
        <v>1909</v>
      </c>
      <c r="F220" s="10"/>
      <c r="G220" s="23" t="s">
        <v>1884</v>
      </c>
      <c r="H220" s="169" t="s">
        <v>1885</v>
      </c>
      <c r="I220" s="23" t="s">
        <v>895</v>
      </c>
      <c r="J220" s="61" t="s">
        <v>1767</v>
      </c>
      <c r="K220" s="232" t="s">
        <v>1755</v>
      </c>
      <c r="L220" s="23" t="s">
        <v>19</v>
      </c>
      <c r="M220" s="23" t="s">
        <v>248</v>
      </c>
      <c r="N220" s="108">
        <v>12500</v>
      </c>
      <c r="O220" s="272">
        <v>265</v>
      </c>
      <c r="P220" s="108">
        <f>N220*O220</f>
        <v>3312500</v>
      </c>
      <c r="Q220" s="37" t="s">
        <v>2350</v>
      </c>
      <c r="R220" s="83" t="s">
        <v>250</v>
      </c>
      <c r="S220" s="260" t="s">
        <v>1894</v>
      </c>
      <c r="T220" s="103"/>
      <c r="U220" s="36"/>
      <c r="V220" s="10"/>
      <c r="W220" s="23" t="s">
        <v>837</v>
      </c>
      <c r="X220" s="23" t="s">
        <v>1147</v>
      </c>
      <c r="Y220" s="113" t="s">
        <v>1715</v>
      </c>
    </row>
    <row r="221" spans="1:25" ht="56">
      <c r="A221" s="10" t="s">
        <v>2342</v>
      </c>
      <c r="B221" s="10" t="s">
        <v>916</v>
      </c>
      <c r="C221" s="10" t="s">
        <v>1878</v>
      </c>
      <c r="D221" s="10" t="s">
        <v>207</v>
      </c>
      <c r="E221" s="37" t="s">
        <v>1912</v>
      </c>
      <c r="F221" s="10"/>
      <c r="G221" s="23" t="s">
        <v>1884</v>
      </c>
      <c r="H221" s="169" t="s">
        <v>1885</v>
      </c>
      <c r="I221" s="23" t="s">
        <v>895</v>
      </c>
      <c r="J221" s="61" t="s">
        <v>1767</v>
      </c>
      <c r="K221" s="232" t="s">
        <v>1755</v>
      </c>
      <c r="L221" s="23" t="s">
        <v>19</v>
      </c>
      <c r="M221" s="23" t="s">
        <v>248</v>
      </c>
      <c r="N221" s="90" t="s">
        <v>417</v>
      </c>
      <c r="O221" s="263"/>
      <c r="P221" s="108"/>
      <c r="Q221" s="37" t="s">
        <v>2351</v>
      </c>
      <c r="R221" s="103" t="s">
        <v>884</v>
      </c>
      <c r="S221" s="10"/>
      <c r="T221" s="10"/>
      <c r="U221" s="36"/>
      <c r="V221" s="10"/>
      <c r="W221" s="23" t="s">
        <v>837</v>
      </c>
      <c r="X221" s="23" t="s">
        <v>1147</v>
      </c>
      <c r="Y221" s="113" t="s">
        <v>1715</v>
      </c>
    </row>
    <row r="222" spans="1:25" ht="56">
      <c r="A222" s="10" t="s">
        <v>2342</v>
      </c>
      <c r="B222" s="10" t="s">
        <v>916</v>
      </c>
      <c r="C222" s="10" t="s">
        <v>1878</v>
      </c>
      <c r="D222" s="36" t="s">
        <v>1410</v>
      </c>
      <c r="E222" s="37" t="s">
        <v>1912</v>
      </c>
      <c r="F222" s="10"/>
      <c r="G222" s="23" t="s">
        <v>1884</v>
      </c>
      <c r="H222" s="169" t="s">
        <v>1885</v>
      </c>
      <c r="I222" s="23" t="s">
        <v>895</v>
      </c>
      <c r="J222" s="61" t="s">
        <v>1767</v>
      </c>
      <c r="K222" s="232" t="s">
        <v>1755</v>
      </c>
      <c r="L222" s="23" t="s">
        <v>19</v>
      </c>
      <c r="M222" s="23" t="s">
        <v>248</v>
      </c>
      <c r="N222" s="90" t="s">
        <v>417</v>
      </c>
      <c r="O222" s="272"/>
      <c r="P222" s="108"/>
      <c r="Q222" s="37" t="s">
        <v>2352</v>
      </c>
      <c r="R222" s="83" t="s">
        <v>250</v>
      </c>
      <c r="S222" s="260" t="s">
        <v>1894</v>
      </c>
      <c r="T222" s="10"/>
      <c r="U222" s="36"/>
      <c r="V222" s="10"/>
      <c r="W222" s="23" t="s">
        <v>837</v>
      </c>
      <c r="X222" s="23" t="s">
        <v>1147</v>
      </c>
      <c r="Y222" s="113" t="s">
        <v>1715</v>
      </c>
    </row>
    <row r="223" spans="1:25" ht="56">
      <c r="A223" s="10" t="s">
        <v>2342</v>
      </c>
      <c r="B223" s="10" t="s">
        <v>916</v>
      </c>
      <c r="C223" s="10" t="s">
        <v>1878</v>
      </c>
      <c r="D223" s="36" t="s">
        <v>1411</v>
      </c>
      <c r="E223" s="233" t="s">
        <v>1917</v>
      </c>
      <c r="F223" s="10"/>
      <c r="G223" s="23" t="s">
        <v>1884</v>
      </c>
      <c r="H223" s="169" t="s">
        <v>1885</v>
      </c>
      <c r="I223" s="23" t="s">
        <v>895</v>
      </c>
      <c r="J223" s="61" t="s">
        <v>1767</v>
      </c>
      <c r="K223" s="232" t="s">
        <v>1755</v>
      </c>
      <c r="L223" s="23" t="s">
        <v>19</v>
      </c>
      <c r="M223" s="23" t="s">
        <v>248</v>
      </c>
      <c r="N223" s="90" t="s">
        <v>417</v>
      </c>
      <c r="O223" s="272"/>
      <c r="P223" s="108"/>
      <c r="Q223" s="37" t="s">
        <v>2353</v>
      </c>
      <c r="R223" s="83" t="s">
        <v>1775</v>
      </c>
      <c r="S223" s="103" t="s">
        <v>1898</v>
      </c>
      <c r="T223" s="10"/>
      <c r="U223" s="36"/>
      <c r="V223" s="10"/>
      <c r="W223" s="23" t="s">
        <v>837</v>
      </c>
      <c r="X223" s="23" t="s">
        <v>1147</v>
      </c>
      <c r="Y223" s="113" t="s">
        <v>1715</v>
      </c>
    </row>
    <row r="224" spans="1:25" ht="56">
      <c r="A224" s="10" t="s">
        <v>2342</v>
      </c>
      <c r="B224" s="10" t="s">
        <v>916</v>
      </c>
      <c r="C224" s="10" t="s">
        <v>1878</v>
      </c>
      <c r="D224" s="10" t="s">
        <v>1415</v>
      </c>
      <c r="E224" s="114" t="s">
        <v>1920</v>
      </c>
      <c r="F224" s="103"/>
      <c r="G224" s="23" t="s">
        <v>1884</v>
      </c>
      <c r="H224" s="169" t="s">
        <v>1885</v>
      </c>
      <c r="I224" s="23" t="s">
        <v>895</v>
      </c>
      <c r="J224" s="61" t="s">
        <v>1767</v>
      </c>
      <c r="K224" s="232" t="s">
        <v>1755</v>
      </c>
      <c r="L224" s="23" t="s">
        <v>19</v>
      </c>
      <c r="M224" s="23" t="s">
        <v>248</v>
      </c>
      <c r="N224" s="90">
        <v>10000</v>
      </c>
      <c r="O224" s="263">
        <v>38</v>
      </c>
      <c r="P224" s="108">
        <f>N224*O224</f>
        <v>380000</v>
      </c>
      <c r="Q224" s="37" t="s">
        <v>2354</v>
      </c>
      <c r="R224" s="83" t="s">
        <v>884</v>
      </c>
      <c r="S224" s="10"/>
      <c r="T224" s="103"/>
      <c r="U224" s="10"/>
      <c r="V224" s="10"/>
      <c r="W224" s="23" t="s">
        <v>837</v>
      </c>
      <c r="X224" s="23" t="s">
        <v>1147</v>
      </c>
      <c r="Y224" s="113" t="s">
        <v>1715</v>
      </c>
    </row>
    <row r="225" spans="1:25" ht="56">
      <c r="A225" s="10" t="s">
        <v>2342</v>
      </c>
      <c r="B225" s="10" t="s">
        <v>916</v>
      </c>
      <c r="C225" s="10" t="s">
        <v>1878</v>
      </c>
      <c r="D225" s="36" t="s">
        <v>1416</v>
      </c>
      <c r="E225" s="114" t="s">
        <v>1920</v>
      </c>
      <c r="F225" s="23"/>
      <c r="G225" s="23" t="s">
        <v>1884</v>
      </c>
      <c r="H225" s="169" t="s">
        <v>1885</v>
      </c>
      <c r="I225" s="23" t="s">
        <v>895</v>
      </c>
      <c r="J225" s="61" t="s">
        <v>1767</v>
      </c>
      <c r="K225" s="232" t="s">
        <v>1755</v>
      </c>
      <c r="L225" s="23" t="s">
        <v>19</v>
      </c>
      <c r="M225" s="23" t="s">
        <v>248</v>
      </c>
      <c r="N225" s="108">
        <v>12500</v>
      </c>
      <c r="O225" s="272">
        <v>159</v>
      </c>
      <c r="P225" s="108">
        <f>N225*O225</f>
        <v>1987500</v>
      </c>
      <c r="Q225" s="37" t="s">
        <v>2355</v>
      </c>
      <c r="R225" s="83" t="s">
        <v>250</v>
      </c>
      <c r="S225" s="260" t="s">
        <v>1894</v>
      </c>
      <c r="T225" s="10"/>
      <c r="U225" s="10"/>
      <c r="V225" s="10"/>
      <c r="W225" s="23" t="s">
        <v>837</v>
      </c>
      <c r="X225" s="23" t="s">
        <v>1147</v>
      </c>
      <c r="Y225" s="113" t="s">
        <v>1715</v>
      </c>
    </row>
    <row r="226" spans="1:25" ht="28">
      <c r="A226" s="10" t="s">
        <v>2342</v>
      </c>
      <c r="B226" s="10" t="s">
        <v>916</v>
      </c>
      <c r="C226" s="10" t="s">
        <v>1878</v>
      </c>
      <c r="D226" s="190" t="s">
        <v>1931</v>
      </c>
      <c r="E226" s="103"/>
      <c r="F226" s="103"/>
      <c r="G226" s="23"/>
      <c r="H226" s="23"/>
      <c r="I226" s="23"/>
      <c r="J226" s="61"/>
      <c r="K226" s="232"/>
      <c r="L226" s="23"/>
      <c r="M226" s="23"/>
      <c r="N226" s="90"/>
      <c r="O226" s="263"/>
      <c r="P226" s="103"/>
      <c r="Q226" s="37"/>
      <c r="R226" s="103"/>
      <c r="S226" s="37"/>
      <c r="T226" s="103"/>
      <c r="U226" s="10"/>
      <c r="V226" s="10"/>
      <c r="W226" s="23" t="s">
        <v>837</v>
      </c>
      <c r="X226" s="23" t="s">
        <v>1147</v>
      </c>
      <c r="Y226" s="113" t="s">
        <v>1715</v>
      </c>
    </row>
    <row r="227" spans="1:25" ht="56">
      <c r="A227" s="10" t="s">
        <v>2342</v>
      </c>
      <c r="B227" s="10" t="s">
        <v>916</v>
      </c>
      <c r="C227" s="10" t="s">
        <v>1878</v>
      </c>
      <c r="D227" s="36" t="s">
        <v>1420</v>
      </c>
      <c r="E227" s="87" t="s">
        <v>1932</v>
      </c>
      <c r="F227" s="36"/>
      <c r="G227" s="23" t="s">
        <v>1884</v>
      </c>
      <c r="H227" s="169" t="s">
        <v>1885</v>
      </c>
      <c r="I227" s="23" t="s">
        <v>895</v>
      </c>
      <c r="J227" s="61" t="s">
        <v>1767</v>
      </c>
      <c r="K227" s="232" t="s">
        <v>1755</v>
      </c>
      <c r="L227" s="23" t="s">
        <v>19</v>
      </c>
      <c r="M227" s="23" t="s">
        <v>248</v>
      </c>
      <c r="N227" s="90">
        <v>10000</v>
      </c>
      <c r="O227" s="263">
        <v>100</v>
      </c>
      <c r="P227" s="115">
        <f>N227*O227</f>
        <v>1000000</v>
      </c>
      <c r="Q227" s="37" t="s">
        <v>2356</v>
      </c>
      <c r="R227" s="113" t="s">
        <v>884</v>
      </c>
      <c r="S227" s="10"/>
      <c r="T227" s="10"/>
      <c r="U227" s="10"/>
      <c r="V227" s="10"/>
      <c r="W227" s="23" t="s">
        <v>837</v>
      </c>
      <c r="X227" s="23" t="s">
        <v>1147</v>
      </c>
      <c r="Y227" s="113" t="s">
        <v>1715</v>
      </c>
    </row>
    <row r="228" spans="1:25" ht="56">
      <c r="A228" s="10" t="s">
        <v>2342</v>
      </c>
      <c r="B228" s="10" t="s">
        <v>916</v>
      </c>
      <c r="C228" s="10" t="s">
        <v>1878</v>
      </c>
      <c r="D228" s="36" t="s">
        <v>1421</v>
      </c>
      <c r="E228" s="87" t="s">
        <v>1932</v>
      </c>
      <c r="F228" s="36"/>
      <c r="G228" s="23" t="s">
        <v>1884</v>
      </c>
      <c r="H228" s="169" t="s">
        <v>1885</v>
      </c>
      <c r="I228" s="23" t="s">
        <v>895</v>
      </c>
      <c r="J228" s="61" t="s">
        <v>1767</v>
      </c>
      <c r="K228" s="232" t="s">
        <v>1755</v>
      </c>
      <c r="L228" s="23" t="s">
        <v>19</v>
      </c>
      <c r="M228" s="23" t="s">
        <v>248</v>
      </c>
      <c r="N228" s="90">
        <v>12500</v>
      </c>
      <c r="O228" s="263">
        <v>413</v>
      </c>
      <c r="P228" s="115">
        <f>N228*O228</f>
        <v>5162500</v>
      </c>
      <c r="Q228" s="37" t="s">
        <v>2357</v>
      </c>
      <c r="R228" s="83" t="s">
        <v>250</v>
      </c>
      <c r="S228" s="129" t="s">
        <v>1894</v>
      </c>
      <c r="T228" s="103"/>
      <c r="U228" s="10"/>
      <c r="V228" s="10"/>
      <c r="W228" s="23" t="s">
        <v>837</v>
      </c>
      <c r="X228" s="23" t="s">
        <v>1147</v>
      </c>
      <c r="Y228" s="113" t="s">
        <v>1715</v>
      </c>
    </row>
    <row r="229" spans="1:25" ht="56">
      <c r="A229" s="10" t="s">
        <v>2342</v>
      </c>
      <c r="B229" s="10" t="s">
        <v>916</v>
      </c>
      <c r="C229" s="10" t="s">
        <v>1878</v>
      </c>
      <c r="D229" s="10" t="s">
        <v>1716</v>
      </c>
      <c r="E229" s="87" t="s">
        <v>1932</v>
      </c>
      <c r="F229" s="10"/>
      <c r="G229" s="23" t="s">
        <v>1884</v>
      </c>
      <c r="H229" s="169" t="s">
        <v>1885</v>
      </c>
      <c r="I229" s="23" t="s">
        <v>895</v>
      </c>
      <c r="J229" s="61" t="s">
        <v>1767</v>
      </c>
      <c r="K229" s="232" t="s">
        <v>1755</v>
      </c>
      <c r="L229" s="23" t="s">
        <v>19</v>
      </c>
      <c r="M229" s="23" t="s">
        <v>248</v>
      </c>
      <c r="N229" s="90">
        <v>15000</v>
      </c>
      <c r="O229" s="263">
        <v>294</v>
      </c>
      <c r="P229" s="115">
        <f>N229*O229</f>
        <v>4410000</v>
      </c>
      <c r="Q229" s="37" t="s">
        <v>2358</v>
      </c>
      <c r="R229" s="113" t="s">
        <v>1775</v>
      </c>
      <c r="S229" s="129" t="s">
        <v>1898</v>
      </c>
      <c r="T229" s="10"/>
      <c r="U229" s="10"/>
      <c r="V229" s="10"/>
      <c r="W229" s="23" t="s">
        <v>837</v>
      </c>
      <c r="X229" s="23" t="s">
        <v>1147</v>
      </c>
      <c r="Y229" s="113" t="s">
        <v>1715</v>
      </c>
    </row>
    <row r="230" spans="1:25" ht="56">
      <c r="A230" s="10" t="s">
        <v>2342</v>
      </c>
      <c r="B230" s="10" t="s">
        <v>916</v>
      </c>
      <c r="C230" s="10" t="s">
        <v>1878</v>
      </c>
      <c r="D230" s="36" t="s">
        <v>1717</v>
      </c>
      <c r="E230" s="87" t="s">
        <v>1932</v>
      </c>
      <c r="F230" s="23"/>
      <c r="G230" s="23" t="s">
        <v>1884</v>
      </c>
      <c r="H230" s="169" t="s">
        <v>1885</v>
      </c>
      <c r="I230" s="23" t="s">
        <v>895</v>
      </c>
      <c r="J230" s="61" t="s">
        <v>1767</v>
      </c>
      <c r="K230" s="232" t="s">
        <v>1755</v>
      </c>
      <c r="L230" s="23" t="s">
        <v>19</v>
      </c>
      <c r="M230" s="23" t="s">
        <v>248</v>
      </c>
      <c r="N230" s="108">
        <v>15000</v>
      </c>
      <c r="O230" s="238">
        <v>390</v>
      </c>
      <c r="P230" s="115">
        <f>N230*O230</f>
        <v>5850000</v>
      </c>
      <c r="Q230" s="37" t="s">
        <v>2359</v>
      </c>
      <c r="R230" s="113" t="s">
        <v>1775</v>
      </c>
      <c r="S230" s="260" t="s">
        <v>1898</v>
      </c>
      <c r="T230" s="103"/>
      <c r="U230" s="10"/>
      <c r="V230" s="10"/>
      <c r="W230" s="23" t="s">
        <v>837</v>
      </c>
      <c r="X230" s="23" t="s">
        <v>1147</v>
      </c>
      <c r="Y230" s="113" t="s">
        <v>1715</v>
      </c>
    </row>
    <row r="231" spans="1:25" ht="28">
      <c r="A231" s="10" t="s">
        <v>2342</v>
      </c>
      <c r="B231" s="10" t="s">
        <v>916</v>
      </c>
      <c r="C231" s="10" t="s">
        <v>1878</v>
      </c>
      <c r="D231" s="287" t="s">
        <v>1942</v>
      </c>
      <c r="E231" s="87"/>
      <c r="F231" s="23"/>
      <c r="G231" s="23"/>
      <c r="H231" s="23"/>
      <c r="I231" s="23"/>
      <c r="J231" s="61"/>
      <c r="K231" s="232"/>
      <c r="L231" s="23" t="s">
        <v>19</v>
      </c>
      <c r="M231" s="23"/>
      <c r="N231" s="23"/>
      <c r="O231" s="238"/>
      <c r="P231" s="129"/>
      <c r="Q231" s="37"/>
      <c r="R231" s="23"/>
      <c r="S231" s="10"/>
      <c r="T231" s="10"/>
      <c r="U231" s="10"/>
      <c r="V231" s="10"/>
      <c r="W231" s="23" t="s">
        <v>837</v>
      </c>
      <c r="X231" s="23" t="s">
        <v>1147</v>
      </c>
      <c r="Y231" s="113" t="s">
        <v>1715</v>
      </c>
    </row>
    <row r="232" spans="1:25" ht="56">
      <c r="A232" s="10" t="s">
        <v>2342</v>
      </c>
      <c r="B232" s="10" t="s">
        <v>916</v>
      </c>
      <c r="C232" s="10" t="s">
        <v>1878</v>
      </c>
      <c r="D232" s="10" t="s">
        <v>229</v>
      </c>
      <c r="E232" s="37" t="s">
        <v>1945</v>
      </c>
      <c r="F232" s="10"/>
      <c r="G232" s="23" t="s">
        <v>1884</v>
      </c>
      <c r="H232" s="169" t="s">
        <v>1885</v>
      </c>
      <c r="I232" s="23" t="s">
        <v>895</v>
      </c>
      <c r="J232" s="61" t="s">
        <v>1767</v>
      </c>
      <c r="K232" s="232" t="s">
        <v>1755</v>
      </c>
      <c r="L232" s="23" t="s">
        <v>19</v>
      </c>
      <c r="M232" s="23" t="s">
        <v>248</v>
      </c>
      <c r="N232" s="90">
        <v>10000</v>
      </c>
      <c r="O232" s="266">
        <v>57</v>
      </c>
      <c r="P232" s="90">
        <f>O232*N232</f>
        <v>570000</v>
      </c>
      <c r="Q232" s="37" t="s">
        <v>2360</v>
      </c>
      <c r="R232" s="103" t="s">
        <v>884</v>
      </c>
      <c r="S232" s="10"/>
      <c r="T232" s="10"/>
      <c r="U232" s="10"/>
      <c r="V232" s="10"/>
      <c r="W232" s="23"/>
      <c r="X232" s="23"/>
      <c r="Y232" s="113"/>
    </row>
    <row r="233" spans="1:25" ht="56">
      <c r="A233" s="10" t="s">
        <v>2342</v>
      </c>
      <c r="B233" s="10" t="s">
        <v>916</v>
      </c>
      <c r="C233" s="10" t="s">
        <v>1878</v>
      </c>
      <c r="D233" s="36" t="s">
        <v>78</v>
      </c>
      <c r="E233" s="37" t="s">
        <v>1945</v>
      </c>
      <c r="F233" s="10"/>
      <c r="G233" s="23" t="s">
        <v>1884</v>
      </c>
      <c r="H233" s="169" t="s">
        <v>1885</v>
      </c>
      <c r="I233" s="23" t="s">
        <v>895</v>
      </c>
      <c r="J233" s="61" t="s">
        <v>1767</v>
      </c>
      <c r="K233" s="232" t="s">
        <v>1755</v>
      </c>
      <c r="L233" s="23" t="s">
        <v>19</v>
      </c>
      <c r="M233" s="23" t="s">
        <v>248</v>
      </c>
      <c r="N233" s="108">
        <v>12500</v>
      </c>
      <c r="O233" s="266">
        <v>317</v>
      </c>
      <c r="P233" s="90">
        <f>O233*N233</f>
        <v>3962500</v>
      </c>
      <c r="Q233" s="37" t="s">
        <v>2361</v>
      </c>
      <c r="R233" s="83" t="s">
        <v>250</v>
      </c>
      <c r="S233" s="129" t="s">
        <v>1894</v>
      </c>
      <c r="T233" s="10"/>
      <c r="U233" s="10"/>
      <c r="V233" s="10"/>
      <c r="W233" s="23" t="s">
        <v>837</v>
      </c>
      <c r="X233" s="23" t="s">
        <v>1147</v>
      </c>
      <c r="Y233" s="113" t="s">
        <v>1715</v>
      </c>
    </row>
    <row r="234" spans="1:25" ht="56">
      <c r="A234" s="10" t="s">
        <v>2342</v>
      </c>
      <c r="B234" s="10" t="s">
        <v>916</v>
      </c>
      <c r="C234" s="10" t="s">
        <v>1878</v>
      </c>
      <c r="D234" s="36" t="s">
        <v>1953</v>
      </c>
      <c r="E234" s="37" t="s">
        <v>1945</v>
      </c>
      <c r="F234" s="10"/>
      <c r="G234" s="23" t="s">
        <v>1884</v>
      </c>
      <c r="H234" s="169" t="s">
        <v>1885</v>
      </c>
      <c r="I234" s="23" t="s">
        <v>895</v>
      </c>
      <c r="J234" s="61" t="s">
        <v>1767</v>
      </c>
      <c r="K234" s="232" t="s">
        <v>1755</v>
      </c>
      <c r="L234" s="23" t="s">
        <v>19</v>
      </c>
      <c r="M234" s="23" t="s">
        <v>248</v>
      </c>
      <c r="N234" s="108">
        <v>15000</v>
      </c>
      <c r="O234" s="266">
        <v>170</v>
      </c>
      <c r="P234" s="90">
        <f>O234*N234</f>
        <v>2550000</v>
      </c>
      <c r="Q234" s="37" t="s">
        <v>2362</v>
      </c>
      <c r="R234" s="23" t="s">
        <v>245</v>
      </c>
      <c r="S234" s="289" t="s">
        <v>1898</v>
      </c>
      <c r="T234" s="10"/>
      <c r="U234" s="10"/>
      <c r="V234" s="10"/>
      <c r="W234" s="23" t="s">
        <v>837</v>
      </c>
      <c r="X234" s="23" t="s">
        <v>1147</v>
      </c>
      <c r="Y234" s="113" t="s">
        <v>1715</v>
      </c>
    </row>
    <row r="235" spans="1:25" ht="56">
      <c r="A235" s="10" t="s">
        <v>2342</v>
      </c>
      <c r="B235" s="10" t="s">
        <v>916</v>
      </c>
      <c r="C235" s="10" t="s">
        <v>1878</v>
      </c>
      <c r="D235" s="287" t="s">
        <v>1960</v>
      </c>
      <c r="E235" s="87"/>
      <c r="F235" s="10"/>
      <c r="G235" s="23" t="s">
        <v>1884</v>
      </c>
      <c r="H235" s="169" t="s">
        <v>1885</v>
      </c>
      <c r="I235" s="23" t="s">
        <v>895</v>
      </c>
      <c r="J235" s="61" t="s">
        <v>1767</v>
      </c>
      <c r="K235" s="232" t="s">
        <v>1755</v>
      </c>
      <c r="L235" s="23" t="s">
        <v>19</v>
      </c>
      <c r="M235" s="23" t="s">
        <v>248</v>
      </c>
      <c r="N235" s="108"/>
      <c r="O235" s="266"/>
      <c r="P235" s="90"/>
      <c r="Q235" s="37" t="s">
        <v>2363</v>
      </c>
      <c r="R235" s="23"/>
      <c r="S235" s="10"/>
      <c r="T235" s="10"/>
      <c r="U235" s="10"/>
      <c r="V235" s="10"/>
      <c r="W235" s="23" t="s">
        <v>837</v>
      </c>
      <c r="X235" s="23" t="s">
        <v>1147</v>
      </c>
      <c r="Y235" s="113" t="s">
        <v>1715</v>
      </c>
    </row>
    <row r="236" spans="1:25" ht="56">
      <c r="A236" s="10" t="s">
        <v>2342</v>
      </c>
      <c r="B236" s="10" t="s">
        <v>916</v>
      </c>
      <c r="C236" s="10" t="s">
        <v>1878</v>
      </c>
      <c r="D236" s="36" t="s">
        <v>1430</v>
      </c>
      <c r="E236" s="87" t="s">
        <v>1963</v>
      </c>
      <c r="F236" s="10"/>
      <c r="G236" s="23" t="s">
        <v>1884</v>
      </c>
      <c r="H236" s="169" t="s">
        <v>1885</v>
      </c>
      <c r="I236" s="23" t="s">
        <v>895</v>
      </c>
      <c r="J236" s="61" t="s">
        <v>1767</v>
      </c>
      <c r="K236" s="232" t="s">
        <v>1755</v>
      </c>
      <c r="L236" s="23" t="s">
        <v>19</v>
      </c>
      <c r="M236" s="23" t="s">
        <v>248</v>
      </c>
      <c r="N236" s="108">
        <v>10000</v>
      </c>
      <c r="O236" s="266">
        <v>89</v>
      </c>
      <c r="P236" s="90">
        <f>O236*N236</f>
        <v>890000</v>
      </c>
      <c r="Q236" s="37" t="s">
        <v>2364</v>
      </c>
      <c r="R236" s="23" t="s">
        <v>884</v>
      </c>
      <c r="S236" s="10"/>
      <c r="T236" s="10"/>
      <c r="U236" s="10"/>
      <c r="V236" s="10"/>
      <c r="W236" s="23" t="s">
        <v>837</v>
      </c>
      <c r="X236" s="23" t="s">
        <v>1147</v>
      </c>
      <c r="Y236" s="113" t="s">
        <v>1715</v>
      </c>
    </row>
    <row r="237" spans="1:25" ht="56">
      <c r="A237" s="10" t="s">
        <v>2342</v>
      </c>
      <c r="B237" s="10" t="s">
        <v>916</v>
      </c>
      <c r="C237" s="10" t="s">
        <v>1878</v>
      </c>
      <c r="D237" s="36" t="s">
        <v>1432</v>
      </c>
      <c r="E237" s="87" t="s">
        <v>1967</v>
      </c>
      <c r="F237" s="10"/>
      <c r="G237" s="23" t="s">
        <v>1884</v>
      </c>
      <c r="H237" s="169" t="s">
        <v>1885</v>
      </c>
      <c r="I237" s="23" t="s">
        <v>895</v>
      </c>
      <c r="J237" s="61" t="s">
        <v>1767</v>
      </c>
      <c r="K237" s="232" t="s">
        <v>1755</v>
      </c>
      <c r="L237" s="23" t="s">
        <v>19</v>
      </c>
      <c r="M237" s="23" t="s">
        <v>248</v>
      </c>
      <c r="N237" s="108">
        <v>10000</v>
      </c>
      <c r="O237" s="266">
        <v>59</v>
      </c>
      <c r="P237" s="90">
        <f>O237*N237</f>
        <v>590000</v>
      </c>
      <c r="Q237" s="37" t="s">
        <v>2365</v>
      </c>
      <c r="R237" s="23" t="s">
        <v>884</v>
      </c>
      <c r="S237" s="10"/>
      <c r="T237" s="10"/>
      <c r="U237" s="10"/>
      <c r="V237" s="10"/>
      <c r="W237" s="23" t="s">
        <v>837</v>
      </c>
      <c r="X237" s="23" t="s">
        <v>1147</v>
      </c>
      <c r="Y237" s="113" t="s">
        <v>1715</v>
      </c>
    </row>
    <row r="238" spans="1:25" ht="56">
      <c r="A238" s="10" t="s">
        <v>2342</v>
      </c>
      <c r="B238" s="10" t="s">
        <v>916</v>
      </c>
      <c r="C238" s="10" t="s">
        <v>1878</v>
      </c>
      <c r="D238" s="10" t="s">
        <v>1969</v>
      </c>
      <c r="E238" s="87" t="s">
        <v>1967</v>
      </c>
      <c r="F238" s="10"/>
      <c r="G238" s="23" t="s">
        <v>1884</v>
      </c>
      <c r="H238" s="169" t="s">
        <v>1885</v>
      </c>
      <c r="I238" s="23" t="s">
        <v>895</v>
      </c>
      <c r="J238" s="61" t="s">
        <v>1767</v>
      </c>
      <c r="K238" s="232" t="s">
        <v>1755</v>
      </c>
      <c r="L238" s="23" t="s">
        <v>19</v>
      </c>
      <c r="M238" s="23" t="s">
        <v>248</v>
      </c>
      <c r="N238" s="108">
        <v>12500</v>
      </c>
      <c r="O238" s="266">
        <v>196</v>
      </c>
      <c r="P238" s="90">
        <f>O238*N238</f>
        <v>2450000</v>
      </c>
      <c r="Q238" s="37" t="s">
        <v>2366</v>
      </c>
      <c r="R238" s="83" t="s">
        <v>250</v>
      </c>
      <c r="S238" s="129" t="s">
        <v>1894</v>
      </c>
      <c r="T238" s="10"/>
      <c r="U238" s="10"/>
      <c r="V238" s="10"/>
      <c r="W238" s="23" t="s">
        <v>837</v>
      </c>
      <c r="X238" s="23" t="s">
        <v>1147</v>
      </c>
      <c r="Y238" s="113" t="s">
        <v>1715</v>
      </c>
    </row>
    <row r="239" spans="1:25" ht="13">
      <c r="A239" s="10"/>
      <c r="B239" s="10"/>
      <c r="C239" s="10"/>
      <c r="D239" s="36"/>
      <c r="E239" s="87"/>
      <c r="F239" s="10"/>
      <c r="G239" s="23"/>
      <c r="H239" s="23"/>
      <c r="I239" s="23"/>
      <c r="J239" s="61"/>
      <c r="K239" s="232"/>
      <c r="L239" s="23"/>
      <c r="M239" s="23"/>
      <c r="N239" s="108"/>
      <c r="O239" s="266"/>
      <c r="P239" s="90"/>
      <c r="Q239" s="37"/>
      <c r="R239" s="23"/>
      <c r="S239" s="182"/>
      <c r="T239" s="10"/>
      <c r="U239" s="10"/>
      <c r="V239" s="10"/>
      <c r="W239" s="23"/>
      <c r="X239" s="23"/>
      <c r="Y239" s="113"/>
    </row>
    <row r="240" spans="1:25" ht="56">
      <c r="A240" s="10" t="s">
        <v>2367</v>
      </c>
      <c r="B240" s="10" t="s">
        <v>914</v>
      </c>
      <c r="C240" s="10" t="s">
        <v>318</v>
      </c>
      <c r="D240" s="36" t="s">
        <v>2368</v>
      </c>
      <c r="E240" s="87" t="s">
        <v>2369</v>
      </c>
      <c r="F240" s="10"/>
      <c r="G240" s="23" t="s">
        <v>2370</v>
      </c>
      <c r="H240" s="169" t="s">
        <v>1758</v>
      </c>
      <c r="I240" s="23" t="s">
        <v>895</v>
      </c>
      <c r="J240" s="61" t="s">
        <v>1926</v>
      </c>
      <c r="K240" s="232" t="s">
        <v>1822</v>
      </c>
      <c r="L240" s="23" t="s">
        <v>19</v>
      </c>
      <c r="M240" s="23" t="s">
        <v>253</v>
      </c>
      <c r="N240" s="108">
        <v>28000</v>
      </c>
      <c r="O240" s="102">
        <f t="shared" ref="O240:O241" si="5">683/2</f>
        <v>341.5</v>
      </c>
      <c r="P240" s="90">
        <f>O240*N240</f>
        <v>9562000</v>
      </c>
      <c r="Q240" s="37" t="s">
        <v>2371</v>
      </c>
      <c r="R240" s="23" t="s">
        <v>683</v>
      </c>
      <c r="S240" s="10"/>
      <c r="T240" s="10" t="s">
        <v>1045</v>
      </c>
      <c r="U240" s="10" t="s">
        <v>1037</v>
      </c>
      <c r="V240" s="10"/>
      <c r="W240" s="23" t="s">
        <v>552</v>
      </c>
      <c r="X240" s="23" t="s">
        <v>1039</v>
      </c>
      <c r="Y240" s="113" t="s">
        <v>1733</v>
      </c>
    </row>
    <row r="241" spans="1:25" ht="56">
      <c r="A241" s="10" t="s">
        <v>2367</v>
      </c>
      <c r="B241" s="10" t="s">
        <v>914</v>
      </c>
      <c r="C241" s="10" t="s">
        <v>318</v>
      </c>
      <c r="D241" s="36" t="s">
        <v>2372</v>
      </c>
      <c r="E241" s="87" t="s">
        <v>2369</v>
      </c>
      <c r="F241" s="10"/>
      <c r="G241" s="23" t="s">
        <v>2370</v>
      </c>
      <c r="H241" s="169" t="s">
        <v>1758</v>
      </c>
      <c r="I241" s="23" t="s">
        <v>895</v>
      </c>
      <c r="J241" s="61" t="s">
        <v>1926</v>
      </c>
      <c r="K241" s="232" t="s">
        <v>1822</v>
      </c>
      <c r="L241" s="23" t="s">
        <v>19</v>
      </c>
      <c r="M241" s="23" t="s">
        <v>253</v>
      </c>
      <c r="N241" s="108">
        <v>28000</v>
      </c>
      <c r="O241" s="102">
        <f t="shared" si="5"/>
        <v>341.5</v>
      </c>
      <c r="P241" s="90">
        <f>O241*N241</f>
        <v>9562000</v>
      </c>
      <c r="Q241" s="37" t="s">
        <v>2373</v>
      </c>
      <c r="R241" s="23" t="s">
        <v>683</v>
      </c>
      <c r="S241" s="10"/>
      <c r="T241" s="10" t="s">
        <v>1045</v>
      </c>
      <c r="U241" s="10" t="s">
        <v>1037</v>
      </c>
      <c r="V241" s="10"/>
      <c r="W241" s="23" t="s">
        <v>552</v>
      </c>
      <c r="X241" s="23" t="s">
        <v>1039</v>
      </c>
      <c r="Y241" s="113" t="s">
        <v>1733</v>
      </c>
    </row>
    <row r="242" spans="1:25" ht="56">
      <c r="A242" s="10" t="s">
        <v>2367</v>
      </c>
      <c r="B242" s="10" t="s">
        <v>914</v>
      </c>
      <c r="C242" s="10" t="s">
        <v>318</v>
      </c>
      <c r="D242" s="36" t="s">
        <v>1688</v>
      </c>
      <c r="E242" s="87" t="s">
        <v>2374</v>
      </c>
      <c r="F242" s="10"/>
      <c r="G242" s="23" t="s">
        <v>2370</v>
      </c>
      <c r="H242" s="169" t="s">
        <v>1758</v>
      </c>
      <c r="I242" s="23" t="s">
        <v>895</v>
      </c>
      <c r="J242" s="61" t="s">
        <v>1926</v>
      </c>
      <c r="K242" s="232" t="s">
        <v>1822</v>
      </c>
      <c r="L242" s="23" t="s">
        <v>19</v>
      </c>
      <c r="M242" s="23" t="s">
        <v>253</v>
      </c>
      <c r="N242" s="108">
        <v>18000</v>
      </c>
      <c r="O242" s="102">
        <v>658</v>
      </c>
      <c r="P242" s="90">
        <f>O242*N242</f>
        <v>11844000</v>
      </c>
      <c r="Q242" s="37" t="s">
        <v>2375</v>
      </c>
      <c r="R242" s="23" t="s">
        <v>683</v>
      </c>
      <c r="S242" s="10"/>
      <c r="T242" s="10" t="s">
        <v>1058</v>
      </c>
      <c r="U242" s="10" t="s">
        <v>1037</v>
      </c>
      <c r="V242" s="10"/>
      <c r="W242" s="23" t="s">
        <v>552</v>
      </c>
      <c r="X242" s="23" t="s">
        <v>1039</v>
      </c>
      <c r="Y242" s="113" t="s">
        <v>1733</v>
      </c>
    </row>
    <row r="243" spans="1:25" ht="56">
      <c r="A243" s="10" t="s">
        <v>2367</v>
      </c>
      <c r="B243" s="10" t="s">
        <v>914</v>
      </c>
      <c r="C243" s="10" t="s">
        <v>318</v>
      </c>
      <c r="D243" s="36" t="s">
        <v>2376</v>
      </c>
      <c r="E243" s="87" t="s">
        <v>2377</v>
      </c>
      <c r="F243" s="10"/>
      <c r="G243" s="23" t="s">
        <v>2370</v>
      </c>
      <c r="H243" s="169" t="s">
        <v>1758</v>
      </c>
      <c r="I243" s="23" t="s">
        <v>895</v>
      </c>
      <c r="J243" s="61" t="s">
        <v>1926</v>
      </c>
      <c r="K243" s="232" t="s">
        <v>1822</v>
      </c>
      <c r="L243" s="23" t="s">
        <v>19</v>
      </c>
      <c r="M243" s="23" t="s">
        <v>253</v>
      </c>
      <c r="N243" s="108">
        <v>12500</v>
      </c>
      <c r="O243" s="102">
        <v>511</v>
      </c>
      <c r="P243" s="90">
        <f>O243*N243</f>
        <v>6387500</v>
      </c>
      <c r="Q243" s="37" t="s">
        <v>2378</v>
      </c>
      <c r="R243" s="23" t="s">
        <v>683</v>
      </c>
      <c r="S243" s="10"/>
      <c r="T243" s="10" t="s">
        <v>1058</v>
      </c>
      <c r="U243" s="10" t="s">
        <v>1037</v>
      </c>
      <c r="V243" s="10"/>
      <c r="W243" s="23" t="s">
        <v>552</v>
      </c>
      <c r="X243" s="23" t="s">
        <v>1039</v>
      </c>
      <c r="Y243" s="113" t="s">
        <v>1733</v>
      </c>
    </row>
    <row r="244" spans="1:25" ht="56">
      <c r="A244" s="10" t="s">
        <v>2367</v>
      </c>
      <c r="B244" s="10" t="s">
        <v>914</v>
      </c>
      <c r="C244" s="10" t="s">
        <v>318</v>
      </c>
      <c r="D244" s="36" t="s">
        <v>1042</v>
      </c>
      <c r="E244" s="87" t="s">
        <v>1757</v>
      </c>
      <c r="F244" s="10"/>
      <c r="G244" s="23" t="s">
        <v>2370</v>
      </c>
      <c r="H244" s="169" t="s">
        <v>1758</v>
      </c>
      <c r="I244" s="23" t="s">
        <v>895</v>
      </c>
      <c r="J244" s="61" t="s">
        <v>1926</v>
      </c>
      <c r="K244" s="232" t="s">
        <v>1822</v>
      </c>
      <c r="L244" s="23" t="s">
        <v>19</v>
      </c>
      <c r="M244" s="23" t="s">
        <v>253</v>
      </c>
      <c r="N244" s="108">
        <v>23000</v>
      </c>
      <c r="O244" s="102">
        <v>667</v>
      </c>
      <c r="P244" s="90">
        <f>O244*N244</f>
        <v>15341000</v>
      </c>
      <c r="Q244" s="37" t="s">
        <v>2379</v>
      </c>
      <c r="R244" s="23" t="s">
        <v>683</v>
      </c>
      <c r="S244" s="10"/>
      <c r="T244" s="10" t="s">
        <v>1044</v>
      </c>
      <c r="U244" s="10" t="s">
        <v>1037</v>
      </c>
      <c r="V244" s="10"/>
      <c r="W244" s="23" t="s">
        <v>552</v>
      </c>
      <c r="X244" s="23" t="s">
        <v>1039</v>
      </c>
      <c r="Y244" s="113" t="s">
        <v>1733</v>
      </c>
    </row>
    <row r="245" spans="1:25" ht="56">
      <c r="A245" s="10" t="s">
        <v>2367</v>
      </c>
      <c r="B245" s="10" t="s">
        <v>914</v>
      </c>
      <c r="C245" s="10" t="s">
        <v>318</v>
      </c>
      <c r="D245" s="36" t="s">
        <v>1692</v>
      </c>
      <c r="E245" s="87" t="s">
        <v>2380</v>
      </c>
      <c r="F245" s="10"/>
      <c r="G245" s="23" t="s">
        <v>2370</v>
      </c>
      <c r="H245" s="169" t="s">
        <v>1758</v>
      </c>
      <c r="I245" s="23" t="s">
        <v>895</v>
      </c>
      <c r="J245" s="61" t="s">
        <v>1926</v>
      </c>
      <c r="K245" s="232" t="s">
        <v>1822</v>
      </c>
      <c r="L245" s="23" t="s">
        <v>19</v>
      </c>
      <c r="M245" s="23" t="s">
        <v>253</v>
      </c>
      <c r="N245" s="108">
        <v>21000</v>
      </c>
      <c r="O245" s="102">
        <v>848</v>
      </c>
      <c r="P245" s="90">
        <f>O245*N245</f>
        <v>17808000</v>
      </c>
      <c r="Q245" s="37" t="s">
        <v>2381</v>
      </c>
      <c r="R245" s="23" t="s">
        <v>683</v>
      </c>
      <c r="S245" s="10"/>
      <c r="T245" s="10" t="s">
        <v>1058</v>
      </c>
      <c r="U245" s="10" t="s">
        <v>1037</v>
      </c>
      <c r="V245" s="10"/>
      <c r="W245" s="23" t="s">
        <v>552</v>
      </c>
      <c r="X245" s="23" t="s">
        <v>1039</v>
      </c>
      <c r="Y245" s="113" t="s">
        <v>1733</v>
      </c>
    </row>
    <row r="246" spans="1:25" ht="13">
      <c r="A246" s="10"/>
      <c r="B246" s="10"/>
      <c r="C246" s="10"/>
      <c r="D246" s="36"/>
      <c r="E246" s="87"/>
      <c r="F246" s="10"/>
      <c r="G246" s="23"/>
      <c r="H246" s="23"/>
      <c r="I246" s="23"/>
      <c r="J246" s="61"/>
      <c r="K246" s="232"/>
      <c r="L246" s="23"/>
      <c r="M246" s="23"/>
      <c r="N246" s="108"/>
      <c r="O246" s="266"/>
      <c r="P246" s="90"/>
      <c r="Q246" s="37"/>
      <c r="R246" s="23"/>
      <c r="S246" s="10"/>
      <c r="T246" s="10"/>
      <c r="U246" s="10"/>
      <c r="V246" s="10"/>
      <c r="W246" s="23"/>
      <c r="X246" s="23"/>
      <c r="Y246" s="113"/>
    </row>
    <row r="247" spans="1:25" ht="56">
      <c r="A247" s="10" t="s">
        <v>2382</v>
      </c>
      <c r="B247" s="10" t="s">
        <v>914</v>
      </c>
      <c r="C247" s="10" t="s">
        <v>318</v>
      </c>
      <c r="D247" s="10" t="s">
        <v>1686</v>
      </c>
      <c r="E247" s="87" t="s">
        <v>1757</v>
      </c>
      <c r="F247" s="10"/>
      <c r="G247" s="23" t="s">
        <v>2370</v>
      </c>
      <c r="H247" s="169" t="s">
        <v>1758</v>
      </c>
      <c r="I247" s="23" t="s">
        <v>895</v>
      </c>
      <c r="J247" s="61" t="s">
        <v>1926</v>
      </c>
      <c r="K247" s="232" t="s">
        <v>1822</v>
      </c>
      <c r="L247" s="23" t="s">
        <v>19</v>
      </c>
      <c r="M247" s="23" t="s">
        <v>248</v>
      </c>
      <c r="N247" s="108">
        <v>12500</v>
      </c>
      <c r="O247" s="102">
        <f t="shared" ref="O247:O248" si="6">225/2</f>
        <v>112.5</v>
      </c>
      <c r="P247" s="90">
        <f>O247*N247</f>
        <v>1406250</v>
      </c>
      <c r="Q247" s="37" t="s">
        <v>2383</v>
      </c>
      <c r="R247" s="23" t="s">
        <v>884</v>
      </c>
      <c r="S247" s="260"/>
      <c r="T247" s="10"/>
      <c r="U247" s="10"/>
      <c r="V247" s="10"/>
      <c r="W247" s="23" t="s">
        <v>552</v>
      </c>
      <c r="X247" s="23" t="s">
        <v>1039</v>
      </c>
      <c r="Y247" s="113" t="s">
        <v>1733</v>
      </c>
    </row>
    <row r="248" spans="1:25" ht="56">
      <c r="A248" s="10" t="s">
        <v>2382</v>
      </c>
      <c r="B248" s="10" t="s">
        <v>914</v>
      </c>
      <c r="C248" s="10" t="s">
        <v>318</v>
      </c>
      <c r="D248" s="10" t="s">
        <v>1687</v>
      </c>
      <c r="E248" s="10" t="s">
        <v>2384</v>
      </c>
      <c r="F248" s="10"/>
      <c r="G248" s="23" t="s">
        <v>2370</v>
      </c>
      <c r="H248" s="169" t="s">
        <v>1758</v>
      </c>
      <c r="I248" s="23" t="s">
        <v>895</v>
      </c>
      <c r="J248" s="61" t="s">
        <v>1926</v>
      </c>
      <c r="K248" s="232" t="s">
        <v>1822</v>
      </c>
      <c r="L248" s="23" t="s">
        <v>19</v>
      </c>
      <c r="M248" s="23" t="s">
        <v>248</v>
      </c>
      <c r="N248" s="108">
        <v>12500</v>
      </c>
      <c r="O248" s="102">
        <f t="shared" si="6"/>
        <v>112.5</v>
      </c>
      <c r="P248" s="90">
        <f>O248*N248</f>
        <v>1406250</v>
      </c>
      <c r="Q248" s="37" t="s">
        <v>2385</v>
      </c>
      <c r="R248" s="103" t="s">
        <v>884</v>
      </c>
      <c r="S248" s="10"/>
      <c r="T248" s="10"/>
      <c r="U248" s="10"/>
      <c r="V248" s="10"/>
      <c r="W248" s="23" t="s">
        <v>552</v>
      </c>
      <c r="X248" s="23" t="s">
        <v>1039</v>
      </c>
      <c r="Y248" s="113" t="s">
        <v>1733</v>
      </c>
    </row>
    <row r="249" spans="1:25" ht="56">
      <c r="A249" s="10" t="s">
        <v>2382</v>
      </c>
      <c r="B249" s="10" t="s">
        <v>914</v>
      </c>
      <c r="C249" s="10" t="s">
        <v>318</v>
      </c>
      <c r="D249" s="10" t="s">
        <v>2386</v>
      </c>
      <c r="E249" s="10" t="s">
        <v>2387</v>
      </c>
      <c r="F249" s="10"/>
      <c r="G249" s="23" t="s">
        <v>2370</v>
      </c>
      <c r="H249" s="169" t="s">
        <v>1758</v>
      </c>
      <c r="I249" s="23" t="s">
        <v>895</v>
      </c>
      <c r="J249" s="61" t="s">
        <v>1926</v>
      </c>
      <c r="K249" s="232" t="s">
        <v>1822</v>
      </c>
      <c r="L249" s="23" t="s">
        <v>19</v>
      </c>
      <c r="M249" s="23" t="s">
        <v>248</v>
      </c>
      <c r="N249" s="90">
        <v>12500</v>
      </c>
      <c r="O249" s="90">
        <v>511</v>
      </c>
      <c r="P249" s="90">
        <f>O249*N249</f>
        <v>6387500</v>
      </c>
      <c r="Q249" s="37" t="s">
        <v>2388</v>
      </c>
      <c r="R249" s="103" t="s">
        <v>683</v>
      </c>
      <c r="S249" s="10"/>
      <c r="T249" s="10"/>
      <c r="U249" s="10"/>
      <c r="V249" s="10"/>
      <c r="W249" s="23" t="s">
        <v>552</v>
      </c>
      <c r="X249" s="23" t="s">
        <v>1039</v>
      </c>
      <c r="Y249" s="113" t="s">
        <v>1733</v>
      </c>
    </row>
    <row r="250" spans="1:25" ht="56">
      <c r="A250" s="10" t="s">
        <v>2382</v>
      </c>
      <c r="B250" s="10" t="s">
        <v>914</v>
      </c>
      <c r="C250" s="10" t="s">
        <v>318</v>
      </c>
      <c r="D250" s="10" t="s">
        <v>2389</v>
      </c>
      <c r="E250" s="87" t="s">
        <v>1757</v>
      </c>
      <c r="F250" s="10"/>
      <c r="G250" s="23" t="s">
        <v>2370</v>
      </c>
      <c r="H250" s="169" t="s">
        <v>1758</v>
      </c>
      <c r="I250" s="23" t="s">
        <v>895</v>
      </c>
      <c r="J250" s="61" t="s">
        <v>1926</v>
      </c>
      <c r="K250" s="232" t="s">
        <v>1822</v>
      </c>
      <c r="L250" s="23" t="s">
        <v>19</v>
      </c>
      <c r="M250" s="23" t="s">
        <v>248</v>
      </c>
      <c r="N250" s="90">
        <v>15000</v>
      </c>
      <c r="O250" s="90">
        <v>358</v>
      </c>
      <c r="P250" s="90">
        <f>O250*N250</f>
        <v>5370000</v>
      </c>
      <c r="Q250" s="37" t="s">
        <v>2390</v>
      </c>
      <c r="R250" s="103" t="s">
        <v>683</v>
      </c>
      <c r="S250" s="10"/>
      <c r="T250" s="10"/>
      <c r="U250" s="10"/>
      <c r="V250" s="10"/>
      <c r="W250" s="23" t="s">
        <v>552</v>
      </c>
      <c r="X250" s="23" t="s">
        <v>1039</v>
      </c>
      <c r="Y250" s="113" t="s">
        <v>1733</v>
      </c>
    </row>
    <row r="251" spans="1:25" ht="56">
      <c r="A251" s="10" t="s">
        <v>2382</v>
      </c>
      <c r="B251" s="10" t="s">
        <v>914</v>
      </c>
      <c r="C251" s="10" t="s">
        <v>318</v>
      </c>
      <c r="D251" s="10" t="s">
        <v>1689</v>
      </c>
      <c r="E251" s="10" t="s">
        <v>2384</v>
      </c>
      <c r="F251" s="10"/>
      <c r="G251" s="23" t="s">
        <v>2370</v>
      </c>
      <c r="H251" s="169" t="s">
        <v>1758</v>
      </c>
      <c r="I251" s="23" t="s">
        <v>895</v>
      </c>
      <c r="J251" s="61" t="s">
        <v>1926</v>
      </c>
      <c r="K251" s="232" t="s">
        <v>1822</v>
      </c>
      <c r="L251" s="23" t="s">
        <v>19</v>
      </c>
      <c r="M251" s="23" t="s">
        <v>248</v>
      </c>
      <c r="N251" s="90">
        <v>15000</v>
      </c>
      <c r="O251" s="90">
        <v>323</v>
      </c>
      <c r="P251" s="90">
        <f>O251*N251</f>
        <v>4845000</v>
      </c>
      <c r="Q251" s="37" t="s">
        <v>2391</v>
      </c>
      <c r="R251" s="103" t="s">
        <v>683</v>
      </c>
      <c r="S251" s="10"/>
      <c r="T251" s="10"/>
      <c r="U251" s="10"/>
      <c r="V251" s="10"/>
      <c r="W251" s="23" t="s">
        <v>552</v>
      </c>
      <c r="X251" s="23" t="s">
        <v>1039</v>
      </c>
      <c r="Y251" s="113" t="s">
        <v>1733</v>
      </c>
    </row>
    <row r="252" spans="1:25" ht="56">
      <c r="A252" s="10" t="s">
        <v>2382</v>
      </c>
      <c r="B252" s="10" t="s">
        <v>914</v>
      </c>
      <c r="C252" s="10" t="s">
        <v>318</v>
      </c>
      <c r="D252" s="126" t="s">
        <v>850</v>
      </c>
      <c r="E252" s="10" t="s">
        <v>2387</v>
      </c>
      <c r="F252" s="246"/>
      <c r="G252" s="23" t="s">
        <v>2370</v>
      </c>
      <c r="H252" s="169" t="s">
        <v>1758</v>
      </c>
      <c r="I252" s="23" t="s">
        <v>895</v>
      </c>
      <c r="J252" s="61" t="s">
        <v>1926</v>
      </c>
      <c r="K252" s="232" t="s">
        <v>1822</v>
      </c>
      <c r="L252" s="23" t="s">
        <v>19</v>
      </c>
      <c r="M252" s="23" t="s">
        <v>248</v>
      </c>
      <c r="N252" s="102">
        <v>15000</v>
      </c>
      <c r="O252" s="102">
        <v>586</v>
      </c>
      <c r="P252" s="90">
        <f>O252*N252</f>
        <v>8790000</v>
      </c>
      <c r="Q252" s="37" t="s">
        <v>2392</v>
      </c>
      <c r="R252" s="302" t="s">
        <v>683</v>
      </c>
      <c r="S252" s="40"/>
      <c r="T252" s="40"/>
      <c r="U252" s="40"/>
      <c r="V252" s="40"/>
      <c r="W252" s="23" t="s">
        <v>552</v>
      </c>
      <c r="X252" s="23" t="s">
        <v>1039</v>
      </c>
      <c r="Y252" s="113" t="s">
        <v>1733</v>
      </c>
    </row>
    <row r="253" spans="1:25" ht="56">
      <c r="A253" s="10" t="s">
        <v>2382</v>
      </c>
      <c r="B253" s="10" t="s">
        <v>914</v>
      </c>
      <c r="C253" s="10" t="s">
        <v>318</v>
      </c>
      <c r="D253" s="126" t="s">
        <v>2393</v>
      </c>
      <c r="E253" s="291" t="s">
        <v>2394</v>
      </c>
      <c r="F253" s="246"/>
      <c r="G253" s="23" t="s">
        <v>2370</v>
      </c>
      <c r="H253" s="169" t="s">
        <v>1758</v>
      </c>
      <c r="I253" s="23" t="s">
        <v>895</v>
      </c>
      <c r="J253" s="61" t="s">
        <v>1926</v>
      </c>
      <c r="K253" s="232" t="s">
        <v>1822</v>
      </c>
      <c r="L253" s="23" t="s">
        <v>834</v>
      </c>
      <c r="M253" s="246" t="s">
        <v>248</v>
      </c>
      <c r="N253" s="102">
        <v>15000</v>
      </c>
      <c r="O253" s="102">
        <v>111</v>
      </c>
      <c r="P253" s="90">
        <f>O253*N253</f>
        <v>1665000</v>
      </c>
      <c r="Q253" s="37" t="s">
        <v>2395</v>
      </c>
      <c r="R253" s="302" t="s">
        <v>683</v>
      </c>
      <c r="S253" s="40"/>
      <c r="T253" s="40"/>
      <c r="U253" s="40"/>
      <c r="V253" s="40"/>
      <c r="W253" s="23" t="s">
        <v>552</v>
      </c>
      <c r="X253" s="23" t="s">
        <v>1039</v>
      </c>
      <c r="Y253" s="113" t="s">
        <v>1733</v>
      </c>
    </row>
    <row r="254" spans="1:25" ht="56">
      <c r="A254" s="10" t="s">
        <v>2382</v>
      </c>
      <c r="B254" s="10" t="s">
        <v>914</v>
      </c>
      <c r="C254" s="10" t="s">
        <v>318</v>
      </c>
      <c r="D254" s="126" t="s">
        <v>1690</v>
      </c>
      <c r="E254" s="10" t="s">
        <v>2384</v>
      </c>
      <c r="F254" s="246"/>
      <c r="G254" s="23" t="s">
        <v>2370</v>
      </c>
      <c r="H254" s="169" t="s">
        <v>1758</v>
      </c>
      <c r="I254" s="23" t="s">
        <v>895</v>
      </c>
      <c r="J254" s="61" t="s">
        <v>1926</v>
      </c>
      <c r="K254" s="232" t="s">
        <v>1822</v>
      </c>
      <c r="L254" s="23" t="s">
        <v>19</v>
      </c>
      <c r="M254" s="246" t="s">
        <v>248</v>
      </c>
      <c r="N254" s="102">
        <v>15000</v>
      </c>
      <c r="O254" s="102">
        <v>237</v>
      </c>
      <c r="P254" s="90">
        <f>O254*N254</f>
        <v>3555000</v>
      </c>
      <c r="Q254" s="37" t="s">
        <v>2396</v>
      </c>
      <c r="R254" s="302" t="s">
        <v>683</v>
      </c>
      <c r="S254" s="40"/>
      <c r="T254" s="40"/>
      <c r="U254" s="40"/>
      <c r="V254" s="40"/>
      <c r="W254" s="23" t="s">
        <v>552</v>
      </c>
      <c r="X254" s="23" t="s">
        <v>1039</v>
      </c>
      <c r="Y254" s="113" t="s">
        <v>1733</v>
      </c>
    </row>
    <row r="255" spans="1:25" ht="13">
      <c r="A255" s="65"/>
      <c r="B255" s="65"/>
      <c r="C255" s="65"/>
      <c r="D255" s="126"/>
      <c r="E255" s="126"/>
      <c r="F255" s="246"/>
      <c r="G255" s="246"/>
      <c r="H255" s="185"/>
      <c r="I255" s="185"/>
      <c r="J255" s="246"/>
      <c r="K255" s="246"/>
      <c r="L255" s="247"/>
      <c r="M255" s="246"/>
      <c r="N255" s="102"/>
      <c r="O255" s="102"/>
      <c r="P255" s="102"/>
      <c r="Q255" s="250"/>
      <c r="R255" s="302"/>
      <c r="S255" s="40"/>
      <c r="T255" s="40"/>
      <c r="U255" s="40"/>
      <c r="V255" s="40"/>
      <c r="W255" s="185"/>
      <c r="X255" s="185"/>
      <c r="Y255" s="246"/>
    </row>
    <row r="256" spans="1:25" ht="56">
      <c r="A256" s="126" t="s">
        <v>2397</v>
      </c>
      <c r="B256" s="65"/>
      <c r="C256" s="65"/>
      <c r="D256" s="126" t="s">
        <v>2398</v>
      </c>
      <c r="E256" s="291" t="s">
        <v>2399</v>
      </c>
      <c r="F256" s="315" t="s">
        <v>2400</v>
      </c>
      <c r="G256" s="246" t="s">
        <v>2401</v>
      </c>
      <c r="H256" s="294" t="s">
        <v>2402</v>
      </c>
      <c r="I256" s="185" t="s">
        <v>891</v>
      </c>
      <c r="J256" s="246" t="s">
        <v>1937</v>
      </c>
      <c r="K256" s="316">
        <v>46507</v>
      </c>
      <c r="L256" s="247" t="s">
        <v>834</v>
      </c>
      <c r="M256" s="246" t="s">
        <v>799</v>
      </c>
      <c r="N256" s="102"/>
      <c r="O256" s="102"/>
      <c r="P256" s="102">
        <v>1800000</v>
      </c>
      <c r="Q256" s="37" t="s">
        <v>2403</v>
      </c>
      <c r="R256" s="302" t="s">
        <v>790</v>
      </c>
      <c r="S256" s="40"/>
      <c r="T256" s="40"/>
      <c r="U256" s="40"/>
      <c r="V256" s="40"/>
      <c r="W256" s="185"/>
      <c r="X256" s="185" t="s">
        <v>1714</v>
      </c>
      <c r="Y256" s="246" t="s">
        <v>2034</v>
      </c>
    </row>
    <row r="257" spans="1:26" ht="13">
      <c r="A257" s="41"/>
      <c r="B257" s="41"/>
      <c r="C257" s="41"/>
      <c r="D257" s="10"/>
      <c r="E257" s="10"/>
      <c r="F257" s="10"/>
      <c r="G257" s="10"/>
      <c r="H257" s="41"/>
      <c r="I257" s="41"/>
      <c r="J257" s="10"/>
      <c r="K257" s="10"/>
      <c r="L257" s="179"/>
      <c r="M257" s="10"/>
      <c r="N257" s="90"/>
      <c r="O257" s="90"/>
      <c r="P257" s="90"/>
      <c r="Q257" s="10"/>
      <c r="R257" s="103"/>
      <c r="S257" s="10"/>
      <c r="T257" s="10"/>
      <c r="U257" s="10"/>
      <c r="V257" s="10"/>
      <c r="W257" s="112"/>
      <c r="X257" s="112"/>
      <c r="Y257" s="103"/>
    </row>
    <row r="258" spans="1:26" ht="13">
      <c r="A258" s="126" t="s">
        <v>2404</v>
      </c>
      <c r="B258" s="36"/>
      <c r="C258" s="87"/>
      <c r="D258" s="36"/>
      <c r="E258" s="87"/>
      <c r="F258" s="103"/>
      <c r="G258" s="103"/>
      <c r="H258" s="103"/>
      <c r="I258" s="23"/>
      <c r="J258" s="23"/>
      <c r="K258" s="23"/>
      <c r="L258" s="131"/>
      <c r="M258" s="23"/>
      <c r="N258" s="108"/>
      <c r="O258" s="129"/>
      <c r="P258" s="108"/>
      <c r="Q258" s="37"/>
      <c r="R258" s="113"/>
      <c r="S258" s="10"/>
      <c r="T258" s="10"/>
      <c r="U258" s="10"/>
      <c r="V258" s="36"/>
      <c r="W258" s="23"/>
      <c r="X258" s="23"/>
      <c r="Y258" s="23"/>
    </row>
    <row r="259" spans="1:26" ht="13">
      <c r="A259" s="290"/>
      <c r="B259" s="41"/>
      <c r="C259" s="41"/>
      <c r="D259" s="10"/>
      <c r="E259" s="10"/>
      <c r="F259" s="10"/>
      <c r="G259" s="10"/>
      <c r="H259" s="41"/>
      <c r="I259" s="112"/>
      <c r="J259" s="103"/>
      <c r="K259" s="103"/>
      <c r="L259" s="131"/>
      <c r="M259" s="23"/>
      <c r="N259" s="90"/>
      <c r="O259" s="90"/>
      <c r="P259" s="90"/>
      <c r="Q259" s="10"/>
      <c r="R259" s="114"/>
      <c r="S259" s="10"/>
      <c r="T259" s="10"/>
      <c r="U259" s="10"/>
      <c r="V259" s="10"/>
      <c r="W259" s="112"/>
      <c r="X259" s="112"/>
      <c r="Y259" s="103"/>
    </row>
    <row r="260" spans="1:26" ht="56">
      <c r="A260" s="65" t="s">
        <v>2405</v>
      </c>
      <c r="B260" s="41" t="s">
        <v>1702</v>
      </c>
      <c r="C260" s="41" t="s">
        <v>2406</v>
      </c>
      <c r="D260" s="221" t="s">
        <v>2407</v>
      </c>
      <c r="E260" s="37" t="s">
        <v>2408</v>
      </c>
      <c r="F260" s="23" t="s">
        <v>1710</v>
      </c>
      <c r="G260" s="23" t="s">
        <v>1710</v>
      </c>
      <c r="H260" s="205" t="s">
        <v>1762</v>
      </c>
      <c r="I260" s="61" t="s">
        <v>891</v>
      </c>
      <c r="J260" s="23" t="s">
        <v>1926</v>
      </c>
      <c r="K260" s="23" t="s">
        <v>887</v>
      </c>
      <c r="L260" s="131" t="s">
        <v>19</v>
      </c>
      <c r="M260" s="23" t="s">
        <v>253</v>
      </c>
      <c r="N260" s="108">
        <v>32000</v>
      </c>
      <c r="O260" s="108">
        <v>110</v>
      </c>
      <c r="P260" s="108">
        <f>O260*N260</f>
        <v>3520000</v>
      </c>
      <c r="Q260" s="37" t="s">
        <v>2409</v>
      </c>
      <c r="R260" s="23" t="s">
        <v>884</v>
      </c>
      <c r="S260" s="10"/>
      <c r="T260" s="10" t="s">
        <v>1058</v>
      </c>
      <c r="U260" s="10" t="s">
        <v>1037</v>
      </c>
      <c r="V260" s="10"/>
      <c r="W260" s="61" t="s">
        <v>1744</v>
      </c>
      <c r="X260" s="61" t="s">
        <v>1257</v>
      </c>
      <c r="Y260" s="23" t="s">
        <v>1770</v>
      </c>
    </row>
    <row r="261" spans="1:26" ht="13">
      <c r="A261" s="65"/>
      <c r="B261" s="41"/>
      <c r="C261" s="41"/>
      <c r="D261" s="10"/>
      <c r="E261" s="37"/>
      <c r="F261" s="10"/>
      <c r="G261" s="23"/>
      <c r="H261" s="61"/>
      <c r="I261" s="61"/>
      <c r="J261" s="23"/>
      <c r="K261" s="23"/>
      <c r="L261" s="131"/>
      <c r="M261" s="23"/>
      <c r="N261" s="108"/>
      <c r="O261" s="90"/>
      <c r="P261" s="108"/>
      <c r="Q261" s="37"/>
      <c r="R261" s="23"/>
      <c r="S261" s="10"/>
      <c r="T261" s="10"/>
      <c r="U261" s="10"/>
      <c r="V261" s="10"/>
      <c r="W261" s="61"/>
      <c r="X261" s="61"/>
      <c r="Y261" s="23"/>
    </row>
    <row r="262" spans="1:26" ht="58.5" customHeight="1">
      <c r="A262" s="65" t="s">
        <v>2410</v>
      </c>
      <c r="B262" s="41" t="s">
        <v>2110</v>
      </c>
      <c r="C262" s="41"/>
      <c r="D262" s="36" t="s">
        <v>831</v>
      </c>
      <c r="E262" s="37" t="s">
        <v>1782</v>
      </c>
      <c r="F262" s="10" t="s">
        <v>832</v>
      </c>
      <c r="G262" s="113" t="s">
        <v>2411</v>
      </c>
      <c r="H262" s="205" t="s">
        <v>2111</v>
      </c>
      <c r="I262" s="61" t="s">
        <v>833</v>
      </c>
      <c r="J262" s="23" t="s">
        <v>1937</v>
      </c>
      <c r="K262" s="175">
        <v>46356</v>
      </c>
      <c r="L262" s="131" t="s">
        <v>940</v>
      </c>
      <c r="M262" s="23" t="s">
        <v>253</v>
      </c>
      <c r="N262" s="108">
        <v>480000</v>
      </c>
      <c r="O262" s="108">
        <v>759</v>
      </c>
      <c r="P262" s="108">
        <f>O262*N262/4</f>
        <v>91080000</v>
      </c>
      <c r="Q262" s="37" t="s">
        <v>2412</v>
      </c>
      <c r="R262" s="23" t="s">
        <v>315</v>
      </c>
      <c r="S262" s="10"/>
      <c r="T262" s="10" t="s">
        <v>1697</v>
      </c>
      <c r="U262" s="10" t="s">
        <v>1037</v>
      </c>
      <c r="V262" s="10"/>
      <c r="W262" s="61" t="s">
        <v>1117</v>
      </c>
      <c r="X262" s="61" t="s">
        <v>1300</v>
      </c>
      <c r="Y262" s="23" t="s">
        <v>1752</v>
      </c>
    </row>
    <row r="263" spans="1:26" ht="13">
      <c r="A263" s="41"/>
      <c r="B263" s="41"/>
      <c r="C263" s="41"/>
      <c r="D263" s="10"/>
      <c r="E263" s="10"/>
      <c r="F263" s="10"/>
      <c r="G263" s="10"/>
      <c r="H263" s="41"/>
      <c r="I263" s="112"/>
      <c r="J263" s="103"/>
      <c r="K263" s="103"/>
      <c r="L263" s="131"/>
      <c r="M263" s="23"/>
      <c r="N263" s="90"/>
      <c r="O263" s="90"/>
      <c r="P263" s="90"/>
      <c r="Q263" s="10"/>
      <c r="R263" s="10"/>
      <c r="S263" s="10"/>
      <c r="T263" s="10"/>
      <c r="U263" s="10"/>
      <c r="V263" s="10"/>
      <c r="W263" s="112"/>
      <c r="X263" s="112"/>
      <c r="Y263" s="103"/>
    </row>
    <row r="264" spans="1:26" ht="56">
      <c r="A264" s="41" t="s">
        <v>2413</v>
      </c>
      <c r="B264" s="41" t="s">
        <v>2262</v>
      </c>
      <c r="C264" s="41" t="s">
        <v>434</v>
      </c>
      <c r="D264" s="10" t="s">
        <v>1057</v>
      </c>
      <c r="E264" s="37" t="s">
        <v>2414</v>
      </c>
      <c r="F264" s="10" t="s">
        <v>2415</v>
      </c>
      <c r="G264" s="37" t="s">
        <v>2415</v>
      </c>
      <c r="H264" s="220" t="s">
        <v>2416</v>
      </c>
      <c r="I264" s="112" t="s">
        <v>891</v>
      </c>
      <c r="J264" s="103" t="s">
        <v>1937</v>
      </c>
      <c r="K264" s="103" t="s">
        <v>887</v>
      </c>
      <c r="L264" s="131" t="s">
        <v>834</v>
      </c>
      <c r="M264" s="23" t="s">
        <v>799</v>
      </c>
      <c r="N264" s="90">
        <v>65000</v>
      </c>
      <c r="O264" s="90">
        <v>55</v>
      </c>
      <c r="P264" s="90">
        <f>O264*N264</f>
        <v>3575000</v>
      </c>
      <c r="Q264" s="241" t="s">
        <v>2417</v>
      </c>
      <c r="R264" s="103" t="s">
        <v>790</v>
      </c>
      <c r="S264" s="10"/>
      <c r="T264" s="10" t="s">
        <v>1058</v>
      </c>
      <c r="U264" s="10" t="s">
        <v>1037</v>
      </c>
      <c r="V264" s="10"/>
      <c r="W264" s="112"/>
      <c r="X264" s="112" t="s">
        <v>1279</v>
      </c>
      <c r="Y264" s="103" t="s">
        <v>1704</v>
      </c>
    </row>
    <row r="265" spans="1:26" ht="56">
      <c r="A265" s="41" t="s">
        <v>2413</v>
      </c>
      <c r="B265" s="41" t="s">
        <v>2262</v>
      </c>
      <c r="C265" s="41" t="s">
        <v>434</v>
      </c>
      <c r="D265" s="10" t="s">
        <v>1059</v>
      </c>
      <c r="E265" s="37" t="s">
        <v>2414</v>
      </c>
      <c r="F265" s="10" t="s">
        <v>2263</v>
      </c>
      <c r="G265" s="10" t="s">
        <v>2263</v>
      </c>
      <c r="H265" s="220" t="s">
        <v>2418</v>
      </c>
      <c r="I265" s="112" t="s">
        <v>891</v>
      </c>
      <c r="J265" s="103" t="s">
        <v>1937</v>
      </c>
      <c r="K265" s="103" t="s">
        <v>887</v>
      </c>
      <c r="L265" s="131" t="s">
        <v>834</v>
      </c>
      <c r="M265" s="23" t="s">
        <v>799</v>
      </c>
      <c r="N265" s="90">
        <v>165000</v>
      </c>
      <c r="O265" s="90">
        <v>167</v>
      </c>
      <c r="P265" s="90">
        <f>O265*N265</f>
        <v>27555000</v>
      </c>
      <c r="Q265" s="241" t="s">
        <v>2419</v>
      </c>
      <c r="R265" s="103" t="s">
        <v>790</v>
      </c>
      <c r="S265" s="10"/>
      <c r="T265" s="10" t="s">
        <v>1697</v>
      </c>
      <c r="U265" s="10" t="s">
        <v>1037</v>
      </c>
      <c r="V265" s="10"/>
      <c r="W265" s="112"/>
      <c r="X265" s="112" t="s">
        <v>1279</v>
      </c>
      <c r="Y265" s="103" t="s">
        <v>1704</v>
      </c>
    </row>
    <row r="266" spans="1:26" ht="13">
      <c r="A266" s="41"/>
      <c r="B266" s="41"/>
      <c r="C266" s="41"/>
      <c r="D266" s="10"/>
      <c r="E266" s="10"/>
      <c r="F266" s="10"/>
      <c r="G266" s="10"/>
      <c r="H266" s="41"/>
      <c r="I266" s="61"/>
      <c r="J266" s="61"/>
      <c r="K266" s="61"/>
      <c r="L266" s="131"/>
      <c r="M266" s="23"/>
      <c r="N266" s="90"/>
      <c r="O266" s="90"/>
      <c r="P266" s="90"/>
      <c r="Q266" s="10"/>
      <c r="R266" s="10"/>
      <c r="S266" s="10"/>
      <c r="T266" s="10"/>
      <c r="U266" s="10"/>
      <c r="V266" s="10"/>
      <c r="W266" s="112"/>
      <c r="X266" s="112"/>
      <c r="Y266" s="103"/>
    </row>
    <row r="267" spans="1:26" ht="56">
      <c r="A267" s="41" t="s">
        <v>2420</v>
      </c>
      <c r="B267" s="41"/>
      <c r="C267" s="41"/>
      <c r="D267" s="10" t="s">
        <v>836</v>
      </c>
      <c r="E267" s="37" t="s">
        <v>1780</v>
      </c>
      <c r="F267" s="10" t="s">
        <v>2083</v>
      </c>
      <c r="G267" s="10" t="s">
        <v>2083</v>
      </c>
      <c r="H267" s="220" t="s">
        <v>1781</v>
      </c>
      <c r="I267" s="112" t="s">
        <v>895</v>
      </c>
      <c r="J267" s="103" t="s">
        <v>1937</v>
      </c>
      <c r="K267" s="103" t="s">
        <v>2421</v>
      </c>
      <c r="L267" s="131" t="s">
        <v>19</v>
      </c>
      <c r="M267" s="23" t="s">
        <v>248</v>
      </c>
      <c r="N267" s="90"/>
      <c r="O267" s="90"/>
      <c r="P267" s="90">
        <v>1500000</v>
      </c>
      <c r="Q267" s="241" t="s">
        <v>2422</v>
      </c>
      <c r="R267" s="103" t="s">
        <v>884</v>
      </c>
      <c r="S267" s="10"/>
      <c r="T267" s="10"/>
      <c r="U267" s="10"/>
      <c r="V267" s="10"/>
      <c r="W267" s="112" t="s">
        <v>1437</v>
      </c>
      <c r="X267" s="112" t="s">
        <v>1734</v>
      </c>
      <c r="Y267" s="103" t="s">
        <v>1736</v>
      </c>
    </row>
    <row r="268" spans="1:26" ht="13">
      <c r="A268" s="41"/>
      <c r="B268" s="41"/>
      <c r="C268" s="41"/>
      <c r="D268" s="10"/>
      <c r="E268" s="10"/>
      <c r="F268" s="10"/>
      <c r="G268" s="10"/>
      <c r="H268" s="41"/>
      <c r="I268" s="61"/>
      <c r="J268" s="61"/>
      <c r="K268" s="61"/>
      <c r="L268" s="131"/>
      <c r="M268" s="23"/>
      <c r="N268" s="90"/>
      <c r="O268" s="90"/>
      <c r="P268" s="90"/>
      <c r="Q268" s="10"/>
      <c r="R268" s="10"/>
      <c r="S268" s="10"/>
      <c r="T268" s="10"/>
      <c r="U268" s="10"/>
      <c r="V268" s="10"/>
      <c r="W268" s="112"/>
      <c r="X268" s="112"/>
      <c r="Y268" s="103"/>
    </row>
    <row r="269" spans="1:26" ht="42">
      <c r="A269" s="317" t="s">
        <v>2423</v>
      </c>
      <c r="B269" s="9" t="s">
        <v>2424</v>
      </c>
      <c r="C269" s="9" t="s">
        <v>2425</v>
      </c>
      <c r="D269" s="120" t="s">
        <v>223</v>
      </c>
      <c r="E269" s="196" t="s">
        <v>2426</v>
      </c>
      <c r="F269" s="23"/>
      <c r="G269" s="23" t="s">
        <v>2427</v>
      </c>
      <c r="H269" s="205" t="s">
        <v>2428</v>
      </c>
      <c r="I269" s="61" t="s">
        <v>891</v>
      </c>
      <c r="J269" s="23" t="s">
        <v>1937</v>
      </c>
      <c r="K269" s="23" t="s">
        <v>887</v>
      </c>
      <c r="L269" s="131" t="s">
        <v>940</v>
      </c>
      <c r="M269" s="23" t="s">
        <v>799</v>
      </c>
      <c r="N269" s="108">
        <v>125000</v>
      </c>
      <c r="O269" s="108">
        <v>6</v>
      </c>
      <c r="P269" s="108">
        <f>O269*N269</f>
        <v>750000</v>
      </c>
      <c r="Q269" s="241" t="s">
        <v>2429</v>
      </c>
      <c r="R269" s="23" t="s">
        <v>2430</v>
      </c>
      <c r="S269" s="23"/>
      <c r="T269" s="10" t="s">
        <v>1697</v>
      </c>
      <c r="U269" s="10" t="s">
        <v>1037</v>
      </c>
      <c r="V269" s="23"/>
      <c r="W269" s="61"/>
      <c r="X269" s="61" t="s">
        <v>1279</v>
      </c>
      <c r="Y269" s="23" t="s">
        <v>1704</v>
      </c>
      <c r="Z269" s="128"/>
    </row>
    <row r="270" spans="1:26" ht="42">
      <c r="A270" s="317" t="s">
        <v>2423</v>
      </c>
      <c r="B270" s="9" t="s">
        <v>2424</v>
      </c>
      <c r="C270" s="9" t="s">
        <v>2425</v>
      </c>
      <c r="D270" s="120" t="s">
        <v>73</v>
      </c>
      <c r="E270" s="196" t="s">
        <v>2426</v>
      </c>
      <c r="F270" s="23"/>
      <c r="G270" s="23" t="s">
        <v>2427</v>
      </c>
      <c r="H270" s="205" t="s">
        <v>2428</v>
      </c>
      <c r="I270" s="61" t="s">
        <v>891</v>
      </c>
      <c r="J270" s="23" t="s">
        <v>1937</v>
      </c>
      <c r="K270" s="23" t="s">
        <v>887</v>
      </c>
      <c r="L270" s="131" t="s">
        <v>940</v>
      </c>
      <c r="M270" s="23" t="s">
        <v>799</v>
      </c>
      <c r="N270" s="108">
        <v>125000</v>
      </c>
      <c r="O270" s="108">
        <v>60</v>
      </c>
      <c r="P270" s="108">
        <f>O270*N270</f>
        <v>7500000</v>
      </c>
      <c r="Q270" s="241" t="s">
        <v>2431</v>
      </c>
      <c r="R270" s="23" t="s">
        <v>2430</v>
      </c>
      <c r="S270" s="23"/>
      <c r="T270" s="23"/>
      <c r="U270" s="120"/>
      <c r="V270" s="23"/>
      <c r="W270" s="61"/>
      <c r="X270" s="61" t="s">
        <v>1279</v>
      </c>
      <c r="Y270" s="23" t="s">
        <v>1704</v>
      </c>
      <c r="Z270" s="128"/>
    </row>
    <row r="271" spans="1:26" ht="42">
      <c r="A271" s="317" t="s">
        <v>2423</v>
      </c>
      <c r="B271" s="9" t="s">
        <v>2424</v>
      </c>
      <c r="C271" s="9" t="s">
        <v>2425</v>
      </c>
      <c r="D271" s="120" t="s">
        <v>169</v>
      </c>
      <c r="E271" s="196" t="s">
        <v>2426</v>
      </c>
      <c r="F271" s="23"/>
      <c r="G271" s="23" t="s">
        <v>2427</v>
      </c>
      <c r="H271" s="205" t="s">
        <v>2428</v>
      </c>
      <c r="I271" s="61" t="s">
        <v>891</v>
      </c>
      <c r="J271" s="23" t="s">
        <v>1937</v>
      </c>
      <c r="K271" s="23" t="s">
        <v>887</v>
      </c>
      <c r="L271" s="131" t="s">
        <v>940</v>
      </c>
      <c r="M271" s="23" t="s">
        <v>799</v>
      </c>
      <c r="N271" s="108">
        <v>125000</v>
      </c>
      <c r="O271" s="108">
        <v>17</v>
      </c>
      <c r="P271" s="108">
        <f>O271*N271</f>
        <v>2125000</v>
      </c>
      <c r="Q271" s="241" t="s">
        <v>2432</v>
      </c>
      <c r="R271" s="23" t="s">
        <v>2430</v>
      </c>
      <c r="S271" s="23"/>
      <c r="T271" s="23"/>
      <c r="U271" s="120"/>
      <c r="V271" s="23"/>
      <c r="W271" s="61"/>
      <c r="X271" s="61" t="s">
        <v>1279</v>
      </c>
      <c r="Y271" s="23" t="s">
        <v>1704</v>
      </c>
      <c r="Z271" s="128"/>
    </row>
    <row r="272" spans="1:26" ht="42">
      <c r="A272" s="317" t="s">
        <v>2423</v>
      </c>
      <c r="B272" s="9" t="s">
        <v>2424</v>
      </c>
      <c r="C272" s="9" t="s">
        <v>2425</v>
      </c>
      <c r="D272" s="120" t="s">
        <v>117</v>
      </c>
      <c r="E272" s="196" t="s">
        <v>2426</v>
      </c>
      <c r="F272" s="23"/>
      <c r="G272" s="23" t="s">
        <v>2427</v>
      </c>
      <c r="H272" s="205" t="s">
        <v>2428</v>
      </c>
      <c r="I272" s="61" t="s">
        <v>891</v>
      </c>
      <c r="J272" s="23" t="s">
        <v>1937</v>
      </c>
      <c r="K272" s="23" t="s">
        <v>887</v>
      </c>
      <c r="L272" s="131" t="s">
        <v>940</v>
      </c>
      <c r="M272" s="23" t="s">
        <v>799</v>
      </c>
      <c r="N272" s="108">
        <v>125000</v>
      </c>
      <c r="O272" s="108">
        <v>15</v>
      </c>
      <c r="P272" s="108">
        <f>O272*N272</f>
        <v>1875000</v>
      </c>
      <c r="Q272" s="241" t="s">
        <v>2433</v>
      </c>
      <c r="R272" s="23" t="s">
        <v>2430</v>
      </c>
      <c r="S272" s="23"/>
      <c r="T272" s="23"/>
      <c r="U272" s="120"/>
      <c r="V272" s="23"/>
      <c r="W272" s="61"/>
      <c r="X272" s="61" t="s">
        <v>1279</v>
      </c>
      <c r="Y272" s="23" t="s">
        <v>1704</v>
      </c>
      <c r="Z272" s="128"/>
    </row>
    <row r="273" spans="1:26" ht="42">
      <c r="A273" s="317" t="s">
        <v>2423</v>
      </c>
      <c r="B273" s="9" t="s">
        <v>2424</v>
      </c>
      <c r="C273" s="9" t="s">
        <v>2425</v>
      </c>
      <c r="D273" s="120" t="s">
        <v>73</v>
      </c>
      <c r="E273" s="196" t="s">
        <v>2426</v>
      </c>
      <c r="F273" s="23"/>
      <c r="G273" s="23" t="s">
        <v>2427</v>
      </c>
      <c r="H273" s="205" t="s">
        <v>2428</v>
      </c>
      <c r="I273" s="61" t="s">
        <v>891</v>
      </c>
      <c r="J273" s="23" t="s">
        <v>1937</v>
      </c>
      <c r="K273" s="23" t="s">
        <v>887</v>
      </c>
      <c r="L273" s="131" t="s">
        <v>940</v>
      </c>
      <c r="M273" s="23" t="s">
        <v>799</v>
      </c>
      <c r="N273" s="108">
        <v>175000</v>
      </c>
      <c r="O273" s="108">
        <v>44</v>
      </c>
      <c r="P273" s="108">
        <f>O273*N273</f>
        <v>7700000</v>
      </c>
      <c r="Q273" s="241" t="s">
        <v>2434</v>
      </c>
      <c r="R273" s="23" t="s">
        <v>790</v>
      </c>
      <c r="S273" s="23"/>
      <c r="T273" s="23"/>
      <c r="U273" s="120"/>
      <c r="V273" s="23"/>
      <c r="W273" s="61"/>
      <c r="X273" s="61" t="s">
        <v>1279</v>
      </c>
      <c r="Y273" s="23" t="s">
        <v>1704</v>
      </c>
      <c r="Z273" s="128"/>
    </row>
    <row r="274" spans="1:26" ht="42">
      <c r="A274" s="317" t="s">
        <v>2423</v>
      </c>
      <c r="B274" s="9" t="s">
        <v>2424</v>
      </c>
      <c r="C274" s="9" t="s">
        <v>2425</v>
      </c>
      <c r="D274" s="120" t="s">
        <v>169</v>
      </c>
      <c r="E274" s="196" t="s">
        <v>2426</v>
      </c>
      <c r="F274" s="23"/>
      <c r="G274" s="23" t="s">
        <v>2427</v>
      </c>
      <c r="H274" s="205" t="s">
        <v>2428</v>
      </c>
      <c r="I274" s="61" t="s">
        <v>891</v>
      </c>
      <c r="J274" s="23" t="s">
        <v>1937</v>
      </c>
      <c r="K274" s="23" t="s">
        <v>887</v>
      </c>
      <c r="L274" s="131" t="s">
        <v>940</v>
      </c>
      <c r="M274" s="23" t="s">
        <v>799</v>
      </c>
      <c r="N274" s="108">
        <v>175000</v>
      </c>
      <c r="O274" s="108">
        <v>7</v>
      </c>
      <c r="P274" s="108">
        <f>O274*N274</f>
        <v>1225000</v>
      </c>
      <c r="Q274" s="241" t="s">
        <v>2435</v>
      </c>
      <c r="R274" s="23" t="s">
        <v>790</v>
      </c>
      <c r="S274" s="23"/>
      <c r="T274" s="23"/>
      <c r="U274" s="120"/>
      <c r="V274" s="23"/>
      <c r="W274" s="61"/>
      <c r="X274" s="61" t="s">
        <v>1279</v>
      </c>
      <c r="Y274" s="23" t="s">
        <v>1704</v>
      </c>
      <c r="Z274" s="128"/>
    </row>
    <row r="275" spans="1:26" ht="42">
      <c r="A275" s="317" t="s">
        <v>2423</v>
      </c>
      <c r="B275" s="9" t="s">
        <v>2424</v>
      </c>
      <c r="C275" s="9" t="s">
        <v>2425</v>
      </c>
      <c r="D275" s="120" t="s">
        <v>117</v>
      </c>
      <c r="E275" s="196" t="s">
        <v>2426</v>
      </c>
      <c r="F275" s="23"/>
      <c r="G275" s="23" t="s">
        <v>2427</v>
      </c>
      <c r="H275" s="205" t="s">
        <v>2428</v>
      </c>
      <c r="I275" s="61" t="s">
        <v>891</v>
      </c>
      <c r="J275" s="23" t="s">
        <v>1937</v>
      </c>
      <c r="K275" s="23" t="s">
        <v>887</v>
      </c>
      <c r="L275" s="131" t="s">
        <v>834</v>
      </c>
      <c r="M275" s="23" t="s">
        <v>799</v>
      </c>
      <c r="N275" s="108">
        <v>175000</v>
      </c>
      <c r="O275" s="108">
        <v>5</v>
      </c>
      <c r="P275" s="108">
        <f>O275*N275</f>
        <v>875000</v>
      </c>
      <c r="Q275" s="241" t="s">
        <v>2436</v>
      </c>
      <c r="R275" s="23" t="s">
        <v>790</v>
      </c>
      <c r="S275" s="23"/>
      <c r="T275" s="23"/>
      <c r="U275" s="120"/>
      <c r="V275" s="23"/>
      <c r="W275" s="61"/>
      <c r="X275" s="61" t="s">
        <v>1279</v>
      </c>
      <c r="Y275" s="23" t="s">
        <v>1704</v>
      </c>
      <c r="Z275" s="128"/>
    </row>
    <row r="276" spans="1:26" ht="13">
      <c r="A276" s="317"/>
      <c r="B276" s="9"/>
      <c r="C276" s="9"/>
      <c r="D276" s="120"/>
      <c r="E276" s="196"/>
      <c r="F276" s="23"/>
      <c r="G276" s="23"/>
      <c r="H276" s="61"/>
      <c r="I276" s="61"/>
      <c r="J276" s="61"/>
      <c r="K276" s="61"/>
      <c r="L276" s="131"/>
      <c r="M276" s="23"/>
      <c r="N276" s="108"/>
      <c r="O276" s="108"/>
      <c r="P276" s="108"/>
      <c r="Q276" s="241"/>
      <c r="R276" s="23"/>
      <c r="S276" s="23"/>
      <c r="T276" s="23"/>
      <c r="U276" s="120"/>
      <c r="V276" s="23"/>
      <c r="W276" s="61"/>
      <c r="X276" s="61"/>
      <c r="Y276" s="23"/>
      <c r="Z276" s="128"/>
    </row>
    <row r="277" spans="1:26" ht="56">
      <c r="A277" s="317" t="s">
        <v>2437</v>
      </c>
      <c r="B277" s="9"/>
      <c r="C277" s="9"/>
      <c r="D277" s="120" t="s">
        <v>2438</v>
      </c>
      <c r="E277" s="196" t="s">
        <v>2439</v>
      </c>
      <c r="F277" s="23" t="s">
        <v>2440</v>
      </c>
      <c r="G277" s="23" t="s">
        <v>2440</v>
      </c>
      <c r="H277" s="205" t="s">
        <v>2441</v>
      </c>
      <c r="I277" s="61" t="s">
        <v>891</v>
      </c>
      <c r="J277" s="61" t="s">
        <v>1937</v>
      </c>
      <c r="K277" s="61" t="s">
        <v>887</v>
      </c>
      <c r="L277" s="131" t="s">
        <v>940</v>
      </c>
      <c r="M277" s="23" t="s">
        <v>799</v>
      </c>
      <c r="N277" s="108"/>
      <c r="O277" s="108">
        <v>88</v>
      </c>
      <c r="P277" s="108">
        <v>4900000</v>
      </c>
      <c r="Q277" s="241" t="s">
        <v>2442</v>
      </c>
      <c r="R277" s="23" t="s">
        <v>790</v>
      </c>
      <c r="S277" s="23"/>
      <c r="T277" s="23" t="s">
        <v>1036</v>
      </c>
      <c r="U277" s="120" t="s">
        <v>1037</v>
      </c>
      <c r="V277" s="23"/>
      <c r="W277" s="61"/>
      <c r="X277" s="61" t="s">
        <v>1714</v>
      </c>
      <c r="Y277" s="23" t="s">
        <v>2034</v>
      </c>
      <c r="Z277" s="128"/>
    </row>
    <row r="278" spans="1:26" ht="13">
      <c r="A278" s="317"/>
      <c r="B278" s="9"/>
      <c r="C278" s="9"/>
      <c r="D278" s="120"/>
      <c r="E278" s="196"/>
      <c r="F278" s="23"/>
      <c r="G278" s="23"/>
      <c r="H278" s="61"/>
      <c r="I278" s="61"/>
      <c r="J278" s="61"/>
      <c r="K278" s="61"/>
      <c r="L278" s="131"/>
      <c r="M278" s="23"/>
      <c r="N278" s="108"/>
      <c r="O278" s="108"/>
      <c r="P278" s="108"/>
      <c r="Q278" s="241"/>
      <c r="R278" s="23"/>
      <c r="S278" s="23"/>
      <c r="T278" s="23"/>
      <c r="U278" s="120"/>
      <c r="V278" s="23"/>
      <c r="W278" s="61"/>
      <c r="X278" s="61"/>
      <c r="Y278" s="23"/>
      <c r="Z278" s="128"/>
    </row>
    <row r="279" spans="1:26" ht="56">
      <c r="A279" s="317" t="s">
        <v>2443</v>
      </c>
      <c r="B279" s="9"/>
      <c r="C279" s="9"/>
      <c r="D279" s="120" t="s">
        <v>2218</v>
      </c>
      <c r="E279" s="196" t="s">
        <v>2444</v>
      </c>
      <c r="F279" s="23" t="s">
        <v>2219</v>
      </c>
      <c r="G279" s="23" t="s">
        <v>2445</v>
      </c>
      <c r="H279" s="205" t="s">
        <v>2220</v>
      </c>
      <c r="I279" s="61" t="s">
        <v>891</v>
      </c>
      <c r="J279" s="61" t="s">
        <v>1926</v>
      </c>
      <c r="K279" s="61" t="s">
        <v>887</v>
      </c>
      <c r="L279" s="131" t="s">
        <v>940</v>
      </c>
      <c r="M279" s="23" t="s">
        <v>799</v>
      </c>
      <c r="N279" s="108">
        <v>125000</v>
      </c>
      <c r="O279" s="108">
        <v>83</v>
      </c>
      <c r="P279" s="108">
        <f>O279*N279</f>
        <v>10375000</v>
      </c>
      <c r="Q279" s="241" t="s">
        <v>2446</v>
      </c>
      <c r="R279" s="23" t="s">
        <v>2430</v>
      </c>
      <c r="S279" s="23"/>
      <c r="T279" s="23" t="s">
        <v>1058</v>
      </c>
      <c r="U279" s="120" t="s">
        <v>1037</v>
      </c>
      <c r="V279" s="23"/>
      <c r="W279" s="61"/>
      <c r="X279" s="61" t="s">
        <v>1724</v>
      </c>
      <c r="Y279" s="23" t="s">
        <v>1704</v>
      </c>
      <c r="Z279" s="128"/>
    </row>
    <row r="280" spans="1:26" ht="13">
      <c r="A280" s="317"/>
      <c r="B280" s="9"/>
      <c r="C280" s="9"/>
      <c r="D280" s="120"/>
      <c r="E280" s="196"/>
      <c r="F280" s="23"/>
      <c r="G280" s="23"/>
      <c r="H280" s="61"/>
      <c r="I280" s="61"/>
      <c r="J280" s="61"/>
      <c r="K280" s="61"/>
      <c r="L280" s="131"/>
      <c r="M280" s="23"/>
      <c r="N280" s="108"/>
      <c r="O280" s="108"/>
      <c r="P280" s="108"/>
      <c r="Q280" s="241"/>
      <c r="R280" s="23"/>
      <c r="S280" s="23"/>
      <c r="T280" s="23"/>
      <c r="U280" s="120"/>
      <c r="V280" s="23"/>
      <c r="W280" s="61"/>
      <c r="X280" s="61"/>
      <c r="Y280" s="23"/>
      <c r="Z280" s="128"/>
    </row>
    <row r="281" spans="1:26" ht="42">
      <c r="A281" s="317" t="s">
        <v>2447</v>
      </c>
      <c r="B281" s="9"/>
      <c r="C281" s="9"/>
      <c r="D281" s="120" t="s">
        <v>2448</v>
      </c>
      <c r="E281" s="196" t="s">
        <v>1795</v>
      </c>
      <c r="F281" s="23" t="s">
        <v>2194</v>
      </c>
      <c r="G281" s="23" t="s">
        <v>2194</v>
      </c>
      <c r="H281" s="205" t="s">
        <v>2449</v>
      </c>
      <c r="I281" s="61" t="s">
        <v>891</v>
      </c>
      <c r="J281" s="61" t="s">
        <v>1937</v>
      </c>
      <c r="K281" s="61" t="s">
        <v>887</v>
      </c>
      <c r="L281" s="131" t="s">
        <v>940</v>
      </c>
      <c r="M281" s="23" t="s">
        <v>799</v>
      </c>
      <c r="N281" s="108">
        <v>180000</v>
      </c>
      <c r="O281" s="108">
        <v>41</v>
      </c>
      <c r="P281" s="108">
        <f>O281*N281</f>
        <v>7380000</v>
      </c>
      <c r="Q281" s="241" t="s">
        <v>2450</v>
      </c>
      <c r="R281" s="23" t="s">
        <v>790</v>
      </c>
      <c r="S281" s="23"/>
      <c r="T281" s="23" t="s">
        <v>1036</v>
      </c>
      <c r="U281" s="120" t="s">
        <v>1037</v>
      </c>
      <c r="V281" s="23"/>
      <c r="W281" s="61"/>
      <c r="X281" s="61" t="s">
        <v>1724</v>
      </c>
      <c r="Y281" s="23" t="s">
        <v>1704</v>
      </c>
      <c r="Z281" s="128"/>
    </row>
    <row r="282" spans="1:26" ht="13">
      <c r="A282" s="317"/>
      <c r="B282" s="9"/>
      <c r="C282" s="9"/>
      <c r="D282" s="120"/>
      <c r="E282" s="196"/>
      <c r="F282" s="23"/>
      <c r="G282" s="23"/>
      <c r="H282" s="61"/>
      <c r="I282" s="61"/>
      <c r="J282" s="61"/>
      <c r="K282" s="61"/>
      <c r="L282" s="131"/>
      <c r="M282" s="23"/>
      <c r="N282" s="108"/>
      <c r="O282" s="108"/>
      <c r="P282" s="108"/>
      <c r="Q282" s="241"/>
      <c r="R282" s="23"/>
      <c r="S282" s="23"/>
      <c r="T282" s="23"/>
      <c r="U282" s="120"/>
      <c r="V282" s="23"/>
      <c r="W282" s="61"/>
      <c r="X282" s="61"/>
      <c r="Y282" s="23"/>
      <c r="Z282" s="128"/>
    </row>
    <row r="283" spans="1:26" ht="42">
      <c r="A283" s="317" t="s">
        <v>2451</v>
      </c>
      <c r="B283" s="9" t="s">
        <v>2167</v>
      </c>
      <c r="C283" s="9"/>
      <c r="D283" s="120" t="s">
        <v>2452</v>
      </c>
      <c r="E283" s="196" t="s">
        <v>2168</v>
      </c>
      <c r="F283" s="23" t="s">
        <v>2453</v>
      </c>
      <c r="G283" s="23" t="s">
        <v>2453</v>
      </c>
      <c r="H283" s="205" t="s">
        <v>2454</v>
      </c>
      <c r="I283" s="61" t="s">
        <v>891</v>
      </c>
      <c r="J283" s="61" t="s">
        <v>1937</v>
      </c>
      <c r="K283" s="61" t="s">
        <v>887</v>
      </c>
      <c r="L283" s="131" t="s">
        <v>940</v>
      </c>
      <c r="M283" s="23" t="s">
        <v>799</v>
      </c>
      <c r="N283" s="108">
        <v>170000</v>
      </c>
      <c r="O283" s="108">
        <v>15</v>
      </c>
      <c r="P283" s="108">
        <f>O283*N283</f>
        <v>2550000</v>
      </c>
      <c r="Q283" s="241" t="s">
        <v>2455</v>
      </c>
      <c r="R283" s="23" t="s">
        <v>2430</v>
      </c>
      <c r="S283" s="23"/>
      <c r="T283" s="23" t="s">
        <v>1058</v>
      </c>
      <c r="U283" s="120" t="s">
        <v>1037</v>
      </c>
      <c r="V283" s="23"/>
      <c r="W283" s="61"/>
      <c r="X283" s="61"/>
      <c r="Y283" s="23"/>
      <c r="Z283" s="128"/>
    </row>
    <row r="284" spans="1:26" ht="13">
      <c r="A284" s="317"/>
      <c r="B284" s="9"/>
      <c r="C284" s="9"/>
      <c r="D284" s="120"/>
      <c r="E284" s="196"/>
      <c r="F284" s="23"/>
      <c r="G284" s="23"/>
      <c r="H284" s="61"/>
      <c r="I284" s="61"/>
      <c r="J284" s="61"/>
      <c r="K284" s="61"/>
      <c r="L284" s="131"/>
      <c r="M284" s="23"/>
      <c r="N284" s="108"/>
      <c r="O284" s="108"/>
      <c r="P284" s="108"/>
      <c r="Q284" s="241"/>
      <c r="R284" s="23"/>
      <c r="S284" s="23"/>
      <c r="T284" s="23"/>
      <c r="U284" s="120"/>
      <c r="V284" s="23"/>
      <c r="W284" s="61"/>
      <c r="X284" s="61"/>
      <c r="Y284" s="23"/>
      <c r="Z284" s="128"/>
    </row>
    <row r="285" spans="1:26" ht="56">
      <c r="A285" s="317" t="s">
        <v>2456</v>
      </c>
      <c r="B285" s="9" t="s">
        <v>740</v>
      </c>
      <c r="C285" s="9" t="s">
        <v>2457</v>
      </c>
      <c r="D285" s="120" t="s">
        <v>1793</v>
      </c>
      <c r="E285" s="196" t="s">
        <v>2458</v>
      </c>
      <c r="F285" s="23"/>
      <c r="G285" s="23"/>
      <c r="H285" s="61"/>
      <c r="I285" s="61" t="s">
        <v>891</v>
      </c>
      <c r="J285" s="23" t="s">
        <v>1926</v>
      </c>
      <c r="K285" s="23" t="s">
        <v>887</v>
      </c>
      <c r="L285" s="131" t="s">
        <v>940</v>
      </c>
      <c r="M285" s="23" t="s">
        <v>248</v>
      </c>
      <c r="N285" s="108" t="s">
        <v>892</v>
      </c>
      <c r="O285" s="108"/>
      <c r="P285" s="108">
        <v>1500000</v>
      </c>
      <c r="Q285" s="241" t="s">
        <v>2459</v>
      </c>
      <c r="R285" s="23" t="s">
        <v>2183</v>
      </c>
      <c r="S285" s="23"/>
      <c r="T285" s="23"/>
      <c r="U285" s="120"/>
      <c r="V285" s="23"/>
      <c r="W285" s="61"/>
      <c r="X285" s="61" t="s">
        <v>1147</v>
      </c>
      <c r="Y285" s="23"/>
      <c r="Z285" s="128"/>
    </row>
    <row r="286" spans="1:26" ht="13">
      <c r="A286" s="41"/>
      <c r="B286" s="41"/>
      <c r="C286" s="41"/>
      <c r="D286" s="10"/>
      <c r="E286" s="10"/>
      <c r="F286" s="10"/>
      <c r="G286" s="10"/>
      <c r="H286" s="41"/>
      <c r="I286" s="61"/>
      <c r="J286" s="61"/>
      <c r="K286" s="61"/>
      <c r="L286" s="131"/>
      <c r="M286" s="23"/>
      <c r="N286" s="90"/>
      <c r="O286" s="90"/>
      <c r="P286" s="90"/>
      <c r="Q286" s="10"/>
      <c r="R286" s="114"/>
      <c r="S286" s="10"/>
      <c r="T286" s="10"/>
      <c r="U286" s="10"/>
      <c r="V286" s="10"/>
      <c r="W286" s="112"/>
      <c r="X286" s="112"/>
      <c r="Y286" s="103"/>
    </row>
    <row r="287" spans="1:26" ht="56">
      <c r="A287" s="8"/>
      <c r="B287" s="9" t="s">
        <v>740</v>
      </c>
      <c r="C287" s="9" t="s">
        <v>2457</v>
      </c>
      <c r="D287" s="36" t="s">
        <v>1700</v>
      </c>
      <c r="E287" s="196" t="s">
        <v>2458</v>
      </c>
      <c r="F287" s="23"/>
      <c r="G287" s="23"/>
      <c r="H287" s="61"/>
      <c r="I287" s="61" t="s">
        <v>891</v>
      </c>
      <c r="J287" s="23" t="s">
        <v>1926</v>
      </c>
      <c r="K287" s="23" t="s">
        <v>887</v>
      </c>
      <c r="L287" s="131" t="s">
        <v>940</v>
      </c>
      <c r="M287" s="23" t="s">
        <v>248</v>
      </c>
      <c r="N287" s="108">
        <v>16000</v>
      </c>
      <c r="O287" s="318">
        <v>642</v>
      </c>
      <c r="P287" s="129">
        <f>O287*N287</f>
        <v>10272000</v>
      </c>
      <c r="Q287" s="241" t="s">
        <v>2460</v>
      </c>
      <c r="R287" s="113" t="s">
        <v>1791</v>
      </c>
      <c r="S287" s="10"/>
      <c r="T287" s="103"/>
      <c r="U287" s="36"/>
      <c r="V287" s="36"/>
      <c r="W287" s="61"/>
      <c r="X287" s="61" t="s">
        <v>1147</v>
      </c>
      <c r="Y287" s="23"/>
    </row>
    <row r="288" spans="1:26" ht="13">
      <c r="A288" s="8"/>
      <c r="B288" s="8"/>
      <c r="C288" s="8"/>
      <c r="D288" s="10"/>
      <c r="E288" s="36"/>
      <c r="F288" s="10"/>
      <c r="G288" s="10"/>
      <c r="H288" s="61"/>
      <c r="I288" s="61"/>
      <c r="J288" s="61"/>
      <c r="K288" s="61"/>
      <c r="L288" s="131"/>
      <c r="M288" s="23"/>
      <c r="N288" s="108"/>
      <c r="O288" s="90"/>
      <c r="P288" s="129"/>
      <c r="Q288" s="87"/>
      <c r="R288" s="83"/>
      <c r="S288" s="10"/>
      <c r="T288" s="103"/>
      <c r="U288" s="36"/>
      <c r="V288" s="10"/>
      <c r="W288" s="61"/>
      <c r="X288" s="61"/>
      <c r="Y288" s="23"/>
    </row>
    <row r="289" spans="1:25" ht="56">
      <c r="A289" s="8" t="s">
        <v>2461</v>
      </c>
      <c r="B289" s="8"/>
      <c r="C289" s="8"/>
      <c r="D289" s="10" t="s">
        <v>1703</v>
      </c>
      <c r="E289" s="87" t="s">
        <v>2202</v>
      </c>
      <c r="F289" s="10" t="s">
        <v>857</v>
      </c>
      <c r="G289" s="10" t="s">
        <v>857</v>
      </c>
      <c r="H289" s="205" t="s">
        <v>1806</v>
      </c>
      <c r="I289" s="61" t="s">
        <v>891</v>
      </c>
      <c r="J289" s="61" t="s">
        <v>1937</v>
      </c>
      <c r="K289" s="61" t="s">
        <v>909</v>
      </c>
      <c r="L289" s="131" t="s">
        <v>834</v>
      </c>
      <c r="M289" s="23" t="s">
        <v>799</v>
      </c>
      <c r="N289" s="108">
        <v>160000</v>
      </c>
      <c r="O289" s="90">
        <v>93</v>
      </c>
      <c r="P289" s="129">
        <f>O289*N289</f>
        <v>14880000</v>
      </c>
      <c r="Q289" s="241" t="s">
        <v>2462</v>
      </c>
      <c r="R289" s="83" t="s">
        <v>790</v>
      </c>
      <c r="S289" s="10"/>
      <c r="T289" s="103" t="s">
        <v>1045</v>
      </c>
      <c r="U289" s="36" t="s">
        <v>1037</v>
      </c>
      <c r="V289" s="10"/>
      <c r="W289" s="61"/>
      <c r="X289" s="61" t="s">
        <v>1257</v>
      </c>
      <c r="Y289" s="23" t="s">
        <v>2463</v>
      </c>
    </row>
    <row r="290" spans="1:25" ht="13">
      <c r="A290" s="8"/>
      <c r="B290" s="8"/>
      <c r="C290" s="8"/>
      <c r="D290" s="10"/>
      <c r="E290" s="36"/>
      <c r="F290" s="10"/>
      <c r="G290" s="10"/>
      <c r="H290" s="61"/>
      <c r="I290" s="61"/>
      <c r="J290" s="61"/>
      <c r="K290" s="61"/>
      <c r="L290" s="131"/>
      <c r="M290" s="23"/>
      <c r="N290" s="108"/>
      <c r="O290" s="90"/>
      <c r="P290" s="129"/>
      <c r="Q290" s="87"/>
      <c r="R290" s="83"/>
      <c r="S290" s="10"/>
      <c r="T290" s="103"/>
      <c r="U290" s="36"/>
      <c r="V290" s="10"/>
      <c r="W290" s="61"/>
      <c r="X290" s="61"/>
      <c r="Y290" s="23"/>
    </row>
    <row r="291" spans="1:25" ht="56">
      <c r="A291" s="8" t="s">
        <v>2464</v>
      </c>
      <c r="B291" s="8"/>
      <c r="C291" s="8"/>
      <c r="D291" s="10" t="s">
        <v>1703</v>
      </c>
      <c r="E291" s="87" t="s">
        <v>2202</v>
      </c>
      <c r="F291" s="10" t="s">
        <v>857</v>
      </c>
      <c r="G291" s="10" t="s">
        <v>857</v>
      </c>
      <c r="H291" s="205" t="s">
        <v>1806</v>
      </c>
      <c r="I291" s="61" t="s">
        <v>891</v>
      </c>
      <c r="J291" s="61" t="s">
        <v>1937</v>
      </c>
      <c r="K291" s="61" t="s">
        <v>909</v>
      </c>
      <c r="L291" s="131" t="s">
        <v>940</v>
      </c>
      <c r="M291" s="23" t="s">
        <v>799</v>
      </c>
      <c r="N291" s="108">
        <v>140000</v>
      </c>
      <c r="O291" s="90">
        <v>25</v>
      </c>
      <c r="P291" s="129">
        <f>O291*N291</f>
        <v>3500000</v>
      </c>
      <c r="Q291" s="241" t="s">
        <v>2465</v>
      </c>
      <c r="R291" s="83" t="s">
        <v>2430</v>
      </c>
      <c r="S291" s="10"/>
      <c r="T291" s="103" t="s">
        <v>1044</v>
      </c>
      <c r="U291" s="36" t="s">
        <v>1037</v>
      </c>
      <c r="V291" s="10"/>
      <c r="W291" s="61"/>
      <c r="X291" s="61" t="s">
        <v>2466</v>
      </c>
      <c r="Y291" s="23" t="s">
        <v>1704</v>
      </c>
    </row>
    <row r="292" spans="1:25" ht="13">
      <c r="A292" s="8"/>
      <c r="B292" s="8"/>
      <c r="C292" s="8"/>
      <c r="D292" s="10"/>
      <c r="E292" s="36"/>
      <c r="F292" s="10"/>
      <c r="G292" s="10"/>
      <c r="H292" s="61"/>
      <c r="I292" s="61"/>
      <c r="J292" s="61"/>
      <c r="K292" s="61"/>
      <c r="L292" s="131"/>
      <c r="M292" s="23"/>
      <c r="N292" s="108"/>
      <c r="O292" s="90"/>
      <c r="P292" s="129"/>
      <c r="Q292" s="87"/>
      <c r="R292" s="83"/>
      <c r="S292" s="10"/>
      <c r="T292" s="103"/>
      <c r="U292" s="36"/>
      <c r="V292" s="10"/>
      <c r="W292" s="61"/>
      <c r="X292" s="61"/>
      <c r="Y292" s="23"/>
    </row>
    <row r="293" spans="1:25" ht="42">
      <c r="A293" s="8" t="s">
        <v>2467</v>
      </c>
      <c r="B293" s="8"/>
      <c r="C293" s="8"/>
      <c r="D293" s="10" t="s">
        <v>2468</v>
      </c>
      <c r="E293" s="87" t="s">
        <v>2469</v>
      </c>
      <c r="F293" s="10" t="s">
        <v>2470</v>
      </c>
      <c r="G293" s="10" t="s">
        <v>2470</v>
      </c>
      <c r="H293" s="205" t="s">
        <v>2471</v>
      </c>
      <c r="I293" s="61" t="s">
        <v>891</v>
      </c>
      <c r="J293" s="183">
        <v>46266</v>
      </c>
      <c r="K293" s="61" t="s">
        <v>909</v>
      </c>
      <c r="L293" s="131" t="s">
        <v>940</v>
      </c>
      <c r="M293" s="23" t="s">
        <v>799</v>
      </c>
      <c r="N293" s="108">
        <v>275000</v>
      </c>
      <c r="O293" s="90">
        <v>13</v>
      </c>
      <c r="P293" s="129">
        <f>O293*N293</f>
        <v>3575000</v>
      </c>
      <c r="Q293" s="241" t="s">
        <v>2472</v>
      </c>
      <c r="R293" s="83" t="s">
        <v>790</v>
      </c>
      <c r="S293" s="10"/>
      <c r="T293" s="103"/>
      <c r="U293" s="36"/>
      <c r="V293" s="10"/>
      <c r="W293" s="61"/>
      <c r="X293" s="61" t="s">
        <v>1147</v>
      </c>
      <c r="Y293" s="23" t="s">
        <v>1794</v>
      </c>
    </row>
    <row r="294" spans="1:25" ht="13">
      <c r="A294" s="8"/>
      <c r="B294" s="8"/>
      <c r="C294" s="8"/>
      <c r="D294" s="10"/>
      <c r="E294" s="36"/>
      <c r="F294" s="10"/>
      <c r="G294" s="10"/>
      <c r="H294" s="61"/>
      <c r="I294" s="61"/>
      <c r="J294" s="61"/>
      <c r="K294" s="61"/>
      <c r="L294" s="131"/>
      <c r="M294" s="23"/>
      <c r="N294" s="108"/>
      <c r="O294" s="90"/>
      <c r="P294" s="129"/>
      <c r="Q294" s="87"/>
      <c r="R294" s="83"/>
      <c r="S294" s="10"/>
      <c r="T294" s="103"/>
      <c r="U294" s="36"/>
      <c r="V294" s="10"/>
      <c r="W294" s="61"/>
      <c r="X294" s="61"/>
      <c r="Y294" s="23"/>
    </row>
    <row r="295" spans="1:25" ht="56">
      <c r="A295" s="8" t="s">
        <v>2473</v>
      </c>
      <c r="B295" s="8" t="s">
        <v>1777</v>
      </c>
      <c r="C295" s="8" t="s">
        <v>2474</v>
      </c>
      <c r="D295" s="10" t="s">
        <v>1778</v>
      </c>
      <c r="E295" s="36" t="s">
        <v>2475</v>
      </c>
      <c r="F295" s="10" t="s">
        <v>2285</v>
      </c>
      <c r="G295" s="10" t="s">
        <v>2285</v>
      </c>
      <c r="H295" s="205" t="s">
        <v>1779</v>
      </c>
      <c r="I295" s="61" t="s">
        <v>891</v>
      </c>
      <c r="J295" s="23" t="s">
        <v>2476</v>
      </c>
      <c r="K295" s="23" t="s">
        <v>1807</v>
      </c>
      <c r="L295" s="131" t="s">
        <v>940</v>
      </c>
      <c r="M295" s="23" t="s">
        <v>799</v>
      </c>
      <c r="N295" s="108">
        <v>120000</v>
      </c>
      <c r="O295" s="90" t="s">
        <v>2477</v>
      </c>
      <c r="P295" s="129">
        <f>59*120000</f>
        <v>7080000</v>
      </c>
      <c r="Q295" s="241" t="s">
        <v>2478</v>
      </c>
      <c r="R295" s="83" t="s">
        <v>790</v>
      </c>
      <c r="S295" s="10"/>
      <c r="T295" s="103" t="s">
        <v>1058</v>
      </c>
      <c r="U295" s="36" t="s">
        <v>1037</v>
      </c>
      <c r="V295" s="10"/>
      <c r="W295" s="61"/>
      <c r="X295" s="61" t="s">
        <v>1257</v>
      </c>
      <c r="Y295" s="23" t="s">
        <v>1704</v>
      </c>
    </row>
    <row r="296" spans="1:25" ht="13">
      <c r="A296" s="8"/>
      <c r="B296" s="8"/>
      <c r="C296" s="8"/>
      <c r="D296" s="10"/>
      <c r="E296" s="36"/>
      <c r="F296" s="10"/>
      <c r="G296" s="10"/>
      <c r="H296" s="61"/>
      <c r="I296" s="61"/>
      <c r="J296" s="23"/>
      <c r="K296" s="23"/>
      <c r="L296" s="131"/>
      <c r="M296" s="23"/>
      <c r="N296" s="108"/>
      <c r="O296" s="90"/>
      <c r="P296" s="129"/>
      <c r="Q296" s="87"/>
      <c r="R296" s="83"/>
      <c r="S296" s="10"/>
      <c r="T296" s="103"/>
      <c r="U296" s="36"/>
      <c r="V296" s="10"/>
      <c r="W296" s="61"/>
      <c r="X296" s="61"/>
      <c r="Y296" s="23"/>
    </row>
    <row r="297" spans="1:25" ht="42">
      <c r="A297" s="8" t="s">
        <v>2479</v>
      </c>
      <c r="B297" s="8"/>
      <c r="C297" s="8"/>
      <c r="D297" s="10" t="s">
        <v>2293</v>
      </c>
      <c r="E297" s="87" t="s">
        <v>2480</v>
      </c>
      <c r="F297" s="10" t="s">
        <v>1801</v>
      </c>
      <c r="G297" s="10" t="s">
        <v>1801</v>
      </c>
      <c r="H297" s="205" t="s">
        <v>1802</v>
      </c>
      <c r="I297" s="61" t="s">
        <v>891</v>
      </c>
      <c r="J297" s="23" t="s">
        <v>1937</v>
      </c>
      <c r="K297" s="23" t="s">
        <v>909</v>
      </c>
      <c r="L297" s="131" t="s">
        <v>940</v>
      </c>
      <c r="M297" s="23" t="s">
        <v>799</v>
      </c>
      <c r="N297" s="108">
        <v>180000</v>
      </c>
      <c r="O297" s="90">
        <v>22</v>
      </c>
      <c r="P297" s="129">
        <f>O297*N297*4</f>
        <v>15840000</v>
      </c>
      <c r="Q297" s="241" t="s">
        <v>2481</v>
      </c>
      <c r="R297" s="83" t="s">
        <v>790</v>
      </c>
      <c r="S297" s="10"/>
      <c r="T297" s="103" t="s">
        <v>1045</v>
      </c>
      <c r="U297" s="36" t="s">
        <v>1037</v>
      </c>
      <c r="V297" s="10"/>
      <c r="W297" s="61"/>
      <c r="X297" s="61" t="s">
        <v>1147</v>
      </c>
      <c r="Y297" s="23" t="s">
        <v>1704</v>
      </c>
    </row>
    <row r="298" spans="1:25" ht="13">
      <c r="A298" s="8"/>
      <c r="B298" s="8"/>
      <c r="C298" s="8"/>
      <c r="D298" s="10"/>
      <c r="E298" s="36"/>
      <c r="F298" s="10"/>
      <c r="G298" s="10"/>
      <c r="H298" s="61"/>
      <c r="I298" s="61"/>
      <c r="J298" s="23"/>
      <c r="K298" s="23"/>
      <c r="L298" s="131"/>
      <c r="M298" s="23"/>
      <c r="N298" s="108"/>
      <c r="O298" s="90"/>
      <c r="P298" s="129"/>
      <c r="Q298" s="87"/>
      <c r="R298" s="83"/>
      <c r="S298" s="10"/>
      <c r="T298" s="103"/>
      <c r="U298" s="36"/>
      <c r="V298" s="10"/>
      <c r="W298" s="61"/>
      <c r="X298" s="61"/>
      <c r="Y298" s="23"/>
    </row>
    <row r="299" spans="1:25" ht="42">
      <c r="A299" s="8" t="s">
        <v>2482</v>
      </c>
      <c r="B299" s="8"/>
      <c r="C299" s="8"/>
      <c r="D299" s="10" t="s">
        <v>59</v>
      </c>
      <c r="E299" s="37" t="s">
        <v>2483</v>
      </c>
      <c r="F299" s="81" t="s">
        <v>2484</v>
      </c>
      <c r="G299" s="81" t="s">
        <v>2485</v>
      </c>
      <c r="H299" s="220" t="s">
        <v>2206</v>
      </c>
      <c r="I299" s="61" t="s">
        <v>891</v>
      </c>
      <c r="J299" s="23" t="s">
        <v>1937</v>
      </c>
      <c r="K299" s="23" t="s">
        <v>887</v>
      </c>
      <c r="L299" s="131" t="s">
        <v>940</v>
      </c>
      <c r="M299" s="23" t="s">
        <v>799</v>
      </c>
      <c r="N299" s="108">
        <v>60000</v>
      </c>
      <c r="O299" s="90">
        <v>29</v>
      </c>
      <c r="P299" s="129">
        <f>O299*N299*4</f>
        <v>6960000</v>
      </c>
      <c r="Q299" s="241" t="s">
        <v>2486</v>
      </c>
      <c r="R299" s="83" t="s">
        <v>2430</v>
      </c>
      <c r="S299" s="10"/>
      <c r="T299" s="103" t="s">
        <v>1058</v>
      </c>
      <c r="U299" s="36" t="s">
        <v>1037</v>
      </c>
      <c r="V299" s="10"/>
      <c r="W299" s="61"/>
      <c r="X299" s="61" t="s">
        <v>1147</v>
      </c>
      <c r="Y299" s="23" t="s">
        <v>1704</v>
      </c>
    </row>
    <row r="300" spans="1:25" ht="13">
      <c r="A300" s="8"/>
      <c r="B300" s="8"/>
      <c r="C300" s="8"/>
      <c r="D300" s="10"/>
      <c r="E300" s="10"/>
      <c r="F300" s="10"/>
      <c r="G300" s="10"/>
      <c r="H300" s="112"/>
      <c r="I300" s="61"/>
      <c r="J300" s="23"/>
      <c r="K300" s="23"/>
      <c r="L300" s="131"/>
      <c r="M300" s="23"/>
      <c r="N300" s="108"/>
      <c r="O300" s="90"/>
      <c r="P300" s="129"/>
      <c r="Q300" s="87"/>
      <c r="R300" s="83"/>
      <c r="S300" s="10"/>
      <c r="T300" s="103"/>
      <c r="U300" s="36"/>
      <c r="V300" s="10"/>
      <c r="W300" s="61"/>
      <c r="X300" s="61"/>
      <c r="Y300" s="23"/>
    </row>
    <row r="301" spans="1:25" ht="13">
      <c r="A301" s="8"/>
      <c r="B301" s="8"/>
      <c r="C301" s="8"/>
      <c r="D301" s="10"/>
      <c r="E301" s="37"/>
      <c r="F301" s="10"/>
      <c r="G301" s="10"/>
      <c r="H301" s="112"/>
      <c r="I301" s="61"/>
      <c r="J301" s="23"/>
      <c r="K301" s="23"/>
      <c r="L301" s="131"/>
      <c r="M301" s="23"/>
      <c r="N301" s="108"/>
      <c r="O301" s="90"/>
      <c r="P301" s="129"/>
      <c r="Q301" s="87"/>
      <c r="R301" s="83"/>
      <c r="S301" s="10"/>
      <c r="T301" s="103"/>
      <c r="U301" s="36"/>
      <c r="V301" s="10"/>
      <c r="W301" s="61"/>
      <c r="X301" s="61"/>
      <c r="Y301" s="23"/>
    </row>
    <row r="302" spans="1:25" ht="13">
      <c r="A302" s="8"/>
      <c r="B302" s="8"/>
      <c r="C302" s="8"/>
      <c r="D302" s="10"/>
      <c r="E302" s="10"/>
      <c r="F302" s="10"/>
      <c r="G302" s="10"/>
      <c r="H302" s="112"/>
      <c r="I302" s="61"/>
      <c r="J302" s="23"/>
      <c r="K302" s="23"/>
      <c r="M302" s="23"/>
      <c r="N302" s="108"/>
      <c r="O302" s="90"/>
      <c r="P302" s="129"/>
      <c r="Q302" s="87"/>
      <c r="R302" s="83"/>
      <c r="S302" s="10"/>
      <c r="T302" s="103"/>
      <c r="U302" s="36"/>
      <c r="V302" s="10"/>
      <c r="W302" s="61"/>
      <c r="X302" s="61"/>
      <c r="Y302" s="23"/>
    </row>
    <row r="303" spans="1:25" ht="13">
      <c r="A303" s="8"/>
      <c r="B303" s="8"/>
      <c r="C303" s="8"/>
      <c r="D303" s="10"/>
      <c r="E303" s="10"/>
      <c r="F303" s="10"/>
      <c r="G303" s="10"/>
      <c r="H303" s="112"/>
      <c r="I303" s="61"/>
      <c r="J303" s="23"/>
      <c r="K303" s="23"/>
      <c r="L303" s="131"/>
      <c r="M303" s="23"/>
      <c r="N303" s="108"/>
      <c r="O303" s="90"/>
      <c r="P303" s="129"/>
      <c r="Q303" s="87"/>
      <c r="R303" s="83"/>
      <c r="S303" s="10"/>
      <c r="T303" s="103"/>
      <c r="U303" s="36"/>
      <c r="V303" s="10"/>
      <c r="W303" s="61"/>
      <c r="X303" s="61"/>
      <c r="Y303" s="23"/>
    </row>
    <row r="304" spans="1:25" ht="13">
      <c r="A304" s="41"/>
      <c r="B304" s="41"/>
      <c r="C304" s="41"/>
      <c r="D304" s="10"/>
      <c r="E304" s="10"/>
      <c r="F304" s="10"/>
      <c r="G304" s="10"/>
      <c r="H304" s="41"/>
      <c r="I304" s="112"/>
      <c r="J304" s="103"/>
      <c r="K304" s="103"/>
      <c r="L304" s="131"/>
      <c r="M304" s="23"/>
      <c r="N304" s="90"/>
      <c r="O304" s="90"/>
      <c r="P304" s="90"/>
      <c r="Q304" s="10"/>
      <c r="R304" s="114"/>
      <c r="S304" s="10"/>
      <c r="T304" s="10"/>
      <c r="U304" s="10"/>
      <c r="V304" s="10"/>
      <c r="W304" s="112"/>
      <c r="X304" s="112"/>
      <c r="Y304" s="103"/>
    </row>
    <row r="305" spans="1:25" ht="13">
      <c r="A305" s="65"/>
      <c r="B305" s="65"/>
      <c r="C305" s="319"/>
      <c r="D305" s="126"/>
      <c r="E305" s="291"/>
      <c r="F305" s="40"/>
      <c r="G305" s="246"/>
      <c r="H305" s="185"/>
      <c r="I305" s="185"/>
      <c r="J305" s="246"/>
      <c r="K305" s="246"/>
      <c r="L305" s="247"/>
      <c r="M305" s="246"/>
      <c r="N305" s="292"/>
      <c r="O305" s="292"/>
      <c r="P305" s="418"/>
      <c r="Q305" s="37"/>
      <c r="R305" s="246"/>
      <c r="S305" s="40"/>
      <c r="T305" s="40"/>
      <c r="U305" s="40"/>
      <c r="V305" s="40"/>
      <c r="W305" s="185"/>
      <c r="X305" s="185"/>
      <c r="Y305" s="246"/>
    </row>
    <row r="306" spans="1:25" ht="13">
      <c r="A306" s="65"/>
      <c r="B306" s="65"/>
      <c r="C306" s="319"/>
      <c r="D306" s="126"/>
      <c r="E306" s="291"/>
      <c r="F306" s="40"/>
      <c r="G306" s="246"/>
      <c r="H306" s="185"/>
      <c r="I306" s="185"/>
      <c r="J306" s="246"/>
      <c r="K306" s="246"/>
      <c r="L306" s="247"/>
      <c r="M306" s="246"/>
      <c r="N306" s="292"/>
      <c r="O306" s="292"/>
      <c r="P306" s="409"/>
      <c r="Q306" s="37"/>
      <c r="R306" s="227"/>
      <c r="S306" s="40"/>
      <c r="T306" s="40"/>
      <c r="U306" s="40"/>
      <c r="V306" s="40"/>
      <c r="W306" s="185"/>
      <c r="X306" s="185"/>
      <c r="Y306" s="246"/>
    </row>
    <row r="307" spans="1:25" ht="13">
      <c r="A307" s="8"/>
      <c r="B307" s="8"/>
      <c r="C307" s="85"/>
      <c r="D307" s="36"/>
      <c r="E307" s="87"/>
      <c r="F307" s="10"/>
      <c r="G307" s="23"/>
      <c r="H307" s="61"/>
      <c r="I307" s="61"/>
      <c r="J307" s="23"/>
      <c r="K307" s="23"/>
      <c r="L307" s="131"/>
      <c r="M307" s="23"/>
      <c r="N307" s="108"/>
      <c r="O307" s="108"/>
      <c r="P307" s="108"/>
      <c r="Q307" s="87"/>
      <c r="R307" s="23"/>
      <c r="S307" s="10"/>
      <c r="T307" s="10"/>
      <c r="U307" s="10"/>
      <c r="V307" s="10"/>
      <c r="W307" s="61"/>
      <c r="X307" s="61"/>
      <c r="Y307" s="23"/>
    </row>
    <row r="308" spans="1:25" ht="13">
      <c r="A308" s="65"/>
      <c r="B308" s="8"/>
      <c r="C308" s="85"/>
      <c r="D308" s="36"/>
      <c r="E308" s="87"/>
      <c r="F308" s="10"/>
      <c r="G308" s="10"/>
      <c r="H308" s="61"/>
      <c r="I308" s="61"/>
      <c r="J308" s="23"/>
      <c r="K308" s="23"/>
      <c r="L308" s="131"/>
      <c r="M308" s="23"/>
      <c r="N308" s="108"/>
      <c r="O308" s="108"/>
      <c r="P308" s="108"/>
      <c r="Q308" s="37"/>
      <c r="R308" s="113"/>
      <c r="S308" s="10"/>
      <c r="T308" s="10"/>
      <c r="U308" s="10"/>
      <c r="V308" s="10"/>
      <c r="W308" s="61"/>
      <c r="X308" s="61"/>
      <c r="Y308" s="23"/>
    </row>
    <row r="309" spans="1:25" ht="13">
      <c r="A309" s="41"/>
      <c r="B309" s="41"/>
      <c r="C309" s="41"/>
      <c r="D309" s="10"/>
      <c r="E309" s="10"/>
      <c r="F309" s="10"/>
      <c r="G309" s="10"/>
      <c r="H309" s="41"/>
      <c r="I309" s="112"/>
      <c r="J309" s="103"/>
      <c r="K309" s="103"/>
      <c r="L309" s="131"/>
      <c r="M309" s="23"/>
      <c r="N309" s="90"/>
      <c r="O309" s="90"/>
      <c r="P309" s="90"/>
      <c r="Q309" s="295"/>
      <c r="R309" s="10"/>
      <c r="S309" s="10"/>
      <c r="T309" s="10"/>
      <c r="U309" s="10"/>
      <c r="V309" s="10"/>
      <c r="W309" s="112"/>
      <c r="X309" s="112"/>
      <c r="Y309" s="103"/>
    </row>
    <row r="310" spans="1:25" ht="13">
      <c r="A310" s="290"/>
      <c r="B310" s="290"/>
      <c r="C310" s="290"/>
      <c r="D310" s="40"/>
      <c r="E310" s="250"/>
      <c r="F310" s="40"/>
      <c r="G310" s="290"/>
      <c r="H310" s="249"/>
      <c r="I310" s="249"/>
      <c r="J310" s="245"/>
      <c r="K310" s="245"/>
      <c r="L310" s="247"/>
      <c r="M310" s="246"/>
      <c r="N310" s="102"/>
      <c r="O310" s="102"/>
      <c r="P310" s="320"/>
      <c r="Q310" s="37"/>
      <c r="R310" s="245"/>
      <c r="S310" s="40"/>
      <c r="T310" s="40"/>
      <c r="U310" s="40"/>
      <c r="V310" s="40"/>
      <c r="W310" s="249"/>
      <c r="X310" s="249"/>
      <c r="Y310" s="245"/>
    </row>
    <row r="311" spans="1:25" ht="13">
      <c r="A311" s="290"/>
      <c r="B311" s="290"/>
      <c r="C311" s="290"/>
      <c r="D311" s="126"/>
      <c r="E311" s="250"/>
      <c r="F311" s="246"/>
      <c r="G311" s="290"/>
      <c r="H311" s="249"/>
      <c r="I311" s="249"/>
      <c r="J311" s="245"/>
      <c r="K311" s="245"/>
      <c r="L311" s="247"/>
      <c r="M311" s="246"/>
      <c r="N311" s="102"/>
      <c r="O311" s="102"/>
      <c r="P311" s="321"/>
      <c r="Q311" s="37"/>
      <c r="R311" s="246"/>
      <c r="S311" s="126"/>
      <c r="T311" s="126"/>
      <c r="U311" s="126"/>
      <c r="V311" s="126"/>
      <c r="W311" s="249"/>
      <c r="X311" s="249"/>
      <c r="Y311" s="245"/>
    </row>
    <row r="312" spans="1:25" ht="13">
      <c r="A312" s="290"/>
      <c r="B312" s="290"/>
      <c r="C312" s="290"/>
      <c r="D312" s="322"/>
      <c r="E312" s="250"/>
      <c r="F312" s="323"/>
      <c r="G312" s="290"/>
      <c r="H312" s="249"/>
      <c r="I312" s="249"/>
      <c r="J312" s="245"/>
      <c r="K312" s="245"/>
      <c r="L312" s="247"/>
      <c r="M312" s="246"/>
      <c r="N312" s="102"/>
      <c r="O312" s="102"/>
      <c r="P312" s="321"/>
      <c r="Q312" s="37"/>
      <c r="R312" s="323"/>
      <c r="S312" s="300"/>
      <c r="T312" s="300"/>
      <c r="U312" s="300"/>
      <c r="V312" s="300"/>
      <c r="W312" s="249"/>
      <c r="X312" s="249"/>
      <c r="Y312" s="245"/>
    </row>
    <row r="313" spans="1:25" ht="13">
      <c r="A313" s="290"/>
      <c r="B313" s="290"/>
      <c r="C313" s="290"/>
      <c r="D313" s="126"/>
      <c r="E313" s="250"/>
      <c r="F313" s="246"/>
      <c r="G313" s="290"/>
      <c r="H313" s="249"/>
      <c r="I313" s="249"/>
      <c r="J313" s="245"/>
      <c r="K313" s="245"/>
      <c r="L313" s="247"/>
      <c r="M313" s="246"/>
      <c r="N313" s="102"/>
      <c r="O313" s="102"/>
      <c r="P313" s="321"/>
      <c r="Q313" s="37"/>
      <c r="R313" s="323"/>
      <c r="S313" s="40"/>
      <c r="T313" s="40"/>
      <c r="U313" s="40"/>
      <c r="V313" s="40"/>
      <c r="W313" s="249"/>
      <c r="X313" s="249"/>
      <c r="Y313" s="245"/>
    </row>
    <row r="314" spans="1:25" ht="13">
      <c r="A314" s="41"/>
      <c r="B314" s="41"/>
      <c r="C314" s="41"/>
      <c r="D314" s="10"/>
      <c r="E314" s="10"/>
      <c r="F314" s="10"/>
      <c r="G314" s="10"/>
      <c r="H314" s="41"/>
      <c r="I314" s="112"/>
      <c r="J314" s="103"/>
      <c r="K314" s="103"/>
      <c r="L314" s="131"/>
      <c r="M314" s="23"/>
      <c r="N314" s="90"/>
      <c r="O314" s="90"/>
      <c r="P314" s="90"/>
      <c r="Q314" s="10"/>
      <c r="R314" s="114"/>
      <c r="S314" s="10"/>
      <c r="T314" s="10"/>
      <c r="U314" s="10"/>
      <c r="V314" s="10"/>
      <c r="W314" s="112"/>
      <c r="X314" s="112"/>
      <c r="Y314" s="103"/>
    </row>
    <row r="315" spans="1:25" ht="13">
      <c r="A315" s="324"/>
      <c r="B315" s="290"/>
      <c r="C315" s="290"/>
      <c r="D315" s="40"/>
      <c r="E315" s="250"/>
      <c r="F315" s="246"/>
      <c r="G315" s="290"/>
      <c r="H315" s="249"/>
      <c r="I315" s="185"/>
      <c r="J315" s="246"/>
      <c r="K315" s="246"/>
      <c r="L315" s="247"/>
      <c r="M315" s="245"/>
      <c r="N315" s="292"/>
      <c r="O315" s="292"/>
      <c r="P315" s="325"/>
      <c r="Q315" s="250"/>
      <c r="R315" s="246"/>
      <c r="S315" s="40"/>
      <c r="T315" s="40"/>
      <c r="U315" s="126"/>
      <c r="V315" s="40"/>
      <c r="W315" s="249"/>
      <c r="X315" s="185"/>
      <c r="Y315" s="246"/>
    </row>
    <row r="316" spans="1:25" ht="13">
      <c r="A316" s="65"/>
      <c r="B316" s="290"/>
      <c r="C316" s="290"/>
      <c r="D316" s="126"/>
      <c r="E316" s="250"/>
      <c r="F316" s="40"/>
      <c r="G316" s="290"/>
      <c r="H316" s="249"/>
      <c r="I316" s="185"/>
      <c r="J316" s="246"/>
      <c r="K316" s="246"/>
      <c r="L316" s="247"/>
      <c r="M316" s="245"/>
      <c r="N316" s="292"/>
      <c r="O316" s="102"/>
      <c r="P316" s="325"/>
      <c r="Q316" s="250"/>
      <c r="R316" s="246"/>
      <c r="S316" s="40"/>
      <c r="T316" s="40"/>
      <c r="U316" s="40"/>
      <c r="V316" s="40"/>
      <c r="W316" s="249"/>
      <c r="X316" s="185"/>
      <c r="Y316" s="246"/>
    </row>
    <row r="317" spans="1:25" ht="13">
      <c r="A317" s="65"/>
      <c r="B317" s="290"/>
      <c r="C317" s="290"/>
      <c r="D317" s="322"/>
      <c r="E317" s="250"/>
      <c r="F317" s="126"/>
      <c r="G317" s="290"/>
      <c r="H317" s="249"/>
      <c r="I317" s="185"/>
      <c r="J317" s="246"/>
      <c r="K317" s="246"/>
      <c r="L317" s="247"/>
      <c r="M317" s="245"/>
      <c r="N317" s="292"/>
      <c r="O317" s="292"/>
      <c r="P317" s="325"/>
      <c r="Q317" s="250"/>
      <c r="R317" s="246"/>
      <c r="S317" s="126"/>
      <c r="T317" s="126"/>
      <c r="U317" s="126"/>
      <c r="V317" s="126"/>
      <c r="W317" s="185"/>
      <c r="X317" s="185"/>
      <c r="Y317" s="246"/>
    </row>
    <row r="318" spans="1:25" ht="13">
      <c r="A318" s="65"/>
      <c r="B318" s="290"/>
      <c r="C318" s="290"/>
      <c r="D318" s="126"/>
      <c r="E318" s="250"/>
      <c r="F318" s="40"/>
      <c r="G318" s="290"/>
      <c r="H318" s="249"/>
      <c r="I318" s="185"/>
      <c r="J318" s="246"/>
      <c r="K318" s="246"/>
      <c r="L318" s="247"/>
      <c r="M318" s="245"/>
      <c r="N318" s="292"/>
      <c r="O318" s="102"/>
      <c r="P318" s="325"/>
      <c r="Q318" s="250"/>
      <c r="R318" s="246"/>
      <c r="S318" s="40"/>
      <c r="T318" s="40"/>
      <c r="U318" s="40"/>
      <c r="V318" s="40"/>
      <c r="W318" s="249"/>
      <c r="X318" s="185"/>
      <c r="Y318" s="246"/>
    </row>
    <row r="319" spans="1:25" ht="13">
      <c r="A319" s="8"/>
      <c r="B319" s="8"/>
      <c r="C319" s="8"/>
      <c r="D319" s="36"/>
      <c r="E319" s="36"/>
      <c r="F319" s="36"/>
      <c r="G319" s="23"/>
      <c r="H319" s="61"/>
      <c r="I319" s="61"/>
      <c r="J319" s="23"/>
      <c r="K319" s="23"/>
      <c r="L319" s="131"/>
      <c r="M319" s="23"/>
      <c r="N319" s="108"/>
      <c r="O319" s="90"/>
      <c r="P319" s="108"/>
      <c r="Q319" s="87"/>
      <c r="R319" s="23"/>
      <c r="S319" s="10"/>
      <c r="T319" s="10"/>
      <c r="U319" s="10"/>
      <c r="V319" s="10"/>
      <c r="W319" s="61"/>
      <c r="X319" s="61"/>
      <c r="Y319" s="23"/>
    </row>
    <row r="320" spans="1:25" ht="13">
      <c r="A320" s="8"/>
      <c r="B320" s="8"/>
      <c r="C320" s="8"/>
      <c r="D320" s="36"/>
      <c r="E320" s="36"/>
      <c r="F320" s="36"/>
      <c r="G320" s="23"/>
      <c r="H320" s="61"/>
      <c r="I320" s="61"/>
      <c r="J320" s="23"/>
      <c r="K320" s="23"/>
      <c r="L320" s="131"/>
      <c r="M320" s="23"/>
      <c r="N320" s="108"/>
      <c r="O320" s="90"/>
      <c r="P320" s="108"/>
      <c r="Q320" s="250"/>
      <c r="R320" s="23"/>
      <c r="S320" s="10"/>
      <c r="T320" s="103"/>
      <c r="U320" s="10"/>
      <c r="V320" s="10"/>
      <c r="W320" s="61"/>
      <c r="X320" s="61"/>
      <c r="Y320" s="23"/>
    </row>
    <row r="321" spans="1:25" ht="13">
      <c r="A321" s="8"/>
      <c r="B321" s="8"/>
      <c r="C321" s="8"/>
      <c r="D321" s="36"/>
      <c r="E321" s="36"/>
      <c r="F321" s="36"/>
      <c r="G321" s="23"/>
      <c r="H321" s="61"/>
      <c r="I321" s="61"/>
      <c r="J321" s="23"/>
      <c r="K321" s="23"/>
      <c r="L321" s="131"/>
      <c r="M321" s="23"/>
      <c r="N321" s="108"/>
      <c r="O321" s="90"/>
      <c r="P321" s="108"/>
      <c r="Q321" s="87"/>
      <c r="R321" s="23"/>
      <c r="S321" s="10"/>
      <c r="T321" s="103"/>
      <c r="U321" s="10"/>
      <c r="V321" s="10"/>
      <c r="W321" s="61"/>
      <c r="X321" s="61"/>
      <c r="Y321" s="23"/>
    </row>
    <row r="322" spans="1:25" ht="13">
      <c r="A322" s="8"/>
      <c r="B322" s="8"/>
      <c r="C322" s="8"/>
      <c r="D322" s="36"/>
      <c r="E322" s="87"/>
      <c r="F322" s="36"/>
      <c r="G322" s="23"/>
      <c r="H322" s="61"/>
      <c r="I322" s="61"/>
      <c r="J322" s="23"/>
      <c r="K322" s="23"/>
      <c r="L322" s="131"/>
      <c r="M322" s="23"/>
      <c r="N322" s="108"/>
      <c r="O322" s="90"/>
      <c r="P322" s="108"/>
      <c r="Q322" s="250"/>
      <c r="R322" s="23"/>
      <c r="S322" s="10"/>
      <c r="T322" s="103"/>
      <c r="U322" s="10"/>
      <c r="V322" s="10"/>
      <c r="W322" s="61"/>
      <c r="X322" s="61"/>
      <c r="Y322" s="23"/>
    </row>
    <row r="323" spans="1:25" ht="13">
      <c r="A323" s="8"/>
      <c r="B323" s="8"/>
      <c r="C323" s="8"/>
      <c r="D323" s="36"/>
      <c r="E323" s="87"/>
      <c r="F323" s="36"/>
      <c r="G323" s="23"/>
      <c r="H323" s="61"/>
      <c r="I323" s="61"/>
      <c r="J323" s="23"/>
      <c r="K323" s="23"/>
      <c r="L323" s="131"/>
      <c r="M323" s="23"/>
      <c r="N323" s="108"/>
      <c r="O323" s="90"/>
      <c r="P323" s="108"/>
      <c r="Q323" s="250"/>
      <c r="R323" s="23"/>
      <c r="S323" s="10"/>
      <c r="T323" s="103"/>
      <c r="U323" s="10"/>
      <c r="V323" s="10"/>
      <c r="W323" s="61"/>
      <c r="X323" s="61"/>
      <c r="Y323" s="23"/>
    </row>
    <row r="324" spans="1:25" ht="13">
      <c r="A324" s="8"/>
      <c r="B324" s="8"/>
      <c r="C324" s="8"/>
      <c r="D324" s="36"/>
      <c r="E324" s="87"/>
      <c r="F324" s="36"/>
      <c r="G324" s="23"/>
      <c r="H324" s="61"/>
      <c r="I324" s="61"/>
      <c r="J324" s="23"/>
      <c r="K324" s="23"/>
      <c r="L324" s="131"/>
      <c r="M324" s="23"/>
      <c r="N324" s="108"/>
      <c r="O324" s="90"/>
      <c r="P324" s="108"/>
      <c r="Q324" s="250"/>
      <c r="R324" s="23"/>
      <c r="S324" s="10"/>
      <c r="T324" s="103"/>
      <c r="U324" s="10"/>
      <c r="V324" s="10"/>
      <c r="W324" s="61"/>
      <c r="X324" s="61"/>
      <c r="Y324" s="23"/>
    </row>
    <row r="325" spans="1:25" ht="13">
      <c r="A325" s="8"/>
      <c r="B325" s="8"/>
      <c r="C325" s="8"/>
      <c r="D325" s="36"/>
      <c r="E325" s="36"/>
      <c r="F325" s="36"/>
      <c r="G325" s="23"/>
      <c r="H325" s="61"/>
      <c r="I325" s="61"/>
      <c r="J325" s="23"/>
      <c r="K325" s="23"/>
      <c r="L325" s="131"/>
      <c r="M325" s="23"/>
      <c r="N325" s="108"/>
      <c r="O325" s="90"/>
      <c r="P325" s="108"/>
      <c r="Q325" s="87"/>
      <c r="R325" s="23"/>
      <c r="S325" s="10"/>
      <c r="T325" s="103"/>
      <c r="U325" s="10"/>
      <c r="V325" s="10"/>
      <c r="W325" s="61"/>
      <c r="X325" s="61"/>
      <c r="Y325" s="23"/>
    </row>
    <row r="326" spans="1:25" ht="13">
      <c r="A326" s="8"/>
      <c r="B326" s="8"/>
      <c r="C326" s="8"/>
      <c r="D326" s="36"/>
      <c r="E326" s="36"/>
      <c r="F326" s="36"/>
      <c r="G326" s="23"/>
      <c r="H326" s="61"/>
      <c r="I326" s="61"/>
      <c r="J326" s="23"/>
      <c r="K326" s="23"/>
      <c r="L326" s="131"/>
      <c r="M326" s="23"/>
      <c r="N326" s="108"/>
      <c r="O326" s="90"/>
      <c r="P326" s="412"/>
      <c r="Q326" s="415"/>
      <c r="R326" s="23"/>
      <c r="S326" s="10"/>
      <c r="T326" s="103"/>
      <c r="U326" s="10"/>
      <c r="V326" s="10"/>
      <c r="W326" s="61"/>
      <c r="X326" s="61"/>
      <c r="Y326" s="23"/>
    </row>
    <row r="327" spans="1:25" ht="13">
      <c r="A327" s="8"/>
      <c r="B327" s="8"/>
      <c r="C327" s="8"/>
      <c r="D327" s="36"/>
      <c r="E327" s="36"/>
      <c r="F327" s="36"/>
      <c r="G327" s="23"/>
      <c r="H327" s="61"/>
      <c r="I327" s="61"/>
      <c r="J327" s="23"/>
      <c r="K327" s="23"/>
      <c r="L327" s="131"/>
      <c r="M327" s="23"/>
      <c r="N327" s="108"/>
      <c r="O327" s="90"/>
      <c r="P327" s="409"/>
      <c r="Q327" s="409"/>
      <c r="R327" s="23"/>
      <c r="S327" s="10"/>
      <c r="T327" s="103"/>
      <c r="U327" s="10"/>
      <c r="V327" s="10"/>
      <c r="W327" s="61"/>
      <c r="X327" s="61"/>
      <c r="Y327" s="23"/>
    </row>
    <row r="328" spans="1:25" ht="13">
      <c r="A328" s="8"/>
      <c r="B328" s="8"/>
      <c r="C328" s="8"/>
      <c r="D328" s="36"/>
      <c r="E328" s="36"/>
      <c r="F328" s="36"/>
      <c r="G328" s="113"/>
      <c r="H328" s="61"/>
      <c r="I328" s="61"/>
      <c r="J328" s="23"/>
      <c r="K328" s="23"/>
      <c r="L328" s="131"/>
      <c r="M328" s="23"/>
      <c r="N328" s="108"/>
      <c r="O328" s="90"/>
      <c r="P328" s="409"/>
      <c r="Q328" s="409"/>
      <c r="R328" s="23"/>
      <c r="S328" s="10"/>
      <c r="T328" s="103"/>
      <c r="U328" s="10"/>
      <c r="V328" s="10"/>
      <c r="W328" s="61"/>
      <c r="X328" s="61"/>
      <c r="Y328" s="23"/>
    </row>
    <row r="329" spans="1:25" ht="13">
      <c r="A329" s="8"/>
      <c r="B329" s="8"/>
      <c r="C329" s="8"/>
      <c r="D329" s="36"/>
      <c r="E329" s="87"/>
      <c r="F329" s="23"/>
      <c r="G329" s="113"/>
      <c r="H329" s="61"/>
      <c r="I329" s="61"/>
      <c r="J329" s="23"/>
      <c r="K329" s="23"/>
      <c r="L329" s="131"/>
      <c r="M329" s="23"/>
      <c r="N329" s="108"/>
      <c r="O329" s="90"/>
      <c r="P329" s="410"/>
      <c r="Q329" s="410"/>
      <c r="R329" s="23"/>
      <c r="S329" s="10"/>
      <c r="T329" s="103"/>
      <c r="U329" s="10"/>
      <c r="V329" s="10"/>
      <c r="W329" s="61"/>
      <c r="X329" s="61"/>
      <c r="Y329" s="23"/>
    </row>
    <row r="330" spans="1:25" ht="13">
      <c r="A330" s="8"/>
      <c r="B330" s="8"/>
      <c r="C330" s="8"/>
      <c r="D330" s="36"/>
      <c r="E330" s="36"/>
      <c r="F330" s="36"/>
      <c r="G330" s="23"/>
      <c r="H330" s="61"/>
      <c r="I330" s="61"/>
      <c r="J330" s="23"/>
      <c r="K330" s="23"/>
      <c r="L330" s="131"/>
      <c r="M330" s="23"/>
      <c r="N330" s="108"/>
      <c r="O330" s="90"/>
      <c r="P330" s="108"/>
      <c r="Q330" s="87"/>
      <c r="R330" s="23"/>
      <c r="S330" s="10"/>
      <c r="T330" s="103"/>
      <c r="U330" s="10"/>
      <c r="V330" s="10"/>
      <c r="W330" s="61"/>
      <c r="X330" s="61"/>
      <c r="Y330" s="23"/>
    </row>
    <row r="331" spans="1:25" ht="13">
      <c r="A331" s="8"/>
      <c r="B331" s="8"/>
      <c r="C331" s="8"/>
      <c r="D331" s="36"/>
      <c r="E331" s="36"/>
      <c r="F331" s="36"/>
      <c r="G331" s="23"/>
      <c r="H331" s="61"/>
      <c r="I331" s="61"/>
      <c r="J331" s="23"/>
      <c r="K331" s="23"/>
      <c r="L331" s="131"/>
      <c r="M331" s="23"/>
      <c r="N331" s="108"/>
      <c r="O331" s="90"/>
      <c r="P331" s="108"/>
      <c r="Q331" s="37"/>
      <c r="R331" s="23"/>
      <c r="S331" s="10"/>
      <c r="T331" s="103"/>
      <c r="U331" s="10"/>
      <c r="V331" s="10"/>
      <c r="W331" s="61"/>
      <c r="X331" s="61"/>
      <c r="Y331" s="23"/>
    </row>
    <row r="332" spans="1:25" ht="13">
      <c r="A332" s="8"/>
      <c r="B332" s="8"/>
      <c r="C332" s="8"/>
      <c r="D332" s="10"/>
      <c r="E332" s="36"/>
      <c r="F332" s="10"/>
      <c r="G332" s="23"/>
      <c r="H332" s="61"/>
      <c r="I332" s="61"/>
      <c r="J332" s="23"/>
      <c r="K332" s="23"/>
      <c r="L332" s="131"/>
      <c r="M332" s="23"/>
      <c r="N332" s="108"/>
      <c r="O332" s="90"/>
      <c r="P332" s="108"/>
      <c r="Q332" s="37"/>
      <c r="R332" s="103"/>
      <c r="S332" s="10"/>
      <c r="T332" s="103"/>
      <c r="U332" s="10"/>
      <c r="V332" s="10"/>
      <c r="W332" s="61"/>
      <c r="X332" s="61"/>
      <c r="Y332" s="23"/>
    </row>
    <row r="333" spans="1:25" ht="13">
      <c r="A333" s="8"/>
      <c r="B333" s="8"/>
      <c r="C333" s="8"/>
      <c r="D333" s="120"/>
      <c r="E333" s="36"/>
      <c r="F333" s="23"/>
      <c r="G333" s="23"/>
      <c r="H333" s="61"/>
      <c r="I333" s="61"/>
      <c r="J333" s="23"/>
      <c r="K333" s="23"/>
      <c r="L333" s="131"/>
      <c r="M333" s="23"/>
      <c r="N333" s="108"/>
      <c r="O333" s="108"/>
      <c r="P333" s="108"/>
      <c r="Q333" s="37"/>
      <c r="R333" s="103"/>
      <c r="S333" s="23"/>
      <c r="T333" s="23"/>
      <c r="U333" s="10"/>
      <c r="V333" s="23"/>
      <c r="W333" s="61"/>
      <c r="X333" s="61"/>
      <c r="Y333" s="23"/>
    </row>
    <row r="334" spans="1:25" ht="13">
      <c r="A334" s="8"/>
      <c r="B334" s="8"/>
      <c r="C334" s="8"/>
      <c r="D334" s="120"/>
      <c r="E334" s="36"/>
      <c r="F334" s="23"/>
      <c r="G334" s="23"/>
      <c r="H334" s="61"/>
      <c r="I334" s="61"/>
      <c r="J334" s="23"/>
      <c r="K334" s="23"/>
      <c r="L334" s="131"/>
      <c r="M334" s="23"/>
      <c r="N334" s="108"/>
      <c r="O334" s="108"/>
      <c r="P334" s="108"/>
      <c r="Q334" s="37"/>
      <c r="R334" s="103"/>
      <c r="S334" s="23"/>
      <c r="T334" s="23"/>
      <c r="U334" s="10"/>
      <c r="V334" s="23"/>
      <c r="W334" s="61"/>
      <c r="X334" s="61"/>
      <c r="Y334" s="23"/>
    </row>
    <row r="335" spans="1:25" ht="13">
      <c r="A335" s="9"/>
      <c r="B335" s="9"/>
      <c r="C335" s="9"/>
      <c r="D335" s="120"/>
      <c r="E335" s="120"/>
      <c r="F335" s="23"/>
      <c r="G335" s="23"/>
      <c r="H335" s="61"/>
      <c r="I335" s="61"/>
      <c r="J335" s="23"/>
      <c r="K335" s="23"/>
      <c r="L335" s="131"/>
      <c r="M335" s="23"/>
      <c r="N335" s="108"/>
      <c r="O335" s="108"/>
      <c r="P335" s="108"/>
      <c r="Q335" s="196"/>
      <c r="R335" s="23"/>
      <c r="S335" s="23"/>
      <c r="T335" s="23"/>
      <c r="U335" s="23"/>
      <c r="V335" s="23"/>
      <c r="W335" s="61"/>
      <c r="X335" s="61"/>
      <c r="Y335" s="23"/>
    </row>
    <row r="336" spans="1:25" ht="13">
      <c r="A336" s="9"/>
      <c r="B336" s="9"/>
      <c r="C336" s="9"/>
      <c r="D336" s="120"/>
      <c r="E336" s="196"/>
      <c r="F336" s="23"/>
      <c r="G336" s="23"/>
      <c r="H336" s="61"/>
      <c r="I336" s="61"/>
      <c r="J336" s="23"/>
      <c r="K336" s="23"/>
      <c r="L336" s="131"/>
      <c r="M336" s="23"/>
      <c r="N336" s="108"/>
      <c r="O336" s="108"/>
      <c r="P336" s="108"/>
      <c r="Q336" s="37"/>
      <c r="R336" s="23"/>
      <c r="S336" s="23"/>
      <c r="T336" s="23"/>
      <c r="U336" s="23"/>
      <c r="V336" s="23"/>
      <c r="W336" s="61"/>
      <c r="X336" s="61"/>
      <c r="Y336" s="23"/>
    </row>
    <row r="337" spans="1:25" ht="13">
      <c r="A337" s="9"/>
      <c r="B337" s="9"/>
      <c r="C337" s="9"/>
      <c r="D337" s="120"/>
      <c r="E337" s="196"/>
      <c r="F337" s="23"/>
      <c r="G337" s="23"/>
      <c r="H337" s="61"/>
      <c r="I337" s="61"/>
      <c r="J337" s="23"/>
      <c r="K337" s="23"/>
      <c r="L337" s="131"/>
      <c r="M337" s="23"/>
      <c r="N337" s="108"/>
      <c r="O337" s="108"/>
      <c r="P337" s="108"/>
      <c r="Q337" s="37"/>
      <c r="R337" s="23"/>
      <c r="S337" s="23"/>
      <c r="T337" s="23"/>
      <c r="U337" s="23"/>
      <c r="V337" s="23"/>
      <c r="W337" s="61"/>
      <c r="X337" s="61"/>
      <c r="Y337" s="23"/>
    </row>
    <row r="338" spans="1:25" ht="13">
      <c r="A338" s="9"/>
      <c r="B338" s="9"/>
      <c r="C338" s="9"/>
      <c r="D338" s="120"/>
      <c r="E338" s="196"/>
      <c r="F338" s="23"/>
      <c r="G338" s="23"/>
      <c r="H338" s="61"/>
      <c r="I338" s="61"/>
      <c r="J338" s="23"/>
      <c r="K338" s="23"/>
      <c r="L338" s="131"/>
      <c r="M338" s="23"/>
      <c r="N338" s="108"/>
      <c r="O338" s="108"/>
      <c r="P338" s="108"/>
      <c r="Q338" s="37"/>
      <c r="R338" s="23"/>
      <c r="S338" s="23"/>
      <c r="T338" s="23"/>
      <c r="U338" s="23"/>
      <c r="V338" s="23"/>
      <c r="W338" s="61"/>
      <c r="X338" s="61"/>
      <c r="Y338" s="23"/>
    </row>
    <row r="339" spans="1:25" ht="13">
      <c r="A339" s="9"/>
      <c r="B339" s="9"/>
      <c r="C339" s="9"/>
      <c r="D339" s="120"/>
      <c r="E339" s="196"/>
      <c r="F339" s="23"/>
      <c r="G339" s="23"/>
      <c r="H339" s="61"/>
      <c r="I339" s="61"/>
      <c r="J339" s="23"/>
      <c r="K339" s="23"/>
      <c r="L339" s="131"/>
      <c r="M339" s="23"/>
      <c r="N339" s="108"/>
      <c r="O339" s="108"/>
      <c r="P339" s="108"/>
      <c r="Q339" s="37"/>
      <c r="R339" s="23"/>
      <c r="S339" s="23"/>
      <c r="T339" s="23"/>
      <c r="U339" s="23"/>
      <c r="V339" s="23"/>
      <c r="W339" s="61"/>
      <c r="X339" s="61"/>
      <c r="Y339" s="23"/>
    </row>
    <row r="340" spans="1:25" ht="13">
      <c r="A340" s="9"/>
      <c r="B340" s="9"/>
      <c r="C340" s="9"/>
      <c r="D340" s="120"/>
      <c r="E340" s="196"/>
      <c r="F340" s="23"/>
      <c r="G340" s="23"/>
      <c r="H340" s="61"/>
      <c r="I340" s="61"/>
      <c r="J340" s="23"/>
      <c r="K340" s="23"/>
      <c r="L340" s="131"/>
      <c r="M340" s="23"/>
      <c r="N340" s="108"/>
      <c r="O340" s="108"/>
      <c r="P340" s="108"/>
      <c r="Q340" s="37"/>
      <c r="R340" s="23"/>
      <c r="S340" s="23"/>
      <c r="T340" s="23"/>
      <c r="U340" s="23"/>
      <c r="V340" s="23"/>
      <c r="W340" s="61"/>
      <c r="X340" s="61"/>
      <c r="Y340" s="23"/>
    </row>
    <row r="341" spans="1:25" ht="13">
      <c r="A341" s="9"/>
      <c r="B341" s="9"/>
      <c r="C341" s="9"/>
      <c r="D341" s="120"/>
      <c r="E341" s="196"/>
      <c r="F341" s="23"/>
      <c r="G341" s="23"/>
      <c r="H341" s="61"/>
      <c r="I341" s="61"/>
      <c r="J341" s="23"/>
      <c r="K341" s="23"/>
      <c r="L341" s="131"/>
      <c r="M341" s="23"/>
      <c r="N341" s="108"/>
      <c r="O341" s="108"/>
      <c r="P341" s="108"/>
      <c r="Q341" s="37"/>
      <c r="R341" s="23"/>
      <c r="S341" s="23"/>
      <c r="T341" s="23"/>
      <c r="U341" s="23"/>
      <c r="V341" s="23"/>
      <c r="W341" s="61"/>
      <c r="X341" s="61"/>
      <c r="Y341" s="23"/>
    </row>
    <row r="342" spans="1:25" ht="13">
      <c r="A342" s="9"/>
      <c r="B342" s="9"/>
      <c r="C342" s="9"/>
      <c r="D342" s="120"/>
      <c r="E342" s="196"/>
      <c r="F342" s="23"/>
      <c r="G342" s="23"/>
      <c r="H342" s="61"/>
      <c r="I342" s="61"/>
      <c r="J342" s="23"/>
      <c r="K342" s="23"/>
      <c r="L342" s="131"/>
      <c r="M342" s="23"/>
      <c r="N342" s="108"/>
      <c r="O342" s="108"/>
      <c r="P342" s="108"/>
      <c r="Q342" s="37"/>
      <c r="R342" s="23"/>
      <c r="S342" s="23"/>
      <c r="T342" s="23"/>
      <c r="U342" s="23"/>
      <c r="V342" s="23"/>
      <c r="W342" s="61"/>
      <c r="X342" s="61"/>
      <c r="Y342" s="23"/>
    </row>
    <row r="343" spans="1:25" ht="13">
      <c r="A343" s="9"/>
      <c r="B343" s="9"/>
      <c r="C343" s="9"/>
      <c r="D343" s="120"/>
      <c r="E343" s="120"/>
      <c r="F343" s="23"/>
      <c r="G343" s="23"/>
      <c r="H343" s="61"/>
      <c r="I343" s="61"/>
      <c r="J343" s="23"/>
      <c r="K343" s="23"/>
      <c r="L343" s="131"/>
      <c r="M343" s="23"/>
      <c r="N343" s="108"/>
      <c r="O343" s="108"/>
      <c r="P343" s="108"/>
      <c r="Q343" s="196"/>
      <c r="R343" s="23"/>
      <c r="S343" s="23"/>
      <c r="T343" s="23"/>
      <c r="U343" s="23"/>
      <c r="V343" s="23"/>
      <c r="W343" s="61"/>
      <c r="X343" s="61"/>
      <c r="Y343" s="23"/>
    </row>
    <row r="344" spans="1:25" ht="13">
      <c r="A344" s="9"/>
      <c r="B344" s="9"/>
      <c r="C344" s="9"/>
      <c r="D344" s="120"/>
      <c r="E344" s="120"/>
      <c r="F344" s="23"/>
      <c r="G344" s="23"/>
      <c r="H344" s="61"/>
      <c r="I344" s="61"/>
      <c r="J344" s="175"/>
      <c r="K344" s="23"/>
      <c r="L344" s="131"/>
      <c r="M344" s="23"/>
      <c r="N344" s="108"/>
      <c r="O344" s="108"/>
      <c r="P344" s="108"/>
      <c r="Q344" s="37"/>
      <c r="R344" s="23"/>
      <c r="S344" s="23"/>
      <c r="T344" s="23"/>
      <c r="U344" s="23"/>
      <c r="V344" s="23"/>
      <c r="W344" s="61"/>
      <c r="X344" s="61"/>
      <c r="Y344" s="23"/>
    </row>
    <row r="345" spans="1:25" ht="13">
      <c r="A345" s="9"/>
      <c r="B345" s="9"/>
      <c r="C345" s="9"/>
      <c r="D345" s="120"/>
      <c r="E345" s="120"/>
      <c r="F345" s="23"/>
      <c r="G345" s="23"/>
      <c r="H345" s="61"/>
      <c r="I345" s="61"/>
      <c r="J345" s="23"/>
      <c r="K345" s="23"/>
      <c r="L345" s="131"/>
      <c r="M345" s="23"/>
      <c r="N345" s="108"/>
      <c r="O345" s="108"/>
      <c r="P345" s="108"/>
      <c r="Q345" s="196"/>
      <c r="R345" s="23"/>
      <c r="S345" s="23"/>
      <c r="T345" s="23"/>
      <c r="U345" s="23"/>
      <c r="V345" s="23"/>
      <c r="W345" s="61"/>
      <c r="X345" s="61"/>
      <c r="Y345" s="23"/>
    </row>
    <row r="346" spans="1:25" ht="13">
      <c r="A346" s="9"/>
      <c r="B346" s="9"/>
      <c r="C346" s="9"/>
      <c r="D346" s="120"/>
      <c r="E346" s="120"/>
      <c r="F346" s="23"/>
      <c r="G346" s="23"/>
      <c r="H346" s="61"/>
      <c r="I346" s="61"/>
      <c r="J346" s="23"/>
      <c r="K346" s="23"/>
      <c r="L346" s="131"/>
      <c r="M346" s="23"/>
      <c r="N346" s="108"/>
      <c r="O346" s="108"/>
      <c r="P346" s="108"/>
      <c r="Q346" s="37"/>
      <c r="R346" s="23"/>
      <c r="S346" s="23"/>
      <c r="T346" s="23"/>
      <c r="U346" s="23"/>
      <c r="V346" s="23"/>
      <c r="W346" s="61"/>
      <c r="X346" s="61"/>
      <c r="Y346" s="23"/>
    </row>
    <row r="347" spans="1:25" ht="13">
      <c r="A347" s="9"/>
      <c r="B347" s="9"/>
      <c r="C347" s="9"/>
      <c r="D347" s="120"/>
      <c r="E347" s="120"/>
      <c r="F347" s="23"/>
      <c r="G347" s="23"/>
      <c r="H347" s="61"/>
      <c r="I347" s="61"/>
      <c r="J347" s="23"/>
      <c r="K347" s="23"/>
      <c r="L347" s="131"/>
      <c r="M347" s="23"/>
      <c r="N347" s="108"/>
      <c r="O347" s="108"/>
      <c r="P347" s="108"/>
      <c r="Q347" s="196"/>
      <c r="R347" s="23"/>
      <c r="S347" s="23"/>
      <c r="T347" s="23"/>
      <c r="U347" s="23"/>
      <c r="V347" s="23"/>
      <c r="W347" s="61"/>
      <c r="X347" s="61"/>
      <c r="Y347" s="23"/>
    </row>
    <row r="348" spans="1:25" ht="13">
      <c r="A348" s="9"/>
      <c r="B348" s="9"/>
      <c r="C348" s="9"/>
      <c r="D348" s="120"/>
      <c r="E348" s="196"/>
      <c r="F348" s="23"/>
      <c r="G348" s="23"/>
      <c r="H348" s="61"/>
      <c r="I348" s="61"/>
      <c r="J348" s="23"/>
      <c r="K348" s="23"/>
      <c r="L348" s="131"/>
      <c r="M348" s="23"/>
      <c r="N348" s="108"/>
      <c r="O348" s="412"/>
      <c r="P348" s="412"/>
      <c r="Q348" s="417"/>
      <c r="R348" s="23"/>
      <c r="S348" s="23"/>
      <c r="T348" s="23"/>
      <c r="U348" s="23"/>
      <c r="V348" s="23"/>
      <c r="W348" s="61"/>
      <c r="X348" s="61"/>
      <c r="Y348" s="23"/>
    </row>
    <row r="349" spans="1:25" ht="13">
      <c r="A349" s="9"/>
      <c r="B349" s="9"/>
      <c r="C349" s="9"/>
      <c r="D349" s="120"/>
      <c r="E349" s="196"/>
      <c r="F349" s="23"/>
      <c r="G349" s="23"/>
      <c r="H349" s="61"/>
      <c r="I349" s="61"/>
      <c r="J349" s="23"/>
      <c r="K349" s="23"/>
      <c r="L349" s="131"/>
      <c r="M349" s="23"/>
      <c r="N349" s="108"/>
      <c r="O349" s="409"/>
      <c r="P349" s="409"/>
      <c r="Q349" s="409"/>
      <c r="R349" s="23"/>
      <c r="S349" s="23"/>
      <c r="T349" s="23"/>
      <c r="U349" s="23"/>
      <c r="V349" s="23"/>
      <c r="W349" s="61"/>
      <c r="X349" s="61"/>
      <c r="Y349" s="23"/>
    </row>
    <row r="350" spans="1:25" ht="13">
      <c r="A350" s="9"/>
      <c r="B350" s="9"/>
      <c r="C350" s="9"/>
      <c r="D350" s="120"/>
      <c r="E350" s="196"/>
      <c r="F350" s="23"/>
      <c r="G350" s="23"/>
      <c r="H350" s="61"/>
      <c r="I350" s="61"/>
      <c r="J350" s="23"/>
      <c r="K350" s="23"/>
      <c r="L350" s="131"/>
      <c r="M350" s="23"/>
      <c r="N350" s="108"/>
      <c r="O350" s="410"/>
      <c r="P350" s="410"/>
      <c r="Q350" s="410"/>
      <c r="R350" s="23"/>
      <c r="S350" s="23"/>
      <c r="T350" s="23"/>
      <c r="U350" s="23"/>
      <c r="V350" s="23"/>
      <c r="W350" s="61"/>
      <c r="X350" s="61"/>
      <c r="Y350" s="23"/>
    </row>
    <row r="351" spans="1:25" ht="13">
      <c r="A351" s="9"/>
      <c r="B351" s="9"/>
      <c r="C351" s="9"/>
      <c r="D351" s="120"/>
      <c r="E351" s="120"/>
      <c r="F351" s="23"/>
      <c r="G351" s="23"/>
      <c r="H351" s="61"/>
      <c r="I351" s="61"/>
      <c r="J351" s="23"/>
      <c r="K351" s="23"/>
      <c r="L351" s="131"/>
      <c r="M351" s="23"/>
      <c r="N351" s="108"/>
      <c r="O351" s="108"/>
      <c r="P351" s="108"/>
      <c r="Q351" s="196"/>
      <c r="R351" s="23"/>
      <c r="S351" s="23"/>
      <c r="T351" s="23"/>
      <c r="U351" s="23"/>
      <c r="V351" s="23"/>
      <c r="W351" s="61"/>
      <c r="X351" s="61"/>
      <c r="Y351" s="23"/>
    </row>
    <row r="352" spans="1:25" ht="13">
      <c r="A352" s="9"/>
      <c r="B352" s="9"/>
      <c r="C352" s="9"/>
      <c r="D352" s="120"/>
      <c r="E352" s="196"/>
      <c r="F352" s="23"/>
      <c r="G352" s="23"/>
      <c r="H352" s="61"/>
      <c r="I352" s="61"/>
      <c r="J352" s="23"/>
      <c r="K352" s="23"/>
      <c r="L352" s="131"/>
      <c r="M352" s="23"/>
      <c r="N352" s="108"/>
      <c r="O352" s="108"/>
      <c r="P352" s="108"/>
      <c r="Q352" s="37"/>
      <c r="R352" s="23"/>
      <c r="S352" s="23"/>
      <c r="T352" s="23"/>
      <c r="U352" s="23"/>
      <c r="V352" s="23"/>
      <c r="W352" s="61"/>
      <c r="X352" s="61"/>
      <c r="Y352" s="23"/>
    </row>
    <row r="353" spans="1:25" ht="13">
      <c r="A353" s="9"/>
      <c r="B353" s="9"/>
      <c r="C353" s="9"/>
      <c r="D353" s="120"/>
      <c r="E353" s="120"/>
      <c r="F353" s="23"/>
      <c r="G353" s="23"/>
      <c r="H353" s="61"/>
      <c r="I353" s="61"/>
      <c r="J353" s="23"/>
      <c r="K353" s="23"/>
      <c r="L353" s="131"/>
      <c r="M353" s="23"/>
      <c r="N353" s="108"/>
      <c r="O353" s="108"/>
      <c r="P353" s="108"/>
      <c r="Q353" s="196"/>
      <c r="R353" s="23"/>
      <c r="S353" s="23"/>
      <c r="T353" s="23"/>
      <c r="U353" s="23"/>
      <c r="V353" s="23"/>
      <c r="W353" s="61"/>
      <c r="X353" s="61"/>
      <c r="Y353" s="23"/>
    </row>
    <row r="354" spans="1:25" ht="13">
      <c r="A354" s="9"/>
      <c r="B354" s="9"/>
      <c r="C354" s="9"/>
      <c r="D354" s="120"/>
      <c r="E354" s="120"/>
      <c r="F354" s="23"/>
      <c r="G354" s="113"/>
      <c r="H354" s="61"/>
      <c r="I354" s="61"/>
      <c r="J354" s="23"/>
      <c r="K354" s="23"/>
      <c r="L354" s="131"/>
      <c r="M354" s="23"/>
      <c r="N354" s="108"/>
      <c r="O354" s="108"/>
      <c r="P354" s="108"/>
      <c r="Q354" s="37"/>
      <c r="R354" s="23"/>
      <c r="S354" s="23"/>
      <c r="T354" s="23"/>
      <c r="U354" s="23"/>
      <c r="V354" s="23"/>
      <c r="W354" s="61"/>
      <c r="X354" s="61"/>
      <c r="Y354" s="23"/>
    </row>
    <row r="355" spans="1:25" ht="13">
      <c r="A355" s="9"/>
      <c r="B355" s="9"/>
      <c r="C355" s="9"/>
      <c r="D355" s="120"/>
      <c r="E355" s="120"/>
      <c r="F355" s="23"/>
      <c r="G355" s="23"/>
      <c r="H355" s="61"/>
      <c r="I355" s="61"/>
      <c r="J355" s="23"/>
      <c r="K355" s="23"/>
      <c r="L355" s="131"/>
      <c r="M355" s="23"/>
      <c r="N355" s="108"/>
      <c r="O355" s="108"/>
      <c r="P355" s="108"/>
      <c r="Q355" s="196"/>
      <c r="R355" s="23"/>
      <c r="S355" s="23"/>
      <c r="T355" s="23"/>
      <c r="U355" s="23"/>
      <c r="V355" s="23"/>
      <c r="W355" s="61"/>
      <c r="X355" s="61"/>
      <c r="Y355" s="23"/>
    </row>
    <row r="356" spans="1:25" ht="13">
      <c r="A356" s="9"/>
      <c r="B356" s="9"/>
      <c r="C356" s="9"/>
      <c r="D356" s="120"/>
      <c r="E356" s="196"/>
      <c r="F356" s="23"/>
      <c r="G356" s="23"/>
      <c r="H356" s="61"/>
      <c r="I356" s="61"/>
      <c r="J356" s="23"/>
      <c r="K356" s="23"/>
      <c r="L356" s="131"/>
      <c r="M356" s="23"/>
      <c r="N356" s="108"/>
      <c r="O356" s="108"/>
      <c r="P356" s="108"/>
      <c r="Q356" s="37"/>
      <c r="R356" s="23"/>
      <c r="S356" s="23"/>
      <c r="T356" s="23"/>
      <c r="U356" s="23"/>
      <c r="V356" s="23"/>
      <c r="W356" s="61"/>
      <c r="X356" s="61"/>
      <c r="Y356" s="23"/>
    </row>
    <row r="357" spans="1:25" ht="13">
      <c r="A357" s="9"/>
      <c r="B357" s="9"/>
      <c r="C357" s="9"/>
      <c r="D357" s="120"/>
      <c r="E357" s="120"/>
      <c r="F357" s="23"/>
      <c r="G357" s="23"/>
      <c r="H357" s="61"/>
      <c r="I357" s="61"/>
      <c r="J357" s="23"/>
      <c r="K357" s="23"/>
      <c r="L357" s="131"/>
      <c r="M357" s="23"/>
      <c r="N357" s="108"/>
      <c r="O357" s="108"/>
      <c r="P357" s="108"/>
      <c r="Q357" s="196"/>
      <c r="R357" s="23"/>
      <c r="S357" s="23"/>
      <c r="T357" s="23"/>
      <c r="U357" s="23"/>
      <c r="V357" s="23"/>
      <c r="W357" s="61"/>
      <c r="X357" s="61"/>
      <c r="Y357" s="23"/>
    </row>
    <row r="358" spans="1:25" ht="13">
      <c r="A358" s="9"/>
      <c r="B358" s="9"/>
      <c r="C358" s="9"/>
      <c r="D358" s="120"/>
      <c r="E358" s="120"/>
      <c r="F358" s="23"/>
      <c r="G358" s="304"/>
      <c r="H358" s="61"/>
      <c r="I358" s="61"/>
      <c r="J358" s="23"/>
      <c r="K358" s="23"/>
      <c r="L358" s="131"/>
      <c r="M358" s="23"/>
      <c r="N358" s="108"/>
      <c r="O358" s="108"/>
      <c r="P358" s="108"/>
      <c r="Q358" s="37"/>
      <c r="R358" s="113"/>
      <c r="S358" s="23"/>
      <c r="T358" s="23"/>
      <c r="U358" s="23"/>
      <c r="V358" s="23"/>
      <c r="W358" s="61"/>
      <c r="X358" s="61"/>
      <c r="Y358" s="23"/>
    </row>
    <row r="359" spans="1:25" ht="13">
      <c r="A359" s="9"/>
      <c r="B359" s="9"/>
      <c r="C359" s="9"/>
      <c r="D359" s="120"/>
      <c r="E359" s="120"/>
      <c r="F359" s="23"/>
      <c r="G359" s="23"/>
      <c r="H359" s="61"/>
      <c r="I359" s="61"/>
      <c r="J359" s="23"/>
      <c r="K359" s="23"/>
      <c r="L359" s="131"/>
      <c r="M359" s="23"/>
      <c r="N359" s="108"/>
      <c r="O359" s="108"/>
      <c r="P359" s="108"/>
      <c r="Q359" s="196"/>
      <c r="R359" s="23"/>
      <c r="S359" s="23"/>
      <c r="T359" s="23"/>
      <c r="U359" s="23"/>
      <c r="V359" s="23"/>
      <c r="W359" s="61"/>
      <c r="X359" s="61"/>
      <c r="Y359" s="23"/>
    </row>
    <row r="360" spans="1:25" ht="13">
      <c r="A360" s="9"/>
      <c r="B360" s="9"/>
      <c r="C360" s="9"/>
      <c r="D360" s="120"/>
      <c r="E360" s="196"/>
      <c r="F360" s="23"/>
      <c r="G360" s="23"/>
      <c r="H360" s="61"/>
      <c r="I360" s="61"/>
      <c r="J360" s="23"/>
      <c r="K360" s="23"/>
      <c r="L360" s="131"/>
      <c r="M360" s="23"/>
      <c r="N360" s="108"/>
      <c r="O360" s="108"/>
      <c r="P360" s="412"/>
      <c r="Q360" s="37"/>
      <c r="R360" s="23"/>
      <c r="S360" s="23"/>
      <c r="T360" s="23"/>
      <c r="U360" s="23"/>
      <c r="V360" s="23"/>
      <c r="W360" s="23"/>
      <c r="X360" s="23"/>
      <c r="Y360" s="23"/>
    </row>
    <row r="361" spans="1:25" ht="13">
      <c r="A361" s="9"/>
      <c r="B361" s="9"/>
      <c r="C361" s="9"/>
      <c r="D361" s="120"/>
      <c r="E361" s="196"/>
      <c r="F361" s="23"/>
      <c r="G361" s="23"/>
      <c r="H361" s="61"/>
      <c r="I361" s="61"/>
      <c r="J361" s="23"/>
      <c r="K361" s="23"/>
      <c r="L361" s="131"/>
      <c r="M361" s="23"/>
      <c r="N361" s="108"/>
      <c r="O361" s="108"/>
      <c r="P361" s="409"/>
      <c r="Q361" s="37"/>
      <c r="R361" s="23"/>
      <c r="S361" s="23"/>
      <c r="T361" s="23"/>
      <c r="U361" s="23"/>
      <c r="V361" s="23"/>
      <c r="W361" s="23"/>
      <c r="X361" s="23"/>
      <c r="Y361" s="23"/>
    </row>
    <row r="362" spans="1:25" ht="13">
      <c r="A362" s="9"/>
      <c r="B362" s="9"/>
      <c r="C362" s="9"/>
      <c r="D362" s="120"/>
      <c r="E362" s="196"/>
      <c r="F362" s="23"/>
      <c r="G362" s="23"/>
      <c r="H362" s="61"/>
      <c r="I362" s="61"/>
      <c r="J362" s="23"/>
      <c r="K362" s="23"/>
      <c r="L362" s="131"/>
      <c r="M362" s="23"/>
      <c r="N362" s="108"/>
      <c r="O362" s="108"/>
      <c r="P362" s="409"/>
      <c r="Q362" s="37"/>
      <c r="R362" s="23"/>
      <c r="S362" s="23"/>
      <c r="T362" s="23"/>
      <c r="U362" s="23"/>
      <c r="V362" s="23"/>
      <c r="W362" s="23"/>
      <c r="X362" s="23"/>
      <c r="Y362" s="23"/>
    </row>
    <row r="363" spans="1:25" ht="13">
      <c r="A363" s="9"/>
      <c r="B363" s="9"/>
      <c r="C363" s="9"/>
      <c r="D363" s="120"/>
      <c r="E363" s="196"/>
      <c r="F363" s="23"/>
      <c r="G363" s="23"/>
      <c r="H363" s="61"/>
      <c r="I363" s="61"/>
      <c r="J363" s="23"/>
      <c r="K363" s="23"/>
      <c r="L363" s="131"/>
      <c r="M363" s="23"/>
      <c r="N363" s="108"/>
      <c r="O363" s="108"/>
      <c r="P363" s="410"/>
      <c r="Q363" s="37"/>
      <c r="R363" s="113"/>
      <c r="S363" s="23"/>
      <c r="T363" s="23"/>
      <c r="U363" s="23"/>
      <c r="V363" s="23"/>
      <c r="W363" s="23"/>
      <c r="X363" s="23"/>
      <c r="Y363" s="23"/>
    </row>
    <row r="364" spans="1:25" ht="13">
      <c r="A364" s="9"/>
      <c r="B364" s="9"/>
      <c r="C364" s="9"/>
      <c r="D364" s="120"/>
      <c r="E364" s="120"/>
      <c r="F364" s="23"/>
      <c r="G364" s="23"/>
      <c r="H364" s="61"/>
      <c r="I364" s="61"/>
      <c r="J364" s="23"/>
      <c r="K364" s="23"/>
      <c r="L364" s="131"/>
      <c r="M364" s="23"/>
      <c r="N364" s="108"/>
      <c r="O364" s="108"/>
      <c r="P364" s="108"/>
      <c r="Q364" s="196"/>
      <c r="R364" s="23"/>
      <c r="S364" s="23"/>
      <c r="T364" s="23"/>
      <c r="U364" s="23"/>
      <c r="V364" s="23"/>
      <c r="W364" s="61"/>
      <c r="X364" s="61"/>
      <c r="Y364" s="23"/>
    </row>
    <row r="365" spans="1:25" ht="13">
      <c r="A365" s="9"/>
      <c r="B365" s="9"/>
      <c r="C365" s="9"/>
      <c r="D365" s="120"/>
      <c r="E365" s="196"/>
      <c r="F365" s="23"/>
      <c r="G365" s="23"/>
      <c r="H365" s="61"/>
      <c r="I365" s="61"/>
      <c r="J365" s="23"/>
      <c r="K365" s="23"/>
      <c r="L365" s="131"/>
      <c r="M365" s="23"/>
      <c r="N365" s="108"/>
      <c r="O365" s="108"/>
      <c r="P365" s="108"/>
      <c r="Q365" s="37"/>
      <c r="R365" s="23"/>
      <c r="S365" s="23"/>
      <c r="T365" s="23"/>
      <c r="U365" s="23"/>
      <c r="V365" s="23"/>
      <c r="W365" s="61"/>
      <c r="X365" s="61"/>
      <c r="Y365" s="23"/>
    </row>
    <row r="366" spans="1:25" ht="13">
      <c r="A366" s="9"/>
      <c r="B366" s="9"/>
      <c r="C366" s="9"/>
      <c r="D366" s="120"/>
      <c r="E366" s="120"/>
      <c r="F366" s="23"/>
      <c r="G366" s="23"/>
      <c r="H366" s="61"/>
      <c r="I366" s="61"/>
      <c r="J366" s="23"/>
      <c r="K366" s="23"/>
      <c r="L366" s="131"/>
      <c r="M366" s="23"/>
      <c r="N366" s="108"/>
      <c r="O366" s="108"/>
      <c r="P366" s="108"/>
      <c r="Q366" s="196"/>
      <c r="R366" s="23"/>
      <c r="S366" s="23"/>
      <c r="T366" s="23"/>
      <c r="U366" s="23"/>
      <c r="V366" s="23"/>
      <c r="W366" s="61"/>
      <c r="X366" s="61"/>
      <c r="Y366" s="23"/>
    </row>
    <row r="367" spans="1:25" ht="13">
      <c r="A367" s="120"/>
      <c r="B367" s="120"/>
      <c r="C367" s="120"/>
      <c r="D367" s="120"/>
      <c r="E367" s="196"/>
      <c r="F367" s="23"/>
      <c r="G367" s="23"/>
      <c r="H367" s="23"/>
      <c r="I367" s="23"/>
      <c r="J367" s="23"/>
      <c r="K367" s="23"/>
      <c r="L367" s="23"/>
      <c r="M367" s="23"/>
      <c r="N367" s="108"/>
      <c r="O367" s="108"/>
      <c r="P367" s="108"/>
      <c r="Q367" s="37"/>
      <c r="R367" s="113"/>
      <c r="S367" s="23"/>
      <c r="T367" s="23"/>
      <c r="U367" s="23"/>
      <c r="V367" s="23"/>
      <c r="W367" s="23"/>
      <c r="X367" s="23"/>
      <c r="Y367" s="23"/>
    </row>
    <row r="368" spans="1:25" ht="13">
      <c r="A368" s="9"/>
      <c r="B368" s="9"/>
      <c r="C368" s="9"/>
      <c r="D368" s="120"/>
      <c r="E368" s="120"/>
      <c r="F368" s="23"/>
      <c r="G368" s="23"/>
      <c r="H368" s="61"/>
      <c r="I368" s="61"/>
      <c r="J368" s="23"/>
      <c r="K368" s="23"/>
      <c r="L368" s="131"/>
      <c r="M368" s="23"/>
      <c r="N368" s="108"/>
      <c r="O368" s="108"/>
      <c r="P368" s="108"/>
      <c r="Q368" s="37"/>
      <c r="R368" s="23"/>
      <c r="S368" s="23"/>
      <c r="T368" s="23"/>
      <c r="U368" s="23"/>
      <c r="V368" s="23"/>
      <c r="W368" s="61"/>
      <c r="X368" s="61"/>
      <c r="Y368" s="23"/>
    </row>
    <row r="369" spans="1:25" ht="13">
      <c r="A369" s="9"/>
      <c r="B369" s="9"/>
      <c r="C369" s="9"/>
      <c r="D369" s="120"/>
      <c r="E369" s="196"/>
      <c r="F369" s="23"/>
      <c r="G369" s="23"/>
      <c r="H369" s="61"/>
      <c r="I369" s="61"/>
      <c r="J369" s="23"/>
      <c r="K369" s="23"/>
      <c r="L369" s="131"/>
      <c r="M369" s="23"/>
      <c r="N369" s="412"/>
      <c r="O369" s="412"/>
      <c r="P369" s="412"/>
      <c r="Q369" s="417"/>
      <c r="R369" s="23"/>
      <c r="S369" s="23"/>
      <c r="T369" s="23"/>
      <c r="U369" s="23"/>
      <c r="V369" s="23"/>
      <c r="W369" s="61"/>
      <c r="X369" s="61"/>
      <c r="Y369" s="23"/>
    </row>
    <row r="370" spans="1:25" ht="13">
      <c r="A370" s="9"/>
      <c r="B370" s="9"/>
      <c r="C370" s="9"/>
      <c r="D370" s="120"/>
      <c r="E370" s="196"/>
      <c r="F370" s="23"/>
      <c r="G370" s="23"/>
      <c r="H370" s="61"/>
      <c r="I370" s="61"/>
      <c r="J370" s="23"/>
      <c r="K370" s="23"/>
      <c r="L370" s="131"/>
      <c r="M370" s="23"/>
      <c r="N370" s="410"/>
      <c r="O370" s="410"/>
      <c r="P370" s="410"/>
      <c r="Q370" s="410"/>
      <c r="R370" s="23"/>
      <c r="S370" s="23"/>
      <c r="T370" s="23"/>
      <c r="U370" s="23"/>
      <c r="V370" s="23"/>
      <c r="W370" s="61"/>
      <c r="X370" s="61"/>
      <c r="Y370" s="23"/>
    </row>
    <row r="371" spans="1:25" ht="13">
      <c r="A371" s="9"/>
      <c r="B371" s="9"/>
      <c r="C371" s="9"/>
      <c r="D371" s="120"/>
      <c r="E371" s="120"/>
      <c r="F371" s="23"/>
      <c r="G371" s="23"/>
      <c r="H371" s="61"/>
      <c r="I371" s="61"/>
      <c r="J371" s="23"/>
      <c r="K371" s="23"/>
      <c r="L371" s="131"/>
      <c r="M371" s="23"/>
      <c r="N371" s="108"/>
      <c r="O371" s="108"/>
      <c r="P371" s="108"/>
      <c r="Q371" s="37"/>
      <c r="R371" s="23"/>
      <c r="S371" s="23"/>
      <c r="T371" s="23"/>
      <c r="U371" s="23"/>
      <c r="V371" s="23"/>
      <c r="W371" s="61"/>
      <c r="X371" s="61"/>
      <c r="Y371" s="23"/>
    </row>
    <row r="372" spans="1:25" ht="13">
      <c r="A372" s="9"/>
      <c r="B372" s="9"/>
      <c r="C372" s="9"/>
      <c r="D372" s="120"/>
      <c r="E372" s="196"/>
      <c r="F372" s="23"/>
      <c r="G372" s="23"/>
      <c r="H372" s="61"/>
      <c r="I372" s="61"/>
      <c r="J372" s="23"/>
      <c r="K372" s="23"/>
      <c r="L372" s="131"/>
      <c r="M372" s="23"/>
      <c r="N372" s="108"/>
      <c r="O372" s="108"/>
      <c r="P372" s="108"/>
      <c r="Q372" s="37"/>
      <c r="R372" s="23"/>
      <c r="S372" s="23"/>
      <c r="T372" s="23"/>
      <c r="U372" s="23"/>
      <c r="V372" s="23"/>
      <c r="W372" s="61"/>
      <c r="X372" s="61"/>
      <c r="Y372" s="23"/>
    </row>
    <row r="373" spans="1:25" ht="13">
      <c r="A373" s="9"/>
      <c r="B373" s="9"/>
      <c r="C373" s="9"/>
      <c r="D373" s="120"/>
      <c r="E373" s="120"/>
      <c r="F373" s="23"/>
      <c r="G373" s="23"/>
      <c r="H373" s="61"/>
      <c r="I373" s="61"/>
      <c r="J373" s="23"/>
      <c r="K373" s="23"/>
      <c r="L373" s="131"/>
      <c r="M373" s="23"/>
      <c r="N373" s="108"/>
      <c r="O373" s="108"/>
      <c r="P373" s="108"/>
      <c r="Q373" s="37"/>
      <c r="R373" s="23"/>
      <c r="S373" s="23"/>
      <c r="T373" s="23"/>
      <c r="U373" s="23"/>
      <c r="V373" s="23"/>
      <c r="W373" s="61"/>
      <c r="X373" s="61"/>
      <c r="Y373" s="23"/>
    </row>
    <row r="374" spans="1:25" ht="13">
      <c r="A374" s="9"/>
      <c r="B374" s="9"/>
      <c r="C374" s="9"/>
      <c r="D374" s="120"/>
      <c r="E374" s="120"/>
      <c r="F374" s="23"/>
      <c r="G374" s="23"/>
      <c r="H374" s="61"/>
      <c r="I374" s="61"/>
      <c r="J374" s="23"/>
      <c r="K374" s="23"/>
      <c r="L374" s="131"/>
      <c r="M374" s="23"/>
      <c r="N374" s="108"/>
      <c r="O374" s="108"/>
      <c r="P374" s="108"/>
      <c r="Q374" s="37"/>
      <c r="R374" s="23"/>
      <c r="S374" s="23"/>
      <c r="T374" s="23"/>
      <c r="U374" s="23"/>
      <c r="V374" s="23"/>
      <c r="W374" s="61"/>
      <c r="X374" s="61"/>
      <c r="Y374" s="23"/>
    </row>
    <row r="375" spans="1:25" ht="13">
      <c r="A375" s="9"/>
      <c r="B375" s="9"/>
      <c r="C375" s="9"/>
      <c r="D375" s="120"/>
      <c r="E375" s="120"/>
      <c r="F375" s="23"/>
      <c r="G375" s="23"/>
      <c r="H375" s="61"/>
      <c r="I375" s="61"/>
      <c r="J375" s="23"/>
      <c r="K375" s="23"/>
      <c r="L375" s="131"/>
      <c r="M375" s="23"/>
      <c r="N375" s="108"/>
      <c r="O375" s="108"/>
      <c r="P375" s="108"/>
      <c r="Q375" s="196"/>
      <c r="R375" s="23"/>
      <c r="S375" s="23"/>
      <c r="T375" s="23"/>
      <c r="U375" s="23"/>
      <c r="V375" s="23"/>
      <c r="W375" s="61"/>
      <c r="X375" s="61"/>
      <c r="Y375" s="23"/>
    </row>
    <row r="376" spans="1:25" ht="13">
      <c r="A376" s="9"/>
      <c r="B376" s="9"/>
      <c r="C376" s="9"/>
      <c r="D376" s="120"/>
      <c r="E376" s="120"/>
      <c r="F376" s="23"/>
      <c r="G376" s="23"/>
      <c r="H376" s="61"/>
      <c r="I376" s="61"/>
      <c r="J376" s="23"/>
      <c r="K376" s="23"/>
      <c r="L376" s="131"/>
      <c r="M376" s="23"/>
      <c r="N376" s="108"/>
      <c r="O376" s="108"/>
      <c r="P376" s="412"/>
      <c r="Q376" s="419"/>
      <c r="R376" s="23"/>
      <c r="S376" s="23"/>
      <c r="T376" s="23"/>
      <c r="U376" s="23"/>
      <c r="V376" s="23"/>
      <c r="W376" s="61"/>
      <c r="X376" s="61"/>
      <c r="Y376" s="23"/>
    </row>
    <row r="377" spans="1:25" ht="13">
      <c r="A377" s="9"/>
      <c r="B377" s="9"/>
      <c r="C377" s="9"/>
      <c r="D377" s="120"/>
      <c r="E377" s="120"/>
      <c r="F377" s="23"/>
      <c r="G377" s="23"/>
      <c r="H377" s="61"/>
      <c r="I377" s="61"/>
      <c r="J377" s="23"/>
      <c r="K377" s="23"/>
      <c r="L377" s="131"/>
      <c r="M377" s="23"/>
      <c r="N377" s="108"/>
      <c r="O377" s="108"/>
      <c r="P377" s="409"/>
      <c r="Q377" s="409"/>
      <c r="R377" s="23"/>
      <c r="S377" s="23"/>
      <c r="T377" s="23"/>
      <c r="U377" s="23"/>
      <c r="V377" s="23"/>
      <c r="W377" s="61"/>
      <c r="X377" s="61"/>
      <c r="Y377" s="23"/>
    </row>
    <row r="378" spans="1:25" ht="13">
      <c r="A378" s="9"/>
      <c r="B378" s="9"/>
      <c r="C378" s="9"/>
      <c r="D378" s="120"/>
      <c r="E378" s="120"/>
      <c r="F378" s="23"/>
      <c r="G378" s="23"/>
      <c r="H378" s="61"/>
      <c r="I378" s="61"/>
      <c r="J378" s="23"/>
      <c r="K378" s="23"/>
      <c r="L378" s="131"/>
      <c r="M378" s="23"/>
      <c r="N378" s="108"/>
      <c r="O378" s="108"/>
      <c r="P378" s="409"/>
      <c r="Q378" s="409"/>
      <c r="R378" s="23"/>
      <c r="S378" s="23"/>
      <c r="T378" s="23"/>
      <c r="U378" s="23"/>
      <c r="V378" s="23"/>
      <c r="W378" s="61"/>
      <c r="X378" s="61"/>
      <c r="Y378" s="23"/>
    </row>
    <row r="379" spans="1:25" ht="13">
      <c r="A379" s="9"/>
      <c r="B379" s="9"/>
      <c r="C379" s="9"/>
      <c r="D379" s="120"/>
      <c r="E379" s="196"/>
      <c r="F379" s="23"/>
      <c r="G379" s="23"/>
      <c r="H379" s="61"/>
      <c r="I379" s="61"/>
      <c r="J379" s="23"/>
      <c r="K379" s="23"/>
      <c r="L379" s="131"/>
      <c r="M379" s="23"/>
      <c r="N379" s="108"/>
      <c r="O379" s="108"/>
      <c r="P379" s="409"/>
      <c r="Q379" s="409"/>
      <c r="R379" s="23"/>
      <c r="S379" s="23"/>
      <c r="T379" s="23"/>
      <c r="U379" s="23"/>
      <c r="V379" s="23"/>
      <c r="W379" s="61"/>
      <c r="X379" s="61"/>
      <c r="Y379" s="23"/>
    </row>
    <row r="380" spans="1:25" ht="13">
      <c r="A380" s="9"/>
      <c r="B380" s="9"/>
      <c r="C380" s="9"/>
      <c r="D380" s="120"/>
      <c r="E380" s="196"/>
      <c r="F380" s="23"/>
      <c r="G380" s="23"/>
      <c r="H380" s="61"/>
      <c r="I380" s="61"/>
      <c r="J380" s="23"/>
      <c r="K380" s="23"/>
      <c r="L380" s="131"/>
      <c r="M380" s="23"/>
      <c r="N380" s="108"/>
      <c r="O380" s="108"/>
      <c r="P380" s="409"/>
      <c r="Q380" s="409"/>
      <c r="R380" s="23"/>
      <c r="S380" s="23"/>
      <c r="T380" s="23"/>
      <c r="U380" s="23"/>
      <c r="V380" s="23"/>
      <c r="W380" s="61"/>
      <c r="X380" s="61"/>
      <c r="Y380" s="23"/>
    </row>
    <row r="381" spans="1:25" ht="13">
      <c r="A381" s="9"/>
      <c r="B381" s="9"/>
      <c r="C381" s="9"/>
      <c r="D381" s="120"/>
      <c r="E381" s="196"/>
      <c r="F381" s="23"/>
      <c r="G381" s="23"/>
      <c r="H381" s="61"/>
      <c r="I381" s="61"/>
      <c r="J381" s="23"/>
      <c r="K381" s="23"/>
      <c r="L381" s="131"/>
      <c r="M381" s="23"/>
      <c r="N381" s="108"/>
      <c r="O381" s="108"/>
      <c r="P381" s="410"/>
      <c r="Q381" s="410"/>
      <c r="R381" s="23"/>
      <c r="S381" s="23"/>
      <c r="T381" s="23"/>
      <c r="U381" s="23"/>
      <c r="V381" s="23"/>
      <c r="W381" s="61"/>
      <c r="X381" s="61"/>
      <c r="Y381" s="23"/>
    </row>
    <row r="382" spans="1:25" ht="13">
      <c r="A382" s="9"/>
      <c r="B382" s="9"/>
      <c r="C382" s="9"/>
      <c r="D382" s="120"/>
      <c r="E382" s="120"/>
      <c r="F382" s="23"/>
      <c r="G382" s="23"/>
      <c r="H382" s="61"/>
      <c r="I382" s="61"/>
      <c r="J382" s="23"/>
      <c r="K382" s="23"/>
      <c r="L382" s="131"/>
      <c r="M382" s="23"/>
      <c r="N382" s="108"/>
      <c r="O382" s="108"/>
      <c r="P382" s="108"/>
      <c r="Q382" s="196"/>
      <c r="R382" s="23"/>
      <c r="S382" s="23"/>
      <c r="T382" s="23"/>
      <c r="U382" s="23"/>
      <c r="V382" s="23"/>
      <c r="W382" s="61"/>
      <c r="X382" s="61"/>
      <c r="Y382" s="23"/>
    </row>
    <row r="383" spans="1:25" ht="13">
      <c r="A383" s="9"/>
      <c r="B383" s="9"/>
      <c r="C383" s="9"/>
      <c r="D383" s="120"/>
      <c r="E383" s="120"/>
      <c r="F383" s="23"/>
      <c r="G383" s="23"/>
      <c r="H383" s="61"/>
      <c r="I383" s="61"/>
      <c r="J383" s="23"/>
      <c r="K383" s="23"/>
      <c r="L383" s="131"/>
      <c r="M383" s="23"/>
      <c r="N383" s="108"/>
      <c r="O383" s="108"/>
      <c r="P383" s="108"/>
      <c r="Q383" s="37"/>
      <c r="R383" s="23"/>
      <c r="S383" s="23"/>
      <c r="T383" s="23"/>
      <c r="U383" s="23"/>
      <c r="V383" s="23"/>
      <c r="W383" s="61"/>
      <c r="X383" s="61"/>
      <c r="Y383" s="23"/>
    </row>
    <row r="384" spans="1:25" ht="13">
      <c r="A384" s="9"/>
      <c r="B384" s="9"/>
      <c r="C384" s="9"/>
      <c r="D384" s="120"/>
      <c r="E384" s="120"/>
      <c r="F384" s="23"/>
      <c r="G384" s="23"/>
      <c r="H384" s="61"/>
      <c r="I384" s="61"/>
      <c r="J384" s="23"/>
      <c r="K384" s="23"/>
      <c r="L384" s="131"/>
      <c r="M384" s="23"/>
      <c r="N384" s="108"/>
      <c r="O384" s="108"/>
      <c r="P384" s="108"/>
      <c r="Q384" s="37"/>
      <c r="R384" s="23"/>
      <c r="S384" s="23"/>
      <c r="T384" s="23"/>
      <c r="U384" s="23"/>
      <c r="V384" s="23"/>
      <c r="W384" s="61"/>
      <c r="X384" s="61"/>
      <c r="Y384" s="23"/>
    </row>
    <row r="385" spans="1:25" ht="13">
      <c r="A385" s="9"/>
      <c r="B385" s="9"/>
      <c r="C385" s="9"/>
      <c r="D385" s="120"/>
      <c r="E385" s="120"/>
      <c r="F385" s="23"/>
      <c r="G385" s="23"/>
      <c r="H385" s="61"/>
      <c r="I385" s="61"/>
      <c r="J385" s="23"/>
      <c r="K385" s="23"/>
      <c r="L385" s="131"/>
      <c r="M385" s="23"/>
      <c r="N385" s="108"/>
      <c r="O385" s="108"/>
      <c r="P385" s="108"/>
      <c r="Q385" s="196"/>
      <c r="R385" s="23"/>
      <c r="S385" s="23"/>
      <c r="T385" s="23"/>
      <c r="U385" s="23"/>
      <c r="V385" s="23"/>
      <c r="W385" s="61"/>
      <c r="X385" s="61"/>
      <c r="Y385" s="23"/>
    </row>
    <row r="386" spans="1:25" ht="13">
      <c r="A386" s="41"/>
      <c r="B386" s="41"/>
      <c r="C386" s="41"/>
      <c r="D386" s="10"/>
      <c r="E386" s="37"/>
      <c r="F386" s="10"/>
      <c r="G386" s="10"/>
      <c r="H386" s="41"/>
      <c r="I386" s="112"/>
      <c r="J386" s="103"/>
      <c r="K386" s="103"/>
      <c r="L386" s="131"/>
      <c r="M386" s="23"/>
      <c r="N386" s="90"/>
      <c r="O386" s="90"/>
      <c r="P386" s="90"/>
      <c r="Q386" s="37"/>
      <c r="R386" s="103"/>
      <c r="S386" s="10"/>
      <c r="T386" s="103"/>
      <c r="U386" s="10"/>
      <c r="V386" s="10"/>
      <c r="W386" s="112"/>
      <c r="X386" s="112"/>
      <c r="Y386" s="103"/>
    </row>
    <row r="387" spans="1:25" ht="13">
      <c r="A387" s="8"/>
      <c r="B387" s="41"/>
      <c r="C387" s="41"/>
      <c r="D387" s="10"/>
      <c r="E387" s="37"/>
      <c r="F387" s="10"/>
      <c r="G387" s="23"/>
      <c r="H387" s="61"/>
      <c r="I387" s="61"/>
      <c r="J387" s="175"/>
      <c r="K387" s="23"/>
      <c r="L387" s="131"/>
      <c r="M387" s="23"/>
      <c r="N387" s="23"/>
      <c r="O387" s="10"/>
      <c r="P387" s="108"/>
      <c r="Q387" s="196"/>
      <c r="R387" s="23"/>
      <c r="S387" s="10"/>
      <c r="T387" s="10"/>
      <c r="U387" s="23"/>
      <c r="V387" s="23"/>
      <c r="W387" s="61"/>
      <c r="X387" s="61"/>
      <c r="Y387" s="23"/>
    </row>
    <row r="388" spans="1:25" ht="13">
      <c r="A388" s="8"/>
      <c r="B388" s="41"/>
      <c r="C388" s="41"/>
      <c r="D388" s="10"/>
      <c r="E388" s="37"/>
      <c r="F388" s="10"/>
      <c r="G388" s="10"/>
      <c r="H388" s="61"/>
      <c r="I388" s="61"/>
      <c r="J388" s="23"/>
      <c r="K388" s="23"/>
      <c r="L388" s="131"/>
      <c r="M388" s="23"/>
      <c r="N388" s="23"/>
      <c r="O388" s="103"/>
      <c r="P388" s="108"/>
      <c r="Q388" s="37"/>
      <c r="R388" s="23"/>
      <c r="S388" s="10"/>
      <c r="T388" s="103"/>
      <c r="U388" s="23"/>
      <c r="V388" s="23"/>
      <c r="W388" s="61"/>
      <c r="X388" s="61"/>
      <c r="Y388" s="23"/>
    </row>
    <row r="389" spans="1:25" ht="13">
      <c r="A389" s="8"/>
      <c r="B389" s="41"/>
      <c r="C389" s="41"/>
      <c r="D389" s="10"/>
      <c r="E389" s="37"/>
      <c r="F389" s="10"/>
      <c r="G389" s="23"/>
      <c r="H389" s="61"/>
      <c r="I389" s="61"/>
      <c r="J389" s="175"/>
      <c r="K389" s="23"/>
      <c r="L389" s="131"/>
      <c r="M389" s="23"/>
      <c r="N389" s="23"/>
      <c r="O389" s="10"/>
      <c r="P389" s="108"/>
      <c r="Q389" s="196"/>
      <c r="R389" s="23"/>
      <c r="S389" s="10"/>
      <c r="T389" s="10"/>
      <c r="U389" s="23"/>
      <c r="V389" s="23"/>
      <c r="W389" s="61"/>
      <c r="X389" s="61"/>
      <c r="Y389" s="23"/>
    </row>
    <row r="390" spans="1:25" ht="13">
      <c r="A390" s="8"/>
      <c r="B390" s="41"/>
      <c r="C390" s="41"/>
      <c r="D390" s="10"/>
      <c r="E390" s="37"/>
      <c r="F390" s="10"/>
      <c r="G390" s="10"/>
      <c r="H390" s="61"/>
      <c r="I390" s="61"/>
      <c r="J390" s="23"/>
      <c r="K390" s="23"/>
      <c r="L390" s="131"/>
      <c r="M390" s="23"/>
      <c r="N390" s="108"/>
      <c r="O390" s="103"/>
      <c r="P390" s="108"/>
      <c r="Q390" s="37"/>
      <c r="R390" s="23"/>
      <c r="S390" s="10"/>
      <c r="T390" s="10"/>
      <c r="U390" s="23"/>
      <c r="V390" s="23"/>
      <c r="W390" s="61"/>
      <c r="X390" s="61"/>
      <c r="Y390" s="23"/>
    </row>
    <row r="391" spans="1:25" ht="13">
      <c r="A391" s="8"/>
      <c r="B391" s="41"/>
      <c r="C391" s="41"/>
      <c r="D391" s="10"/>
      <c r="E391" s="37"/>
      <c r="F391" s="10"/>
      <c r="G391" s="10"/>
      <c r="H391" s="61"/>
      <c r="I391" s="61"/>
      <c r="J391" s="23"/>
      <c r="K391" s="23"/>
      <c r="L391" s="131"/>
      <c r="M391" s="23"/>
      <c r="N391" s="108"/>
      <c r="O391" s="103"/>
      <c r="P391" s="108"/>
      <c r="Q391" s="37"/>
      <c r="R391" s="23"/>
      <c r="S391" s="10"/>
      <c r="T391" s="10"/>
      <c r="U391" s="23"/>
      <c r="V391" s="23"/>
      <c r="W391" s="61"/>
      <c r="X391" s="61"/>
      <c r="Y391" s="23"/>
    </row>
    <row r="392" spans="1:25" ht="13">
      <c r="A392" s="8"/>
      <c r="B392" s="41"/>
      <c r="C392" s="41"/>
      <c r="D392" s="10"/>
      <c r="E392" s="37"/>
      <c r="F392" s="10"/>
      <c r="G392" s="10"/>
      <c r="H392" s="61"/>
      <c r="I392" s="61"/>
      <c r="J392" s="23"/>
      <c r="K392" s="23"/>
      <c r="L392" s="131"/>
      <c r="M392" s="23"/>
      <c r="N392" s="108"/>
      <c r="O392" s="103"/>
      <c r="P392" s="108"/>
      <c r="Q392" s="37"/>
      <c r="R392" s="23"/>
      <c r="S392" s="10"/>
      <c r="T392" s="10"/>
      <c r="U392" s="23"/>
      <c r="V392" s="23"/>
      <c r="W392" s="61"/>
      <c r="X392" s="61"/>
      <c r="Y392" s="23"/>
    </row>
    <row r="393" spans="1:25" ht="13">
      <c r="A393" s="8"/>
      <c r="B393" s="9"/>
      <c r="C393" s="8"/>
      <c r="D393" s="10"/>
      <c r="E393" s="37"/>
      <c r="F393" s="10"/>
      <c r="G393" s="23"/>
      <c r="H393" s="61"/>
      <c r="I393" s="61"/>
      <c r="J393" s="175"/>
      <c r="K393" s="23"/>
      <c r="L393" s="23"/>
      <c r="M393" s="23"/>
      <c r="N393" s="90"/>
      <c r="O393" s="103"/>
      <c r="P393" s="90"/>
      <c r="Q393" s="37"/>
      <c r="R393" s="103"/>
      <c r="S393" s="90"/>
      <c r="T393" s="10"/>
      <c r="U393" s="10"/>
      <c r="V393" s="10"/>
      <c r="W393" s="61"/>
      <c r="X393" s="61"/>
      <c r="Y393" s="103"/>
    </row>
    <row r="394" spans="1:25" ht="13">
      <c r="A394" s="8"/>
      <c r="B394" s="41"/>
      <c r="C394" s="41"/>
      <c r="D394" s="10"/>
      <c r="E394" s="37"/>
      <c r="F394" s="10"/>
      <c r="G394" s="10"/>
      <c r="H394" s="61"/>
      <c r="I394" s="61"/>
      <c r="J394" s="23"/>
      <c r="K394" s="23"/>
      <c r="L394" s="131"/>
      <c r="M394" s="23"/>
      <c r="N394" s="108"/>
      <c r="O394" s="103"/>
      <c r="P394" s="108"/>
      <c r="Q394" s="37"/>
      <c r="R394" s="23"/>
      <c r="S394" s="10"/>
      <c r="T394" s="10"/>
      <c r="U394" s="23"/>
      <c r="V394" s="23"/>
      <c r="W394" s="61"/>
      <c r="X394" s="61"/>
      <c r="Y394" s="23"/>
    </row>
    <row r="395" spans="1:25" ht="13">
      <c r="A395" s="36"/>
      <c r="B395" s="10"/>
      <c r="C395" s="10"/>
      <c r="D395" s="10"/>
      <c r="E395" s="37"/>
      <c r="F395" s="10"/>
      <c r="G395" s="23"/>
      <c r="H395" s="23"/>
      <c r="I395" s="23"/>
      <c r="J395" s="175"/>
      <c r="K395" s="23"/>
      <c r="L395" s="131"/>
      <c r="M395" s="23"/>
      <c r="N395" s="23"/>
      <c r="O395" s="10"/>
      <c r="P395" s="108"/>
      <c r="Q395" s="196"/>
      <c r="R395" s="23"/>
      <c r="S395" s="10"/>
      <c r="T395" s="10"/>
      <c r="U395" s="23"/>
      <c r="V395" s="23"/>
      <c r="W395" s="23"/>
      <c r="X395" s="23"/>
      <c r="Y395" s="23"/>
    </row>
    <row r="396" spans="1:25" ht="13">
      <c r="A396" s="41"/>
      <c r="B396" s="10"/>
      <c r="C396" s="10"/>
      <c r="D396" s="10"/>
      <c r="E396" s="37"/>
      <c r="F396" s="10"/>
      <c r="G396" s="37"/>
      <c r="H396" s="10"/>
      <c r="I396" s="103"/>
      <c r="J396" s="103"/>
      <c r="K396" s="103"/>
      <c r="L396" s="131"/>
      <c r="M396" s="103"/>
      <c r="N396" s="90"/>
      <c r="O396" s="103"/>
      <c r="P396" s="215"/>
      <c r="Q396" s="37"/>
      <c r="R396" s="103"/>
      <c r="S396" s="10"/>
      <c r="T396" s="10"/>
      <c r="U396" s="10"/>
      <c r="V396" s="10"/>
      <c r="W396" s="103"/>
      <c r="X396" s="112"/>
      <c r="Y396" s="103"/>
    </row>
    <row r="397" spans="1:25" ht="13">
      <c r="A397" s="41"/>
      <c r="B397" s="10"/>
      <c r="C397" s="10"/>
      <c r="D397" s="10"/>
      <c r="E397" s="37"/>
      <c r="F397" s="10"/>
      <c r="G397" s="10"/>
      <c r="H397" s="10"/>
      <c r="I397" s="103"/>
      <c r="J397" s="103"/>
      <c r="K397" s="103"/>
      <c r="L397" s="131"/>
      <c r="M397" s="5"/>
      <c r="N397" s="90"/>
      <c r="O397" s="103"/>
      <c r="P397" s="37"/>
      <c r="Q397" s="37"/>
      <c r="R397" s="103"/>
      <c r="S397" s="10"/>
      <c r="T397" s="10"/>
      <c r="U397" s="10"/>
      <c r="V397" s="10"/>
      <c r="W397" s="103"/>
      <c r="X397" s="61"/>
      <c r="Y397" s="103"/>
    </row>
    <row r="398" spans="1:25" ht="13">
      <c r="A398" s="41"/>
      <c r="B398" s="10"/>
      <c r="C398" s="10"/>
      <c r="D398" s="10"/>
      <c r="E398" s="37"/>
      <c r="F398" s="10"/>
      <c r="G398" s="37"/>
      <c r="H398" s="10"/>
      <c r="I398" s="103"/>
      <c r="J398" s="103"/>
      <c r="K398" s="103"/>
      <c r="L398" s="131"/>
      <c r="M398" s="5"/>
      <c r="N398" s="90"/>
      <c r="O398" s="103"/>
      <c r="P398" s="215"/>
      <c r="Q398" s="37"/>
      <c r="R398" s="103"/>
      <c r="S398" s="10"/>
      <c r="T398" s="10"/>
      <c r="U398" s="10"/>
      <c r="V398" s="10"/>
      <c r="W398" s="103"/>
      <c r="X398" s="112"/>
      <c r="Y398" s="103"/>
    </row>
    <row r="399" spans="1:25" ht="13">
      <c r="A399" s="41"/>
      <c r="B399" s="10"/>
      <c r="C399" s="10"/>
      <c r="D399" s="10"/>
      <c r="E399" s="37"/>
      <c r="F399" s="10"/>
      <c r="G399" s="10"/>
      <c r="H399" s="10"/>
      <c r="I399" s="103"/>
      <c r="J399" s="103"/>
      <c r="K399" s="103"/>
      <c r="L399" s="131"/>
      <c r="M399" s="103"/>
      <c r="N399" s="90"/>
      <c r="O399" s="103"/>
      <c r="P399" s="37"/>
      <c r="Q399" s="37"/>
      <c r="R399" s="103"/>
      <c r="S399" s="10"/>
      <c r="T399" s="10"/>
      <c r="U399" s="10"/>
      <c r="V399" s="10"/>
      <c r="W399" s="103"/>
      <c r="X399" s="61"/>
      <c r="Y399" s="103"/>
    </row>
    <row r="400" spans="1:25" ht="13">
      <c r="A400" s="41"/>
      <c r="B400" s="10"/>
      <c r="C400" s="10"/>
      <c r="D400" s="10"/>
      <c r="E400" s="37"/>
      <c r="F400" s="10"/>
      <c r="G400" s="10"/>
      <c r="H400" s="10"/>
      <c r="I400" s="103"/>
      <c r="J400" s="103"/>
      <c r="K400" s="103"/>
      <c r="L400" s="131"/>
      <c r="M400" s="5"/>
      <c r="N400" s="90"/>
      <c r="O400" s="103"/>
      <c r="P400" s="37"/>
      <c r="Q400" s="37"/>
      <c r="R400" s="103"/>
      <c r="S400" s="10"/>
      <c r="T400" s="10"/>
      <c r="U400" s="10"/>
      <c r="V400" s="10"/>
      <c r="W400" s="103"/>
      <c r="X400" s="61"/>
      <c r="Y400" s="103"/>
    </row>
    <row r="401" spans="1:25" ht="13">
      <c r="A401" s="9"/>
      <c r="B401" s="120"/>
      <c r="C401" s="120"/>
      <c r="D401" s="120"/>
      <c r="E401" s="196"/>
      <c r="F401" s="23"/>
      <c r="G401" s="23"/>
      <c r="H401" s="23"/>
      <c r="I401" s="23"/>
      <c r="J401" s="23"/>
      <c r="K401" s="23"/>
      <c r="L401" s="131"/>
      <c r="M401" s="23"/>
      <c r="N401" s="108"/>
      <c r="O401" s="108"/>
      <c r="P401" s="108"/>
      <c r="Q401" s="196"/>
      <c r="R401" s="23"/>
      <c r="S401" s="23"/>
      <c r="T401" s="23"/>
      <c r="U401" s="23"/>
      <c r="V401" s="23"/>
      <c r="W401" s="23"/>
      <c r="X401" s="61"/>
      <c r="Y401" s="23"/>
    </row>
    <row r="402" spans="1:25" ht="13">
      <c r="A402" s="41"/>
      <c r="B402" s="41"/>
      <c r="C402" s="41"/>
      <c r="D402" s="10"/>
      <c r="E402" s="37"/>
      <c r="F402" s="10"/>
      <c r="G402" s="10"/>
      <c r="H402" s="10"/>
      <c r="I402" s="103"/>
      <c r="J402" s="103"/>
      <c r="K402" s="103"/>
      <c r="L402" s="131"/>
      <c r="M402" s="23"/>
      <c r="N402" s="90"/>
      <c r="O402" s="103"/>
      <c r="P402" s="196"/>
      <c r="Q402" s="37"/>
      <c r="R402" s="103"/>
      <c r="S402" s="10"/>
      <c r="T402" s="10"/>
      <c r="U402" s="10"/>
      <c r="V402" s="10"/>
      <c r="W402" s="112"/>
      <c r="X402" s="61"/>
      <c r="Y402" s="103"/>
    </row>
    <row r="403" spans="1:25" ht="13">
      <c r="A403" s="41"/>
      <c r="B403" s="8"/>
      <c r="C403" s="8"/>
      <c r="D403" s="36"/>
      <c r="E403" s="36"/>
      <c r="F403" s="36"/>
      <c r="G403" s="87"/>
      <c r="H403" s="8"/>
      <c r="I403" s="61"/>
      <c r="J403" s="23"/>
      <c r="K403" s="23"/>
      <c r="L403" s="131"/>
      <c r="M403" s="23"/>
      <c r="N403" s="108"/>
      <c r="O403" s="108"/>
      <c r="P403" s="108"/>
      <c r="Q403" s="87"/>
      <c r="R403" s="23"/>
      <c r="S403" s="36"/>
      <c r="T403" s="23"/>
      <c r="U403" s="23"/>
      <c r="V403" s="10"/>
      <c r="W403" s="112"/>
      <c r="X403" s="112"/>
      <c r="Y403" s="103"/>
    </row>
    <row r="404" spans="1:25" ht="13">
      <c r="A404" s="41"/>
      <c r="B404" s="8"/>
      <c r="C404" s="8"/>
      <c r="D404" s="36"/>
      <c r="E404" s="87"/>
      <c r="F404" s="36"/>
      <c r="G404" s="36"/>
      <c r="H404" s="8"/>
      <c r="I404" s="61"/>
      <c r="J404" s="113"/>
      <c r="K404" s="23"/>
      <c r="L404" s="131"/>
      <c r="M404" s="23"/>
      <c r="N404" s="108"/>
      <c r="O404" s="108"/>
      <c r="P404" s="108"/>
      <c r="Q404" s="37"/>
      <c r="R404" s="23"/>
      <c r="S404" s="36"/>
      <c r="T404" s="120"/>
      <c r="U404" s="23"/>
      <c r="V404" s="10"/>
      <c r="W404" s="112"/>
      <c r="X404" s="112"/>
      <c r="Y404" s="103"/>
    </row>
    <row r="405" spans="1:25" ht="13">
      <c r="A405" s="41"/>
      <c r="B405" s="8"/>
      <c r="C405" s="8"/>
      <c r="D405" s="36"/>
      <c r="E405" s="36"/>
      <c r="F405" s="36"/>
      <c r="G405" s="87"/>
      <c r="H405" s="8"/>
      <c r="I405" s="61"/>
      <c r="J405" s="23"/>
      <c r="K405" s="23"/>
      <c r="L405" s="131"/>
      <c r="M405" s="23"/>
      <c r="N405" s="108"/>
      <c r="O405" s="108"/>
      <c r="P405" s="108"/>
      <c r="Q405" s="87"/>
      <c r="R405" s="23"/>
      <c r="S405" s="36"/>
      <c r="T405" s="23"/>
      <c r="U405" s="23"/>
      <c r="V405" s="10"/>
      <c r="W405" s="112"/>
      <c r="X405" s="112"/>
      <c r="Y405" s="103"/>
    </row>
    <row r="406" spans="1:25" ht="13">
      <c r="A406" s="41"/>
      <c r="B406" s="8"/>
      <c r="C406" s="8"/>
      <c r="D406" s="36"/>
      <c r="E406" s="87"/>
      <c r="F406" s="36"/>
      <c r="G406" s="36"/>
      <c r="H406" s="8"/>
      <c r="I406" s="61"/>
      <c r="J406" s="23"/>
      <c r="K406" s="23"/>
      <c r="L406" s="131"/>
      <c r="M406" s="23"/>
      <c r="N406" s="108"/>
      <c r="O406" s="108"/>
      <c r="P406" s="108"/>
      <c r="Q406" s="37"/>
      <c r="R406" s="23"/>
      <c r="S406" s="36"/>
      <c r="T406" s="120"/>
      <c r="U406" s="120"/>
      <c r="V406" s="10"/>
      <c r="W406" s="112"/>
      <c r="X406" s="112"/>
      <c r="Y406" s="103"/>
    </row>
    <row r="407" spans="1:25" ht="13">
      <c r="A407" s="8"/>
      <c r="B407" s="9"/>
      <c r="C407" s="8"/>
      <c r="D407" s="10"/>
      <c r="E407" s="37"/>
      <c r="F407" s="10"/>
      <c r="G407" s="10"/>
      <c r="H407" s="61"/>
      <c r="I407" s="61"/>
      <c r="J407" s="175"/>
      <c r="K407" s="23"/>
      <c r="L407" s="131"/>
      <c r="M407" s="23"/>
      <c r="N407" s="90"/>
      <c r="O407" s="103"/>
      <c r="P407" s="90"/>
      <c r="Q407" s="37"/>
      <c r="R407" s="103"/>
      <c r="S407" s="90"/>
      <c r="T407" s="10"/>
      <c r="U407" s="10"/>
      <c r="V407" s="10"/>
      <c r="W407" s="61"/>
      <c r="X407" s="61"/>
      <c r="Y407" s="103"/>
    </row>
    <row r="408" spans="1:25" ht="13">
      <c r="A408" s="8"/>
      <c r="B408" s="9"/>
      <c r="C408" s="8"/>
      <c r="D408" s="10"/>
      <c r="E408" s="37"/>
      <c r="F408" s="10"/>
      <c r="G408" s="23"/>
      <c r="H408" s="61"/>
      <c r="I408" s="61"/>
      <c r="J408" s="23"/>
      <c r="K408" s="23"/>
      <c r="L408" s="23"/>
      <c r="M408" s="23"/>
      <c r="N408" s="90"/>
      <c r="O408" s="103"/>
      <c r="P408" s="90"/>
      <c r="Q408" s="37"/>
      <c r="R408" s="103"/>
      <c r="S408" s="90"/>
      <c r="T408" s="10"/>
      <c r="U408" s="10"/>
      <c r="V408" s="10"/>
      <c r="W408" s="61"/>
      <c r="X408" s="61"/>
      <c r="Y408" s="103"/>
    </row>
    <row r="409" spans="1:25" ht="13">
      <c r="A409" s="8"/>
      <c r="B409" s="9"/>
      <c r="C409" s="8"/>
      <c r="D409" s="10"/>
      <c r="E409" s="37"/>
      <c r="F409" s="10"/>
      <c r="G409" s="10"/>
      <c r="H409" s="61"/>
      <c r="I409" s="61"/>
      <c r="J409" s="175"/>
      <c r="K409" s="23"/>
      <c r="L409" s="131"/>
      <c r="M409" s="23"/>
      <c r="N409" s="90"/>
      <c r="O409" s="103"/>
      <c r="P409" s="90"/>
      <c r="Q409" s="37"/>
      <c r="R409" s="103"/>
      <c r="S409" s="90"/>
      <c r="T409" s="10"/>
      <c r="U409" s="10"/>
      <c r="V409" s="10"/>
      <c r="W409" s="61"/>
      <c r="X409" s="61"/>
      <c r="Y409" s="103"/>
    </row>
    <row r="410" spans="1:25" ht="13">
      <c r="A410" s="8"/>
      <c r="B410" s="9"/>
      <c r="C410" s="8"/>
      <c r="D410" s="10"/>
      <c r="E410" s="37"/>
      <c r="F410" s="10"/>
      <c r="G410" s="10"/>
      <c r="H410" s="61"/>
      <c r="I410" s="61"/>
      <c r="J410" s="175"/>
      <c r="K410" s="23"/>
      <c r="L410" s="23"/>
      <c r="M410" s="23"/>
      <c r="N410" s="90"/>
      <c r="O410" s="103"/>
      <c r="P410" s="90"/>
      <c r="Q410" s="37"/>
      <c r="R410" s="103"/>
      <c r="S410" s="90"/>
      <c r="T410" s="10"/>
      <c r="U410" s="10"/>
      <c r="V410" s="10"/>
      <c r="W410" s="61"/>
      <c r="X410" s="61"/>
      <c r="Y410" s="103"/>
    </row>
    <row r="411" spans="1:25" ht="13">
      <c r="A411" s="8"/>
      <c r="B411" s="9"/>
      <c r="C411" s="8"/>
      <c r="D411" s="10"/>
      <c r="E411" s="37"/>
      <c r="F411" s="10"/>
      <c r="G411" s="23"/>
      <c r="H411" s="61"/>
      <c r="I411" s="61"/>
      <c r="J411" s="175"/>
      <c r="K411" s="23"/>
      <c r="L411" s="23"/>
      <c r="M411" s="23"/>
      <c r="N411" s="90"/>
      <c r="O411" s="103"/>
      <c r="P411" s="90"/>
      <c r="Q411" s="37"/>
      <c r="R411" s="103"/>
      <c r="S411" s="90"/>
      <c r="T411" s="10"/>
      <c r="U411" s="10"/>
      <c r="V411" s="10"/>
      <c r="W411" s="61"/>
      <c r="X411" s="61"/>
      <c r="Y411" s="103"/>
    </row>
    <row r="412" spans="1:25" ht="13">
      <c r="A412" s="8"/>
      <c r="B412" s="9"/>
      <c r="C412" s="8"/>
      <c r="D412" s="10"/>
      <c r="E412" s="37"/>
      <c r="F412" s="10"/>
      <c r="G412" s="23"/>
      <c r="H412" s="61"/>
      <c r="I412" s="61"/>
      <c r="J412" s="175"/>
      <c r="K412" s="23"/>
      <c r="L412" s="23"/>
      <c r="M412" s="23"/>
      <c r="N412" s="90"/>
      <c r="O412" s="103"/>
      <c r="P412" s="90"/>
      <c r="Q412" s="37"/>
      <c r="R412" s="103"/>
      <c r="S412" s="90"/>
      <c r="T412" s="10"/>
      <c r="U412" s="10"/>
      <c r="V412" s="10"/>
      <c r="W412" s="61"/>
      <c r="X412" s="61"/>
      <c r="Y412" s="103"/>
    </row>
    <row r="413" spans="1:25" ht="13">
      <c r="A413" s="8"/>
      <c r="B413" s="9"/>
      <c r="C413" s="8"/>
      <c r="D413" s="36"/>
      <c r="E413" s="87"/>
      <c r="F413" s="36"/>
      <c r="G413" s="23"/>
      <c r="H413" s="61"/>
      <c r="I413" s="61"/>
      <c r="J413" s="175"/>
      <c r="K413" s="23"/>
      <c r="L413" s="23"/>
      <c r="M413" s="23"/>
      <c r="N413" s="108"/>
      <c r="O413" s="108"/>
      <c r="P413" s="108"/>
      <c r="Q413" s="87"/>
      <c r="R413" s="23"/>
      <c r="S413" s="108"/>
      <c r="T413" s="36"/>
      <c r="U413" s="36"/>
      <c r="V413" s="36"/>
      <c r="W413" s="61"/>
      <c r="X413" s="61"/>
      <c r="Y413" s="23"/>
    </row>
    <row r="414" spans="1:25" ht="13">
      <c r="A414" s="8"/>
      <c r="B414" s="9"/>
      <c r="C414" s="8"/>
      <c r="D414" s="36"/>
      <c r="E414" s="87"/>
      <c r="F414" s="36"/>
      <c r="G414" s="36"/>
      <c r="H414" s="61"/>
      <c r="I414" s="61"/>
      <c r="J414" s="23"/>
      <c r="K414" s="23"/>
      <c r="L414" s="23"/>
      <c r="M414" s="23"/>
      <c r="N414" s="108"/>
      <c r="O414" s="108"/>
      <c r="P414" s="108"/>
      <c r="Q414" s="37"/>
      <c r="R414" s="23"/>
      <c r="S414" s="108"/>
      <c r="T414" s="36"/>
      <c r="U414" s="36"/>
      <c r="V414" s="36"/>
      <c r="W414" s="61"/>
      <c r="X414" s="61"/>
      <c r="Y414" s="23"/>
    </row>
    <row r="415" spans="1:25" ht="13">
      <c r="A415" s="8"/>
      <c r="B415" s="9"/>
      <c r="C415" s="8"/>
      <c r="D415" s="36"/>
      <c r="E415" s="87"/>
      <c r="F415" s="36"/>
      <c r="G415" s="23"/>
      <c r="H415" s="61"/>
      <c r="I415" s="61"/>
      <c r="J415" s="175"/>
      <c r="K415" s="23"/>
      <c r="L415" s="23"/>
      <c r="M415" s="23"/>
      <c r="N415" s="108"/>
      <c r="O415" s="108"/>
      <c r="P415" s="108"/>
      <c r="Q415" s="87"/>
      <c r="R415" s="23"/>
      <c r="S415" s="108"/>
      <c r="T415" s="36"/>
      <c r="U415" s="36"/>
      <c r="V415" s="36"/>
      <c r="W415" s="61"/>
      <c r="X415" s="61"/>
      <c r="Y415" s="23"/>
    </row>
    <row r="416" spans="1:25" ht="13">
      <c r="A416" s="8"/>
      <c r="B416" s="9"/>
      <c r="C416" s="8"/>
      <c r="D416" s="36"/>
      <c r="E416" s="87"/>
      <c r="F416" s="36"/>
      <c r="G416" s="36"/>
      <c r="H416" s="61"/>
      <c r="I416" s="61"/>
      <c r="J416" s="23"/>
      <c r="K416" s="23"/>
      <c r="L416" s="131"/>
      <c r="M416" s="23"/>
      <c r="N416" s="108"/>
      <c r="O416" s="108"/>
      <c r="P416" s="108"/>
      <c r="Q416" s="37"/>
      <c r="R416" s="23"/>
      <c r="S416" s="108"/>
      <c r="T416" s="36"/>
      <c r="U416" s="36"/>
      <c r="V416" s="36"/>
      <c r="W416" s="61"/>
      <c r="X416" s="61"/>
      <c r="Y416" s="23"/>
    </row>
    <row r="417" spans="1:25" ht="13">
      <c r="A417" s="8"/>
      <c r="B417" s="9"/>
      <c r="C417" s="8"/>
      <c r="D417" s="36"/>
      <c r="E417" s="87"/>
      <c r="F417" s="36"/>
      <c r="G417" s="36"/>
      <c r="H417" s="61"/>
      <c r="I417" s="61"/>
      <c r="J417" s="23"/>
      <c r="K417" s="23"/>
      <c r="L417" s="131"/>
      <c r="M417" s="23"/>
      <c r="N417" s="108"/>
      <c r="O417" s="108"/>
      <c r="P417" s="108"/>
      <c r="Q417" s="37"/>
      <c r="R417" s="23"/>
      <c r="S417" s="108"/>
      <c r="T417" s="36"/>
      <c r="U417" s="36"/>
      <c r="V417" s="36"/>
      <c r="W417" s="61"/>
      <c r="X417" s="61"/>
      <c r="Y417" s="23"/>
    </row>
    <row r="418" spans="1:25" ht="13">
      <c r="A418" s="8"/>
      <c r="B418" s="9"/>
      <c r="C418" s="8"/>
      <c r="D418" s="36"/>
      <c r="E418" s="87"/>
      <c r="F418" s="36"/>
      <c r="G418" s="23"/>
      <c r="H418" s="61"/>
      <c r="I418" s="61"/>
      <c r="J418" s="175"/>
      <c r="K418" s="23"/>
      <c r="L418" s="131"/>
      <c r="M418" s="23"/>
      <c r="N418" s="108"/>
      <c r="O418" s="108"/>
      <c r="P418" s="108"/>
      <c r="Q418" s="87"/>
      <c r="R418" s="23"/>
      <c r="S418" s="108"/>
      <c r="T418" s="36"/>
      <c r="U418" s="36"/>
      <c r="V418" s="36"/>
      <c r="W418" s="61"/>
      <c r="X418" s="61"/>
      <c r="Y418" s="23"/>
    </row>
    <row r="419" spans="1:25" ht="13">
      <c r="A419" s="41"/>
      <c r="B419" s="41"/>
      <c r="C419" s="41"/>
      <c r="D419" s="10"/>
      <c r="E419" s="10"/>
      <c r="F419" s="10"/>
      <c r="G419" s="10"/>
      <c r="H419" s="41"/>
      <c r="I419" s="41"/>
      <c r="J419" s="103"/>
      <c r="K419" s="103"/>
      <c r="L419" s="131"/>
      <c r="M419" s="23"/>
      <c r="N419" s="90"/>
      <c r="O419" s="103"/>
      <c r="P419" s="90"/>
      <c r="Q419" s="37"/>
      <c r="R419" s="103"/>
      <c r="S419" s="10"/>
      <c r="T419" s="10"/>
      <c r="U419" s="36"/>
      <c r="V419" s="10"/>
      <c r="W419" s="112"/>
      <c r="X419" s="112"/>
      <c r="Y419" s="103"/>
    </row>
    <row r="420" spans="1:25" ht="13">
      <c r="A420" s="8"/>
      <c r="B420" s="8"/>
      <c r="C420" s="8"/>
      <c r="D420" s="8"/>
      <c r="E420" s="85"/>
      <c r="F420" s="36"/>
      <c r="G420" s="36"/>
      <c r="H420" s="61"/>
      <c r="I420" s="61"/>
      <c r="J420" s="23"/>
      <c r="K420" s="23"/>
      <c r="L420" s="131"/>
      <c r="M420" s="23"/>
      <c r="N420" s="108"/>
      <c r="O420" s="23"/>
      <c r="P420" s="108"/>
      <c r="Q420" s="87"/>
      <c r="R420" s="23"/>
      <c r="S420" s="108"/>
      <c r="T420" s="23"/>
      <c r="U420" s="36"/>
      <c r="V420" s="36"/>
      <c r="W420" s="61"/>
      <c r="X420" s="232"/>
      <c r="Y420" s="113"/>
    </row>
    <row r="421" spans="1:25" ht="13">
      <c r="A421" s="8"/>
      <c r="B421" s="8"/>
      <c r="C421" s="8"/>
      <c r="D421" s="8"/>
      <c r="E421" s="85"/>
      <c r="F421" s="36"/>
      <c r="G421" s="36"/>
      <c r="H421" s="61"/>
      <c r="I421" s="61"/>
      <c r="J421" s="23"/>
      <c r="K421" s="23"/>
      <c r="L421" s="131"/>
      <c r="M421" s="23"/>
      <c r="N421" s="108"/>
      <c r="O421" s="23"/>
      <c r="P421" s="108"/>
      <c r="Q421" s="37"/>
      <c r="R421" s="23"/>
      <c r="S421" s="108"/>
      <c r="T421" s="23"/>
      <c r="U421" s="36"/>
      <c r="V421" s="36"/>
      <c r="W421" s="61"/>
      <c r="X421" s="232"/>
      <c r="Y421" s="113"/>
    </row>
    <row r="422" spans="1:25" ht="13">
      <c r="A422" s="8"/>
      <c r="B422" s="8"/>
      <c r="C422" s="36"/>
      <c r="D422" s="8"/>
      <c r="E422" s="85"/>
      <c r="F422" s="36"/>
      <c r="G422" s="36"/>
      <c r="H422" s="61"/>
      <c r="I422" s="61"/>
      <c r="J422" s="23"/>
      <c r="K422" s="23"/>
      <c r="L422" s="131"/>
      <c r="M422" s="23"/>
      <c r="N422" s="108"/>
      <c r="O422" s="23"/>
      <c r="P422" s="108"/>
      <c r="Q422" s="87"/>
      <c r="R422" s="23"/>
      <c r="S422" s="108"/>
      <c r="T422" s="23"/>
      <c r="U422" s="36"/>
      <c r="V422" s="36"/>
      <c r="W422" s="61"/>
      <c r="X422" s="113"/>
      <c r="Y422" s="113"/>
    </row>
    <row r="423" spans="1:25" ht="13">
      <c r="A423" s="41"/>
      <c r="B423" s="41"/>
      <c r="C423" s="10"/>
      <c r="D423" s="41"/>
      <c r="E423" s="41"/>
      <c r="F423" s="10"/>
      <c r="G423" s="10"/>
      <c r="H423" s="41"/>
      <c r="I423" s="112"/>
      <c r="J423" s="103"/>
      <c r="K423" s="103"/>
      <c r="L423" s="23"/>
      <c r="M423" s="23"/>
      <c r="N423" s="90"/>
      <c r="O423" s="103"/>
      <c r="P423" s="90"/>
      <c r="Q423" s="37"/>
      <c r="R423" s="103"/>
      <c r="S423" s="90"/>
      <c r="T423" s="10"/>
      <c r="U423" s="36"/>
      <c r="V423" s="10"/>
      <c r="W423" s="112"/>
      <c r="X423" s="61"/>
      <c r="Y423" s="103"/>
    </row>
    <row r="424" spans="1:25" ht="13">
      <c r="A424" s="10"/>
      <c r="B424" s="10"/>
      <c r="C424" s="37"/>
      <c r="D424" s="10"/>
      <c r="E424" s="37"/>
      <c r="F424" s="10"/>
      <c r="G424" s="103"/>
      <c r="H424" s="103"/>
      <c r="I424" s="103"/>
      <c r="J424" s="103"/>
      <c r="K424" s="103"/>
      <c r="L424" s="23"/>
      <c r="M424" s="181"/>
      <c r="N424" s="90"/>
      <c r="O424" s="90"/>
      <c r="P424" s="102"/>
      <c r="Q424" s="87"/>
      <c r="R424" s="103"/>
      <c r="S424" s="10"/>
      <c r="T424" s="10"/>
      <c r="U424" s="10"/>
      <c r="V424" s="10"/>
      <c r="W424" s="103"/>
      <c r="X424" s="103"/>
      <c r="Y424" s="83"/>
    </row>
    <row r="425" spans="1:25" ht="13">
      <c r="A425" s="10"/>
      <c r="B425" s="10"/>
      <c r="C425" s="37"/>
      <c r="D425" s="10"/>
      <c r="E425" s="37"/>
      <c r="F425" s="10"/>
      <c r="G425" s="10"/>
      <c r="H425" s="103"/>
      <c r="I425" s="103"/>
      <c r="J425" s="103"/>
      <c r="K425" s="103"/>
      <c r="L425" s="23"/>
      <c r="M425" s="181"/>
      <c r="N425" s="90"/>
      <c r="O425" s="90"/>
      <c r="P425" s="102"/>
      <c r="Q425" s="37"/>
      <c r="R425" s="103"/>
      <c r="S425" s="10"/>
      <c r="T425" s="10"/>
      <c r="U425" s="10"/>
      <c r="V425" s="10"/>
      <c r="W425" s="103"/>
      <c r="X425" s="61"/>
      <c r="Y425" s="103"/>
    </row>
    <row r="426" spans="1:25" ht="13">
      <c r="A426" s="10"/>
      <c r="B426" s="10"/>
      <c r="C426" s="37"/>
      <c r="D426" s="10"/>
      <c r="E426" s="10"/>
      <c r="F426" s="10"/>
      <c r="G426" s="23"/>
      <c r="H426" s="61"/>
      <c r="I426" s="103"/>
      <c r="J426" s="103"/>
      <c r="K426" s="103"/>
      <c r="L426" s="23"/>
      <c r="M426" s="23"/>
      <c r="N426" s="90"/>
      <c r="O426" s="90"/>
      <c r="P426" s="90"/>
      <c r="Q426" s="10"/>
      <c r="R426" s="103"/>
      <c r="S426" s="10"/>
      <c r="T426" s="103"/>
      <c r="U426" s="10"/>
      <c r="V426" s="10"/>
      <c r="W426" s="103"/>
      <c r="X426" s="103"/>
      <c r="Y426" s="83"/>
    </row>
    <row r="427" spans="1:25" ht="13">
      <c r="A427" s="8"/>
      <c r="B427" s="8"/>
      <c r="C427" s="8"/>
      <c r="D427" s="10"/>
      <c r="E427" s="37"/>
      <c r="F427" s="120"/>
      <c r="G427" s="120"/>
      <c r="H427" s="61"/>
      <c r="I427" s="61"/>
      <c r="J427" s="23"/>
      <c r="K427" s="23"/>
      <c r="L427" s="23"/>
      <c r="M427" s="23"/>
      <c r="N427" s="90"/>
      <c r="O427" s="103"/>
      <c r="P427" s="90"/>
      <c r="Q427" s="37"/>
      <c r="R427" s="103"/>
      <c r="S427" s="10"/>
      <c r="T427" s="103"/>
      <c r="U427" s="10"/>
      <c r="V427" s="10"/>
      <c r="W427" s="61"/>
      <c r="X427" s="61"/>
      <c r="Y427" s="103"/>
    </row>
    <row r="428" spans="1:25" ht="13">
      <c r="A428" s="8"/>
      <c r="B428" s="8"/>
      <c r="C428" s="8"/>
      <c r="D428" s="10"/>
      <c r="E428" s="37"/>
      <c r="F428" s="120"/>
      <c r="G428" s="120"/>
      <c r="H428" s="61"/>
      <c r="I428" s="61"/>
      <c r="J428" s="23"/>
      <c r="K428" s="23"/>
      <c r="L428" s="23"/>
      <c r="M428" s="23"/>
      <c r="N428" s="90"/>
      <c r="O428" s="103"/>
      <c r="P428" s="90"/>
      <c r="Q428" s="37"/>
      <c r="R428" s="103"/>
      <c r="S428" s="10"/>
      <c r="T428" s="103"/>
      <c r="U428" s="10"/>
      <c r="V428" s="10"/>
      <c r="W428" s="61"/>
      <c r="X428" s="61"/>
      <c r="Y428" s="103"/>
    </row>
    <row r="429" spans="1:25" ht="13">
      <c r="A429" s="8"/>
      <c r="B429" s="8"/>
      <c r="C429" s="8"/>
      <c r="D429" s="10"/>
      <c r="E429" s="10"/>
      <c r="F429" s="10"/>
      <c r="G429" s="23"/>
      <c r="H429" s="61"/>
      <c r="I429" s="61"/>
      <c r="J429" s="23"/>
      <c r="K429" s="23"/>
      <c r="L429" s="23"/>
      <c r="M429" s="23"/>
      <c r="N429" s="90"/>
      <c r="O429" s="103"/>
      <c r="P429" s="103"/>
      <c r="Q429" s="10"/>
      <c r="R429" s="103"/>
      <c r="S429" s="10"/>
      <c r="T429" s="103"/>
      <c r="U429" s="10"/>
      <c r="V429" s="10"/>
      <c r="W429" s="61"/>
      <c r="X429" s="61"/>
      <c r="Y429" s="103"/>
    </row>
    <row r="430" spans="1:25" ht="13">
      <c r="A430" s="8"/>
      <c r="B430" s="8"/>
      <c r="C430" s="8"/>
      <c r="D430" s="10"/>
      <c r="E430" s="37"/>
      <c r="F430" s="103"/>
      <c r="G430" s="113"/>
      <c r="H430" s="23"/>
      <c r="I430" s="61"/>
      <c r="J430" s="23"/>
      <c r="K430" s="23"/>
      <c r="L430" s="23"/>
      <c r="M430" s="23"/>
      <c r="N430" s="90"/>
      <c r="O430" s="90"/>
      <c r="P430" s="90"/>
      <c r="Q430" s="37"/>
      <c r="R430" s="103"/>
      <c r="S430" s="10"/>
      <c r="T430" s="10"/>
      <c r="U430" s="10"/>
      <c r="V430" s="10"/>
      <c r="W430" s="61"/>
      <c r="X430" s="61"/>
      <c r="Y430" s="103"/>
    </row>
    <row r="431" spans="1:25" ht="13">
      <c r="A431" s="8"/>
      <c r="B431" s="8"/>
      <c r="C431" s="8"/>
      <c r="D431" s="10"/>
      <c r="E431" s="10"/>
      <c r="F431" s="10"/>
      <c r="G431" s="23"/>
      <c r="H431" s="61"/>
      <c r="I431" s="61"/>
      <c r="J431" s="23"/>
      <c r="K431" s="23"/>
      <c r="L431" s="23"/>
      <c r="M431" s="23"/>
      <c r="N431" s="90"/>
      <c r="O431" s="103"/>
      <c r="P431" s="103"/>
      <c r="Q431" s="10"/>
      <c r="R431" s="103"/>
      <c r="S431" s="10"/>
      <c r="T431" s="10"/>
      <c r="U431" s="10"/>
      <c r="V431" s="10"/>
      <c r="W431" s="61"/>
      <c r="X431" s="61"/>
      <c r="Y431" s="103"/>
    </row>
    <row r="432" spans="1:25" ht="13">
      <c r="A432" s="8"/>
      <c r="B432" s="8"/>
      <c r="C432" s="8"/>
      <c r="D432" s="10"/>
      <c r="E432" s="10"/>
      <c r="F432" s="10"/>
      <c r="G432" s="10"/>
      <c r="H432" s="61"/>
      <c r="I432" s="61"/>
      <c r="J432" s="23"/>
      <c r="K432" s="23"/>
      <c r="L432" s="23"/>
      <c r="M432" s="23"/>
      <c r="N432" s="90"/>
      <c r="O432" s="103"/>
      <c r="P432" s="90"/>
      <c r="Q432" s="37"/>
      <c r="R432" s="103"/>
      <c r="S432" s="10"/>
      <c r="T432" s="10"/>
      <c r="U432" s="36"/>
      <c r="V432" s="10"/>
      <c r="W432" s="61"/>
      <c r="X432" s="61"/>
      <c r="Y432" s="103"/>
    </row>
    <row r="433" spans="1:25" ht="13">
      <c r="A433" s="8"/>
      <c r="B433" s="8"/>
      <c r="C433" s="8"/>
      <c r="D433" s="10"/>
      <c r="E433" s="10"/>
      <c r="F433" s="10"/>
      <c r="G433" s="23"/>
      <c r="H433" s="61"/>
      <c r="I433" s="61"/>
      <c r="J433" s="23"/>
      <c r="K433" s="23"/>
      <c r="L433" s="23"/>
      <c r="M433" s="23"/>
      <c r="N433" s="90"/>
      <c r="O433" s="103"/>
      <c r="P433" s="103"/>
      <c r="Q433" s="10"/>
      <c r="R433" s="103"/>
      <c r="S433" s="10"/>
      <c r="T433" s="10"/>
      <c r="U433" s="10"/>
      <c r="V433" s="10"/>
      <c r="W433" s="61"/>
      <c r="X433" s="61"/>
      <c r="Y433" s="103"/>
    </row>
    <row r="434" spans="1:25" ht="13">
      <c r="A434" s="8"/>
      <c r="B434" s="8"/>
      <c r="C434" s="8"/>
      <c r="D434" s="10"/>
      <c r="E434" s="10"/>
      <c r="F434" s="10"/>
      <c r="G434" s="10"/>
      <c r="H434" s="61"/>
      <c r="I434" s="61"/>
      <c r="J434" s="23"/>
      <c r="K434" s="23"/>
      <c r="L434" s="23"/>
      <c r="M434" s="23"/>
      <c r="N434" s="90"/>
      <c r="O434" s="103"/>
      <c r="P434" s="90"/>
      <c r="Q434" s="37"/>
      <c r="R434" s="103"/>
      <c r="S434" s="10"/>
      <c r="T434" s="10"/>
      <c r="U434" s="36"/>
      <c r="V434" s="10"/>
      <c r="W434" s="61"/>
      <c r="X434" s="61"/>
      <c r="Y434" s="103"/>
    </row>
    <row r="435" spans="1:25" ht="13">
      <c r="A435" s="8"/>
      <c r="B435" s="8"/>
      <c r="C435" s="8"/>
      <c r="D435" s="10"/>
      <c r="E435" s="10"/>
      <c r="F435" s="10"/>
      <c r="G435" s="23"/>
      <c r="H435" s="61"/>
      <c r="I435" s="61"/>
      <c r="J435" s="23"/>
      <c r="K435" s="23"/>
      <c r="L435" s="23"/>
      <c r="M435" s="23"/>
      <c r="N435" s="90"/>
      <c r="O435" s="103"/>
      <c r="P435" s="103"/>
      <c r="Q435" s="10"/>
      <c r="R435" s="103"/>
      <c r="S435" s="10"/>
      <c r="T435" s="10"/>
      <c r="U435" s="10"/>
      <c r="V435" s="10"/>
      <c r="W435" s="61"/>
      <c r="X435" s="61"/>
      <c r="Y435" s="103"/>
    </row>
    <row r="436" spans="1:25" ht="13">
      <c r="A436" s="8"/>
      <c r="B436" s="8"/>
      <c r="C436" s="8"/>
      <c r="D436" s="10"/>
      <c r="E436" s="37"/>
      <c r="F436" s="23"/>
      <c r="G436" s="23"/>
      <c r="H436" s="61"/>
      <c r="I436" s="61"/>
      <c r="J436" s="226"/>
      <c r="K436" s="23"/>
      <c r="L436" s="23"/>
      <c r="M436" s="23"/>
      <c r="N436" s="90"/>
      <c r="O436" s="90"/>
      <c r="P436" s="90"/>
      <c r="Q436" s="37"/>
      <c r="R436" s="103"/>
      <c r="S436" s="10"/>
      <c r="T436" s="10"/>
      <c r="U436" s="36"/>
      <c r="V436" s="36"/>
      <c r="W436" s="61"/>
      <c r="X436" s="61"/>
      <c r="Y436" s="23"/>
    </row>
    <row r="437" spans="1:25" ht="13">
      <c r="A437" s="41"/>
      <c r="B437" s="41"/>
      <c r="C437" s="41"/>
      <c r="D437" s="10"/>
      <c r="E437" s="10"/>
      <c r="F437" s="10"/>
      <c r="G437" s="10"/>
      <c r="H437" s="41"/>
      <c r="I437" s="41"/>
      <c r="J437" s="103"/>
      <c r="K437" s="103"/>
      <c r="L437" s="10"/>
      <c r="M437" s="10"/>
      <c r="N437" s="90"/>
      <c r="O437" s="103"/>
      <c r="P437" s="103"/>
      <c r="Q437" s="168"/>
      <c r="R437" s="103"/>
      <c r="S437" s="10"/>
      <c r="T437" s="10"/>
      <c r="U437" s="10"/>
      <c r="V437" s="10"/>
      <c r="W437" s="112"/>
      <c r="X437" s="112"/>
      <c r="Y437" s="103"/>
    </row>
    <row r="438" spans="1:25" ht="13">
      <c r="A438" s="41"/>
      <c r="B438" s="41"/>
      <c r="C438" s="41"/>
      <c r="D438" s="10"/>
      <c r="E438" s="37"/>
      <c r="F438" s="23"/>
      <c r="G438" s="23"/>
      <c r="H438" s="61"/>
      <c r="I438" s="61"/>
      <c r="J438" s="226"/>
      <c r="K438" s="23"/>
      <c r="L438" s="23"/>
      <c r="M438" s="23"/>
      <c r="N438" s="90"/>
      <c r="O438" s="103"/>
      <c r="P438" s="90"/>
      <c r="Q438" s="37"/>
      <c r="R438" s="103"/>
      <c r="S438" s="10"/>
      <c r="T438" s="10"/>
      <c r="U438" s="36"/>
      <c r="V438" s="10"/>
      <c r="W438" s="112"/>
      <c r="X438" s="61"/>
      <c r="Y438" s="23"/>
    </row>
    <row r="439" spans="1:25" ht="13">
      <c r="A439" s="41"/>
      <c r="B439" s="41"/>
      <c r="C439" s="41"/>
      <c r="D439" s="10"/>
      <c r="E439" s="10"/>
      <c r="F439" s="10"/>
      <c r="G439" s="10"/>
      <c r="H439" s="41"/>
      <c r="I439" s="41"/>
      <c r="J439" s="103"/>
      <c r="K439" s="103"/>
      <c r="L439" s="10"/>
      <c r="M439" s="10"/>
      <c r="N439" s="90"/>
      <c r="O439" s="103"/>
      <c r="P439" s="103"/>
      <c r="Q439" s="10"/>
      <c r="R439" s="103"/>
      <c r="S439" s="10"/>
      <c r="T439" s="10"/>
      <c r="U439" s="10"/>
      <c r="V439" s="10"/>
      <c r="W439" s="112"/>
      <c r="X439" s="112"/>
      <c r="Y439" s="103"/>
    </row>
    <row r="440" spans="1:25" ht="13">
      <c r="A440" s="41"/>
      <c r="B440" s="41"/>
      <c r="C440" s="41"/>
      <c r="D440" s="10"/>
      <c r="E440" s="37"/>
      <c r="F440" s="10"/>
      <c r="G440" s="10"/>
      <c r="H440" s="112"/>
      <c r="I440" s="112"/>
      <c r="J440" s="165"/>
      <c r="K440" s="103"/>
      <c r="L440" s="23"/>
      <c r="M440" s="23"/>
      <c r="N440" s="90"/>
      <c r="O440" s="103"/>
      <c r="P440" s="90"/>
      <c r="Q440" s="37"/>
      <c r="R440" s="103"/>
      <c r="S440" s="10"/>
      <c r="T440" s="10"/>
      <c r="U440" s="36"/>
      <c r="V440" s="10"/>
      <c r="W440" s="112"/>
      <c r="X440" s="112"/>
      <c r="Y440" s="103"/>
    </row>
    <row r="441" spans="1:25" ht="13">
      <c r="A441" s="10"/>
      <c r="B441" s="10"/>
      <c r="C441" s="10"/>
      <c r="D441" s="10"/>
      <c r="E441" s="10"/>
      <c r="F441" s="10"/>
      <c r="G441" s="10"/>
      <c r="H441" s="10"/>
      <c r="I441" s="10"/>
      <c r="J441" s="103"/>
      <c r="K441" s="103"/>
      <c r="L441" s="10"/>
      <c r="M441" s="10"/>
      <c r="N441" s="90"/>
      <c r="O441" s="103"/>
      <c r="P441" s="103"/>
      <c r="Q441" s="10"/>
      <c r="R441" s="103"/>
      <c r="S441" s="10"/>
      <c r="T441" s="10"/>
      <c r="U441" s="10"/>
      <c r="V441" s="10"/>
      <c r="W441" s="103"/>
      <c r="X441" s="103"/>
      <c r="Y441" s="103"/>
    </row>
    <row r="442" spans="1:25" ht="13">
      <c r="A442" s="36"/>
      <c r="B442" s="36"/>
      <c r="C442" s="87"/>
      <c r="D442" s="36"/>
      <c r="E442" s="196"/>
      <c r="F442" s="23"/>
      <c r="G442" s="113"/>
      <c r="H442" s="23"/>
      <c r="I442" s="23"/>
      <c r="J442" s="23"/>
      <c r="K442" s="23"/>
      <c r="L442" s="23"/>
      <c r="M442" s="23"/>
      <c r="N442" s="108"/>
      <c r="O442" s="108"/>
      <c r="P442" s="108"/>
      <c r="Q442" s="37"/>
      <c r="R442" s="23"/>
      <c r="S442" s="36"/>
      <c r="T442" s="23"/>
      <c r="U442" s="36"/>
      <c r="V442" s="36"/>
      <c r="W442" s="23"/>
      <c r="X442" s="23"/>
      <c r="Y442" s="103"/>
    </row>
    <row r="443" spans="1:25" ht="13">
      <c r="A443" s="36"/>
      <c r="B443" s="36"/>
      <c r="C443" s="87"/>
      <c r="D443" s="36"/>
      <c r="E443" s="196"/>
      <c r="F443" s="23"/>
      <c r="G443" s="113"/>
      <c r="H443" s="23"/>
      <c r="I443" s="23"/>
      <c r="J443" s="23"/>
      <c r="K443" s="23"/>
      <c r="L443" s="23"/>
      <c r="M443" s="23"/>
      <c r="N443" s="108"/>
      <c r="O443" s="108"/>
      <c r="P443" s="108"/>
      <c r="Q443" s="37"/>
      <c r="R443" s="23"/>
      <c r="S443" s="36"/>
      <c r="T443" s="23"/>
      <c r="U443" s="36"/>
      <c r="V443" s="36"/>
      <c r="W443" s="23"/>
      <c r="X443" s="23"/>
      <c r="Y443" s="103"/>
    </row>
    <row r="444" spans="1:25" ht="13">
      <c r="A444" s="36"/>
      <c r="B444" s="36"/>
      <c r="C444" s="87"/>
      <c r="D444" s="36"/>
      <c r="E444" s="196"/>
      <c r="F444" s="23"/>
      <c r="G444" s="113"/>
      <c r="H444" s="23"/>
      <c r="I444" s="23"/>
      <c r="J444" s="23"/>
      <c r="K444" s="23"/>
      <c r="L444" s="23"/>
      <c r="M444" s="23"/>
      <c r="N444" s="108"/>
      <c r="O444" s="108"/>
      <c r="P444" s="108"/>
      <c r="Q444" s="37"/>
      <c r="R444" s="23"/>
      <c r="S444" s="36"/>
      <c r="T444" s="23"/>
      <c r="U444" s="36"/>
      <c r="V444" s="36"/>
      <c r="W444" s="23"/>
      <c r="X444" s="23"/>
      <c r="Y444" s="103"/>
    </row>
    <row r="445" spans="1:25" ht="13">
      <c r="A445" s="36"/>
      <c r="B445" s="36"/>
      <c r="C445" s="87"/>
      <c r="D445" s="36"/>
      <c r="E445" s="196"/>
      <c r="F445" s="23"/>
      <c r="G445" s="113"/>
      <c r="H445" s="23"/>
      <c r="I445" s="23"/>
      <c r="J445" s="23"/>
      <c r="K445" s="23"/>
      <c r="L445" s="23"/>
      <c r="M445" s="23"/>
      <c r="N445" s="108"/>
      <c r="O445" s="108"/>
      <c r="P445" s="108"/>
      <c r="Q445" s="37"/>
      <c r="R445" s="23"/>
      <c r="S445" s="36"/>
      <c r="T445" s="23"/>
      <c r="U445" s="36"/>
      <c r="V445" s="36"/>
      <c r="W445" s="23"/>
      <c r="X445" s="23"/>
      <c r="Y445" s="103"/>
    </row>
    <row r="446" spans="1:25" ht="13">
      <c r="A446" s="36"/>
      <c r="B446" s="36"/>
      <c r="C446" s="87"/>
      <c r="D446" s="36"/>
      <c r="E446" s="196"/>
      <c r="F446" s="23"/>
      <c r="G446" s="113"/>
      <c r="H446" s="23"/>
      <c r="I446" s="23"/>
      <c r="J446" s="23"/>
      <c r="K446" s="23"/>
      <c r="L446" s="23"/>
      <c r="M446" s="23"/>
      <c r="N446" s="108"/>
      <c r="O446" s="108"/>
      <c r="P446" s="108"/>
      <c r="Q446" s="37"/>
      <c r="R446" s="23"/>
      <c r="S446" s="36"/>
      <c r="T446" s="23"/>
      <c r="U446" s="36"/>
      <c r="V446" s="36"/>
      <c r="W446" s="23"/>
      <c r="X446" s="23"/>
      <c r="Y446" s="103"/>
    </row>
    <row r="447" spans="1:25" ht="13">
      <c r="A447" s="36"/>
      <c r="B447" s="36"/>
      <c r="C447" s="87"/>
      <c r="D447" s="36"/>
      <c r="E447" s="196"/>
      <c r="F447" s="23"/>
      <c r="G447" s="113"/>
      <c r="H447" s="23"/>
      <c r="I447" s="23"/>
      <c r="J447" s="23"/>
      <c r="K447" s="23"/>
      <c r="L447" s="23"/>
      <c r="M447" s="23"/>
      <c r="N447" s="108"/>
      <c r="O447" s="108"/>
      <c r="P447" s="108"/>
      <c r="Q447" s="37"/>
      <c r="R447" s="23"/>
      <c r="S447" s="36"/>
      <c r="T447" s="23"/>
      <c r="U447" s="36"/>
      <c r="V447" s="36"/>
      <c r="W447" s="23"/>
      <c r="X447" s="23"/>
      <c r="Y447" s="103"/>
    </row>
    <row r="448" spans="1:25" ht="13">
      <c r="A448" s="36"/>
      <c r="B448" s="36"/>
      <c r="C448" s="87"/>
      <c r="D448" s="36"/>
      <c r="E448" s="196"/>
      <c r="F448" s="23"/>
      <c r="G448" s="113"/>
      <c r="H448" s="23"/>
      <c r="I448" s="23"/>
      <c r="J448" s="23"/>
      <c r="K448" s="23"/>
      <c r="L448" s="23"/>
      <c r="M448" s="23"/>
      <c r="N448" s="108"/>
      <c r="O448" s="108"/>
      <c r="P448" s="108"/>
      <c r="Q448" s="37"/>
      <c r="R448" s="23"/>
      <c r="S448" s="36"/>
      <c r="T448" s="23"/>
      <c r="U448" s="36"/>
      <c r="V448" s="36"/>
      <c r="W448" s="23"/>
      <c r="X448" s="23"/>
      <c r="Y448" s="103"/>
    </row>
    <row r="449" spans="1:25" ht="13">
      <c r="A449" s="36"/>
      <c r="B449" s="36"/>
      <c r="C449" s="36"/>
      <c r="D449" s="36"/>
      <c r="E449" s="196"/>
      <c r="F449" s="23"/>
      <c r="G449" s="113"/>
      <c r="H449" s="23"/>
      <c r="I449" s="23"/>
      <c r="J449" s="23"/>
      <c r="K449" s="23"/>
      <c r="L449" s="23"/>
      <c r="M449" s="23"/>
      <c r="N449" s="108"/>
      <c r="O449" s="108"/>
      <c r="P449" s="108"/>
      <c r="Q449" s="37"/>
      <c r="R449" s="23"/>
      <c r="S449" s="36"/>
      <c r="T449" s="23"/>
      <c r="U449" s="36"/>
      <c r="V449" s="36"/>
      <c r="W449" s="23"/>
      <c r="X449" s="23"/>
      <c r="Y449" s="113"/>
    </row>
    <row r="450" spans="1:25" ht="13">
      <c r="A450" s="36"/>
      <c r="B450" s="36"/>
      <c r="C450" s="36"/>
      <c r="D450" s="36"/>
      <c r="E450" s="196"/>
      <c r="F450" s="23"/>
      <c r="G450" s="113"/>
      <c r="H450" s="23"/>
      <c r="I450" s="23"/>
      <c r="J450" s="23"/>
      <c r="K450" s="23"/>
      <c r="L450" s="23"/>
      <c r="M450" s="23"/>
      <c r="N450" s="108"/>
      <c r="O450" s="108"/>
      <c r="P450" s="108"/>
      <c r="Q450" s="37"/>
      <c r="R450" s="23"/>
      <c r="S450" s="36"/>
      <c r="T450" s="23"/>
      <c r="U450" s="36"/>
      <c r="V450" s="36"/>
      <c r="W450" s="23"/>
      <c r="X450" s="23"/>
      <c r="Y450" s="113"/>
    </row>
    <row r="451" spans="1:25" ht="13">
      <c r="A451" s="8"/>
      <c r="B451" s="10"/>
      <c r="C451" s="10"/>
      <c r="D451" s="10"/>
      <c r="E451" s="9"/>
      <c r="F451" s="9"/>
      <c r="G451" s="23"/>
      <c r="H451" s="61"/>
      <c r="I451" s="61"/>
      <c r="J451" s="23"/>
      <c r="K451" s="23"/>
      <c r="L451" s="61"/>
      <c r="M451" s="61"/>
      <c r="N451" s="90"/>
      <c r="O451" s="90"/>
      <c r="P451" s="90"/>
      <c r="Q451" s="10"/>
      <c r="R451" s="103"/>
      <c r="S451" s="10"/>
      <c r="T451" s="103"/>
      <c r="U451" s="10"/>
      <c r="V451" s="10"/>
      <c r="W451" s="61"/>
      <c r="X451" s="61"/>
      <c r="Y451" s="83"/>
    </row>
    <row r="452" spans="1:25" ht="13">
      <c r="A452" s="8"/>
      <c r="B452" s="10"/>
      <c r="C452" s="10"/>
      <c r="D452" s="10"/>
      <c r="E452" s="9"/>
      <c r="F452" s="9"/>
      <c r="G452" s="9"/>
      <c r="H452" s="61"/>
      <c r="I452" s="61"/>
      <c r="J452" s="23"/>
      <c r="K452" s="23"/>
      <c r="L452" s="61"/>
      <c r="M452" s="61"/>
      <c r="N452" s="90"/>
      <c r="O452" s="90"/>
      <c r="P452" s="90"/>
      <c r="Q452" s="37"/>
      <c r="R452" s="103"/>
      <c r="S452" s="10"/>
      <c r="T452" s="103"/>
      <c r="U452" s="10"/>
      <c r="V452" s="10"/>
      <c r="W452" s="61"/>
      <c r="X452" s="61"/>
      <c r="Y452" s="83"/>
    </row>
    <row r="453" spans="1:25" ht="13">
      <c r="A453" s="8"/>
      <c r="B453" s="10"/>
      <c r="C453" s="10"/>
      <c r="D453" s="10"/>
      <c r="E453" s="9"/>
      <c r="F453" s="9"/>
      <c r="G453" s="23"/>
      <c r="H453" s="61"/>
      <c r="I453" s="61"/>
      <c r="J453" s="23"/>
      <c r="K453" s="23"/>
      <c r="L453" s="61"/>
      <c r="M453" s="61"/>
      <c r="N453" s="90"/>
      <c r="O453" s="90"/>
      <c r="P453" s="90"/>
      <c r="Q453" s="10"/>
      <c r="R453" s="103"/>
      <c r="S453" s="10"/>
      <c r="T453" s="103"/>
      <c r="U453" s="10"/>
      <c r="V453" s="10"/>
      <c r="W453" s="61"/>
      <c r="X453" s="61"/>
      <c r="Y453" s="83"/>
    </row>
    <row r="454" spans="1:25" ht="13">
      <c r="A454" s="10"/>
      <c r="B454" s="10"/>
      <c r="C454" s="10"/>
      <c r="D454" s="10"/>
      <c r="E454" s="10"/>
      <c r="F454" s="10"/>
      <c r="G454" s="103"/>
      <c r="H454" s="103"/>
      <c r="I454" s="103"/>
      <c r="J454" s="103"/>
      <c r="K454" s="103"/>
      <c r="L454" s="61"/>
      <c r="M454" s="61"/>
      <c r="N454" s="90"/>
      <c r="O454" s="90"/>
      <c r="P454" s="90"/>
      <c r="Q454" s="10"/>
      <c r="R454" s="103"/>
      <c r="S454" s="90"/>
      <c r="T454" s="103"/>
      <c r="U454" s="10"/>
      <c r="V454" s="10"/>
      <c r="W454" s="103"/>
      <c r="X454" s="103"/>
      <c r="Y454" s="103"/>
    </row>
    <row r="455" spans="1:25" ht="13">
      <c r="A455" s="36"/>
      <c r="B455" s="36"/>
      <c r="C455" s="23"/>
      <c r="D455" s="36"/>
      <c r="E455" s="36"/>
      <c r="F455" s="10"/>
      <c r="G455" s="113"/>
      <c r="H455" s="23"/>
      <c r="I455" s="23"/>
      <c r="J455" s="23"/>
      <c r="K455" s="23"/>
      <c r="L455" s="61"/>
      <c r="M455" s="61"/>
      <c r="N455" s="108"/>
      <c r="O455" s="108"/>
      <c r="P455" s="108"/>
      <c r="Q455" s="87"/>
      <c r="R455" s="23"/>
      <c r="S455" s="36"/>
      <c r="T455" s="23"/>
      <c r="U455" s="36"/>
      <c r="V455" s="36"/>
      <c r="W455" s="23"/>
      <c r="X455" s="61"/>
      <c r="Y455" s="23"/>
    </row>
    <row r="456" spans="1:25" ht="13">
      <c r="A456" s="10"/>
      <c r="B456" s="10"/>
      <c r="C456" s="10"/>
      <c r="D456" s="10"/>
      <c r="E456" s="10"/>
      <c r="F456" s="10"/>
      <c r="G456" s="10"/>
      <c r="H456" s="103"/>
      <c r="I456" s="103"/>
      <c r="J456" s="103"/>
      <c r="K456" s="103"/>
      <c r="L456" s="61"/>
      <c r="M456" s="61"/>
      <c r="N456" s="90"/>
      <c r="O456" s="103"/>
      <c r="P456" s="90"/>
      <c r="Q456" s="37"/>
      <c r="R456" s="103"/>
      <c r="S456" s="10"/>
      <c r="T456" s="103"/>
      <c r="U456" s="10"/>
      <c r="V456" s="10"/>
      <c r="W456" s="103"/>
      <c r="X456" s="103"/>
      <c r="Y456" s="103"/>
    </row>
    <row r="457" spans="1:25" ht="13">
      <c r="A457" s="8"/>
      <c r="B457" s="8"/>
      <c r="C457" s="8"/>
      <c r="D457" s="36"/>
      <c r="E457" s="120"/>
      <c r="F457" s="23"/>
      <c r="G457" s="23"/>
      <c r="H457" s="61"/>
      <c r="I457" s="61"/>
      <c r="J457" s="23"/>
      <c r="K457" s="23"/>
      <c r="L457" s="61"/>
      <c r="M457" s="61"/>
      <c r="N457" s="115"/>
      <c r="O457" s="115"/>
      <c r="P457" s="108"/>
      <c r="Q457" s="87"/>
      <c r="R457" s="23"/>
      <c r="S457" s="108"/>
      <c r="T457" s="23"/>
      <c r="U457" s="36"/>
      <c r="V457" s="36"/>
      <c r="W457" s="61"/>
      <c r="X457" s="61"/>
      <c r="Y457" s="23"/>
    </row>
    <row r="458" spans="1:25" ht="13">
      <c r="A458" s="8"/>
      <c r="B458" s="8"/>
      <c r="C458" s="8"/>
      <c r="D458" s="36"/>
      <c r="E458" s="120"/>
      <c r="F458" s="120"/>
      <c r="G458" s="113"/>
      <c r="H458" s="61"/>
      <c r="I458" s="61"/>
      <c r="J458" s="23"/>
      <c r="K458" s="23"/>
      <c r="L458" s="61"/>
      <c r="M458" s="61"/>
      <c r="N458" s="115"/>
      <c r="O458" s="115"/>
      <c r="P458" s="108"/>
      <c r="Q458" s="37"/>
      <c r="R458" s="23"/>
      <c r="S458" s="108"/>
      <c r="T458" s="23"/>
      <c r="U458" s="36"/>
      <c r="V458" s="36"/>
      <c r="W458" s="61"/>
      <c r="X458" s="61"/>
      <c r="Y458" s="23"/>
    </row>
    <row r="459" spans="1:25" ht="13">
      <c r="A459" s="8"/>
      <c r="B459" s="8"/>
      <c r="C459" s="8"/>
      <c r="D459" s="36"/>
      <c r="E459" s="120"/>
      <c r="F459" s="23"/>
      <c r="G459" s="23"/>
      <c r="H459" s="61"/>
      <c r="I459" s="61"/>
      <c r="J459" s="23"/>
      <c r="K459" s="23"/>
      <c r="L459" s="61"/>
      <c r="M459" s="61"/>
      <c r="N459" s="115"/>
      <c r="O459" s="115"/>
      <c r="P459" s="108"/>
      <c r="Q459" s="87"/>
      <c r="R459" s="23"/>
      <c r="S459" s="108"/>
      <c r="T459" s="23"/>
      <c r="U459" s="36"/>
      <c r="V459" s="36"/>
      <c r="W459" s="61"/>
      <c r="X459" s="61"/>
      <c r="Y459" s="23"/>
    </row>
    <row r="460" spans="1:25" ht="13">
      <c r="A460" s="41"/>
      <c r="B460" s="41"/>
      <c r="C460" s="41"/>
      <c r="D460" s="10"/>
      <c r="E460" s="37"/>
      <c r="F460" s="10"/>
      <c r="G460" s="103"/>
      <c r="H460" s="112"/>
      <c r="I460" s="112"/>
      <c r="J460" s="165"/>
      <c r="K460" s="103"/>
      <c r="L460" s="61"/>
      <c r="M460" s="61"/>
      <c r="N460" s="184"/>
      <c r="O460" s="112"/>
      <c r="P460" s="90"/>
      <c r="Q460" s="37"/>
      <c r="R460" s="103"/>
      <c r="S460" s="90"/>
      <c r="T460" s="103"/>
      <c r="U460" s="10"/>
      <c r="V460" s="10"/>
      <c r="W460" s="61"/>
      <c r="X460" s="61"/>
      <c r="Y460" s="103"/>
    </row>
    <row r="461" spans="1:25" ht="13">
      <c r="A461" s="41"/>
      <c r="B461" s="41"/>
      <c r="C461" s="41"/>
      <c r="D461" s="10"/>
      <c r="E461" s="37"/>
      <c r="F461" s="10"/>
      <c r="G461" s="103"/>
      <c r="H461" s="112"/>
      <c r="I461" s="112"/>
      <c r="J461" s="165"/>
      <c r="K461" s="103"/>
      <c r="L461" s="61"/>
      <c r="M461" s="61"/>
      <c r="N461" s="184"/>
      <c r="O461" s="112"/>
      <c r="P461" s="90"/>
      <c r="Q461" s="37"/>
      <c r="R461" s="103"/>
      <c r="S461" s="90"/>
      <c r="T461" s="103"/>
      <c r="U461" s="10"/>
      <c r="V461" s="10"/>
      <c r="W461" s="61"/>
      <c r="X461" s="61"/>
      <c r="Y461" s="103"/>
    </row>
    <row r="462" spans="1:25" ht="13">
      <c r="A462" s="41"/>
      <c r="B462" s="41"/>
      <c r="C462" s="41"/>
      <c r="D462" s="10"/>
      <c r="E462" s="37"/>
      <c r="F462" s="10"/>
      <c r="G462" s="103"/>
      <c r="H462" s="112"/>
      <c r="I462" s="112"/>
      <c r="J462" s="165"/>
      <c r="K462" s="103"/>
      <c r="L462" s="61"/>
      <c r="M462" s="61"/>
      <c r="N462" s="184"/>
      <c r="O462" s="112"/>
      <c r="P462" s="90"/>
      <c r="Q462" s="37"/>
      <c r="R462" s="103"/>
      <c r="S462" s="90"/>
      <c r="T462" s="103"/>
      <c r="U462" s="10"/>
      <c r="V462" s="10"/>
      <c r="W462" s="61"/>
      <c r="X462" s="61"/>
      <c r="Y462" s="103"/>
    </row>
    <row r="463" spans="1:25" ht="13">
      <c r="A463" s="8"/>
      <c r="B463" s="8"/>
      <c r="C463" s="8"/>
      <c r="D463" s="36"/>
      <c r="E463" s="120"/>
      <c r="F463" s="23"/>
      <c r="G463" s="23"/>
      <c r="H463" s="61"/>
      <c r="I463" s="61"/>
      <c r="J463" s="23"/>
      <c r="K463" s="23"/>
      <c r="L463" s="61"/>
      <c r="M463" s="8"/>
      <c r="N463" s="115"/>
      <c r="O463" s="61"/>
      <c r="P463" s="108"/>
      <c r="Q463" s="87"/>
      <c r="R463" s="23"/>
      <c r="S463" s="23"/>
      <c r="T463" s="23"/>
      <c r="U463" s="36"/>
      <c r="V463" s="36"/>
      <c r="W463" s="61"/>
      <c r="X463" s="61"/>
      <c r="Y463" s="23"/>
    </row>
    <row r="464" spans="1:25" ht="13">
      <c r="A464" s="8"/>
      <c r="B464" s="85"/>
      <c r="C464" s="8"/>
      <c r="D464" s="85"/>
      <c r="E464" s="120"/>
      <c r="F464" s="23"/>
      <c r="G464" s="23"/>
      <c r="H464" s="61"/>
      <c r="I464" s="61"/>
      <c r="J464" s="23"/>
      <c r="K464" s="23"/>
      <c r="L464" s="61"/>
      <c r="M464" s="61"/>
      <c r="N464" s="115"/>
      <c r="O464" s="61"/>
      <c r="P464" s="108"/>
      <c r="Q464" s="37"/>
      <c r="R464" s="61"/>
      <c r="S464" s="23"/>
      <c r="T464" s="23"/>
      <c r="U464" s="36"/>
      <c r="V464" s="36"/>
      <c r="W464" s="61"/>
      <c r="X464" s="61"/>
      <c r="Y464" s="23"/>
    </row>
    <row r="465" spans="1:26" ht="13">
      <c r="A465" s="8"/>
      <c r="B465" s="8"/>
      <c r="C465" s="8"/>
      <c r="D465" s="36"/>
      <c r="E465" s="120"/>
      <c r="F465" s="23"/>
      <c r="G465" s="23"/>
      <c r="H465" s="61"/>
      <c r="I465" s="61"/>
      <c r="J465" s="23"/>
      <c r="K465" s="23"/>
      <c r="L465" s="61"/>
      <c r="M465" s="8"/>
      <c r="N465" s="115"/>
      <c r="O465" s="61"/>
      <c r="P465" s="108"/>
      <c r="Q465" s="87"/>
      <c r="R465" s="23"/>
      <c r="S465" s="23"/>
      <c r="T465" s="23"/>
      <c r="U465" s="36"/>
      <c r="V465" s="36"/>
      <c r="W465" s="61"/>
      <c r="X465" s="61"/>
      <c r="Y465" s="23"/>
    </row>
    <row r="466" spans="1:26" ht="13">
      <c r="A466" s="8"/>
      <c r="B466" s="8"/>
      <c r="C466" s="85"/>
      <c r="D466" s="36"/>
      <c r="E466" s="196"/>
      <c r="F466" s="23"/>
      <c r="G466" s="113"/>
      <c r="H466" s="61"/>
      <c r="I466" s="61"/>
      <c r="J466" s="23"/>
      <c r="K466" s="23"/>
      <c r="L466" s="61"/>
      <c r="M466" s="61"/>
      <c r="N466" s="412"/>
      <c r="O466" s="413"/>
      <c r="P466" s="412"/>
      <c r="Q466" s="417"/>
      <c r="R466" s="23"/>
      <c r="T466" s="23"/>
      <c r="U466" s="36"/>
      <c r="V466" s="36"/>
      <c r="W466" s="61"/>
      <c r="X466" s="61"/>
      <c r="Y466" s="23"/>
    </row>
    <row r="467" spans="1:26" ht="13">
      <c r="A467" s="8"/>
      <c r="B467" s="8"/>
      <c r="C467" s="85"/>
      <c r="D467" s="36"/>
      <c r="E467" s="196"/>
      <c r="F467" s="23"/>
      <c r="G467" s="113"/>
      <c r="H467" s="61"/>
      <c r="I467" s="61"/>
      <c r="J467" s="23"/>
      <c r="K467" s="23"/>
      <c r="L467" s="61"/>
      <c r="M467" s="61"/>
      <c r="N467" s="409"/>
      <c r="O467" s="409"/>
      <c r="P467" s="410"/>
      <c r="Q467" s="410"/>
      <c r="R467" s="23"/>
      <c r="S467" s="113"/>
      <c r="T467" s="23"/>
      <c r="U467" s="36"/>
      <c r="V467" s="36"/>
      <c r="W467" s="61"/>
      <c r="X467" s="61"/>
      <c r="Y467" s="23"/>
    </row>
    <row r="468" spans="1:26" ht="13">
      <c r="A468" s="36"/>
      <c r="B468" s="36"/>
      <c r="C468" s="36"/>
      <c r="D468" s="36"/>
      <c r="E468" s="120"/>
      <c r="F468" s="23"/>
      <c r="G468" s="23"/>
      <c r="H468" s="61"/>
      <c r="I468" s="23"/>
      <c r="J468" s="23"/>
      <c r="K468" s="23"/>
      <c r="L468" s="61"/>
      <c r="M468" s="36"/>
      <c r="N468" s="108"/>
      <c r="O468" s="23"/>
      <c r="P468" s="108"/>
      <c r="Q468" s="87"/>
      <c r="R468" s="23"/>
      <c r="S468" s="23"/>
      <c r="T468" s="23"/>
      <c r="U468" s="36"/>
      <c r="V468" s="36"/>
      <c r="W468" s="23"/>
      <c r="X468" s="61"/>
      <c r="Y468" s="23"/>
    </row>
    <row r="469" spans="1:26" ht="13">
      <c r="A469" s="10"/>
      <c r="B469" s="10"/>
      <c r="C469" s="10"/>
      <c r="D469" s="10"/>
      <c r="E469" s="10"/>
      <c r="F469" s="10"/>
      <c r="G469" s="10"/>
      <c r="H469" s="41"/>
      <c r="I469" s="103"/>
      <c r="J469" s="165"/>
      <c r="K469" s="103"/>
      <c r="L469" s="61"/>
      <c r="M469" s="41"/>
      <c r="N469" s="90"/>
      <c r="O469" s="103"/>
      <c r="P469" s="103"/>
      <c r="Q469" s="10"/>
      <c r="R469" s="103"/>
      <c r="S469" s="103"/>
      <c r="T469" s="103"/>
      <c r="U469" s="10"/>
      <c r="V469" s="10"/>
      <c r="W469" s="103"/>
      <c r="X469" s="103"/>
      <c r="Y469" s="83"/>
    </row>
    <row r="470" spans="1:26" ht="13">
      <c r="A470" s="9"/>
      <c r="B470" s="9"/>
      <c r="C470" s="9"/>
      <c r="D470" s="36"/>
      <c r="E470" s="36"/>
      <c r="F470" s="36"/>
      <c r="G470" s="23"/>
      <c r="H470" s="61"/>
      <c r="I470" s="61"/>
      <c r="J470" s="23"/>
      <c r="K470" s="23"/>
      <c r="L470" s="61"/>
      <c r="M470" s="61"/>
      <c r="N470" s="108"/>
      <c r="O470" s="242"/>
      <c r="P470" s="23"/>
      <c r="Q470" s="196"/>
      <c r="R470" s="23"/>
      <c r="S470" s="36"/>
      <c r="T470" s="23"/>
      <c r="U470" s="36"/>
      <c r="V470" s="36"/>
      <c r="W470" s="61"/>
      <c r="X470" s="61"/>
      <c r="Y470" s="23"/>
      <c r="Z470" s="221"/>
    </row>
    <row r="471" spans="1:26" ht="13">
      <c r="A471" s="9"/>
      <c r="B471" s="210"/>
      <c r="C471" s="9"/>
      <c r="D471" s="10"/>
      <c r="E471" s="10"/>
      <c r="F471" s="10"/>
      <c r="G471" s="23"/>
      <c r="H471" s="61"/>
      <c r="I471" s="61"/>
      <c r="J471" s="23"/>
      <c r="K471" s="23"/>
      <c r="L471" s="61"/>
      <c r="M471" s="61"/>
      <c r="N471" s="90"/>
      <c r="O471" s="90"/>
      <c r="P471" s="90"/>
      <c r="Q471" s="10"/>
      <c r="R471" s="103"/>
      <c r="S471" s="10"/>
      <c r="T471" s="103"/>
      <c r="U471" s="10"/>
      <c r="V471" s="10"/>
      <c r="W471" s="61"/>
      <c r="X471" s="61"/>
      <c r="Y471" s="103"/>
    </row>
    <row r="472" spans="1:26" ht="13">
      <c r="A472" s="9"/>
      <c r="B472" s="210"/>
      <c r="C472" s="9"/>
      <c r="D472" s="10"/>
      <c r="E472" s="10"/>
      <c r="F472" s="10"/>
      <c r="G472" s="232"/>
      <c r="H472" s="61"/>
      <c r="I472" s="61"/>
      <c r="J472" s="23"/>
      <c r="K472" s="23"/>
      <c r="L472" s="61"/>
      <c r="M472" s="61"/>
      <c r="N472" s="90"/>
      <c r="O472" s="90"/>
      <c r="P472" s="90"/>
      <c r="Q472" s="196"/>
      <c r="R472" s="103"/>
      <c r="S472" s="90"/>
      <c r="T472" s="103"/>
      <c r="U472" s="10"/>
      <c r="V472" s="10"/>
      <c r="W472" s="61"/>
      <c r="X472" s="61"/>
      <c r="Y472" s="23"/>
    </row>
    <row r="473" spans="1:26" ht="13">
      <c r="A473" s="9"/>
      <c r="B473" s="210"/>
      <c r="C473" s="9"/>
      <c r="D473" s="10"/>
      <c r="E473" s="10"/>
      <c r="F473" s="10"/>
      <c r="G473" s="232"/>
      <c r="H473" s="61"/>
      <c r="I473" s="61"/>
      <c r="J473" s="23"/>
      <c r="K473" s="23"/>
      <c r="L473" s="61"/>
      <c r="M473" s="61"/>
      <c r="N473" s="90"/>
      <c r="O473" s="103"/>
      <c r="P473" s="90"/>
      <c r="Q473" s="196"/>
      <c r="R473" s="103"/>
      <c r="S473" s="10"/>
      <c r="T473" s="103"/>
      <c r="U473" s="10"/>
      <c r="V473" s="10"/>
      <c r="W473" s="61"/>
      <c r="X473" s="61"/>
      <c r="Y473" s="23"/>
    </row>
    <row r="474" spans="1:26" ht="13">
      <c r="A474" s="9"/>
      <c r="B474" s="9"/>
      <c r="C474" s="9"/>
      <c r="D474" s="10"/>
      <c r="E474" s="10"/>
      <c r="F474" s="10"/>
      <c r="G474" s="23"/>
      <c r="H474" s="61"/>
      <c r="I474" s="61"/>
      <c r="J474" s="23"/>
      <c r="K474" s="23"/>
      <c r="L474" s="61"/>
      <c r="M474" s="61"/>
      <c r="N474" s="90"/>
      <c r="O474" s="90"/>
      <c r="P474" s="90"/>
      <c r="Q474" s="10"/>
      <c r="R474" s="103"/>
      <c r="S474" s="10"/>
      <c r="T474" s="103"/>
      <c r="U474" s="10"/>
      <c r="V474" s="10"/>
      <c r="W474" s="61"/>
      <c r="X474" s="61"/>
      <c r="Y474" s="103"/>
    </row>
    <row r="475" spans="1:26" ht="13">
      <c r="A475" s="36"/>
      <c r="B475" s="10"/>
      <c r="C475" s="87"/>
      <c r="D475" s="36"/>
      <c r="E475" s="36"/>
      <c r="F475" s="10"/>
      <c r="G475" s="83"/>
      <c r="H475" s="23"/>
      <c r="I475" s="23"/>
      <c r="J475" s="23"/>
      <c r="K475" s="23"/>
      <c r="L475" s="61"/>
      <c r="M475" s="10"/>
      <c r="N475" s="90"/>
      <c r="O475" s="103"/>
      <c r="P475" s="90"/>
      <c r="Q475" s="196"/>
      <c r="R475" s="103"/>
      <c r="S475" s="10"/>
      <c r="T475" s="103"/>
      <c r="U475" s="10"/>
      <c r="V475" s="10"/>
      <c r="W475" s="103"/>
      <c r="X475" s="61"/>
      <c r="Y475" s="23"/>
    </row>
    <row r="476" spans="1:26" ht="13">
      <c r="A476" s="10"/>
      <c r="B476" s="10"/>
      <c r="C476" s="10"/>
      <c r="D476" s="10"/>
      <c r="E476" s="10"/>
      <c r="F476" s="10"/>
      <c r="G476" s="103"/>
      <c r="H476" s="103"/>
      <c r="I476" s="103"/>
      <c r="J476" s="103"/>
      <c r="K476" s="103"/>
      <c r="L476" s="61"/>
      <c r="M476" s="61"/>
      <c r="N476" s="5"/>
      <c r="O476" s="5"/>
      <c r="P476" s="5"/>
      <c r="Q476" s="10"/>
      <c r="R476" s="83"/>
      <c r="S476" s="10"/>
      <c r="T476" s="103"/>
      <c r="U476" s="10"/>
      <c r="V476" s="10"/>
      <c r="W476" s="61"/>
      <c r="X476" s="103"/>
      <c r="Y476" s="103"/>
    </row>
    <row r="477" spans="1:26" ht="13">
      <c r="A477" s="36"/>
      <c r="B477" s="36"/>
      <c r="C477" s="23"/>
      <c r="D477" s="36"/>
      <c r="E477" s="87"/>
      <c r="F477" s="23"/>
      <c r="G477" s="23"/>
      <c r="H477" s="23"/>
      <c r="I477" s="23"/>
      <c r="J477" s="23"/>
      <c r="K477" s="175"/>
      <c r="L477" s="61"/>
      <c r="M477" s="61"/>
      <c r="N477" s="108"/>
      <c r="O477" s="108"/>
      <c r="P477" s="108"/>
      <c r="Q477" s="196"/>
      <c r="R477" s="23"/>
      <c r="S477" s="36"/>
      <c r="T477" s="23"/>
      <c r="U477" s="36"/>
      <c r="V477" s="36"/>
      <c r="W477" s="61"/>
      <c r="X477" s="23"/>
      <c r="Y477" s="23"/>
    </row>
    <row r="478" spans="1:26" ht="13">
      <c r="A478" s="10"/>
      <c r="B478" s="10"/>
      <c r="C478" s="10"/>
      <c r="D478" s="10"/>
      <c r="E478" s="10"/>
      <c r="F478" s="103"/>
      <c r="G478" s="103"/>
      <c r="H478" s="10"/>
      <c r="I478" s="103"/>
      <c r="J478" s="103"/>
      <c r="K478" s="103"/>
      <c r="L478" s="61"/>
      <c r="M478" s="61"/>
      <c r="N478" s="90"/>
      <c r="O478" s="90"/>
      <c r="P478" s="90"/>
      <c r="Q478" s="10"/>
      <c r="R478" s="83"/>
      <c r="S478" s="10"/>
      <c r="T478" s="103"/>
      <c r="U478" s="10"/>
      <c r="V478" s="10"/>
      <c r="W478" s="61"/>
      <c r="X478" s="103"/>
      <c r="Y478" s="103"/>
    </row>
    <row r="479" spans="1:26" ht="13">
      <c r="A479" s="120"/>
      <c r="B479" s="120"/>
      <c r="C479" s="120"/>
      <c r="D479" s="120"/>
      <c r="E479" s="196"/>
      <c r="F479" s="23"/>
      <c r="G479" s="23"/>
      <c r="H479" s="23"/>
      <c r="I479" s="23"/>
      <c r="J479" s="175"/>
      <c r="K479" s="23"/>
      <c r="L479" s="61"/>
      <c r="M479" s="9"/>
      <c r="N479" s="108"/>
      <c r="O479" s="108"/>
      <c r="P479" s="243"/>
      <c r="Q479" s="196"/>
      <c r="R479" s="23"/>
      <c r="S479" s="120"/>
      <c r="T479" s="120"/>
      <c r="U479" s="120"/>
      <c r="V479" s="120"/>
      <c r="W479" s="9"/>
      <c r="X479" s="23"/>
      <c r="Y479" s="23"/>
    </row>
    <row r="480" spans="1:26" ht="13">
      <c r="A480" s="10"/>
      <c r="B480" s="10"/>
      <c r="C480" s="10"/>
      <c r="D480" s="10"/>
      <c r="E480" s="10"/>
      <c r="F480" s="10"/>
      <c r="G480" s="103"/>
      <c r="H480" s="103"/>
      <c r="I480" s="103"/>
      <c r="J480" s="10"/>
      <c r="K480" s="10"/>
      <c r="L480" s="61"/>
      <c r="M480" s="61"/>
      <c r="O480" s="117"/>
      <c r="P480" s="90"/>
      <c r="Q480" s="10"/>
      <c r="R480" s="103"/>
      <c r="S480" s="10"/>
      <c r="T480" s="103"/>
      <c r="U480" s="10"/>
      <c r="V480" s="10"/>
      <c r="W480" s="61"/>
      <c r="X480" s="103"/>
      <c r="Y480" s="103"/>
    </row>
    <row r="481" spans="1:25" ht="13">
      <c r="A481" s="126"/>
      <c r="B481" s="36"/>
      <c r="C481" s="36"/>
      <c r="D481" s="36"/>
      <c r="E481" s="87"/>
      <c r="F481" s="23"/>
      <c r="G481" s="23"/>
      <c r="H481" s="23"/>
      <c r="I481" s="23"/>
      <c r="J481" s="175"/>
      <c r="K481" s="23"/>
      <c r="L481" s="61"/>
      <c r="M481" s="23"/>
      <c r="N481" s="129"/>
      <c r="O481" s="23"/>
      <c r="P481" s="108"/>
      <c r="Q481" s="196"/>
      <c r="R481" s="23"/>
      <c r="S481" s="36"/>
      <c r="T481" s="23"/>
      <c r="U481" s="36"/>
      <c r="V481" s="36"/>
      <c r="W481" s="23"/>
      <c r="X481" s="23"/>
      <c r="Y481" s="23"/>
    </row>
    <row r="482" spans="1:25" ht="13">
      <c r="A482" s="10"/>
      <c r="B482" s="10"/>
      <c r="C482" s="10"/>
      <c r="D482" s="10"/>
      <c r="E482" s="10"/>
      <c r="F482" s="10"/>
      <c r="G482" s="103"/>
      <c r="H482" s="103"/>
      <c r="I482" s="103"/>
      <c r="J482" s="103"/>
      <c r="K482" s="103"/>
      <c r="L482" s="61"/>
      <c r="M482" s="61"/>
      <c r="N482" s="90"/>
      <c r="O482" s="103"/>
      <c r="P482" s="103"/>
      <c r="Q482" s="10"/>
      <c r="R482" s="103"/>
      <c r="S482" s="10"/>
      <c r="T482" s="103"/>
      <c r="U482" s="10"/>
      <c r="V482" s="10"/>
      <c r="W482" s="103"/>
      <c r="X482" s="103"/>
      <c r="Y482" s="103"/>
    </row>
    <row r="483" spans="1:25" ht="13">
      <c r="A483" s="120"/>
      <c r="B483" s="120"/>
      <c r="C483" s="120"/>
      <c r="D483" s="120"/>
      <c r="E483" s="196"/>
      <c r="F483" s="23"/>
      <c r="G483" s="23"/>
      <c r="H483" s="23"/>
      <c r="I483" s="23"/>
      <c r="J483" s="23"/>
      <c r="K483" s="23"/>
      <c r="L483" s="61"/>
      <c r="M483" s="23"/>
      <c r="N483" s="108"/>
      <c r="O483" s="23"/>
      <c r="P483" s="108"/>
      <c r="Q483" s="196"/>
      <c r="R483" s="23"/>
      <c r="S483" s="23"/>
      <c r="T483" s="23"/>
      <c r="U483" s="23"/>
      <c r="V483" s="23"/>
      <c r="W483" s="23"/>
      <c r="X483" s="23"/>
      <c r="Y483" s="23"/>
    </row>
    <row r="484" spans="1:25" ht="13">
      <c r="A484" s="10"/>
      <c r="B484" s="10"/>
      <c r="C484" s="10"/>
      <c r="D484" s="10"/>
      <c r="E484" s="10"/>
      <c r="F484" s="10"/>
      <c r="G484" s="103"/>
      <c r="H484" s="103"/>
      <c r="I484" s="103"/>
      <c r="J484" s="103"/>
      <c r="K484" s="103"/>
      <c r="L484" s="61"/>
      <c r="M484" s="61"/>
      <c r="N484" s="90"/>
      <c r="O484" s="103"/>
      <c r="P484" s="103"/>
      <c r="Q484" s="10"/>
      <c r="R484" s="103"/>
      <c r="S484" s="10"/>
      <c r="T484" s="103"/>
      <c r="U484" s="10"/>
      <c r="V484" s="10"/>
      <c r="W484" s="113"/>
      <c r="X484" s="103"/>
      <c r="Y484" s="103"/>
    </row>
    <row r="485" spans="1:25" ht="13">
      <c r="A485" s="120"/>
      <c r="B485" s="196"/>
      <c r="C485" s="120"/>
      <c r="D485" s="120"/>
      <c r="E485" s="196"/>
      <c r="F485" s="23"/>
      <c r="G485" s="23"/>
      <c r="H485" s="23"/>
      <c r="I485" s="23"/>
      <c r="J485" s="23"/>
      <c r="K485" s="23"/>
      <c r="L485" s="23"/>
      <c r="M485" s="23"/>
      <c r="N485" s="108"/>
      <c r="O485" s="108"/>
      <c r="P485" s="108"/>
      <c r="Q485" s="196"/>
      <c r="R485" s="23"/>
      <c r="S485" s="23"/>
      <c r="T485" s="23"/>
      <c r="U485" s="23"/>
      <c r="V485" s="23"/>
      <c r="W485" s="23"/>
      <c r="X485" s="23"/>
      <c r="Y485" s="23"/>
    </row>
    <row r="486" spans="1:25" ht="13">
      <c r="A486" s="10"/>
      <c r="B486" s="10"/>
      <c r="C486" s="10"/>
      <c r="D486" s="10"/>
      <c r="E486" s="10"/>
      <c r="F486" s="10"/>
      <c r="G486" s="103"/>
      <c r="H486" s="103"/>
      <c r="I486" s="103"/>
      <c r="J486" s="103"/>
      <c r="K486" s="103"/>
      <c r="N486" s="90"/>
      <c r="O486" s="103"/>
      <c r="P486" s="103"/>
      <c r="Q486" s="10"/>
      <c r="R486" s="103"/>
      <c r="S486" s="10"/>
      <c r="T486" s="103"/>
      <c r="V486" s="10"/>
      <c r="W486" s="103"/>
      <c r="X486" s="103"/>
      <c r="Y486" s="103"/>
    </row>
    <row r="487" spans="1:25" ht="13">
      <c r="A487" s="120"/>
      <c r="B487" s="120"/>
      <c r="C487" s="244"/>
      <c r="D487" s="120"/>
      <c r="E487" s="196"/>
      <c r="F487" s="23"/>
      <c r="G487" s="23"/>
      <c r="H487" s="23"/>
      <c r="I487" s="23"/>
      <c r="J487" s="175"/>
      <c r="K487" s="23"/>
      <c r="L487" s="61"/>
      <c r="M487" s="23"/>
      <c r="N487" s="108"/>
      <c r="O487" s="23"/>
      <c r="P487" s="108"/>
      <c r="Q487" s="196"/>
      <c r="R487" s="23"/>
      <c r="S487" s="23"/>
      <c r="T487" s="23"/>
      <c r="U487" s="23"/>
      <c r="V487" s="120"/>
      <c r="W487" s="23"/>
      <c r="X487" s="23"/>
      <c r="Y487" s="23"/>
    </row>
    <row r="488" spans="1:25" ht="13">
      <c r="A488" s="10"/>
      <c r="B488" s="10"/>
      <c r="C488" s="10"/>
      <c r="D488" s="10"/>
      <c r="E488" s="10"/>
      <c r="F488" s="10"/>
      <c r="G488" s="103"/>
      <c r="H488" s="103"/>
      <c r="I488" s="103"/>
      <c r="J488" s="103"/>
      <c r="K488" s="103"/>
      <c r="L488" s="61"/>
      <c r="M488" s="61"/>
      <c r="N488" s="90"/>
      <c r="O488" s="103"/>
      <c r="P488" s="103"/>
      <c r="Q488" s="10"/>
      <c r="R488" s="103"/>
      <c r="S488" s="10"/>
      <c r="T488" s="103"/>
      <c r="U488" s="10"/>
      <c r="V488" s="92"/>
      <c r="W488" s="103"/>
      <c r="X488" s="103"/>
      <c r="Y488" s="103"/>
    </row>
    <row r="489" spans="1:25" ht="13">
      <c r="A489" s="10"/>
      <c r="B489" s="10"/>
      <c r="C489" s="10"/>
      <c r="D489" s="10"/>
      <c r="E489" s="37"/>
      <c r="F489" s="10"/>
      <c r="G489" s="37"/>
      <c r="H489" s="103"/>
      <c r="I489" s="103"/>
      <c r="J489" s="103"/>
      <c r="K489" s="103"/>
      <c r="L489" s="61"/>
      <c r="M489" s="103"/>
      <c r="N489" s="90"/>
      <c r="O489" s="103"/>
      <c r="P489" s="90"/>
      <c r="Q489" s="10"/>
      <c r="R489" s="103"/>
      <c r="S489" s="10"/>
      <c r="T489" s="103"/>
      <c r="U489" s="103"/>
      <c r="V489" s="10"/>
      <c r="W489" s="103"/>
      <c r="X489" s="23"/>
      <c r="Y489" s="23"/>
    </row>
    <row r="490" spans="1:25" ht="13">
      <c r="A490" s="10"/>
      <c r="B490" s="10"/>
      <c r="C490" s="10"/>
      <c r="D490" s="10"/>
      <c r="E490" s="10"/>
      <c r="F490" s="10"/>
      <c r="G490" s="103"/>
      <c r="H490" s="103"/>
      <c r="I490" s="103"/>
      <c r="J490" s="103"/>
      <c r="K490" s="103"/>
      <c r="M490" s="103"/>
      <c r="N490" s="90"/>
      <c r="O490" s="103"/>
      <c r="P490" s="103"/>
      <c r="Q490" s="10"/>
      <c r="R490" s="103"/>
      <c r="S490" s="10"/>
      <c r="T490" s="103"/>
      <c r="U490" s="10"/>
      <c r="V490" s="10"/>
      <c r="W490" s="103"/>
      <c r="X490" s="103"/>
      <c r="Y490" s="103"/>
    </row>
    <row r="491" spans="1:25" ht="13">
      <c r="A491" s="126"/>
      <c r="B491" s="87"/>
      <c r="C491" s="36"/>
      <c r="D491" s="36"/>
      <c r="E491" s="36"/>
      <c r="F491" s="10"/>
      <c r="G491" s="23"/>
      <c r="H491" s="23"/>
      <c r="I491" s="23"/>
      <c r="J491" s="226"/>
      <c r="K491" s="23"/>
      <c r="L491" s="61"/>
      <c r="M491" s="61"/>
      <c r="N491" s="90"/>
      <c r="O491" s="108"/>
      <c r="P491" s="412"/>
      <c r="Q491" s="196"/>
      <c r="R491" s="103"/>
      <c r="S491" s="10"/>
      <c r="T491" s="103"/>
      <c r="U491" s="103"/>
      <c r="V491" s="10"/>
      <c r="W491" s="23"/>
      <c r="X491" s="23"/>
      <c r="Y491" s="23"/>
    </row>
    <row r="492" spans="1:25" ht="13">
      <c r="A492" s="126"/>
      <c r="B492" s="87"/>
      <c r="C492" s="36"/>
      <c r="D492" s="36"/>
      <c r="E492" s="36"/>
      <c r="F492" s="10"/>
      <c r="G492" s="23"/>
      <c r="H492" s="23"/>
      <c r="I492" s="23"/>
      <c r="J492" s="226"/>
      <c r="K492" s="23"/>
      <c r="L492" s="61"/>
      <c r="M492" s="61"/>
      <c r="N492" s="90"/>
      <c r="O492" s="108"/>
      <c r="P492" s="409"/>
      <c r="Q492" s="196"/>
      <c r="R492" s="83"/>
      <c r="S492" s="10"/>
      <c r="T492" s="103"/>
      <c r="U492" s="103"/>
      <c r="V492" s="10"/>
      <c r="W492" s="23"/>
      <c r="X492" s="23"/>
      <c r="Y492" s="23"/>
    </row>
    <row r="493" spans="1:25" ht="13">
      <c r="A493" s="126"/>
      <c r="B493" s="87"/>
      <c r="C493" s="36"/>
      <c r="D493" s="36"/>
      <c r="E493" s="36"/>
      <c r="F493" s="10"/>
      <c r="G493" s="23"/>
      <c r="H493" s="23"/>
      <c r="I493" s="23"/>
      <c r="J493" s="226"/>
      <c r="K493" s="23"/>
      <c r="L493" s="61"/>
      <c r="M493" s="61"/>
      <c r="N493" s="90"/>
      <c r="O493" s="108"/>
      <c r="P493" s="410"/>
      <c r="Q493" s="196"/>
      <c r="R493" s="83"/>
      <c r="S493" s="10"/>
      <c r="T493" s="103"/>
      <c r="U493" s="103"/>
      <c r="V493" s="10"/>
      <c r="W493" s="23"/>
      <c r="X493" s="23"/>
      <c r="Y493" s="23"/>
    </row>
    <row r="494" spans="1:25" ht="13">
      <c r="A494" s="40"/>
      <c r="B494" s="37"/>
      <c r="C494" s="10"/>
      <c r="D494" s="10"/>
      <c r="E494" s="10"/>
      <c r="F494" s="10"/>
      <c r="G494" s="23"/>
      <c r="H494" s="61"/>
      <c r="I494" s="103"/>
      <c r="J494" s="103"/>
      <c r="K494" s="103"/>
      <c r="L494" s="61"/>
      <c r="M494" s="61"/>
      <c r="N494" s="90"/>
      <c r="O494" s="108"/>
      <c r="P494" s="108"/>
      <c r="Q494" s="10"/>
      <c r="R494" s="83"/>
      <c r="S494" s="10"/>
      <c r="T494" s="103"/>
      <c r="U494" s="10"/>
      <c r="V494" s="10"/>
      <c r="W494" s="61"/>
      <c r="X494" s="103"/>
      <c r="Y494" s="103"/>
    </row>
    <row r="495" spans="1:25" ht="13">
      <c r="A495" s="126"/>
      <c r="B495" s="87"/>
      <c r="C495" s="36"/>
      <c r="D495" s="36"/>
      <c r="E495" s="87"/>
      <c r="F495" s="23"/>
      <c r="G495" s="23"/>
      <c r="H495" s="61"/>
      <c r="I495" s="23"/>
      <c r="J495" s="175"/>
      <c r="K495" s="23"/>
      <c r="L495" s="61"/>
      <c r="M495" s="61"/>
      <c r="N495" s="108"/>
      <c r="O495" s="108"/>
      <c r="P495" s="216"/>
      <c r="Q495" s="196"/>
      <c r="R495" s="113"/>
      <c r="S495" s="36"/>
      <c r="T495" s="23"/>
      <c r="U495" s="23"/>
      <c r="V495" s="36"/>
      <c r="W495" s="61"/>
      <c r="X495" s="23"/>
      <c r="Y495" s="23"/>
    </row>
    <row r="496" spans="1:25" ht="13">
      <c r="A496" s="8"/>
      <c r="B496" s="8"/>
      <c r="C496" s="8"/>
      <c r="D496" s="10"/>
      <c r="E496" s="10"/>
      <c r="F496" s="10"/>
      <c r="G496" s="23"/>
      <c r="H496" s="61"/>
      <c r="I496" s="61"/>
      <c r="J496" s="23"/>
      <c r="K496" s="23"/>
      <c r="L496" s="103"/>
      <c r="M496" s="103"/>
      <c r="N496" s="90"/>
      <c r="O496" s="103"/>
      <c r="P496" s="103"/>
      <c r="Q496" s="10"/>
      <c r="R496" s="103"/>
      <c r="S496" s="10"/>
      <c r="T496" s="103"/>
      <c r="U496" s="10"/>
      <c r="V496" s="10"/>
      <c r="W496" s="61"/>
      <c r="X496" s="61"/>
      <c r="Y496" s="103"/>
    </row>
    <row r="497" spans="1:25" ht="13">
      <c r="A497" s="8"/>
      <c r="B497" s="8"/>
      <c r="C497" s="8"/>
      <c r="D497" s="36"/>
      <c r="E497" s="87"/>
      <c r="F497" s="23"/>
      <c r="G497" s="23"/>
      <c r="H497" s="23"/>
      <c r="I497" s="61"/>
      <c r="J497" s="23"/>
      <c r="K497" s="23"/>
      <c r="L497" s="61"/>
      <c r="M497" s="61"/>
      <c r="N497" s="108"/>
      <c r="O497" s="23"/>
      <c r="P497" s="108"/>
      <c r="Q497" s="196"/>
      <c r="R497" s="113"/>
      <c r="S497" s="36"/>
      <c r="T497" s="23"/>
      <c r="U497" s="23"/>
      <c r="V497" s="36"/>
      <c r="W497" s="61"/>
      <c r="X497" s="23"/>
      <c r="Y497" s="23"/>
    </row>
    <row r="498" spans="1:25" ht="13">
      <c r="A498" s="10"/>
      <c r="B498" s="10"/>
      <c r="C498" s="10"/>
      <c r="D498" s="10"/>
      <c r="E498" s="10"/>
      <c r="F498" s="10"/>
      <c r="G498" s="103"/>
      <c r="H498" s="103"/>
      <c r="I498" s="103"/>
      <c r="J498" s="103"/>
      <c r="K498" s="103"/>
      <c r="L498" s="10"/>
      <c r="M498" s="103"/>
      <c r="N498" s="90"/>
      <c r="O498" s="103"/>
      <c r="P498" s="103"/>
      <c r="Q498" s="10"/>
      <c r="R498" s="103"/>
      <c r="S498" s="10"/>
      <c r="T498" s="103"/>
      <c r="U498" s="103"/>
      <c r="V498" s="10"/>
      <c r="W498" s="103"/>
      <c r="X498" s="103"/>
      <c r="Y498" s="103"/>
    </row>
    <row r="499" spans="1:25" ht="13">
      <c r="A499" s="8"/>
      <c r="B499" s="8"/>
      <c r="C499" s="61"/>
      <c r="D499" s="87"/>
      <c r="E499" s="37"/>
      <c r="F499" s="10"/>
      <c r="G499" s="23"/>
      <c r="H499" s="61"/>
      <c r="I499" s="61"/>
      <c r="J499" s="226"/>
      <c r="K499" s="23"/>
      <c r="L499" s="61"/>
      <c r="M499" s="61"/>
      <c r="N499" s="23"/>
      <c r="O499" s="115"/>
      <c r="P499" s="115"/>
      <c r="Q499" s="37"/>
      <c r="R499" s="23"/>
      <c r="S499" s="10"/>
      <c r="T499" s="103"/>
      <c r="U499" s="23"/>
      <c r="V499" s="10"/>
      <c r="W499" s="61"/>
      <c r="X499" s="61"/>
      <c r="Y499" s="23"/>
    </row>
    <row r="500" spans="1:25" ht="13">
      <c r="A500" s="8"/>
      <c r="B500" s="8"/>
      <c r="C500" s="61"/>
      <c r="D500" s="87"/>
      <c r="E500" s="37"/>
      <c r="F500" s="10"/>
      <c r="G500" s="23"/>
      <c r="H500" s="61"/>
      <c r="I500" s="61"/>
      <c r="J500" s="226"/>
      <c r="K500" s="23"/>
      <c r="L500" s="61"/>
      <c r="M500" s="61"/>
      <c r="N500" s="108"/>
      <c r="O500" s="115"/>
      <c r="P500" s="115"/>
      <c r="Q500" s="37"/>
      <c r="R500" s="23"/>
      <c r="S500" s="10"/>
      <c r="U500" s="23"/>
      <c r="V500" s="10"/>
      <c r="W500" s="61"/>
      <c r="X500" s="61"/>
      <c r="Y500" s="23"/>
    </row>
    <row r="501" spans="1:25" ht="13">
      <c r="A501" s="8"/>
      <c r="B501" s="8"/>
      <c r="C501" s="9"/>
      <c r="D501" s="37"/>
      <c r="E501" s="10"/>
      <c r="F501" s="10"/>
      <c r="G501" s="23"/>
      <c r="H501" s="61"/>
      <c r="I501" s="61"/>
      <c r="J501" s="23"/>
      <c r="K501" s="23"/>
      <c r="L501" s="61"/>
      <c r="M501" s="61"/>
      <c r="N501" s="108"/>
      <c r="O501" s="115"/>
      <c r="P501" s="115"/>
      <c r="Q501" s="10"/>
      <c r="R501" s="103"/>
      <c r="S501" s="10"/>
      <c r="V501" s="10"/>
      <c r="W501" s="61"/>
      <c r="X501" s="61"/>
      <c r="Y501" s="103"/>
    </row>
    <row r="502" spans="1:25" ht="13">
      <c r="A502" s="8"/>
      <c r="B502" s="85"/>
      <c r="C502" s="9"/>
      <c r="D502" s="87"/>
      <c r="E502" s="37"/>
      <c r="F502" s="10"/>
      <c r="G502" s="23"/>
      <c r="H502" s="61"/>
      <c r="I502" s="61"/>
      <c r="J502" s="23"/>
      <c r="K502" s="23"/>
      <c r="L502" s="61"/>
      <c r="M502" s="61"/>
      <c r="N502" s="108"/>
      <c r="O502" s="115"/>
      <c r="P502" s="115"/>
      <c r="Q502" s="196"/>
      <c r="R502" s="103"/>
      <c r="S502" s="10"/>
      <c r="T502" s="103"/>
      <c r="U502" s="103"/>
      <c r="V502" s="10"/>
      <c r="W502" s="61"/>
      <c r="X502" s="23"/>
      <c r="Y502" s="23"/>
    </row>
    <row r="503" spans="1:25" ht="13">
      <c r="A503" s="8"/>
      <c r="B503" s="8"/>
      <c r="C503" s="9"/>
      <c r="D503" s="37"/>
      <c r="E503" s="10"/>
      <c r="F503" s="10"/>
      <c r="G503" s="23"/>
      <c r="H503" s="61"/>
      <c r="I503" s="61"/>
      <c r="J503" s="23"/>
      <c r="K503" s="23"/>
      <c r="L503" s="61"/>
      <c r="M503" s="61"/>
      <c r="N503" s="108"/>
      <c r="O503" s="115"/>
      <c r="P503" s="115"/>
      <c r="Q503" s="10"/>
      <c r="R503" s="103"/>
      <c r="S503" s="10"/>
      <c r="T503" s="103"/>
      <c r="U503" s="10"/>
      <c r="V503" s="10"/>
      <c r="W503" s="61"/>
      <c r="X503" s="61"/>
      <c r="Y503" s="103"/>
    </row>
    <row r="504" spans="1:25" ht="13">
      <c r="A504" s="8"/>
      <c r="B504" s="8"/>
      <c r="C504" s="9"/>
      <c r="D504" s="37"/>
      <c r="E504" s="10"/>
      <c r="F504" s="10"/>
      <c r="G504" s="10"/>
      <c r="H504" s="61"/>
      <c r="I504" s="61"/>
      <c r="J504" s="23"/>
      <c r="K504" s="23"/>
      <c r="L504" s="61"/>
      <c r="M504" s="61"/>
      <c r="N504" s="108"/>
      <c r="O504" s="115"/>
      <c r="P504" s="115"/>
      <c r="Q504" s="10"/>
      <c r="R504" s="103"/>
      <c r="S504" s="10"/>
      <c r="T504" s="103"/>
      <c r="U504" s="103"/>
      <c r="V504" s="10"/>
      <c r="W504" s="61"/>
      <c r="X504" s="61"/>
      <c r="Y504" s="103"/>
    </row>
    <row r="505" spans="1:25" ht="13">
      <c r="A505" s="8"/>
      <c r="B505" s="8"/>
      <c r="C505" s="9"/>
      <c r="D505" s="37"/>
      <c r="E505" s="10"/>
      <c r="F505" s="10"/>
      <c r="G505" s="23"/>
      <c r="H505" s="61"/>
      <c r="I505" s="61"/>
      <c r="J505" s="23"/>
      <c r="K505" s="23"/>
      <c r="L505" s="61"/>
      <c r="M505" s="61"/>
      <c r="N505" s="108"/>
      <c r="O505" s="115"/>
      <c r="P505" s="115"/>
      <c r="Q505" s="10"/>
      <c r="R505" s="103"/>
      <c r="S505" s="10"/>
      <c r="T505" s="103"/>
      <c r="U505" s="103"/>
      <c r="V505" s="10"/>
      <c r="W505" s="61"/>
      <c r="X505" s="61"/>
      <c r="Y505" s="103"/>
    </row>
    <row r="506" spans="1:25" ht="13">
      <c r="A506" s="40"/>
      <c r="B506" s="10"/>
      <c r="C506" s="10"/>
      <c r="D506" s="10"/>
      <c r="E506" s="10"/>
      <c r="F506" s="10"/>
      <c r="G506" s="103"/>
      <c r="H506" s="103"/>
      <c r="I506" s="103"/>
      <c r="J506" s="103"/>
      <c r="K506" s="103"/>
      <c r="L506" s="61"/>
      <c r="M506" s="61"/>
      <c r="N506" s="90"/>
      <c r="O506" s="103"/>
      <c r="P506" s="103"/>
      <c r="Q506" s="10"/>
      <c r="R506" s="103"/>
      <c r="S506" s="10"/>
      <c r="T506" s="103"/>
      <c r="U506" s="10"/>
      <c r="V506" s="10"/>
      <c r="W506" s="103"/>
      <c r="X506" s="103"/>
      <c r="Y506" s="103"/>
    </row>
    <row r="507" spans="1:25" ht="13">
      <c r="A507" s="40"/>
      <c r="B507" s="10"/>
      <c r="C507" s="10"/>
      <c r="D507" s="10"/>
      <c r="E507" s="10"/>
      <c r="F507" s="10"/>
      <c r="G507" s="103"/>
      <c r="H507" s="103"/>
      <c r="I507" s="103"/>
      <c r="J507" s="103"/>
      <c r="K507" s="103"/>
      <c r="L507" s="61"/>
      <c r="M507" s="61"/>
      <c r="N507" s="90"/>
      <c r="O507" s="103"/>
      <c r="P507" s="103"/>
      <c r="Q507" s="10"/>
      <c r="R507" s="103"/>
      <c r="S507" s="10"/>
      <c r="T507" s="103"/>
      <c r="U507" s="10"/>
      <c r="V507" s="103"/>
      <c r="W507" s="103"/>
      <c r="X507" s="103"/>
      <c r="Y507" s="103"/>
    </row>
    <row r="508" spans="1:25" ht="13">
      <c r="A508" s="40"/>
      <c r="B508" s="10"/>
      <c r="C508" s="10"/>
      <c r="D508" s="10"/>
      <c r="E508" s="10"/>
      <c r="F508" s="10"/>
      <c r="G508" s="103"/>
      <c r="H508" s="103"/>
      <c r="I508" s="103"/>
      <c r="J508" s="165"/>
      <c r="K508" s="103"/>
      <c r="L508" s="61"/>
      <c r="M508" s="61"/>
      <c r="N508" s="90"/>
      <c r="O508" s="103"/>
      <c r="P508" s="90"/>
      <c r="Q508" s="196"/>
      <c r="R508" s="103"/>
      <c r="S508" s="10"/>
      <c r="T508" s="103"/>
      <c r="U508" s="10"/>
      <c r="V508" s="10"/>
      <c r="W508" s="103"/>
      <c r="X508" s="103"/>
      <c r="Y508" s="103"/>
    </row>
    <row r="509" spans="1:25" ht="13">
      <c r="A509" s="40"/>
      <c r="B509" s="10"/>
      <c r="C509" s="10"/>
      <c r="D509" s="10"/>
      <c r="E509" s="10"/>
      <c r="F509" s="10"/>
      <c r="G509" s="103"/>
      <c r="H509" s="103"/>
      <c r="I509" s="103"/>
      <c r="J509" s="165"/>
      <c r="K509" s="103"/>
      <c r="L509" s="61"/>
      <c r="M509" s="61"/>
      <c r="N509" s="90"/>
      <c r="O509" s="90"/>
      <c r="P509" s="90"/>
      <c r="Q509" s="196"/>
      <c r="R509" s="103"/>
      <c r="S509" s="10"/>
      <c r="T509" s="103"/>
      <c r="U509" s="10"/>
      <c r="V509" s="10"/>
      <c r="W509" s="103"/>
      <c r="X509" s="103"/>
      <c r="Y509" s="103"/>
    </row>
    <row r="510" spans="1:25" ht="13">
      <c r="A510" s="40"/>
      <c r="B510" s="10"/>
      <c r="C510" s="10"/>
      <c r="D510" s="10"/>
      <c r="E510" s="10"/>
      <c r="F510" s="10"/>
      <c r="G510" s="103"/>
      <c r="H510" s="103"/>
      <c r="I510" s="103"/>
      <c r="J510" s="165"/>
      <c r="K510" s="103"/>
      <c r="L510" s="61"/>
      <c r="M510" s="61"/>
      <c r="N510" s="90"/>
      <c r="O510" s="103"/>
      <c r="P510" s="90"/>
      <c r="Q510" s="196"/>
      <c r="R510" s="103"/>
      <c r="S510" s="10"/>
      <c r="T510" s="103"/>
      <c r="U510" s="103"/>
      <c r="V510" s="10"/>
      <c r="W510" s="103"/>
      <c r="X510" s="103"/>
      <c r="Y510" s="103"/>
    </row>
    <row r="511" spans="1:25" ht="13">
      <c r="A511" s="40"/>
      <c r="B511" s="10"/>
      <c r="C511" s="10"/>
      <c r="D511" s="10"/>
      <c r="E511" s="85"/>
      <c r="F511" s="8"/>
      <c r="G511" s="103"/>
      <c r="H511" s="103"/>
      <c r="I511" s="103"/>
      <c r="J511" s="165"/>
      <c r="K511" s="103"/>
      <c r="L511" s="61"/>
      <c r="M511" s="61"/>
      <c r="N511" s="90"/>
      <c r="O511" s="103"/>
      <c r="P511" s="90"/>
      <c r="Q511" s="196"/>
      <c r="R511" s="103"/>
      <c r="S511" s="10"/>
      <c r="T511" s="103"/>
      <c r="U511" s="10"/>
      <c r="V511" s="103"/>
      <c r="W511" s="103"/>
      <c r="X511" s="103"/>
      <c r="Y511" s="103"/>
    </row>
    <row r="512" spans="1:25" ht="13">
      <c r="A512" s="40"/>
      <c r="B512" s="10"/>
      <c r="C512" s="10"/>
      <c r="D512" s="10"/>
      <c r="E512" s="85"/>
      <c r="F512" s="8"/>
      <c r="G512" s="103"/>
      <c r="H512" s="103"/>
      <c r="I512" s="103"/>
      <c r="J512" s="165"/>
      <c r="K512" s="103"/>
      <c r="L512" s="61"/>
      <c r="M512" s="61"/>
      <c r="N512" s="90"/>
      <c r="O512" s="103"/>
      <c r="P512" s="90"/>
      <c r="Q512" s="196"/>
      <c r="R512" s="103"/>
      <c r="S512" s="10"/>
      <c r="T512" s="103"/>
      <c r="U512" s="103"/>
      <c r="V512" s="103"/>
      <c r="W512" s="103"/>
      <c r="X512" s="103"/>
      <c r="Y512" s="103"/>
    </row>
    <row r="513" spans="1:25" ht="13">
      <c r="A513" s="40"/>
      <c r="B513" s="10"/>
      <c r="C513" s="10"/>
      <c r="D513" s="10"/>
      <c r="E513" s="85"/>
      <c r="F513" s="8"/>
      <c r="G513" s="103"/>
      <c r="H513" s="103"/>
      <c r="I513" s="103"/>
      <c r="J513" s="165"/>
      <c r="K513" s="103"/>
      <c r="L513" s="61"/>
      <c r="M513" s="61"/>
      <c r="N513" s="90"/>
      <c r="O513" s="108"/>
      <c r="P513" s="90"/>
      <c r="Q513" s="196"/>
      <c r="R513" s="103"/>
      <c r="S513" s="10"/>
      <c r="T513" s="103"/>
      <c r="U513" s="10"/>
      <c r="V513" s="103"/>
      <c r="W513" s="103"/>
      <c r="X513" s="103"/>
      <c r="Y513" s="103"/>
    </row>
    <row r="514" spans="1:25" ht="13">
      <c r="A514" s="65"/>
      <c r="B514" s="8"/>
      <c r="C514" s="8"/>
      <c r="D514" s="10"/>
      <c r="E514" s="8"/>
      <c r="F514" s="8"/>
      <c r="G514" s="23"/>
      <c r="H514" s="61"/>
      <c r="I514" s="103"/>
      <c r="J514" s="103"/>
      <c r="K514" s="103"/>
      <c r="L514" s="61"/>
      <c r="M514" s="61"/>
      <c r="N514" s="90"/>
      <c r="O514" s="108"/>
      <c r="P514" s="108"/>
      <c r="Q514" s="10"/>
      <c r="R514" s="103"/>
      <c r="S514" s="10"/>
      <c r="T514" s="103"/>
      <c r="U514" s="10"/>
      <c r="V514" s="103"/>
      <c r="W514" s="61"/>
      <c r="X514" s="61"/>
      <c r="Y514" s="83"/>
    </row>
    <row r="515" spans="1:25" ht="13">
      <c r="A515" s="65"/>
      <c r="B515" s="8"/>
      <c r="C515" s="8"/>
      <c r="D515" s="10"/>
      <c r="E515" s="10"/>
      <c r="F515" s="8"/>
      <c r="G515" s="23"/>
      <c r="H515" s="61"/>
      <c r="I515" s="103"/>
      <c r="J515" s="103"/>
      <c r="K515" s="103"/>
      <c r="L515" s="61"/>
      <c r="M515" s="61"/>
      <c r="N515" s="90"/>
      <c r="O515" s="108"/>
      <c r="P515" s="108"/>
      <c r="Q515" s="196"/>
      <c r="R515" s="103"/>
      <c r="S515" s="10"/>
      <c r="T515" s="103"/>
      <c r="U515" s="10"/>
      <c r="V515" s="103"/>
      <c r="W515" s="61"/>
      <c r="X515" s="61"/>
      <c r="Y515" s="83"/>
    </row>
    <row r="516" spans="1:25" ht="13">
      <c r="A516" s="65"/>
      <c r="B516" s="8"/>
      <c r="C516" s="8"/>
      <c r="D516" s="10"/>
      <c r="E516" s="10"/>
      <c r="F516" s="8"/>
      <c r="G516" s="23"/>
      <c r="H516" s="61"/>
      <c r="I516" s="103"/>
      <c r="J516" s="103"/>
      <c r="K516" s="103"/>
      <c r="L516" s="61"/>
      <c r="M516" s="61"/>
      <c r="N516" s="90"/>
      <c r="O516" s="108"/>
      <c r="P516" s="108"/>
      <c r="Q516" s="196"/>
      <c r="R516" s="103"/>
      <c r="S516" s="10"/>
      <c r="T516" s="103"/>
      <c r="U516" s="10"/>
      <c r="V516" s="103"/>
      <c r="W516" s="61"/>
      <c r="X516" s="61"/>
      <c r="Y516" s="83"/>
    </row>
    <row r="517" spans="1:25" ht="13">
      <c r="A517" s="65"/>
      <c r="B517" s="8"/>
      <c r="C517" s="8"/>
      <c r="D517" s="10"/>
      <c r="E517" s="10"/>
      <c r="F517" s="10"/>
      <c r="G517" s="10"/>
      <c r="H517" s="10"/>
      <c r="I517" s="103"/>
      <c r="J517" s="103"/>
      <c r="K517" s="103"/>
      <c r="L517" s="103"/>
      <c r="M517" s="103"/>
      <c r="N517" s="90"/>
      <c r="O517" s="103"/>
      <c r="P517" s="90"/>
      <c r="Q517" s="196"/>
      <c r="R517" s="103"/>
      <c r="S517" s="10"/>
      <c r="T517" s="103"/>
      <c r="U517" s="103"/>
      <c r="V517" s="103"/>
      <c r="W517" s="103"/>
      <c r="X517" s="103"/>
      <c r="Y517" s="103"/>
    </row>
    <row r="518" spans="1:25" ht="13">
      <c r="A518" s="65"/>
      <c r="B518" s="8"/>
      <c r="C518" s="8"/>
      <c r="D518" s="10"/>
      <c r="E518" s="8"/>
      <c r="F518" s="10"/>
      <c r="G518" s="23"/>
      <c r="H518" s="23"/>
      <c r="I518" s="103"/>
      <c r="J518" s="103"/>
      <c r="K518" s="103"/>
      <c r="L518" s="61"/>
      <c r="M518" s="61"/>
      <c r="N518" s="117"/>
      <c r="O518" s="117"/>
      <c r="P518" s="90"/>
      <c r="Q518" s="196"/>
      <c r="R518" s="103"/>
      <c r="S518" s="10"/>
      <c r="T518" s="5"/>
      <c r="U518" s="10"/>
      <c r="V518" s="103"/>
      <c r="W518" s="61"/>
      <c r="X518" s="61"/>
      <c r="Y518" s="103"/>
    </row>
    <row r="519" spans="1:25" ht="13">
      <c r="A519" s="65"/>
      <c r="B519" s="8"/>
      <c r="C519" s="8"/>
      <c r="D519" s="10"/>
      <c r="E519" s="10"/>
      <c r="F519" s="10"/>
      <c r="G519" s="23"/>
      <c r="H519" s="23"/>
      <c r="I519" s="103"/>
      <c r="J519" s="103"/>
      <c r="K519" s="103"/>
      <c r="L519" s="61"/>
      <c r="M519" s="61"/>
      <c r="N519" s="90"/>
      <c r="O519" s="90"/>
      <c r="P519" s="90"/>
      <c r="Q519" s="196"/>
      <c r="R519" s="103"/>
      <c r="S519" s="10"/>
      <c r="T519" s="103"/>
      <c r="U519" s="10"/>
      <c r="V519" s="103"/>
      <c r="W519" s="61"/>
      <c r="X519" s="61"/>
      <c r="Y519" s="103"/>
    </row>
    <row r="520" spans="1:25" ht="13">
      <c r="A520" s="65"/>
      <c r="B520" s="8"/>
      <c r="C520" s="8"/>
      <c r="D520" s="10"/>
      <c r="E520" s="10"/>
      <c r="F520" s="10"/>
      <c r="G520" s="23"/>
      <c r="H520" s="23"/>
      <c r="I520" s="103"/>
      <c r="J520" s="103"/>
      <c r="K520" s="103"/>
      <c r="L520" s="61"/>
      <c r="M520" s="61"/>
      <c r="N520" s="90"/>
      <c r="O520" s="108"/>
      <c r="P520" s="90"/>
      <c r="Q520" s="196"/>
      <c r="R520" s="103"/>
      <c r="S520" s="10"/>
      <c r="T520" s="103"/>
      <c r="U520" s="10"/>
      <c r="V520" s="103"/>
      <c r="W520" s="61"/>
      <c r="X520" s="61"/>
      <c r="Y520" s="83"/>
    </row>
    <row r="521" spans="1:25" ht="13">
      <c r="A521" s="65"/>
      <c r="B521" s="8"/>
      <c r="C521" s="8"/>
      <c r="D521" s="10"/>
      <c r="E521" s="37"/>
      <c r="F521" s="10"/>
      <c r="G521" s="23"/>
      <c r="H521" s="23"/>
      <c r="I521" s="103"/>
      <c r="J521" s="103"/>
      <c r="K521" s="103"/>
      <c r="L521" s="61"/>
      <c r="M521" s="61"/>
      <c r="N521" s="90"/>
      <c r="O521" s="108"/>
      <c r="P521" s="90"/>
      <c r="Q521" s="196"/>
      <c r="R521" s="103"/>
      <c r="S521" s="10"/>
      <c r="T521" s="103"/>
      <c r="U521" s="10"/>
      <c r="V521" s="103"/>
      <c r="W521" s="61"/>
      <c r="X521" s="61"/>
      <c r="Y521" s="83"/>
    </row>
    <row r="522" spans="1:25" ht="13">
      <c r="A522" s="65"/>
      <c r="B522" s="8"/>
      <c r="C522" s="8"/>
      <c r="D522" s="10"/>
      <c r="E522" s="10"/>
      <c r="F522" s="10"/>
      <c r="G522" s="23"/>
      <c r="H522" s="23"/>
      <c r="I522" s="103"/>
      <c r="J522" s="103"/>
      <c r="K522" s="103"/>
      <c r="L522" s="61"/>
      <c r="M522" s="61"/>
      <c r="N522" s="90"/>
      <c r="O522" s="108"/>
      <c r="P522" s="90"/>
      <c r="Q522" s="196"/>
      <c r="R522" s="103"/>
      <c r="S522" s="10"/>
      <c r="T522" s="103"/>
      <c r="U522" s="10"/>
      <c r="V522" s="103"/>
      <c r="W522" s="61"/>
      <c r="X522" s="61"/>
      <c r="Y522" s="83"/>
    </row>
    <row r="523" spans="1:25" ht="13">
      <c r="A523" s="65"/>
      <c r="B523" s="8"/>
      <c r="C523" s="8"/>
      <c r="D523" s="10"/>
      <c r="E523" s="10"/>
      <c r="F523" s="10"/>
      <c r="G523" s="23"/>
      <c r="H523" s="23"/>
      <c r="I523" s="103"/>
      <c r="J523" s="103"/>
      <c r="K523" s="103"/>
      <c r="L523" s="61"/>
      <c r="M523" s="61"/>
      <c r="N523" s="90"/>
      <c r="O523" s="108"/>
      <c r="P523" s="90"/>
      <c r="Q523" s="196"/>
      <c r="R523" s="103"/>
      <c r="S523" s="10"/>
      <c r="T523" s="103"/>
      <c r="U523" s="10"/>
      <c r="V523" s="103"/>
      <c r="W523" s="61"/>
      <c r="X523" s="61"/>
      <c r="Y523" s="83"/>
    </row>
    <row r="524" spans="1:25" ht="13">
      <c r="A524" s="65"/>
      <c r="B524" s="8"/>
      <c r="C524" s="8"/>
      <c r="D524" s="10"/>
      <c r="E524" s="10"/>
      <c r="F524" s="10"/>
      <c r="G524" s="23"/>
      <c r="H524" s="23"/>
      <c r="I524" s="103"/>
      <c r="J524" s="103"/>
      <c r="K524" s="103"/>
      <c r="L524" s="61"/>
      <c r="M524" s="61"/>
      <c r="N524" s="90"/>
      <c r="O524" s="90"/>
      <c r="P524" s="90"/>
      <c r="Q524" s="196"/>
      <c r="R524" s="103"/>
      <c r="S524" s="10"/>
      <c r="T524" s="103"/>
      <c r="U524" s="103"/>
      <c r="V524" s="103"/>
      <c r="W524" s="61"/>
      <c r="X524" s="61"/>
      <c r="Y524" s="103"/>
    </row>
    <row r="525" spans="1:25" ht="13">
      <c r="A525" s="65"/>
      <c r="B525" s="8"/>
      <c r="C525" s="8"/>
      <c r="D525" s="10"/>
      <c r="E525" s="37"/>
      <c r="F525" s="10"/>
      <c r="G525" s="10"/>
      <c r="H525" s="10"/>
      <c r="I525" s="103"/>
      <c r="J525" s="103"/>
      <c r="K525" s="103"/>
      <c r="L525" s="103"/>
      <c r="M525" s="103"/>
      <c r="N525" s="90"/>
      <c r="O525" s="103"/>
      <c r="P525" s="90"/>
      <c r="Q525" s="196"/>
      <c r="R525" s="103"/>
      <c r="S525" s="10"/>
      <c r="T525" s="103"/>
      <c r="U525" s="103"/>
      <c r="V525" s="103"/>
      <c r="W525" s="103"/>
      <c r="X525" s="103"/>
      <c r="Y525" s="103"/>
    </row>
    <row r="526" spans="1:25" ht="13">
      <c r="A526" s="65"/>
      <c r="B526" s="8"/>
      <c r="C526" s="8"/>
      <c r="D526" s="10"/>
      <c r="E526" s="10"/>
      <c r="F526" s="10"/>
      <c r="G526" s="103"/>
      <c r="H526" s="103"/>
      <c r="I526" s="103"/>
      <c r="J526" s="103"/>
      <c r="K526" s="103"/>
      <c r="L526" s="61"/>
      <c r="M526" s="61"/>
      <c r="N526" s="90"/>
      <c r="O526" s="117"/>
      <c r="P526" s="90"/>
      <c r="Q526" s="196"/>
      <c r="R526" s="37"/>
      <c r="S526" s="10"/>
      <c r="T526" s="10"/>
      <c r="U526" s="10"/>
      <c r="V526" s="10"/>
      <c r="W526" s="103"/>
      <c r="X526" s="103"/>
      <c r="Y526" s="103"/>
    </row>
    <row r="527" spans="1:25" ht="13">
      <c r="A527" s="65"/>
      <c r="B527" s="8"/>
      <c r="C527" s="8"/>
      <c r="D527" s="10"/>
      <c r="E527" s="10"/>
      <c r="F527" s="10"/>
      <c r="G527" s="103"/>
      <c r="H527" s="103"/>
      <c r="I527" s="103"/>
      <c r="J527" s="103"/>
      <c r="K527" s="103"/>
      <c r="L527" s="61"/>
      <c r="M527" s="61"/>
      <c r="N527" s="90"/>
      <c r="O527" s="90"/>
      <c r="P527" s="90"/>
      <c r="Q527" s="196"/>
      <c r="R527" s="37"/>
      <c r="S527" s="10"/>
      <c r="T527" s="10"/>
      <c r="U527" s="10"/>
      <c r="V527" s="10"/>
      <c r="W527" s="103"/>
      <c r="X527" s="103"/>
      <c r="Y527" s="103"/>
    </row>
    <row r="528" spans="1:25" ht="13">
      <c r="A528" s="65"/>
      <c r="B528" s="8"/>
      <c r="C528" s="8"/>
      <c r="D528" s="10"/>
      <c r="E528" s="10"/>
      <c r="F528" s="10"/>
      <c r="G528" s="103"/>
      <c r="H528" s="103"/>
      <c r="I528" s="103"/>
      <c r="J528" s="103"/>
      <c r="K528" s="103"/>
      <c r="L528" s="61"/>
      <c r="M528" s="61"/>
      <c r="N528" s="215"/>
      <c r="O528" s="259"/>
      <c r="P528" s="90"/>
      <c r="Q528" s="196"/>
      <c r="R528" s="37"/>
      <c r="S528" s="10"/>
      <c r="T528" s="10"/>
      <c r="U528" s="10"/>
      <c r="V528" s="10"/>
      <c r="W528" s="103"/>
      <c r="X528" s="103"/>
      <c r="Y528" s="103"/>
    </row>
    <row r="529" spans="1:25" ht="13">
      <c r="A529" s="65"/>
      <c r="B529" s="8"/>
      <c r="C529" s="8"/>
      <c r="D529" s="10"/>
      <c r="E529" s="37"/>
      <c r="F529" s="10"/>
      <c r="G529" s="103"/>
      <c r="H529" s="103"/>
      <c r="I529" s="103"/>
      <c r="J529" s="103"/>
      <c r="K529" s="103"/>
      <c r="L529" s="61"/>
      <c r="M529" s="61"/>
      <c r="N529" s="215"/>
      <c r="O529" s="90"/>
      <c r="P529" s="90"/>
      <c r="Q529" s="196"/>
      <c r="R529" s="37"/>
      <c r="S529" s="10"/>
      <c r="T529" s="10"/>
      <c r="U529" s="10"/>
      <c r="V529" s="10"/>
      <c r="W529" s="103"/>
      <c r="X529" s="103"/>
      <c r="Y529" s="103"/>
    </row>
    <row r="530" spans="1:25" ht="13">
      <c r="A530" s="65"/>
      <c r="B530" s="8"/>
      <c r="C530" s="8"/>
      <c r="D530" s="10"/>
      <c r="E530" s="37"/>
      <c r="F530" s="10"/>
      <c r="G530" s="103"/>
      <c r="H530" s="103"/>
      <c r="I530" s="103"/>
      <c r="J530" s="103"/>
      <c r="K530" s="103"/>
      <c r="L530" s="61"/>
      <c r="M530" s="61"/>
      <c r="N530" s="215"/>
      <c r="O530" s="90"/>
      <c r="P530" s="90"/>
      <c r="Q530" s="196"/>
      <c r="R530" s="37"/>
      <c r="S530" s="10"/>
      <c r="T530" s="10"/>
      <c r="U530" s="10"/>
      <c r="V530" s="10"/>
      <c r="W530" s="103"/>
      <c r="X530" s="103"/>
      <c r="Y530" s="103"/>
    </row>
    <row r="531" spans="1:25" ht="13">
      <c r="A531" s="65"/>
      <c r="B531" s="8"/>
      <c r="C531" s="8"/>
      <c r="D531" s="10"/>
      <c r="E531" s="37"/>
      <c r="F531" s="10"/>
      <c r="G531" s="103"/>
      <c r="H531" s="103"/>
      <c r="I531" s="103"/>
      <c r="J531" s="103"/>
      <c r="K531" s="103"/>
      <c r="L531" s="61"/>
      <c r="M531" s="61"/>
      <c r="N531" s="90"/>
      <c r="O531" s="90"/>
      <c r="P531" s="90"/>
      <c r="Q531" s="196"/>
      <c r="R531" s="37"/>
      <c r="S531" s="10"/>
      <c r="T531" s="10"/>
      <c r="U531" s="10"/>
      <c r="V531" s="10"/>
      <c r="W531" s="103"/>
      <c r="X531" s="103"/>
      <c r="Y531" s="103"/>
    </row>
    <row r="532" spans="1:25" ht="13">
      <c r="A532" s="65"/>
      <c r="B532" s="8"/>
      <c r="C532" s="8"/>
      <c r="D532" s="10"/>
      <c r="E532" s="37"/>
      <c r="F532" s="10"/>
      <c r="G532" s="103"/>
      <c r="H532" s="103"/>
      <c r="I532" s="103"/>
      <c r="J532" s="103"/>
      <c r="K532" s="103"/>
      <c r="L532" s="61"/>
      <c r="M532" s="61"/>
      <c r="N532" s="90"/>
      <c r="O532" s="90"/>
      <c r="P532" s="90"/>
      <c r="Q532" s="196"/>
      <c r="R532" s="37"/>
      <c r="S532" s="10"/>
      <c r="T532" s="10"/>
      <c r="U532" s="10"/>
      <c r="V532" s="10"/>
      <c r="W532" s="103"/>
      <c r="X532" s="103"/>
      <c r="Y532" s="103"/>
    </row>
    <row r="533" spans="1:25" ht="13">
      <c r="A533" s="65"/>
      <c r="B533" s="8"/>
      <c r="C533" s="8"/>
      <c r="D533" s="10"/>
      <c r="E533" s="85"/>
      <c r="F533" s="10"/>
      <c r="G533" s="103"/>
      <c r="H533" s="103"/>
      <c r="I533" s="103"/>
      <c r="J533" s="103"/>
      <c r="K533" s="103"/>
      <c r="L533" s="61"/>
      <c r="M533" s="61"/>
      <c r="N533" s="90"/>
      <c r="O533" s="90"/>
      <c r="P533" s="90"/>
      <c r="Q533" s="196"/>
      <c r="R533" s="37"/>
      <c r="S533" s="10"/>
      <c r="T533" s="10"/>
      <c r="U533" s="10"/>
      <c r="V533" s="10"/>
      <c r="W533" s="103"/>
      <c r="X533" s="103"/>
      <c r="Y533" s="103"/>
    </row>
    <row r="534" spans="1:25" ht="13">
      <c r="A534" s="10"/>
      <c r="B534" s="10"/>
      <c r="C534" s="10"/>
      <c r="D534" s="10"/>
      <c r="E534" s="10"/>
      <c r="F534" s="10"/>
      <c r="G534" s="103"/>
      <c r="H534" s="103"/>
      <c r="I534" s="103"/>
      <c r="J534" s="103"/>
      <c r="K534" s="103"/>
      <c r="L534" s="61"/>
      <c r="M534" s="61"/>
      <c r="N534" s="10"/>
      <c r="O534" s="90"/>
      <c r="P534" s="90"/>
      <c r="R534" s="37"/>
      <c r="S534" s="10"/>
      <c r="T534" s="10"/>
      <c r="U534" s="10"/>
      <c r="V534" s="10"/>
      <c r="W534" s="103"/>
      <c r="X534" s="103"/>
      <c r="Y534" s="103"/>
    </row>
    <row r="535" spans="1:25" ht="13">
      <c r="A535" s="10"/>
      <c r="B535" s="10"/>
      <c r="C535" s="10"/>
      <c r="D535" s="10"/>
      <c r="E535" s="10"/>
      <c r="F535" s="10"/>
      <c r="G535" s="103"/>
      <c r="H535" s="103"/>
      <c r="I535" s="103"/>
      <c r="J535" s="103"/>
      <c r="K535" s="103"/>
      <c r="L535" s="61"/>
      <c r="M535" s="61"/>
      <c r="N535" s="10"/>
      <c r="O535" s="90"/>
      <c r="P535" s="90"/>
      <c r="R535" s="37"/>
      <c r="S535" s="10"/>
      <c r="T535" s="10"/>
      <c r="U535" s="10"/>
      <c r="V535" s="10"/>
      <c r="W535" s="103"/>
      <c r="X535" s="103"/>
      <c r="Y535" s="103"/>
    </row>
    <row r="536" spans="1:25" ht="13">
      <c r="A536" s="10"/>
      <c r="B536" s="10"/>
      <c r="C536" s="10"/>
      <c r="D536" s="10"/>
      <c r="E536" s="10"/>
      <c r="F536" s="10"/>
      <c r="G536" s="103"/>
      <c r="H536" s="103"/>
      <c r="I536" s="103"/>
      <c r="J536" s="103"/>
      <c r="K536" s="103"/>
      <c r="L536" s="61"/>
      <c r="M536" s="61"/>
      <c r="N536" s="10"/>
      <c r="O536" s="90"/>
      <c r="P536" s="90"/>
      <c r="R536" s="37"/>
      <c r="S536" s="10"/>
      <c r="T536" s="10"/>
      <c r="U536" s="10"/>
      <c r="V536" s="10"/>
      <c r="W536" s="103"/>
      <c r="X536" s="103"/>
      <c r="Y536" s="103"/>
    </row>
    <row r="537" spans="1:25" ht="13">
      <c r="A537" s="10"/>
      <c r="B537" s="10"/>
      <c r="C537" s="10"/>
      <c r="D537" s="10"/>
      <c r="E537" s="10"/>
      <c r="F537" s="10"/>
      <c r="G537" s="103"/>
      <c r="H537" s="103"/>
      <c r="I537" s="103"/>
      <c r="J537" s="103"/>
      <c r="K537" s="103"/>
      <c r="L537" s="61"/>
      <c r="M537" s="61"/>
      <c r="N537" s="10"/>
      <c r="O537" s="90"/>
      <c r="P537" s="90"/>
      <c r="R537" s="37"/>
      <c r="S537" s="10"/>
      <c r="T537" s="10"/>
      <c r="U537" s="10"/>
      <c r="V537" s="10"/>
      <c r="W537" s="103"/>
      <c r="X537" s="103"/>
      <c r="Y537" s="103"/>
    </row>
    <row r="538" spans="1:25" ht="13">
      <c r="A538" s="10"/>
      <c r="B538" s="10"/>
      <c r="C538" s="10"/>
      <c r="D538" s="10"/>
      <c r="E538" s="10"/>
      <c r="F538" s="10"/>
      <c r="G538" s="103"/>
      <c r="H538" s="103"/>
      <c r="I538" s="103"/>
      <c r="J538" s="103"/>
      <c r="K538" s="103"/>
      <c r="L538" s="61"/>
      <c r="M538" s="61"/>
      <c r="N538" s="90"/>
      <c r="O538" s="215"/>
      <c r="P538" s="215"/>
      <c r="R538" s="83"/>
      <c r="S538" s="10"/>
      <c r="T538" s="10"/>
      <c r="U538" s="10"/>
      <c r="V538" s="10"/>
      <c r="W538" s="103"/>
      <c r="X538" s="103"/>
      <c r="Y538" s="103"/>
    </row>
    <row r="539" spans="1:25" ht="13">
      <c r="A539" s="10"/>
      <c r="B539" s="10"/>
      <c r="C539" s="10"/>
      <c r="D539" s="10"/>
      <c r="E539" s="10"/>
      <c r="F539" s="10"/>
      <c r="G539" s="103"/>
      <c r="H539" s="103"/>
      <c r="I539" s="103"/>
      <c r="J539" s="103"/>
      <c r="K539" s="103"/>
      <c r="L539" s="61"/>
      <c r="M539" s="61"/>
      <c r="N539" s="90"/>
      <c r="O539" s="90"/>
      <c r="P539" s="90"/>
      <c r="R539" s="83"/>
      <c r="S539" s="10"/>
      <c r="T539" s="10"/>
      <c r="U539" s="10"/>
      <c r="V539" s="10"/>
      <c r="W539" s="103"/>
      <c r="X539" s="103"/>
      <c r="Y539" s="103"/>
    </row>
    <row r="540" spans="1:25" ht="13">
      <c r="A540" s="10"/>
      <c r="B540" s="10"/>
      <c r="C540" s="10"/>
      <c r="D540" s="10"/>
      <c r="E540" s="10"/>
      <c r="F540" s="10"/>
      <c r="G540" s="103"/>
      <c r="H540" s="103"/>
      <c r="I540" s="103"/>
      <c r="J540" s="103"/>
      <c r="K540" s="103"/>
      <c r="L540" s="61"/>
      <c r="M540" s="61"/>
      <c r="N540" s="90"/>
      <c r="O540" s="90"/>
      <c r="P540" s="90"/>
      <c r="R540" s="83"/>
      <c r="S540" s="10"/>
      <c r="T540" s="23"/>
      <c r="U540" s="10"/>
      <c r="V540" s="10"/>
      <c r="W540" s="103"/>
      <c r="X540" s="103"/>
      <c r="Y540" s="103"/>
    </row>
    <row r="541" spans="1:25" ht="13">
      <c r="A541" s="10"/>
      <c r="B541" s="10"/>
      <c r="C541" s="10"/>
      <c r="D541" s="10"/>
      <c r="E541" s="10"/>
      <c r="F541" s="10"/>
      <c r="G541" s="103"/>
      <c r="H541" s="103"/>
      <c r="I541" s="103"/>
      <c r="J541" s="103"/>
      <c r="K541" s="103"/>
      <c r="L541" s="61"/>
      <c r="M541" s="61"/>
      <c r="N541" s="90"/>
      <c r="O541" s="90"/>
      <c r="P541" s="90"/>
      <c r="R541" s="83"/>
      <c r="S541" s="10"/>
      <c r="T541" s="10"/>
      <c r="V541" s="10"/>
      <c r="W541" s="103"/>
      <c r="X541" s="103"/>
      <c r="Y541" s="103"/>
    </row>
    <row r="542" spans="1:25" ht="13">
      <c r="A542" s="10"/>
      <c r="B542" s="10"/>
      <c r="C542" s="10"/>
      <c r="D542" s="10"/>
      <c r="E542" s="10"/>
      <c r="F542" s="10"/>
      <c r="G542" s="103"/>
      <c r="H542" s="103"/>
      <c r="I542" s="103"/>
      <c r="J542" s="103"/>
      <c r="K542" s="103"/>
      <c r="L542" s="61"/>
      <c r="M542" s="61"/>
      <c r="N542" s="90"/>
      <c r="O542" s="90"/>
      <c r="P542" s="90"/>
      <c r="R542" s="83"/>
      <c r="S542" s="10"/>
      <c r="T542" s="10"/>
      <c r="U542" s="10"/>
      <c r="V542" s="10"/>
      <c r="W542" s="103"/>
      <c r="X542" s="103"/>
      <c r="Y542" s="103"/>
    </row>
    <row r="543" spans="1:25" ht="13">
      <c r="A543" s="10"/>
      <c r="B543" s="10"/>
      <c r="C543" s="10"/>
      <c r="D543" s="10"/>
      <c r="E543" s="10"/>
      <c r="F543" s="10"/>
      <c r="G543" s="103"/>
      <c r="H543" s="103"/>
      <c r="I543" s="103"/>
      <c r="J543" s="103"/>
      <c r="K543" s="103"/>
      <c r="L543" s="61"/>
      <c r="M543" s="61"/>
      <c r="N543" s="10"/>
      <c r="O543" s="90"/>
      <c r="P543" s="90"/>
      <c r="R543" s="37"/>
      <c r="S543" s="10"/>
      <c r="T543" s="10"/>
      <c r="U543" s="10"/>
      <c r="V543" s="10"/>
      <c r="W543" s="103"/>
      <c r="X543" s="103"/>
      <c r="Y543" s="103"/>
    </row>
    <row r="544" spans="1:25" ht="13">
      <c r="A544" s="10"/>
      <c r="B544" s="10"/>
      <c r="C544" s="10"/>
      <c r="D544" s="10"/>
      <c r="E544" s="10"/>
      <c r="F544" s="10"/>
      <c r="G544" s="103"/>
      <c r="H544" s="103"/>
      <c r="I544" s="103"/>
      <c r="J544" s="125"/>
      <c r="K544" s="103"/>
      <c r="L544" s="61"/>
      <c r="M544" s="61"/>
      <c r="N544" s="10"/>
      <c r="O544" s="90"/>
      <c r="P544" s="90"/>
      <c r="R544" s="83"/>
      <c r="S544" s="10"/>
      <c r="T544" s="103"/>
      <c r="U544" s="10"/>
      <c r="V544" s="10"/>
      <c r="W544" s="103"/>
      <c r="X544" s="103"/>
      <c r="Y544" s="103"/>
    </row>
    <row r="545" spans="1:25" ht="13">
      <c r="A545" s="10"/>
      <c r="B545" s="10"/>
      <c r="C545" s="10"/>
      <c r="D545" s="10"/>
      <c r="E545" s="10"/>
      <c r="F545" s="10"/>
      <c r="G545" s="103"/>
      <c r="H545" s="103"/>
      <c r="I545" s="103"/>
      <c r="J545" s="103"/>
      <c r="K545" s="103"/>
      <c r="L545" s="61"/>
      <c r="M545" s="61"/>
      <c r="N545" s="10"/>
      <c r="O545" s="90"/>
      <c r="P545" s="90"/>
      <c r="R545" s="37"/>
      <c r="S545" s="10"/>
      <c r="T545" s="10"/>
      <c r="U545" s="10"/>
      <c r="V545" s="10"/>
      <c r="W545" s="103"/>
      <c r="X545" s="103"/>
      <c r="Y545" s="103"/>
    </row>
    <row r="546" spans="1:25" ht="13">
      <c r="A546" s="10"/>
      <c r="B546" s="37"/>
      <c r="C546" s="10"/>
      <c r="D546" s="10"/>
      <c r="E546" s="10"/>
      <c r="F546" s="10"/>
      <c r="G546" s="103"/>
      <c r="H546" s="103"/>
      <c r="I546" s="103"/>
      <c r="J546" s="103"/>
      <c r="K546" s="103"/>
      <c r="L546" s="61"/>
      <c r="M546" s="61"/>
      <c r="N546" s="90"/>
      <c r="O546" s="90"/>
      <c r="P546" s="90"/>
      <c r="R546" s="83"/>
      <c r="S546" s="10"/>
      <c r="T546" s="103"/>
      <c r="U546" s="10"/>
      <c r="V546" s="10"/>
      <c r="W546" s="103"/>
      <c r="X546" s="103"/>
      <c r="Y546" s="103"/>
    </row>
    <row r="547" spans="1:25" ht="13">
      <c r="A547" s="10"/>
      <c r="B547" s="10"/>
      <c r="C547" s="10"/>
      <c r="D547" s="10"/>
      <c r="E547" s="10"/>
      <c r="F547" s="10"/>
      <c r="G547" s="103"/>
      <c r="H547" s="103"/>
      <c r="I547" s="103"/>
      <c r="J547" s="103"/>
      <c r="K547" s="103"/>
      <c r="L547" s="61"/>
      <c r="M547" s="61"/>
      <c r="N547" s="10"/>
      <c r="O547" s="90"/>
      <c r="P547" s="90"/>
      <c r="R547" s="37"/>
      <c r="S547" s="10"/>
      <c r="T547" s="10"/>
      <c r="U547" s="10"/>
      <c r="V547" s="10"/>
      <c r="W547" s="103"/>
      <c r="X547" s="103"/>
      <c r="Y547" s="103"/>
    </row>
    <row r="548" spans="1:25" ht="13">
      <c r="A548" s="121"/>
      <c r="B548" s="121"/>
      <c r="C548" s="122"/>
      <c r="D548" s="121"/>
      <c r="E548" s="121"/>
      <c r="F548" s="121"/>
      <c r="G548" s="122"/>
      <c r="H548" s="122"/>
      <c r="I548" s="122"/>
      <c r="J548" s="222"/>
      <c r="K548" s="122"/>
      <c r="L548" s="112"/>
      <c r="M548" s="112"/>
      <c r="N548" s="90"/>
      <c r="O548" s="90"/>
      <c r="P548" s="90"/>
      <c r="R548" s="103"/>
      <c r="S548" s="10"/>
      <c r="T548" s="103"/>
      <c r="U548" s="10"/>
      <c r="V548" s="103"/>
      <c r="W548" s="103"/>
      <c r="X548" s="103"/>
      <c r="Y548" s="103"/>
    </row>
    <row r="549" spans="1:25" ht="13">
      <c r="A549" s="121"/>
      <c r="B549" s="121"/>
      <c r="C549" s="122"/>
      <c r="D549" s="121"/>
      <c r="E549" s="121"/>
      <c r="F549" s="121"/>
      <c r="G549" s="122"/>
      <c r="H549" s="122"/>
      <c r="I549" s="122"/>
      <c r="J549" s="122"/>
      <c r="K549" s="122"/>
      <c r="L549" s="112"/>
      <c r="M549" s="112"/>
      <c r="N549" s="90"/>
      <c r="O549" s="90"/>
      <c r="P549" s="90"/>
      <c r="R549" s="103"/>
      <c r="S549" s="10"/>
      <c r="T549" s="103"/>
      <c r="U549" s="10"/>
      <c r="V549" s="103"/>
      <c r="W549" s="103"/>
      <c r="X549" s="103"/>
      <c r="Y549" s="103"/>
    </row>
    <row r="550" spans="1:25" ht="13">
      <c r="A550" s="121"/>
      <c r="B550" s="121"/>
      <c r="C550" s="122"/>
      <c r="D550" s="121"/>
      <c r="E550" s="121"/>
      <c r="F550" s="121"/>
      <c r="G550" s="122"/>
      <c r="H550" s="122"/>
      <c r="I550" s="122"/>
      <c r="J550" s="222"/>
      <c r="K550" s="122"/>
      <c r="L550" s="103"/>
      <c r="M550" s="103"/>
      <c r="N550" s="90"/>
      <c r="O550" s="90"/>
      <c r="P550" s="90"/>
      <c r="R550" s="103"/>
      <c r="S550" s="10"/>
      <c r="T550" s="103"/>
      <c r="U550" s="10"/>
      <c r="V550" s="103"/>
      <c r="W550" s="103"/>
      <c r="X550" s="103"/>
      <c r="Y550" s="103"/>
    </row>
    <row r="551" spans="1:25" ht="13">
      <c r="A551" s="121"/>
      <c r="B551" s="121"/>
      <c r="C551" s="122"/>
      <c r="D551" s="121"/>
      <c r="E551" s="121"/>
      <c r="F551" s="121"/>
      <c r="G551" s="122"/>
      <c r="H551" s="122"/>
      <c r="I551" s="122"/>
      <c r="J551" s="122"/>
      <c r="K551" s="122"/>
      <c r="L551" s="61"/>
      <c r="M551" s="103"/>
      <c r="N551" s="90"/>
      <c r="O551" s="103"/>
      <c r="P551" s="103"/>
      <c r="R551" s="103"/>
      <c r="S551" s="10"/>
      <c r="T551" s="103"/>
      <c r="U551" s="10"/>
      <c r="V551" s="103"/>
      <c r="W551" s="103"/>
      <c r="X551" s="103"/>
      <c r="Y551" s="103"/>
    </row>
    <row r="552" spans="1:25" ht="13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90"/>
      <c r="O552" s="103"/>
      <c r="P552" s="103"/>
      <c r="R552" s="103"/>
      <c r="S552" s="10"/>
      <c r="T552" s="103"/>
      <c r="U552" s="103"/>
      <c r="V552" s="103"/>
      <c r="W552" s="103"/>
      <c r="X552" s="103"/>
      <c r="Y552" s="103"/>
    </row>
    <row r="553" spans="1:25" ht="1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86"/>
      <c r="O553" s="117"/>
      <c r="P553" s="90"/>
      <c r="R553" s="103"/>
      <c r="S553" s="10"/>
      <c r="T553" s="103"/>
      <c r="U553" s="10"/>
      <c r="V553" s="103"/>
      <c r="W553" s="103"/>
      <c r="X553" s="103"/>
      <c r="Y553" s="103"/>
    </row>
    <row r="554" spans="1:25" ht="13">
      <c r="A554" s="10"/>
      <c r="B554" s="10"/>
      <c r="C554" s="10"/>
      <c r="D554" s="10"/>
      <c r="E554" s="10"/>
      <c r="F554" s="10"/>
      <c r="G554" s="10"/>
      <c r="H554" s="10"/>
      <c r="I554" s="103"/>
      <c r="J554" s="103"/>
      <c r="K554" s="103"/>
      <c r="L554" s="61"/>
      <c r="M554" s="61"/>
      <c r="N554" s="90"/>
      <c r="O554" s="90"/>
      <c r="P554" s="90"/>
      <c r="R554" s="83"/>
      <c r="S554" s="10"/>
      <c r="T554" s="103"/>
      <c r="U554" s="10"/>
      <c r="V554" s="103"/>
      <c r="W554" s="103"/>
      <c r="X554" s="103"/>
      <c r="Y554" s="103"/>
    </row>
    <row r="555" spans="1:25" ht="13">
      <c r="A555" s="10"/>
      <c r="B555" s="10"/>
      <c r="C555" s="10"/>
      <c r="D555" s="10"/>
      <c r="E555" s="10"/>
      <c r="F555" s="10"/>
      <c r="G555" s="10"/>
      <c r="H555" s="10"/>
      <c r="I555" s="103"/>
      <c r="J555" s="103"/>
      <c r="K555" s="103"/>
      <c r="L555" s="61"/>
      <c r="M555" s="61"/>
      <c r="N555" s="90"/>
      <c r="O555" s="90"/>
      <c r="P555" s="90"/>
      <c r="R555" s="83"/>
      <c r="S555" s="10"/>
      <c r="T555" s="103"/>
      <c r="U555" s="10"/>
      <c r="V555" s="103"/>
      <c r="W555" s="103"/>
      <c r="X555" s="103"/>
      <c r="Y555" s="103"/>
    </row>
    <row r="556" spans="1:25" ht="13">
      <c r="A556" s="10"/>
      <c r="B556" s="10"/>
      <c r="C556" s="10"/>
      <c r="D556" s="10"/>
      <c r="E556" s="10"/>
      <c r="F556" s="10"/>
      <c r="G556" s="10"/>
      <c r="H556" s="10"/>
      <c r="I556" s="103"/>
      <c r="J556" s="103"/>
      <c r="K556" s="103"/>
      <c r="L556" s="61"/>
      <c r="M556" s="61"/>
      <c r="N556" s="90"/>
      <c r="O556" s="90"/>
      <c r="P556" s="90"/>
      <c r="R556" s="83"/>
      <c r="S556" s="10"/>
      <c r="T556" s="103"/>
      <c r="U556" s="10"/>
      <c r="V556" s="103"/>
      <c r="W556" s="103"/>
      <c r="X556" s="103"/>
      <c r="Y556" s="103"/>
    </row>
    <row r="557" spans="1:25" ht="13">
      <c r="A557" s="8"/>
      <c r="B557" s="8"/>
      <c r="C557" s="8"/>
      <c r="D557" s="10"/>
      <c r="E557" s="10"/>
      <c r="F557" s="10"/>
      <c r="G557" s="23"/>
      <c r="H557" s="23"/>
      <c r="I557" s="61"/>
      <c r="J557" s="23"/>
      <c r="K557" s="23"/>
      <c r="L557" s="61"/>
      <c r="M557" s="61"/>
      <c r="O557" s="117"/>
      <c r="P557" s="90"/>
      <c r="R557" s="103"/>
      <c r="S557" s="10"/>
      <c r="T557" s="103"/>
      <c r="V557" s="103"/>
      <c r="W557" s="112"/>
      <c r="X557" s="103"/>
      <c r="Y557" s="103"/>
    </row>
    <row r="558" spans="1:25" ht="13">
      <c r="A558" s="8"/>
      <c r="B558" s="8"/>
      <c r="C558" s="10"/>
      <c r="D558" s="10"/>
      <c r="E558" s="10"/>
      <c r="F558" s="10"/>
      <c r="G558" s="23"/>
      <c r="H558" s="23"/>
      <c r="I558" s="61"/>
      <c r="J558" s="103"/>
      <c r="K558" s="103"/>
      <c r="L558" s="61"/>
      <c r="M558" s="23"/>
      <c r="N558" s="90"/>
      <c r="O558" s="90"/>
      <c r="P558" s="90"/>
      <c r="R558" s="103"/>
      <c r="S558" s="90"/>
      <c r="T558" s="103"/>
      <c r="U558" s="103"/>
      <c r="V558" s="103"/>
      <c r="W558" s="103"/>
      <c r="X558" s="103"/>
      <c r="Y558" s="103"/>
    </row>
    <row r="559" spans="1:25" ht="13">
      <c r="A559" s="8"/>
      <c r="B559" s="8"/>
      <c r="C559" s="10"/>
      <c r="D559" s="10"/>
      <c r="E559" s="10"/>
      <c r="F559" s="10"/>
      <c r="G559" s="23"/>
      <c r="H559" s="23"/>
      <c r="I559" s="61"/>
      <c r="J559" s="103"/>
      <c r="K559" s="103"/>
      <c r="L559" s="61"/>
      <c r="M559" s="23"/>
      <c r="N559" s="90"/>
      <c r="O559" s="90"/>
      <c r="P559" s="90"/>
      <c r="R559" s="103"/>
      <c r="S559" s="90"/>
      <c r="T559" s="103"/>
      <c r="U559" s="10"/>
      <c r="V559" s="103"/>
      <c r="W559" s="103"/>
      <c r="X559" s="103"/>
      <c r="Y559" s="103"/>
    </row>
    <row r="560" spans="1:25" ht="13">
      <c r="A560" s="8"/>
      <c r="B560" s="8"/>
      <c r="C560" s="10"/>
      <c r="D560" s="10"/>
      <c r="E560" s="10"/>
      <c r="F560" s="10"/>
      <c r="G560" s="23"/>
      <c r="H560" s="23"/>
      <c r="I560" s="61"/>
      <c r="J560" s="103"/>
      <c r="K560" s="103"/>
      <c r="L560" s="61"/>
      <c r="M560" s="23"/>
      <c r="N560" s="90"/>
      <c r="O560" s="90"/>
      <c r="P560" s="90"/>
      <c r="R560" s="103"/>
      <c r="S560" s="90"/>
      <c r="T560" s="103"/>
      <c r="U560" s="103"/>
      <c r="V560" s="103"/>
      <c r="W560" s="103"/>
      <c r="X560" s="103"/>
      <c r="Y560" s="103"/>
    </row>
    <row r="561" spans="1:25" ht="13">
      <c r="A561" s="8"/>
      <c r="B561" s="8"/>
      <c r="C561" s="10"/>
      <c r="D561" s="10"/>
      <c r="E561" s="10"/>
      <c r="F561" s="10"/>
      <c r="G561" s="23"/>
      <c r="H561" s="23"/>
      <c r="I561" s="61"/>
      <c r="J561" s="103"/>
      <c r="K561" s="103"/>
      <c r="L561" s="61"/>
      <c r="M561" s="23"/>
      <c r="N561" s="90"/>
      <c r="O561" s="90"/>
      <c r="P561" s="90"/>
      <c r="R561" s="103"/>
      <c r="S561" s="90"/>
      <c r="T561" s="103"/>
      <c r="U561" s="103"/>
      <c r="V561" s="103"/>
      <c r="W561" s="103"/>
      <c r="X561" s="103"/>
      <c r="Y561" s="103"/>
    </row>
    <row r="562" spans="1:25" ht="13">
      <c r="A562" s="8"/>
      <c r="B562" s="8"/>
      <c r="C562" s="10"/>
      <c r="D562" s="10"/>
      <c r="E562" s="10"/>
      <c r="F562" s="10"/>
      <c r="G562" s="23"/>
      <c r="H562" s="23"/>
      <c r="I562" s="61"/>
      <c r="J562" s="103"/>
      <c r="K562" s="103"/>
      <c r="L562" s="61"/>
      <c r="M562" s="23"/>
      <c r="N562" s="90"/>
      <c r="O562" s="90"/>
      <c r="P562" s="90"/>
      <c r="R562" s="103"/>
      <c r="S562" s="90"/>
      <c r="T562" s="103"/>
      <c r="U562" s="103"/>
      <c r="V562" s="103"/>
      <c r="W562" s="103"/>
      <c r="X562" s="103"/>
      <c r="Y562" s="103"/>
    </row>
    <row r="563" spans="1:25" ht="13">
      <c r="A563" s="8"/>
      <c r="B563" s="8"/>
      <c r="C563" s="10"/>
      <c r="D563" s="10"/>
      <c r="E563" s="10"/>
      <c r="F563" s="10"/>
      <c r="G563" s="23"/>
      <c r="H563" s="23"/>
      <c r="I563" s="61"/>
      <c r="J563" s="103"/>
      <c r="K563" s="103"/>
      <c r="L563" s="61"/>
      <c r="M563" s="23"/>
      <c r="N563" s="90"/>
      <c r="O563" s="90"/>
      <c r="P563" s="90"/>
      <c r="R563" s="103"/>
      <c r="S563" s="90"/>
      <c r="T563" s="103"/>
      <c r="U563" s="10"/>
      <c r="V563" s="103"/>
      <c r="W563" s="103"/>
      <c r="X563" s="103"/>
      <c r="Y563" s="103"/>
    </row>
    <row r="564" spans="1:25" ht="13">
      <c r="A564" s="8"/>
      <c r="B564" s="8"/>
      <c r="C564" s="36"/>
      <c r="D564" s="10"/>
      <c r="E564" s="10"/>
      <c r="F564" s="10"/>
      <c r="G564" s="23"/>
      <c r="H564" s="23"/>
      <c r="I564" s="61"/>
      <c r="J564" s="23"/>
      <c r="K564" s="23"/>
      <c r="L564" s="10"/>
      <c r="M564" s="10"/>
      <c r="N564" s="90"/>
      <c r="O564" s="103"/>
      <c r="P564" s="103"/>
      <c r="R564" s="103"/>
      <c r="S564" s="10"/>
      <c r="T564" s="103"/>
      <c r="U564" s="103"/>
      <c r="V564" s="103"/>
      <c r="W564" s="112"/>
      <c r="X564" s="103"/>
      <c r="Y564" s="103"/>
    </row>
    <row r="565" spans="1:25" ht="13">
      <c r="A565" s="10"/>
      <c r="B565" s="10"/>
      <c r="C565" s="10"/>
      <c r="D565" s="10"/>
      <c r="E565" s="10"/>
      <c r="F565" s="10"/>
      <c r="G565" s="10"/>
      <c r="H565" s="10"/>
      <c r="I565" s="103"/>
      <c r="J565" s="165"/>
      <c r="K565" s="103"/>
      <c r="L565" s="61"/>
      <c r="M565" s="61"/>
      <c r="N565" s="90"/>
      <c r="O565" s="90"/>
      <c r="P565" s="90"/>
      <c r="R565" s="103"/>
      <c r="S565" s="10"/>
      <c r="T565" s="103"/>
      <c r="U565" s="10"/>
      <c r="V565" s="103"/>
      <c r="W565" s="103"/>
      <c r="X565" s="103"/>
      <c r="Y565" s="83"/>
    </row>
    <row r="566" spans="1:25" ht="13">
      <c r="A566" s="8"/>
      <c r="B566" s="9"/>
      <c r="C566" s="10"/>
      <c r="D566" s="8"/>
      <c r="E566" s="41"/>
      <c r="F566" s="10"/>
      <c r="G566" s="23"/>
      <c r="H566" s="23"/>
      <c r="I566" s="61"/>
      <c r="J566" s="23"/>
      <c r="K566" s="23"/>
      <c r="L566" s="61"/>
      <c r="M566" s="61"/>
      <c r="N566" s="90"/>
      <c r="O566" s="103"/>
      <c r="P566" s="103"/>
      <c r="R566" s="103"/>
      <c r="S566" s="10"/>
      <c r="T566" s="103"/>
      <c r="V566" s="103"/>
      <c r="W566" s="61"/>
      <c r="X566" s="61"/>
      <c r="Y566" s="103"/>
    </row>
    <row r="567" spans="1:25" ht="13">
      <c r="A567" s="8"/>
      <c r="B567" s="9"/>
      <c r="C567" s="10"/>
      <c r="D567" s="85"/>
      <c r="E567" s="41"/>
      <c r="F567" s="10"/>
      <c r="G567" s="23"/>
      <c r="H567" s="23"/>
      <c r="I567" s="61"/>
      <c r="J567" s="23"/>
      <c r="K567" s="23"/>
      <c r="L567" s="61"/>
      <c r="M567" s="61"/>
      <c r="N567" s="90"/>
      <c r="O567" s="103"/>
      <c r="P567" s="103"/>
      <c r="R567" s="103"/>
      <c r="S567" s="90"/>
      <c r="T567" s="103"/>
      <c r="U567" s="10"/>
      <c r="V567" s="103"/>
      <c r="W567" s="61"/>
      <c r="X567" s="61"/>
      <c r="Y567" s="103"/>
    </row>
    <row r="568" spans="1:25" ht="13">
      <c r="A568" s="8"/>
      <c r="B568" s="9"/>
      <c r="C568" s="10"/>
      <c r="D568" s="8"/>
      <c r="E568" s="41"/>
      <c r="F568" s="10"/>
      <c r="G568" s="23"/>
      <c r="H568" s="23"/>
      <c r="I568" s="61"/>
      <c r="J568" s="23"/>
      <c r="K568" s="23"/>
      <c r="L568" s="61"/>
      <c r="M568" s="61"/>
      <c r="N568" s="90"/>
      <c r="O568" s="103"/>
      <c r="P568" s="103"/>
      <c r="R568" s="103"/>
      <c r="S568" s="90"/>
      <c r="T568" s="103"/>
      <c r="U568" s="10"/>
      <c r="V568" s="103"/>
      <c r="W568" s="61"/>
      <c r="X568" s="61"/>
      <c r="Y568" s="103"/>
    </row>
    <row r="569" spans="1:25" ht="13">
      <c r="A569" s="8"/>
      <c r="B569" s="9"/>
      <c r="C569" s="10"/>
      <c r="D569" s="8"/>
      <c r="E569" s="41"/>
      <c r="F569" s="10"/>
      <c r="G569" s="23"/>
      <c r="H569" s="23"/>
      <c r="I569" s="61"/>
      <c r="J569" s="23"/>
      <c r="K569" s="23"/>
      <c r="L569" s="61"/>
      <c r="M569" s="61"/>
      <c r="N569" s="90"/>
      <c r="O569" s="90"/>
      <c r="P569" s="90"/>
      <c r="R569" s="103"/>
      <c r="S569" s="90"/>
      <c r="T569" s="103"/>
      <c r="U569" s="10"/>
      <c r="V569" s="103"/>
      <c r="W569" s="61"/>
      <c r="X569" s="61"/>
      <c r="Y569" s="83"/>
    </row>
    <row r="570" spans="1:25" ht="13">
      <c r="A570" s="8"/>
      <c r="B570" s="9"/>
      <c r="C570" s="10"/>
      <c r="D570" s="8"/>
      <c r="E570" s="41"/>
      <c r="F570" s="10"/>
      <c r="G570" s="23"/>
      <c r="H570" s="23"/>
      <c r="I570" s="61"/>
      <c r="J570" s="23"/>
      <c r="K570" s="23"/>
      <c r="L570" s="61"/>
      <c r="M570" s="61"/>
      <c r="N570" s="90"/>
      <c r="O570" s="90"/>
      <c r="P570" s="90"/>
      <c r="R570" s="103"/>
      <c r="S570" s="10"/>
      <c r="T570" s="10"/>
      <c r="U570" s="10"/>
      <c r="V570" s="10"/>
      <c r="W570" s="61"/>
      <c r="X570" s="61"/>
      <c r="Y570" s="83"/>
    </row>
    <row r="571" spans="1:25" ht="13">
      <c r="A571" s="8"/>
      <c r="B571" s="9"/>
      <c r="C571" s="36"/>
      <c r="D571" s="10"/>
      <c r="E571" s="10"/>
      <c r="F571" s="10"/>
      <c r="G571" s="23"/>
      <c r="H571" s="23"/>
      <c r="I571" s="61"/>
      <c r="J571" s="23"/>
      <c r="K571" s="23"/>
      <c r="L571" s="61"/>
      <c r="M571" s="61"/>
      <c r="N571" s="90"/>
      <c r="O571" s="103"/>
      <c r="P571" s="103"/>
      <c r="R571" s="103"/>
      <c r="S571" s="90"/>
      <c r="T571" s="10"/>
      <c r="U571" s="10"/>
      <c r="V571" s="10"/>
      <c r="W571" s="61"/>
      <c r="X571" s="61"/>
      <c r="Y571" s="103"/>
    </row>
    <row r="572" spans="1:25" ht="13">
      <c r="A572" s="8"/>
      <c r="B572" s="9"/>
      <c r="D572" s="8"/>
      <c r="E572" s="41"/>
      <c r="F572" s="10"/>
      <c r="G572" s="23"/>
      <c r="H572" s="23"/>
      <c r="I572" s="61"/>
      <c r="J572" s="226"/>
      <c r="K572" s="23"/>
      <c r="L572" s="61"/>
      <c r="M572" s="61"/>
      <c r="N572" s="90"/>
      <c r="O572" s="90"/>
      <c r="P572" s="90"/>
      <c r="R572" s="103"/>
      <c r="S572" s="10"/>
      <c r="T572" s="10"/>
      <c r="U572" s="10"/>
      <c r="V572" s="10"/>
      <c r="W572" s="61"/>
      <c r="X572" s="61"/>
      <c r="Y572" s="103"/>
    </row>
    <row r="573" spans="1:25" ht="13">
      <c r="A573" s="8"/>
      <c r="B573" s="9"/>
      <c r="C573" s="8"/>
      <c r="D573" s="10"/>
      <c r="E573" s="10"/>
      <c r="F573" s="10"/>
      <c r="G573" s="23"/>
      <c r="H573" s="23"/>
      <c r="I573" s="61"/>
      <c r="J573" s="23"/>
      <c r="K573" s="23"/>
      <c r="L573" s="103"/>
      <c r="M573" s="103"/>
      <c r="N573" s="90"/>
      <c r="O573" s="103"/>
      <c r="P573" s="103"/>
      <c r="R573" s="103"/>
      <c r="S573" s="90"/>
      <c r="T573" s="10"/>
      <c r="U573" s="10"/>
      <c r="V573" s="10"/>
      <c r="W573" s="61"/>
      <c r="X573" s="61"/>
      <c r="Y573" s="103"/>
    </row>
    <row r="574" spans="1:25" ht="13">
      <c r="A574" s="8"/>
      <c r="B574" s="9"/>
      <c r="C574" s="8"/>
      <c r="D574" s="10"/>
      <c r="E574" s="10"/>
      <c r="F574" s="10"/>
      <c r="G574" s="23"/>
      <c r="H574" s="23"/>
      <c r="I574" s="61"/>
      <c r="J574" s="23"/>
      <c r="K574" s="23"/>
      <c r="L574" s="61"/>
      <c r="M574" s="61"/>
      <c r="N574" s="90"/>
      <c r="O574" s="103"/>
      <c r="P574" s="103"/>
      <c r="R574" s="103"/>
      <c r="S574" s="10"/>
      <c r="T574" s="10"/>
      <c r="U574" s="10"/>
      <c r="V574" s="10"/>
      <c r="W574" s="61"/>
      <c r="X574" s="61"/>
      <c r="Y574" s="103"/>
    </row>
    <row r="575" spans="1:25" ht="13">
      <c r="A575" s="8"/>
      <c r="B575" s="9"/>
      <c r="C575" s="8"/>
      <c r="D575" s="10"/>
      <c r="E575" s="10"/>
      <c r="F575" s="10"/>
      <c r="G575" s="23"/>
      <c r="H575" s="23"/>
      <c r="I575" s="61"/>
      <c r="J575" s="23"/>
      <c r="K575" s="23"/>
      <c r="L575" s="61"/>
      <c r="M575" s="61"/>
      <c r="N575" s="103"/>
      <c r="O575" s="103"/>
      <c r="P575" s="103"/>
      <c r="R575" s="103"/>
      <c r="S575" s="90"/>
      <c r="T575" s="10"/>
      <c r="U575" s="10"/>
      <c r="V575" s="10"/>
      <c r="W575" s="61"/>
      <c r="X575" s="61"/>
      <c r="Y575" s="103"/>
    </row>
    <row r="576" spans="1:25" ht="13">
      <c r="A576" s="8"/>
      <c r="B576" s="9"/>
      <c r="C576" s="8"/>
      <c r="D576" s="10"/>
      <c r="E576" s="10"/>
      <c r="F576" s="10"/>
      <c r="G576" s="23"/>
      <c r="H576" s="23"/>
      <c r="I576" s="61"/>
      <c r="J576" s="23"/>
      <c r="K576" s="23"/>
      <c r="L576" s="61"/>
      <c r="M576" s="61"/>
      <c r="N576" s="103"/>
      <c r="O576" s="103"/>
      <c r="P576" s="103"/>
      <c r="R576" s="103"/>
      <c r="S576" s="90"/>
      <c r="T576" s="10"/>
      <c r="U576" s="10"/>
      <c r="V576" s="10"/>
      <c r="W576" s="61"/>
      <c r="X576" s="61"/>
      <c r="Y576" s="103"/>
    </row>
    <row r="577" spans="1:25" ht="13">
      <c r="A577" s="8"/>
      <c r="B577" s="9"/>
      <c r="C577" s="8"/>
      <c r="D577" s="10"/>
      <c r="E577" s="10"/>
      <c r="F577" s="10"/>
      <c r="G577" s="23"/>
      <c r="H577" s="23"/>
      <c r="I577" s="61"/>
      <c r="J577" s="23"/>
      <c r="K577" s="23"/>
      <c r="L577" s="61"/>
      <c r="M577" s="61"/>
      <c r="N577" s="90"/>
      <c r="O577" s="103"/>
      <c r="P577" s="103"/>
      <c r="R577" s="103"/>
      <c r="S577" s="10"/>
      <c r="T577" s="10"/>
      <c r="U577" s="10"/>
      <c r="V577" s="10"/>
      <c r="W577" s="61"/>
      <c r="X577" s="61"/>
      <c r="Y577" s="103"/>
    </row>
    <row r="578" spans="1:25" ht="13">
      <c r="A578" s="8"/>
      <c r="B578" s="9"/>
      <c r="C578" s="8"/>
      <c r="D578" s="10"/>
      <c r="E578" s="10"/>
      <c r="F578" s="10"/>
      <c r="G578" s="23"/>
      <c r="H578" s="23"/>
      <c r="I578" s="61"/>
      <c r="J578" s="23"/>
      <c r="K578" s="23"/>
      <c r="L578" s="61"/>
      <c r="M578" s="61"/>
      <c r="N578" s="90"/>
      <c r="O578" s="90"/>
      <c r="P578" s="90"/>
      <c r="R578" s="103"/>
      <c r="S578" s="90"/>
      <c r="T578" s="10"/>
      <c r="U578" s="10"/>
      <c r="V578" s="10"/>
      <c r="W578" s="61"/>
      <c r="X578" s="61"/>
      <c r="Y578" s="103"/>
    </row>
    <row r="579" spans="1:25" ht="13">
      <c r="A579" s="8"/>
      <c r="B579" s="9"/>
      <c r="C579" s="8"/>
      <c r="D579" s="10"/>
      <c r="E579" s="10"/>
      <c r="F579" s="10"/>
      <c r="G579" s="23"/>
      <c r="H579" s="23"/>
      <c r="I579" s="61"/>
      <c r="J579" s="23"/>
      <c r="K579" s="23"/>
      <c r="L579" s="61"/>
      <c r="M579" s="61"/>
      <c r="N579" s="90"/>
      <c r="O579" s="103"/>
      <c r="P579" s="103"/>
      <c r="R579" s="103"/>
      <c r="S579" s="10"/>
      <c r="V579" s="10"/>
      <c r="W579" s="61"/>
      <c r="X579" s="61"/>
      <c r="Y579" s="103"/>
    </row>
    <row r="580" spans="1:25" ht="13">
      <c r="A580" s="8"/>
      <c r="B580" s="9"/>
      <c r="C580" s="8"/>
      <c r="D580" s="10"/>
      <c r="E580" s="10"/>
      <c r="F580" s="10"/>
      <c r="G580" s="23"/>
      <c r="H580" s="23"/>
      <c r="I580" s="61"/>
      <c r="J580" s="23"/>
      <c r="K580" s="23"/>
      <c r="L580" s="61"/>
      <c r="M580" s="61"/>
      <c r="N580" s="90"/>
      <c r="O580" s="103"/>
      <c r="P580" s="103"/>
      <c r="R580" s="103"/>
      <c r="S580" s="90"/>
      <c r="T580" s="10"/>
      <c r="U580" s="10"/>
      <c r="V580" s="10"/>
      <c r="W580" s="61"/>
      <c r="X580" s="61"/>
      <c r="Y580" s="103"/>
    </row>
    <row r="581" spans="1:25" ht="13">
      <c r="A581" s="8"/>
      <c r="B581" s="9"/>
      <c r="C581" s="8"/>
      <c r="D581" s="10"/>
      <c r="E581" s="10"/>
      <c r="F581" s="10"/>
      <c r="G581" s="23"/>
      <c r="H581" s="23"/>
      <c r="I581" s="61"/>
      <c r="J581" s="23"/>
      <c r="K581" s="23"/>
      <c r="L581" s="61"/>
      <c r="M581" s="61"/>
      <c r="N581" s="90"/>
      <c r="O581" s="103"/>
      <c r="P581" s="103"/>
      <c r="R581" s="103"/>
      <c r="S581" s="90"/>
      <c r="T581" s="10"/>
      <c r="U581" s="10"/>
      <c r="V581" s="10"/>
      <c r="W581" s="61"/>
      <c r="X581" s="61"/>
      <c r="Y581" s="103"/>
    </row>
    <row r="582" spans="1:25" ht="13">
      <c r="A582" s="8"/>
      <c r="B582" s="9"/>
      <c r="C582" s="8"/>
      <c r="D582" s="10"/>
      <c r="E582" s="10"/>
      <c r="F582" s="10"/>
      <c r="G582" s="23"/>
      <c r="H582" s="23"/>
      <c r="I582" s="61"/>
      <c r="J582" s="23"/>
      <c r="K582" s="23"/>
      <c r="L582" s="61"/>
      <c r="M582" s="61"/>
      <c r="N582" s="90"/>
      <c r="O582" s="103"/>
      <c r="P582" s="103"/>
      <c r="R582" s="103"/>
      <c r="S582" s="90"/>
      <c r="T582" s="10"/>
      <c r="U582" s="10"/>
      <c r="V582" s="10"/>
      <c r="W582" s="61"/>
      <c r="X582" s="61"/>
      <c r="Y582" s="103"/>
    </row>
    <row r="583" spans="1:25" ht="13">
      <c r="A583" s="8"/>
      <c r="B583" s="9"/>
      <c r="C583" s="8"/>
      <c r="D583" s="10"/>
      <c r="E583" s="10"/>
      <c r="F583" s="10"/>
      <c r="G583" s="23"/>
      <c r="H583" s="23"/>
      <c r="I583" s="61"/>
      <c r="J583" s="23"/>
      <c r="K583" s="23"/>
      <c r="L583" s="61"/>
      <c r="M583" s="61"/>
      <c r="N583" s="90"/>
      <c r="O583" s="103"/>
      <c r="P583" s="103"/>
      <c r="R583" s="103"/>
      <c r="S583" s="10"/>
      <c r="T583" s="10"/>
      <c r="U583" s="10"/>
      <c r="V583" s="10"/>
      <c r="W583" s="61"/>
      <c r="X583" s="61"/>
      <c r="Y583" s="103"/>
    </row>
    <row r="584" spans="1:25" ht="13">
      <c r="A584" s="8"/>
      <c r="B584" s="9"/>
      <c r="C584" s="8"/>
      <c r="D584" s="10"/>
      <c r="E584" s="10"/>
      <c r="F584" s="10"/>
      <c r="G584" s="23"/>
      <c r="H584" s="23"/>
      <c r="I584" s="61"/>
      <c r="J584" s="23"/>
      <c r="K584" s="23"/>
      <c r="L584" s="61"/>
      <c r="M584" s="61"/>
      <c r="N584" s="90"/>
      <c r="O584" s="103"/>
      <c r="P584" s="103"/>
      <c r="R584" s="103"/>
      <c r="S584" s="90"/>
      <c r="T584" s="10"/>
      <c r="U584" s="10"/>
      <c r="V584" s="10"/>
      <c r="W584" s="61"/>
      <c r="X584" s="61"/>
      <c r="Y584" s="103"/>
    </row>
    <row r="585" spans="1:25" ht="13">
      <c r="A585" s="8"/>
      <c r="B585" s="9"/>
      <c r="C585" s="8"/>
      <c r="D585" s="10"/>
      <c r="E585" s="10"/>
      <c r="F585" s="10"/>
      <c r="G585" s="23"/>
      <c r="H585" s="23"/>
      <c r="I585" s="61"/>
      <c r="J585" s="23"/>
      <c r="K585" s="23"/>
      <c r="L585" s="61"/>
      <c r="M585" s="61"/>
      <c r="N585" s="90"/>
      <c r="O585" s="103"/>
      <c r="P585" s="103"/>
      <c r="R585" s="103"/>
      <c r="S585" s="10"/>
      <c r="T585" s="10"/>
      <c r="U585" s="10"/>
      <c r="V585" s="10"/>
      <c r="W585" s="61"/>
      <c r="X585" s="61"/>
      <c r="Y585" s="103"/>
    </row>
    <row r="586" spans="1:25" ht="13">
      <c r="A586" s="8"/>
      <c r="B586" s="9"/>
      <c r="C586" s="8"/>
      <c r="D586" s="10"/>
      <c r="E586" s="10"/>
      <c r="F586" s="10"/>
      <c r="G586" s="23"/>
      <c r="H586" s="23"/>
      <c r="I586" s="61"/>
      <c r="J586" s="23"/>
      <c r="K586" s="23"/>
      <c r="L586" s="61"/>
      <c r="M586" s="61"/>
      <c r="N586" s="90"/>
      <c r="O586" s="103"/>
      <c r="P586" s="103"/>
      <c r="R586" s="103"/>
      <c r="S586" s="10"/>
      <c r="T586" s="10"/>
      <c r="U586" s="10"/>
      <c r="V586" s="10"/>
      <c r="W586" s="61"/>
      <c r="X586" s="61"/>
      <c r="Y586" s="103"/>
    </row>
    <row r="587" spans="1:25" ht="13">
      <c r="A587" s="8"/>
      <c r="B587" s="9"/>
      <c r="C587" s="8"/>
      <c r="D587" s="10"/>
      <c r="E587" s="10"/>
      <c r="F587" s="10"/>
      <c r="G587" s="23"/>
      <c r="H587" s="23"/>
      <c r="I587" s="61"/>
      <c r="J587" s="23"/>
      <c r="K587" s="23"/>
      <c r="L587" s="61"/>
      <c r="M587" s="61"/>
      <c r="N587" s="90"/>
      <c r="O587" s="103"/>
      <c r="P587" s="103"/>
      <c r="R587" s="103"/>
      <c r="S587" s="90"/>
      <c r="T587" s="10"/>
      <c r="U587" s="10"/>
      <c r="V587" s="10"/>
      <c r="W587" s="61"/>
      <c r="X587" s="61"/>
      <c r="Y587" s="103"/>
    </row>
    <row r="588" spans="1:25" ht="13">
      <c r="A588" s="41"/>
      <c r="B588" s="41"/>
      <c r="C588" s="41"/>
      <c r="D588" s="10"/>
      <c r="E588" s="10"/>
      <c r="F588" s="10"/>
      <c r="G588" s="10"/>
      <c r="H588" s="10"/>
      <c r="I588" s="41"/>
      <c r="J588" s="10"/>
      <c r="K588" s="10"/>
      <c r="L588" s="41"/>
      <c r="M588" s="41"/>
      <c r="N588" s="103"/>
      <c r="O588" s="103"/>
      <c r="P588" s="103"/>
      <c r="R588" s="103"/>
      <c r="S588" s="10"/>
      <c r="T588" s="10"/>
      <c r="U588" s="10"/>
      <c r="V588" s="10"/>
      <c r="W588" s="112"/>
      <c r="X588" s="112"/>
      <c r="Y588" s="103"/>
    </row>
    <row r="589" spans="1:25" ht="13">
      <c r="A589" s="41"/>
      <c r="B589" s="41"/>
      <c r="C589" s="41"/>
      <c r="D589" s="10"/>
      <c r="E589" s="10"/>
      <c r="F589" s="10"/>
      <c r="G589" s="10"/>
      <c r="H589" s="10"/>
      <c r="I589" s="41"/>
      <c r="J589" s="10"/>
      <c r="K589" s="10"/>
      <c r="L589" s="41"/>
      <c r="M589" s="41"/>
      <c r="N589" s="103"/>
      <c r="O589" s="103"/>
      <c r="P589" s="103"/>
      <c r="R589" s="103"/>
      <c r="S589" s="10"/>
      <c r="T589" s="10"/>
      <c r="U589" s="10"/>
      <c r="V589" s="10"/>
      <c r="W589" s="112"/>
      <c r="X589" s="112"/>
      <c r="Y589" s="103"/>
    </row>
    <row r="590" spans="1:25" ht="13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3"/>
      <c r="O590" s="103"/>
      <c r="P590" s="103"/>
      <c r="R590" s="103"/>
      <c r="S590" s="10"/>
      <c r="T590" s="10"/>
      <c r="U590" s="10"/>
      <c r="V590" s="10"/>
      <c r="W590" s="103"/>
      <c r="X590" s="103"/>
      <c r="Y590" s="103"/>
    </row>
    <row r="591" spans="1:25" ht="13">
      <c r="A591" s="8"/>
      <c r="B591" s="8"/>
      <c r="C591" s="8"/>
      <c r="D591" s="10"/>
      <c r="E591" s="10"/>
      <c r="F591" s="10"/>
      <c r="G591" s="23"/>
      <c r="H591" s="23"/>
      <c r="I591" s="61"/>
      <c r="J591" s="23"/>
      <c r="K591" s="23"/>
      <c r="L591" s="61"/>
      <c r="M591" s="61"/>
      <c r="N591" s="90"/>
      <c r="O591" s="103"/>
      <c r="P591" s="103"/>
      <c r="R591" s="103"/>
      <c r="S591" s="90"/>
      <c r="T591" s="103"/>
      <c r="U591" s="10"/>
      <c r="V591" s="103"/>
      <c r="W591" s="61"/>
      <c r="X591" s="61"/>
      <c r="Y591" s="103"/>
    </row>
    <row r="592" spans="1:25" ht="13">
      <c r="A592" s="8"/>
      <c r="B592" s="8"/>
      <c r="C592" s="8"/>
      <c r="D592" s="10"/>
      <c r="E592" s="10"/>
      <c r="F592" s="10"/>
      <c r="G592" s="23"/>
      <c r="H592" s="23"/>
      <c r="I592" s="61"/>
      <c r="J592" s="23"/>
      <c r="K592" s="23"/>
      <c r="L592" s="61"/>
      <c r="M592" s="61"/>
      <c r="N592" s="90"/>
      <c r="O592" s="103"/>
      <c r="P592" s="103"/>
      <c r="R592" s="103"/>
      <c r="S592" s="90"/>
      <c r="T592" s="103"/>
      <c r="U592" s="10"/>
      <c r="V592" s="103"/>
      <c r="W592" s="61"/>
      <c r="X592" s="61"/>
      <c r="Y592" s="103"/>
    </row>
    <row r="593" spans="1:25" ht="13">
      <c r="A593" s="8"/>
      <c r="B593" s="8"/>
      <c r="C593" s="8"/>
      <c r="D593" s="10"/>
      <c r="E593" s="10"/>
      <c r="F593" s="10"/>
      <c r="G593" s="23"/>
      <c r="H593" s="23"/>
      <c r="I593" s="61"/>
      <c r="J593" s="23"/>
      <c r="K593" s="23"/>
      <c r="L593" s="61"/>
      <c r="M593" s="61"/>
      <c r="N593" s="90"/>
      <c r="O593" s="103"/>
      <c r="P593" s="103"/>
      <c r="R593" s="103"/>
      <c r="S593" s="90"/>
      <c r="T593" s="103"/>
      <c r="U593" s="10"/>
      <c r="V593" s="103"/>
      <c r="W593" s="61"/>
      <c r="X593" s="61"/>
      <c r="Y593" s="103"/>
    </row>
    <row r="594" spans="1:25" ht="13">
      <c r="A594" s="8"/>
      <c r="B594" s="8"/>
      <c r="C594" s="8"/>
      <c r="D594" s="10"/>
      <c r="E594" s="10"/>
      <c r="F594" s="10"/>
      <c r="G594" s="23"/>
      <c r="H594" s="23"/>
      <c r="I594" s="61"/>
      <c r="J594" s="23"/>
      <c r="K594" s="23"/>
      <c r="L594" s="61"/>
      <c r="M594" s="61"/>
      <c r="N594" s="90"/>
      <c r="O594" s="103"/>
      <c r="P594" s="103"/>
      <c r="R594" s="103"/>
      <c r="S594" s="90"/>
      <c r="T594" s="103"/>
      <c r="U594" s="10"/>
      <c r="V594" s="103"/>
      <c r="W594" s="61"/>
      <c r="X594" s="61"/>
      <c r="Y594" s="103"/>
    </row>
    <row r="595" spans="1:25" ht="13">
      <c r="A595" s="8"/>
      <c r="B595" s="8"/>
      <c r="C595" s="8"/>
      <c r="D595" s="10"/>
      <c r="E595" s="10"/>
      <c r="F595" s="10"/>
      <c r="G595" s="23"/>
      <c r="H595" s="23"/>
      <c r="I595" s="61"/>
      <c r="J595" s="23"/>
      <c r="K595" s="23"/>
      <c r="L595" s="61"/>
      <c r="M595" s="61"/>
      <c r="N595" s="90"/>
      <c r="O595" s="103"/>
      <c r="P595" s="103"/>
      <c r="R595" s="103"/>
      <c r="S595" s="90"/>
      <c r="T595" s="103"/>
      <c r="U595" s="103"/>
      <c r="V595" s="103"/>
      <c r="W595" s="61"/>
      <c r="X595" s="61"/>
      <c r="Y595" s="103"/>
    </row>
    <row r="596" spans="1:25" ht="13">
      <c r="A596" s="8"/>
      <c r="B596" s="8"/>
      <c r="C596" s="8"/>
      <c r="D596" s="10"/>
      <c r="E596" s="10"/>
      <c r="F596" s="10"/>
      <c r="G596" s="23"/>
      <c r="H596" s="23"/>
      <c r="I596" s="61"/>
      <c r="J596" s="23"/>
      <c r="K596" s="23"/>
      <c r="L596" s="61"/>
      <c r="M596" s="61"/>
      <c r="N596" s="90"/>
      <c r="O596" s="103"/>
      <c r="P596" s="103"/>
      <c r="R596" s="103"/>
      <c r="S596" s="90"/>
      <c r="T596" s="103"/>
      <c r="U596" s="103"/>
      <c r="V596" s="103"/>
      <c r="W596" s="61"/>
      <c r="X596" s="61"/>
      <c r="Y596" s="103"/>
    </row>
    <row r="597" spans="1:25" ht="13">
      <c r="A597" s="8"/>
      <c r="B597" s="8"/>
      <c r="C597" s="8"/>
      <c r="D597" s="10"/>
      <c r="E597" s="10"/>
      <c r="F597" s="10"/>
      <c r="G597" s="23"/>
      <c r="H597" s="23"/>
      <c r="I597" s="61"/>
      <c r="J597" s="23"/>
      <c r="K597" s="23"/>
      <c r="L597" s="61"/>
      <c r="M597" s="61"/>
      <c r="N597" s="90"/>
      <c r="O597" s="103"/>
      <c r="P597" s="103"/>
      <c r="R597" s="103"/>
      <c r="S597" s="90"/>
      <c r="T597" s="103"/>
      <c r="U597" s="103"/>
      <c r="V597" s="103"/>
      <c r="W597" s="61"/>
      <c r="X597" s="61"/>
      <c r="Y597" s="103"/>
    </row>
    <row r="598" spans="1:25" ht="13">
      <c r="A598" s="8"/>
      <c r="B598" s="8"/>
      <c r="C598" s="8"/>
      <c r="D598" s="10"/>
      <c r="E598" s="10"/>
      <c r="F598" s="10"/>
      <c r="G598" s="23"/>
      <c r="H598" s="23"/>
      <c r="I598" s="61"/>
      <c r="J598" s="23"/>
      <c r="K598" s="23"/>
      <c r="L598" s="61"/>
      <c r="M598" s="61"/>
      <c r="N598" s="90"/>
      <c r="O598" s="103"/>
      <c r="P598" s="103"/>
      <c r="R598" s="103"/>
      <c r="S598" s="90"/>
      <c r="T598" s="103"/>
      <c r="U598" s="103"/>
      <c r="V598" s="103"/>
      <c r="W598" s="61"/>
      <c r="X598" s="61"/>
      <c r="Y598" s="103"/>
    </row>
    <row r="599" spans="1:25" ht="13">
      <c r="A599" s="8"/>
      <c r="B599" s="8"/>
      <c r="C599" s="8"/>
      <c r="D599" s="10"/>
      <c r="E599" s="10"/>
      <c r="F599" s="10"/>
      <c r="G599" s="23"/>
      <c r="H599" s="23"/>
      <c r="I599" s="61"/>
      <c r="J599" s="23"/>
      <c r="K599" s="23"/>
      <c r="L599" s="61"/>
      <c r="M599" s="61"/>
      <c r="N599" s="90"/>
      <c r="O599" s="103"/>
      <c r="P599" s="103"/>
      <c r="R599" s="103"/>
      <c r="S599" s="90"/>
      <c r="T599" s="103"/>
      <c r="U599" s="103"/>
      <c r="V599" s="103"/>
      <c r="W599" s="61"/>
      <c r="X599" s="61"/>
      <c r="Y599" s="103"/>
    </row>
    <row r="600" spans="1:25" ht="13">
      <c r="A600" s="8"/>
      <c r="B600" s="8"/>
      <c r="C600" s="8"/>
      <c r="D600" s="10"/>
      <c r="E600" s="10"/>
      <c r="F600" s="10"/>
      <c r="G600" s="23"/>
      <c r="H600" s="23"/>
      <c r="I600" s="61"/>
      <c r="J600" s="23"/>
      <c r="K600" s="23"/>
      <c r="L600" s="61"/>
      <c r="M600" s="61"/>
      <c r="N600" s="90"/>
      <c r="O600" s="103"/>
      <c r="P600" s="103"/>
      <c r="R600" s="103"/>
      <c r="S600" s="90"/>
      <c r="T600" s="103"/>
      <c r="U600" s="103"/>
      <c r="V600" s="103"/>
      <c r="W600" s="61"/>
      <c r="X600" s="61"/>
      <c r="Y600" s="103"/>
    </row>
    <row r="601" spans="1:25" ht="13">
      <c r="A601" s="8"/>
      <c r="B601" s="8"/>
      <c r="C601" s="8"/>
      <c r="D601" s="10"/>
      <c r="E601" s="10"/>
      <c r="F601" s="10"/>
      <c r="G601" s="23"/>
      <c r="H601" s="23"/>
      <c r="I601" s="61"/>
      <c r="J601" s="23"/>
      <c r="K601" s="23"/>
      <c r="L601" s="61"/>
      <c r="M601" s="61"/>
      <c r="N601" s="90"/>
      <c r="O601" s="103"/>
      <c r="P601" s="103"/>
      <c r="R601" s="103"/>
      <c r="S601" s="90"/>
      <c r="T601" s="103"/>
      <c r="U601" s="103"/>
      <c r="V601" s="103"/>
      <c r="W601" s="61"/>
      <c r="X601" s="61"/>
      <c r="Y601" s="103"/>
    </row>
    <row r="602" spans="1:25" ht="13">
      <c r="A602" s="8"/>
      <c r="B602" s="8"/>
      <c r="C602" s="8"/>
      <c r="D602" s="10"/>
      <c r="E602" s="10"/>
      <c r="F602" s="10"/>
      <c r="G602" s="23"/>
      <c r="H602" s="23"/>
      <c r="I602" s="61"/>
      <c r="J602" s="23"/>
      <c r="K602" s="23"/>
      <c r="L602" s="61"/>
      <c r="M602" s="61"/>
      <c r="N602" s="90"/>
      <c r="O602" s="103"/>
      <c r="P602" s="103"/>
      <c r="R602" s="103"/>
      <c r="S602" s="90"/>
      <c r="T602" s="103"/>
      <c r="U602" s="103"/>
      <c r="V602" s="103"/>
      <c r="W602" s="61"/>
      <c r="X602" s="61"/>
      <c r="Y602" s="103"/>
    </row>
    <row r="603" spans="1:25" ht="1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3"/>
      <c r="O603" s="103"/>
      <c r="P603" s="103"/>
      <c r="R603" s="103"/>
      <c r="S603" s="103"/>
      <c r="T603" s="103"/>
      <c r="U603" s="103"/>
      <c r="V603" s="103"/>
      <c r="W603" s="103"/>
      <c r="X603" s="103"/>
      <c r="Y603" s="103"/>
    </row>
    <row r="604" spans="1:25" ht="13">
      <c r="A604" s="10"/>
      <c r="B604" s="10"/>
      <c r="C604" s="10"/>
      <c r="D604" s="10"/>
      <c r="E604" s="10"/>
      <c r="F604" s="10"/>
      <c r="G604" s="103"/>
      <c r="H604" s="103"/>
      <c r="I604" s="103"/>
      <c r="J604" s="103"/>
      <c r="K604" s="103"/>
      <c r="L604" s="61"/>
      <c r="M604" s="61"/>
      <c r="O604" s="117"/>
      <c r="P604" s="90"/>
      <c r="R604" s="103"/>
      <c r="S604" s="103"/>
      <c r="T604" s="103"/>
      <c r="U604" s="10"/>
      <c r="V604" s="103"/>
      <c r="W604" s="103"/>
      <c r="X604" s="103"/>
      <c r="Y604" s="103"/>
    </row>
    <row r="605" spans="1:25" ht="13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90"/>
      <c r="O605" s="103"/>
      <c r="P605" s="103"/>
      <c r="R605" s="103"/>
      <c r="S605" s="103"/>
      <c r="T605" s="103"/>
      <c r="U605" s="103"/>
      <c r="V605" s="103"/>
      <c r="W605" s="103"/>
      <c r="X605" s="103"/>
      <c r="Y605" s="103"/>
    </row>
    <row r="606" spans="1:25" ht="13">
      <c r="A606" s="10"/>
      <c r="B606" s="10"/>
      <c r="C606" s="10"/>
      <c r="D606" s="10"/>
      <c r="E606" s="10"/>
      <c r="F606" s="10"/>
      <c r="G606" s="103"/>
      <c r="H606" s="103"/>
      <c r="I606" s="103"/>
      <c r="J606" s="103"/>
      <c r="K606" s="103"/>
      <c r="L606" s="61"/>
      <c r="M606" s="61"/>
      <c r="O606" s="117"/>
      <c r="P606" s="90"/>
      <c r="R606" s="103"/>
      <c r="S606" s="103"/>
      <c r="T606" s="103"/>
      <c r="U606" s="103"/>
      <c r="V606" s="103"/>
      <c r="W606" s="103"/>
      <c r="X606" s="103"/>
      <c r="Y606" s="103"/>
    </row>
    <row r="607" spans="1:25" ht="13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90"/>
      <c r="O607" s="103"/>
      <c r="P607" s="103"/>
      <c r="R607" s="103"/>
      <c r="S607" s="103"/>
      <c r="T607" s="103"/>
      <c r="U607" s="103"/>
      <c r="V607" s="103"/>
      <c r="W607" s="103"/>
      <c r="X607" s="103"/>
      <c r="Y607" s="103"/>
    </row>
    <row r="608" spans="1:25" ht="13">
      <c r="A608" s="10"/>
      <c r="B608" s="10"/>
      <c r="C608" s="10"/>
      <c r="D608" s="10"/>
      <c r="E608" s="10"/>
      <c r="F608" s="10"/>
      <c r="G608" s="103"/>
      <c r="H608" s="103"/>
      <c r="I608" s="103"/>
      <c r="J608" s="103"/>
      <c r="K608" s="103"/>
      <c r="L608" s="61"/>
      <c r="M608" s="61"/>
      <c r="N608" s="90"/>
      <c r="O608" s="103"/>
      <c r="P608" s="103"/>
      <c r="R608" s="103"/>
      <c r="S608" s="103"/>
      <c r="T608" s="103"/>
      <c r="U608" s="10"/>
      <c r="V608" s="103"/>
      <c r="W608" s="103"/>
      <c r="X608" s="103"/>
      <c r="Y608" s="103"/>
    </row>
    <row r="609" spans="1:25" ht="13">
      <c r="A609" s="10"/>
      <c r="B609" s="10"/>
      <c r="C609" s="10"/>
      <c r="D609" s="10"/>
      <c r="E609" s="10"/>
      <c r="F609" s="10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R609" s="103"/>
      <c r="S609" s="103"/>
      <c r="T609" s="103"/>
      <c r="U609" s="103"/>
      <c r="V609" s="103"/>
      <c r="W609" s="103"/>
      <c r="X609" s="103"/>
      <c r="Y609" s="103"/>
    </row>
    <row r="610" spans="1:25" ht="13">
      <c r="A610" s="10"/>
      <c r="B610" s="10"/>
      <c r="C610" s="10"/>
      <c r="D610" s="10"/>
      <c r="E610" s="10"/>
      <c r="F610" s="10"/>
      <c r="G610" s="103"/>
      <c r="H610" s="103"/>
      <c r="I610" s="103"/>
      <c r="J610" s="103"/>
      <c r="K610" s="103"/>
      <c r="L610" s="61"/>
      <c r="M610" s="61"/>
      <c r="O610" s="117"/>
      <c r="P610" s="90"/>
      <c r="R610" s="103"/>
      <c r="S610" s="103"/>
      <c r="T610" s="103"/>
      <c r="U610" s="10"/>
      <c r="V610" s="103"/>
      <c r="W610" s="103"/>
      <c r="X610" s="103"/>
      <c r="Y610" s="103"/>
    </row>
    <row r="611" spans="1:25" ht="13">
      <c r="A611" s="10"/>
      <c r="B611" s="10"/>
      <c r="C611" s="10"/>
      <c r="D611" s="10"/>
      <c r="E611" s="10"/>
      <c r="F611" s="10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R611" s="103"/>
      <c r="S611" s="103"/>
      <c r="T611" s="103"/>
      <c r="U611" s="103"/>
      <c r="V611" s="103"/>
      <c r="W611" s="103"/>
      <c r="X611" s="103"/>
      <c r="Y611" s="103"/>
    </row>
    <row r="612" spans="1:25" ht="13">
      <c r="A612" s="10"/>
      <c r="B612" s="10"/>
      <c r="C612" s="10"/>
      <c r="D612" s="10"/>
      <c r="E612" s="10"/>
      <c r="F612" s="10"/>
      <c r="G612" s="10"/>
      <c r="H612" s="10"/>
      <c r="I612" s="103"/>
      <c r="J612" s="103"/>
      <c r="K612" s="103"/>
      <c r="L612" s="61"/>
      <c r="M612" s="61"/>
      <c r="N612" s="10"/>
      <c r="O612" s="90"/>
      <c r="P612" s="90"/>
      <c r="R612" s="103"/>
      <c r="S612" s="90"/>
      <c r="T612" s="103"/>
      <c r="U612" s="10"/>
      <c r="V612" s="103"/>
      <c r="W612" s="103"/>
      <c r="X612" s="103"/>
      <c r="Y612" s="103"/>
    </row>
    <row r="613" spans="1:25" ht="13">
      <c r="A613" s="10"/>
      <c r="B613" s="10"/>
      <c r="C613" s="10"/>
      <c r="D613" s="10"/>
      <c r="E613" s="10"/>
      <c r="F613" s="10"/>
      <c r="G613" s="10"/>
      <c r="H613" s="10"/>
      <c r="I613" s="103"/>
      <c r="J613" s="103"/>
      <c r="K613" s="103"/>
      <c r="L613" s="61"/>
      <c r="M613" s="61"/>
      <c r="N613" s="10"/>
      <c r="O613" s="90"/>
      <c r="P613" s="90"/>
      <c r="R613" s="103"/>
      <c r="S613" s="90"/>
      <c r="T613" s="103"/>
      <c r="U613" s="10"/>
      <c r="V613" s="103"/>
      <c r="W613" s="103"/>
      <c r="X613" s="103"/>
      <c r="Y613" s="103"/>
    </row>
    <row r="614" spans="1:25" ht="13">
      <c r="A614" s="10"/>
      <c r="B614" s="10"/>
      <c r="C614" s="10"/>
      <c r="D614" s="10"/>
      <c r="E614" s="10"/>
      <c r="F614" s="10"/>
      <c r="G614" s="10"/>
      <c r="H614" s="10"/>
      <c r="I614" s="103"/>
      <c r="J614" s="103"/>
      <c r="K614" s="103"/>
      <c r="L614" s="61"/>
      <c r="M614" s="61"/>
      <c r="N614" s="10"/>
      <c r="O614" s="90"/>
      <c r="P614" s="90"/>
      <c r="R614" s="103"/>
      <c r="S614" s="90"/>
      <c r="T614" s="103"/>
      <c r="U614" s="10"/>
      <c r="V614" s="103"/>
      <c r="W614" s="103"/>
      <c r="X614" s="103"/>
      <c r="Y614" s="103"/>
    </row>
    <row r="615" spans="1:25" ht="13">
      <c r="A615" s="10"/>
      <c r="B615" s="10"/>
      <c r="C615" s="10"/>
      <c r="D615" s="10"/>
      <c r="E615" s="10"/>
      <c r="F615" s="10"/>
      <c r="G615" s="10"/>
      <c r="H615" s="10"/>
      <c r="I615" s="103"/>
      <c r="J615" s="103"/>
      <c r="K615" s="103"/>
      <c r="L615" s="61"/>
      <c r="M615" s="61"/>
      <c r="N615" s="10"/>
      <c r="O615" s="90"/>
      <c r="P615" s="90"/>
      <c r="R615" s="103"/>
      <c r="S615" s="90"/>
      <c r="T615" s="10"/>
      <c r="U615" s="10"/>
      <c r="V615" s="10"/>
      <c r="W615" s="103"/>
      <c r="X615" s="103"/>
      <c r="Y615" s="103"/>
    </row>
    <row r="616" spans="1:25" ht="13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3"/>
      <c r="O616" s="103"/>
      <c r="P616" s="103"/>
      <c r="R616" s="103"/>
      <c r="S616" s="10"/>
      <c r="T616" s="10"/>
      <c r="U616" s="10"/>
      <c r="V616" s="10"/>
      <c r="W616" s="103"/>
      <c r="X616" s="103"/>
      <c r="Y616" s="103"/>
    </row>
    <row r="617" spans="1:25" ht="13">
      <c r="A617" s="36"/>
      <c r="B617" s="87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R617" s="36"/>
      <c r="S617" s="36"/>
      <c r="T617" s="36"/>
      <c r="U617" s="36"/>
      <c r="V617" s="36"/>
      <c r="W617" s="23"/>
      <c r="X617" s="23"/>
      <c r="Y617" s="103"/>
    </row>
    <row r="618" spans="1:25" ht="13">
      <c r="A618" s="36"/>
      <c r="B618" s="87"/>
      <c r="C618" s="36"/>
      <c r="D618" s="36"/>
      <c r="E618" s="36"/>
      <c r="F618" s="36"/>
      <c r="G618" s="36"/>
      <c r="H618" s="36"/>
      <c r="I618" s="23"/>
      <c r="J618" s="36"/>
      <c r="K618" s="36"/>
      <c r="L618" s="36"/>
      <c r="M618" s="61"/>
      <c r="N618" s="36"/>
      <c r="O618" s="90"/>
      <c r="P618" s="90"/>
      <c r="R618" s="23"/>
      <c r="S618" s="36"/>
      <c r="T618" s="36"/>
      <c r="U618" s="36"/>
      <c r="V618" s="36"/>
      <c r="W618" s="23"/>
      <c r="X618" s="23"/>
      <c r="Y618" s="103"/>
    </row>
    <row r="619" spans="1:25" ht="13">
      <c r="A619" s="36"/>
      <c r="B619" s="87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R619" s="36"/>
      <c r="S619" s="36"/>
      <c r="T619" s="36"/>
      <c r="U619" s="36"/>
      <c r="V619" s="36"/>
      <c r="W619" s="23"/>
      <c r="X619" s="23"/>
      <c r="Y619" s="103"/>
    </row>
    <row r="620" spans="1:25" ht="13">
      <c r="A620" s="36"/>
      <c r="B620" s="87"/>
      <c r="C620" s="36"/>
      <c r="D620" s="36"/>
      <c r="E620" s="36"/>
      <c r="F620" s="36"/>
      <c r="G620" s="36"/>
      <c r="H620" s="36"/>
      <c r="I620" s="36"/>
      <c r="J620" s="23"/>
      <c r="K620" s="23"/>
      <c r="L620" s="36"/>
      <c r="M620" s="61"/>
      <c r="N620" s="36"/>
      <c r="O620" s="36"/>
      <c r="P620" s="36"/>
      <c r="R620" s="23"/>
      <c r="S620" s="36"/>
      <c r="T620" s="36"/>
      <c r="U620" s="36"/>
      <c r="V620" s="36"/>
      <c r="W620" s="23"/>
      <c r="X620" s="23"/>
      <c r="Y620" s="103"/>
    </row>
    <row r="621" spans="1:25" ht="13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R621" s="10"/>
      <c r="S621" s="10"/>
      <c r="T621" s="10"/>
      <c r="U621" s="10"/>
      <c r="V621" s="10"/>
      <c r="W621" s="103"/>
      <c r="X621" s="103"/>
      <c r="Y621" s="103"/>
    </row>
    <row r="622" spans="1:25" ht="13">
      <c r="A622" s="10"/>
      <c r="B622" s="10"/>
      <c r="C622" s="10"/>
      <c r="D622" s="10"/>
      <c r="E622" s="10"/>
      <c r="F622" s="10"/>
      <c r="G622" s="10"/>
      <c r="H622" s="10"/>
      <c r="I622" s="103"/>
      <c r="J622" s="103"/>
      <c r="K622" s="103"/>
      <c r="L622" s="61"/>
      <c r="M622" s="61"/>
      <c r="N622" s="90"/>
      <c r="O622" s="10"/>
      <c r="P622" s="10"/>
      <c r="R622" s="103"/>
      <c r="S622" s="10"/>
      <c r="T622" s="10"/>
      <c r="U622" s="10"/>
      <c r="V622" s="10"/>
      <c r="W622" s="103"/>
      <c r="X622" s="103"/>
      <c r="Y622" s="103"/>
    </row>
    <row r="623" spans="1:25" ht="13">
      <c r="A623" s="10"/>
      <c r="B623" s="10"/>
      <c r="C623" s="10"/>
      <c r="D623" s="10"/>
      <c r="E623" s="10"/>
      <c r="F623" s="10"/>
      <c r="G623" s="10"/>
      <c r="H623" s="10"/>
      <c r="I623" s="103"/>
      <c r="J623" s="103"/>
      <c r="K623" s="103"/>
      <c r="L623" s="61"/>
      <c r="M623" s="61"/>
      <c r="N623" s="90"/>
      <c r="O623" s="10"/>
      <c r="P623" s="10"/>
      <c r="R623" s="103"/>
      <c r="S623" s="10"/>
      <c r="T623" s="10"/>
      <c r="U623" s="10"/>
      <c r="V623" s="10"/>
      <c r="W623" s="103"/>
      <c r="X623" s="103"/>
      <c r="Y623" s="103"/>
    </row>
    <row r="624" spans="1:25" ht="13">
      <c r="A624" s="10"/>
      <c r="B624" s="10"/>
      <c r="C624" s="10"/>
      <c r="D624" s="10"/>
      <c r="E624" s="10"/>
      <c r="F624" s="10"/>
      <c r="G624" s="10"/>
      <c r="H624" s="10"/>
      <c r="I624" s="103"/>
      <c r="J624" s="103"/>
      <c r="K624" s="103"/>
      <c r="L624" s="61"/>
      <c r="M624" s="61"/>
      <c r="N624" s="90"/>
      <c r="O624" s="10"/>
      <c r="P624" s="10"/>
      <c r="R624" s="103"/>
      <c r="S624" s="10"/>
      <c r="T624" s="10"/>
      <c r="U624" s="10"/>
      <c r="V624" s="10"/>
      <c r="W624" s="103"/>
      <c r="X624" s="103"/>
      <c r="Y624" s="103"/>
    </row>
    <row r="625" spans="1:25" ht="13">
      <c r="A625" s="10"/>
      <c r="B625" s="10"/>
      <c r="C625" s="10"/>
      <c r="D625" s="10"/>
      <c r="E625" s="10"/>
      <c r="F625" s="10"/>
      <c r="G625" s="10"/>
      <c r="H625" s="10"/>
      <c r="I625" s="103"/>
      <c r="J625" s="103"/>
      <c r="K625" s="103"/>
      <c r="L625" s="61"/>
      <c r="M625" s="61"/>
      <c r="N625" s="90"/>
      <c r="O625" s="10"/>
      <c r="P625" s="10"/>
      <c r="R625" s="103"/>
      <c r="S625" s="10"/>
      <c r="T625" s="10"/>
      <c r="U625" s="10"/>
      <c r="V625" s="10"/>
      <c r="W625" s="103"/>
      <c r="X625" s="103"/>
      <c r="Y625" s="103"/>
    </row>
    <row r="626" spans="1:25" ht="13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R626" s="10"/>
      <c r="S626" s="10"/>
      <c r="T626" s="10"/>
      <c r="U626" s="10"/>
      <c r="V626" s="10"/>
      <c r="W626" s="103"/>
      <c r="X626" s="103"/>
      <c r="Y626" s="103"/>
    </row>
    <row r="627" spans="1:25" ht="13">
      <c r="A627" s="10"/>
      <c r="B627" s="10"/>
      <c r="C627" s="10"/>
      <c r="D627" s="10"/>
      <c r="E627" s="10"/>
      <c r="F627" s="10"/>
      <c r="G627" s="10"/>
      <c r="H627" s="10"/>
      <c r="I627" s="103"/>
      <c r="J627" s="10"/>
      <c r="K627" s="10"/>
      <c r="L627" s="61"/>
      <c r="M627" s="61"/>
      <c r="N627" s="90"/>
      <c r="O627" s="10"/>
      <c r="P627" s="10"/>
      <c r="R627" s="103"/>
      <c r="S627" s="10"/>
      <c r="T627" s="103"/>
      <c r="U627" s="10"/>
      <c r="V627" s="10"/>
      <c r="W627" s="103"/>
      <c r="X627" s="103"/>
      <c r="Y627" s="103"/>
    </row>
    <row r="628" spans="1:25" ht="13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41"/>
      <c r="M628" s="41"/>
      <c r="N628" s="10"/>
      <c r="O628" s="10"/>
      <c r="P628" s="10"/>
      <c r="R628" s="103"/>
      <c r="T628" s="10"/>
      <c r="U628" s="10"/>
      <c r="V628" s="10"/>
      <c r="W628" s="103"/>
      <c r="X628" s="103"/>
      <c r="Y628" s="103"/>
    </row>
    <row r="629" spans="1:25" ht="13">
      <c r="A629" s="10"/>
      <c r="B629" s="10"/>
      <c r="C629" s="10"/>
      <c r="D629" s="10"/>
      <c r="E629" s="10"/>
      <c r="F629" s="10"/>
      <c r="G629" s="10"/>
      <c r="H629" s="10"/>
      <c r="I629" s="103"/>
      <c r="J629" s="103"/>
      <c r="K629" s="103"/>
      <c r="L629" s="61"/>
      <c r="M629" s="61"/>
      <c r="N629" s="90"/>
      <c r="O629" s="10"/>
      <c r="P629" s="10"/>
      <c r="R629" s="103"/>
      <c r="S629" s="90"/>
      <c r="T629" s="103"/>
      <c r="U629" s="10"/>
      <c r="V629" s="10"/>
      <c r="W629" s="103"/>
      <c r="X629" s="103"/>
      <c r="Y629" s="103"/>
    </row>
    <row r="630" spans="1:25" ht="13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41"/>
      <c r="M630" s="41"/>
      <c r="N630" s="10"/>
      <c r="O630" s="10"/>
      <c r="P630" s="10"/>
      <c r="R630" s="103"/>
      <c r="S630" s="10"/>
      <c r="T630" s="10"/>
      <c r="U630" s="10"/>
      <c r="V630" s="10"/>
      <c r="W630" s="103"/>
      <c r="X630" s="103"/>
      <c r="Y630" s="103"/>
    </row>
    <row r="631" spans="1:25" ht="13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41"/>
      <c r="M631" s="41"/>
      <c r="N631" s="10"/>
      <c r="O631" s="10"/>
      <c r="P631" s="10"/>
      <c r="R631" s="103"/>
      <c r="S631" s="10"/>
      <c r="T631" s="10"/>
      <c r="U631" s="10"/>
      <c r="V631" s="10"/>
      <c r="W631" s="103"/>
      <c r="X631" s="103"/>
      <c r="Y631" s="103"/>
    </row>
    <row r="632" spans="1:25" ht="13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41"/>
      <c r="M632" s="41"/>
      <c r="N632" s="10"/>
      <c r="O632" s="10"/>
      <c r="P632" s="10"/>
      <c r="R632" s="103"/>
      <c r="S632" s="10"/>
      <c r="T632" s="10"/>
      <c r="U632" s="10"/>
      <c r="V632" s="10"/>
      <c r="W632" s="103"/>
      <c r="X632" s="103"/>
      <c r="Y632" s="103"/>
    </row>
    <row r="633" spans="1:25" ht="1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41"/>
      <c r="M633" s="41"/>
      <c r="N633" s="10"/>
      <c r="O633" s="10"/>
      <c r="P633" s="10"/>
      <c r="R633" s="103"/>
      <c r="S633" s="10"/>
      <c r="T633" s="10"/>
      <c r="U633" s="10"/>
      <c r="V633" s="10"/>
      <c r="W633" s="103"/>
      <c r="X633" s="103"/>
      <c r="Y633" s="103"/>
    </row>
    <row r="634" spans="1:25" ht="13">
      <c r="A634" s="10"/>
      <c r="B634" s="10"/>
      <c r="C634" s="10"/>
      <c r="D634" s="10"/>
      <c r="E634" s="92"/>
      <c r="F634" s="92"/>
      <c r="G634" s="10"/>
      <c r="H634" s="10"/>
      <c r="I634" s="103"/>
      <c r="J634" s="103"/>
      <c r="K634" s="103"/>
      <c r="L634" s="61"/>
      <c r="M634" s="61"/>
      <c r="N634" s="10"/>
      <c r="O634" s="90"/>
      <c r="P634" s="90"/>
      <c r="R634" s="103"/>
      <c r="S634" s="10"/>
      <c r="T634" s="10"/>
      <c r="U634" s="10"/>
      <c r="V634" s="10"/>
      <c r="W634" s="103"/>
      <c r="X634" s="103"/>
      <c r="Y634" s="103"/>
    </row>
    <row r="635" spans="1:25" ht="13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41"/>
      <c r="M635" s="41"/>
      <c r="N635" s="10"/>
      <c r="O635" s="10"/>
      <c r="P635" s="10"/>
      <c r="R635" s="103"/>
      <c r="S635" s="10"/>
      <c r="T635" s="10"/>
      <c r="U635" s="10"/>
      <c r="V635" s="10"/>
      <c r="W635" s="103"/>
      <c r="X635" s="103"/>
      <c r="Y635" s="103"/>
    </row>
    <row r="636" spans="1:25" ht="13">
      <c r="A636" s="10"/>
      <c r="B636" s="103"/>
      <c r="C636" s="103"/>
      <c r="D636" s="92"/>
      <c r="E636" s="92"/>
      <c r="F636" s="92"/>
      <c r="G636" s="103"/>
      <c r="H636" s="103"/>
      <c r="I636" s="103"/>
      <c r="J636" s="103"/>
      <c r="K636" s="103"/>
      <c r="L636" s="61"/>
      <c r="M636" s="61"/>
      <c r="N636" s="103"/>
      <c r="O636" s="90"/>
      <c r="P636" s="90"/>
      <c r="R636" s="103"/>
      <c r="S636" s="10"/>
      <c r="T636" s="10"/>
      <c r="U636" s="10"/>
      <c r="V636" s="10"/>
      <c r="W636" s="103"/>
      <c r="X636" s="103"/>
      <c r="Y636" s="103"/>
    </row>
    <row r="637" spans="1:25" ht="13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41"/>
      <c r="M637" s="41"/>
      <c r="N637" s="10"/>
      <c r="O637" s="10"/>
      <c r="P637" s="10"/>
      <c r="R637" s="103"/>
      <c r="S637" s="10"/>
      <c r="T637" s="10"/>
      <c r="U637" s="10"/>
      <c r="V637" s="10"/>
      <c r="W637" s="103"/>
      <c r="X637" s="103"/>
      <c r="Y637" s="103"/>
    </row>
    <row r="638" spans="1:25" ht="13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41"/>
      <c r="M638" s="41"/>
      <c r="N638" s="10"/>
      <c r="O638" s="10"/>
      <c r="P638" s="10"/>
      <c r="R638" s="103"/>
      <c r="S638" s="10"/>
      <c r="T638" s="10"/>
      <c r="U638" s="10"/>
      <c r="V638" s="10"/>
      <c r="W638" s="103"/>
      <c r="X638" s="103"/>
      <c r="Y638" s="103"/>
    </row>
    <row r="639" spans="1:25" ht="13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41"/>
      <c r="M639" s="41"/>
      <c r="N639" s="10"/>
      <c r="O639" s="10"/>
      <c r="P639" s="10"/>
      <c r="R639" s="103"/>
      <c r="S639" s="10"/>
      <c r="T639" s="10"/>
      <c r="U639" s="10"/>
      <c r="V639" s="10"/>
      <c r="W639" s="103"/>
      <c r="X639" s="103"/>
      <c r="Y639" s="103"/>
    </row>
    <row r="640" spans="1:25" ht="13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41"/>
      <c r="M640" s="41"/>
      <c r="N640" s="10"/>
      <c r="O640" s="10"/>
      <c r="P640" s="10"/>
      <c r="R640" s="103"/>
      <c r="S640" s="10"/>
      <c r="T640" s="10"/>
      <c r="U640" s="10"/>
      <c r="V640" s="10"/>
      <c r="W640" s="103"/>
      <c r="X640" s="103"/>
      <c r="Y640" s="103"/>
    </row>
    <row r="641" spans="1:25" ht="13">
      <c r="A641" s="10"/>
      <c r="B641" s="10"/>
      <c r="C641" s="10"/>
      <c r="D641" s="10"/>
      <c r="E641" s="10"/>
      <c r="F641" s="10"/>
      <c r="G641" s="10"/>
      <c r="H641" s="10"/>
      <c r="I641" s="103"/>
      <c r="J641" s="103"/>
      <c r="K641" s="103"/>
      <c r="L641" s="61"/>
      <c r="M641" s="41"/>
      <c r="N641" s="90"/>
      <c r="O641" s="10"/>
      <c r="P641" s="10"/>
      <c r="R641" s="103"/>
      <c r="S641" s="10"/>
      <c r="T641" s="10"/>
      <c r="U641" s="10"/>
      <c r="V641" s="10"/>
      <c r="W641" s="103"/>
      <c r="X641" s="103"/>
      <c r="Y641" s="103"/>
    </row>
    <row r="642" spans="1:25" ht="13">
      <c r="A642" s="10"/>
      <c r="B642" s="10"/>
      <c r="C642" s="10"/>
      <c r="D642" s="10"/>
      <c r="E642" s="10"/>
      <c r="F642" s="10"/>
      <c r="G642" s="10"/>
      <c r="H642" s="10"/>
      <c r="I642" s="103"/>
      <c r="J642" s="103"/>
      <c r="K642" s="103"/>
      <c r="L642" s="61"/>
      <c r="M642" s="41"/>
      <c r="N642" s="90"/>
      <c r="O642" s="10"/>
      <c r="P642" s="10"/>
      <c r="R642" s="103"/>
      <c r="S642" s="10"/>
      <c r="T642" s="10"/>
      <c r="U642" s="10"/>
      <c r="V642" s="10"/>
      <c r="W642" s="103"/>
      <c r="X642" s="103"/>
      <c r="Y642" s="103"/>
    </row>
    <row r="643" spans="1:25" ht="1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41"/>
      <c r="M643" s="41"/>
      <c r="N643" s="10"/>
      <c r="O643" s="10"/>
      <c r="P643" s="10"/>
      <c r="R643" s="103"/>
      <c r="S643" s="10"/>
      <c r="T643" s="10"/>
      <c r="U643" s="10"/>
      <c r="V643" s="10"/>
      <c r="W643" s="103"/>
      <c r="X643" s="103"/>
      <c r="Y643" s="103"/>
    </row>
    <row r="644" spans="1:25" ht="13">
      <c r="A644" s="10"/>
      <c r="B644" s="10"/>
      <c r="C644" s="10"/>
      <c r="D644" s="10"/>
      <c r="E644" s="10"/>
      <c r="F644" s="10"/>
      <c r="G644" s="10"/>
      <c r="H644" s="10"/>
      <c r="I644" s="103"/>
      <c r="J644" s="103"/>
      <c r="K644" s="103"/>
      <c r="L644" s="61"/>
      <c r="M644" s="61"/>
      <c r="N644" s="90"/>
      <c r="O644" s="10"/>
      <c r="P644" s="10"/>
      <c r="R644" s="103"/>
      <c r="S644" s="10"/>
      <c r="T644" s="103"/>
      <c r="U644" s="10"/>
      <c r="V644" s="103"/>
      <c r="W644" s="103"/>
      <c r="X644" s="103"/>
      <c r="Y644" s="103"/>
    </row>
    <row r="645" spans="1:25" ht="13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R645" s="103"/>
      <c r="S645" s="10"/>
      <c r="T645" s="10"/>
      <c r="U645" s="10"/>
      <c r="V645" s="10"/>
      <c r="W645" s="103"/>
      <c r="X645" s="103"/>
      <c r="Y645" s="103"/>
    </row>
    <row r="646" spans="1:25" ht="13">
      <c r="A646" s="10"/>
      <c r="B646" s="10"/>
      <c r="C646" s="10"/>
      <c r="D646" s="10"/>
      <c r="E646" s="10"/>
      <c r="F646" s="10"/>
      <c r="G646" s="10"/>
      <c r="H646" s="10"/>
      <c r="I646" s="103"/>
      <c r="J646" s="103"/>
      <c r="K646" s="103"/>
      <c r="L646" s="61"/>
      <c r="M646" s="61"/>
      <c r="N646" s="90"/>
      <c r="O646" s="10"/>
      <c r="P646" s="10"/>
      <c r="R646" s="103"/>
      <c r="S646" s="10"/>
      <c r="T646" s="103"/>
      <c r="U646" s="10"/>
      <c r="V646" s="103"/>
      <c r="W646" s="103"/>
      <c r="X646" s="103"/>
      <c r="Y646" s="103"/>
    </row>
    <row r="647" spans="1:25" ht="13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R647" s="10"/>
      <c r="S647" s="10"/>
      <c r="T647" s="10"/>
      <c r="U647" s="10"/>
      <c r="V647" s="10"/>
      <c r="W647" s="103"/>
      <c r="X647" s="103"/>
      <c r="Y647" s="103"/>
    </row>
    <row r="648" spans="1:25" ht="13">
      <c r="A648" s="10"/>
      <c r="B648" s="10"/>
      <c r="C648" s="10"/>
      <c r="D648" s="10"/>
      <c r="E648" s="10"/>
      <c r="F648" s="10"/>
      <c r="G648" s="10"/>
      <c r="H648" s="10"/>
      <c r="I648" s="103"/>
      <c r="J648" s="103"/>
      <c r="K648" s="103"/>
      <c r="L648" s="61"/>
      <c r="M648" s="61"/>
      <c r="N648" s="90"/>
      <c r="O648" s="103"/>
      <c r="P648" s="103"/>
      <c r="R648" s="103"/>
      <c r="S648" s="90"/>
      <c r="T648" s="10"/>
      <c r="U648" s="10"/>
      <c r="V648" s="10"/>
      <c r="W648" s="103"/>
      <c r="X648" s="103"/>
      <c r="Y648" s="103"/>
    </row>
    <row r="649" spans="1:25" ht="13">
      <c r="A649" s="10"/>
      <c r="B649" s="10"/>
      <c r="C649" s="10"/>
      <c r="D649" s="10"/>
      <c r="E649" s="10"/>
      <c r="F649" s="10"/>
      <c r="G649" s="10"/>
      <c r="H649" s="10"/>
      <c r="I649" s="103"/>
      <c r="J649" s="103"/>
      <c r="K649" s="103"/>
      <c r="L649" s="61"/>
      <c r="M649" s="61"/>
      <c r="N649" s="90"/>
      <c r="O649" s="103"/>
      <c r="P649" s="103"/>
      <c r="R649" s="103"/>
      <c r="S649" s="90"/>
      <c r="T649" s="10"/>
      <c r="U649" s="10"/>
      <c r="V649" s="10"/>
      <c r="W649" s="103"/>
      <c r="X649" s="103"/>
      <c r="Y649" s="103"/>
    </row>
    <row r="650" spans="1:25" ht="13">
      <c r="A650" s="10"/>
      <c r="B650" s="10"/>
      <c r="C650" s="10"/>
      <c r="D650" s="10"/>
      <c r="E650" s="10"/>
      <c r="F650" s="10"/>
      <c r="G650" s="10"/>
      <c r="H650" s="10"/>
      <c r="I650" s="103"/>
      <c r="J650" s="103"/>
      <c r="K650" s="103"/>
      <c r="L650" s="61"/>
      <c r="M650" s="61"/>
      <c r="N650" s="90"/>
      <c r="O650" s="124"/>
      <c r="P650" s="124"/>
      <c r="R650" s="103"/>
      <c r="S650" s="90"/>
      <c r="T650" s="10"/>
      <c r="U650" s="10"/>
      <c r="V650" s="10"/>
      <c r="W650" s="103"/>
      <c r="X650" s="103"/>
      <c r="Y650" s="103"/>
    </row>
    <row r="651" spans="1:25" ht="13">
      <c r="A651" s="10"/>
      <c r="B651" s="10"/>
      <c r="C651" s="10"/>
      <c r="D651" s="10"/>
      <c r="E651" s="10"/>
      <c r="F651" s="10"/>
      <c r="G651" s="10"/>
      <c r="H651" s="10"/>
      <c r="I651" s="103"/>
      <c r="J651" s="103"/>
      <c r="K651" s="103"/>
      <c r="L651" s="61"/>
      <c r="M651" s="61"/>
      <c r="N651" s="90"/>
      <c r="O651" s="124"/>
      <c r="P651" s="124"/>
      <c r="R651" s="103"/>
      <c r="S651" s="90"/>
      <c r="T651" s="10"/>
      <c r="U651" s="10"/>
      <c r="V651" s="10"/>
      <c r="W651" s="103"/>
      <c r="X651" s="103"/>
      <c r="Y651" s="103"/>
    </row>
    <row r="652" spans="1:25" ht="13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3"/>
      <c r="O652" s="103"/>
      <c r="P652" s="103"/>
      <c r="R652" s="103"/>
      <c r="S652" s="10"/>
      <c r="T652" s="10"/>
      <c r="U652" s="10"/>
      <c r="V652" s="10"/>
      <c r="W652" s="103"/>
      <c r="X652" s="103"/>
      <c r="Y652" s="103"/>
    </row>
    <row r="653" spans="1:25" ht="13">
      <c r="A653" s="10"/>
      <c r="B653" s="10"/>
      <c r="C653" s="10"/>
      <c r="D653" s="10"/>
      <c r="E653" s="10"/>
      <c r="F653" s="10"/>
      <c r="G653" s="10"/>
      <c r="H653" s="10"/>
      <c r="I653" s="103"/>
      <c r="J653" s="103"/>
      <c r="K653" s="103"/>
      <c r="L653" s="61"/>
      <c r="M653" s="61"/>
      <c r="N653" s="90"/>
      <c r="O653" s="103"/>
      <c r="P653" s="103"/>
      <c r="R653" s="103"/>
      <c r="S653" s="10"/>
      <c r="T653" s="10"/>
      <c r="U653" s="10"/>
      <c r="V653" s="10"/>
      <c r="W653" s="103"/>
      <c r="X653" s="103"/>
      <c r="Y653" s="103"/>
    </row>
    <row r="654" spans="1:25" ht="13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3"/>
      <c r="O654" s="103"/>
      <c r="P654" s="103"/>
      <c r="R654" s="103"/>
      <c r="S654" s="10"/>
      <c r="T654" s="10"/>
      <c r="U654" s="10"/>
      <c r="V654" s="10"/>
      <c r="W654" s="103"/>
      <c r="X654" s="103"/>
      <c r="Y654" s="103"/>
    </row>
    <row r="655" spans="1:25" ht="13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41"/>
      <c r="M655" s="10"/>
      <c r="N655" s="103"/>
      <c r="O655" s="103"/>
      <c r="P655" s="103"/>
      <c r="R655" s="103"/>
      <c r="S655" s="10"/>
      <c r="T655" s="10"/>
      <c r="U655" s="10"/>
      <c r="V655" s="10"/>
      <c r="W655" s="103"/>
      <c r="X655" s="103"/>
      <c r="Y655" s="103"/>
    </row>
    <row r="656" spans="1:25" ht="13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41"/>
      <c r="M656" s="10"/>
      <c r="N656" s="103"/>
      <c r="O656" s="103"/>
      <c r="P656" s="103"/>
      <c r="R656" s="103"/>
      <c r="S656" s="10"/>
      <c r="T656" s="10"/>
      <c r="U656" s="10"/>
      <c r="V656" s="10"/>
      <c r="W656" s="103"/>
      <c r="X656" s="103"/>
      <c r="Y656" s="103"/>
    </row>
    <row r="657" spans="1:25" ht="13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41"/>
      <c r="M657" s="10"/>
      <c r="N657" s="103"/>
      <c r="O657" s="103"/>
      <c r="P657" s="103"/>
      <c r="R657" s="103"/>
      <c r="S657" s="10"/>
      <c r="T657" s="10"/>
      <c r="U657" s="10"/>
      <c r="V657" s="10"/>
      <c r="W657" s="103"/>
      <c r="X657" s="103"/>
      <c r="Y657" s="103"/>
    </row>
    <row r="658" spans="1:25" ht="13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41"/>
      <c r="M658" s="10"/>
      <c r="N658" s="103"/>
      <c r="O658" s="103"/>
      <c r="P658" s="103"/>
      <c r="R658" s="103"/>
      <c r="S658" s="10"/>
      <c r="T658" s="10"/>
      <c r="U658" s="10"/>
      <c r="V658" s="10"/>
      <c r="W658" s="103"/>
      <c r="X658" s="103"/>
      <c r="Y658" s="103"/>
    </row>
    <row r="659" spans="1:25" ht="13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41"/>
      <c r="M659" s="10"/>
      <c r="N659" s="103"/>
      <c r="O659" s="103"/>
      <c r="P659" s="103"/>
      <c r="R659" s="103"/>
      <c r="S659" s="10"/>
      <c r="T659" s="10"/>
      <c r="U659" s="10"/>
      <c r="V659" s="10"/>
      <c r="W659" s="103"/>
      <c r="X659" s="103"/>
      <c r="Y659" s="103"/>
    </row>
    <row r="660" spans="1:25" ht="13">
      <c r="A660" s="10"/>
      <c r="B660" s="10"/>
      <c r="C660" s="10"/>
      <c r="D660" s="10"/>
      <c r="E660" s="10"/>
      <c r="F660" s="10"/>
      <c r="G660" s="10"/>
      <c r="H660" s="10"/>
      <c r="I660" s="103"/>
      <c r="J660" s="103"/>
      <c r="K660" s="103"/>
      <c r="L660" s="61"/>
      <c r="M660" s="10"/>
      <c r="N660" s="90"/>
      <c r="O660" s="103"/>
      <c r="P660" s="103"/>
      <c r="R660" s="103"/>
      <c r="S660" s="10"/>
      <c r="T660" s="10"/>
      <c r="U660" s="10"/>
      <c r="V660" s="10"/>
      <c r="W660" s="103"/>
      <c r="X660" s="103"/>
      <c r="Y660" s="103"/>
    </row>
    <row r="661" spans="1:25" ht="13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3"/>
      <c r="O661" s="103"/>
      <c r="P661" s="103"/>
      <c r="R661" s="103"/>
      <c r="S661" s="10"/>
      <c r="T661" s="10"/>
      <c r="U661" s="10"/>
      <c r="V661" s="10"/>
      <c r="W661" s="103"/>
      <c r="X661" s="103"/>
      <c r="Y661" s="103"/>
    </row>
    <row r="662" spans="1:25" ht="13">
      <c r="A662" s="10"/>
      <c r="B662" s="10"/>
      <c r="D662" s="10"/>
      <c r="E662" s="10"/>
      <c r="F662" s="10"/>
      <c r="G662" s="10"/>
      <c r="H662" s="10"/>
      <c r="I662" s="103"/>
      <c r="J662" s="165"/>
      <c r="K662" s="103"/>
      <c r="L662" s="61"/>
      <c r="M662" s="10"/>
      <c r="N662" s="90"/>
      <c r="O662" s="103"/>
      <c r="P662" s="103"/>
      <c r="R662" s="83"/>
      <c r="S662" s="10"/>
      <c r="T662" s="10"/>
      <c r="U662" s="10"/>
      <c r="V662" s="10"/>
      <c r="W662" s="103"/>
      <c r="X662" s="103"/>
      <c r="Y662" s="103"/>
    </row>
    <row r="663" spans="1:25" ht="1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3"/>
      <c r="O663" s="103"/>
      <c r="P663" s="103"/>
      <c r="R663" s="103"/>
      <c r="S663" s="10"/>
      <c r="T663" s="10"/>
      <c r="U663" s="10"/>
      <c r="V663" s="10"/>
      <c r="W663" s="103"/>
      <c r="X663" s="103"/>
      <c r="Y663" s="103"/>
    </row>
    <row r="664" spans="1:25" ht="13">
      <c r="A664" s="10"/>
      <c r="B664" s="37"/>
      <c r="C664" s="10"/>
      <c r="D664" s="10"/>
      <c r="E664" s="37"/>
      <c r="F664" s="37"/>
      <c r="G664" s="203"/>
      <c r="H664" s="10"/>
      <c r="I664" s="103"/>
      <c r="J664" s="10"/>
      <c r="K664" s="10"/>
      <c r="L664" s="10"/>
      <c r="M664" s="10"/>
      <c r="N664" s="90"/>
      <c r="O664" s="103"/>
      <c r="P664" s="103"/>
      <c r="R664" s="103"/>
      <c r="S664" s="10"/>
      <c r="T664" s="103"/>
      <c r="U664" s="10"/>
      <c r="V664" s="10"/>
      <c r="W664" s="103"/>
      <c r="X664" s="103"/>
      <c r="Y664" s="10"/>
    </row>
    <row r="665" spans="1:25" ht="13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3"/>
      <c r="O665" s="103"/>
      <c r="P665" s="103"/>
      <c r="R665" s="103"/>
      <c r="S665" s="10"/>
      <c r="T665" s="10"/>
      <c r="U665" s="10"/>
      <c r="V665" s="10"/>
      <c r="W665" s="10"/>
      <c r="X665" s="10"/>
      <c r="Y665" s="10"/>
    </row>
    <row r="666" spans="1:25" ht="13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3"/>
      <c r="O666" s="90"/>
      <c r="P666" s="90"/>
      <c r="R666" s="103"/>
      <c r="S666" s="10"/>
      <c r="T666" s="10"/>
      <c r="U666" s="10"/>
      <c r="V666" s="10"/>
      <c r="W666" s="103"/>
      <c r="X666" s="103"/>
      <c r="Y666" s="10"/>
    </row>
    <row r="667" spans="1:25" ht="13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3"/>
      <c r="O667" s="90"/>
      <c r="P667" s="90"/>
      <c r="R667" s="103"/>
      <c r="S667" s="10"/>
      <c r="T667" s="10"/>
      <c r="U667" s="10"/>
      <c r="V667" s="10"/>
      <c r="W667" s="103"/>
      <c r="X667" s="103"/>
      <c r="Y667" s="10"/>
    </row>
    <row r="668" spans="1:25" ht="13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3"/>
      <c r="O668" s="103"/>
      <c r="P668" s="103"/>
      <c r="R668" s="103"/>
      <c r="S668" s="10"/>
      <c r="T668" s="10"/>
      <c r="U668" s="10"/>
      <c r="V668" s="10"/>
      <c r="W668" s="10"/>
      <c r="X668" s="10"/>
      <c r="Y668" s="10"/>
    </row>
    <row r="669" spans="1:25" ht="13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3"/>
      <c r="O669" s="103"/>
      <c r="P669" s="103"/>
      <c r="R669" s="103"/>
      <c r="S669" s="10"/>
      <c r="T669" s="10"/>
      <c r="U669" s="10"/>
      <c r="V669" s="10"/>
      <c r="W669" s="10"/>
      <c r="X669" s="10"/>
      <c r="Y669" s="10"/>
    </row>
    <row r="670" spans="1:25" ht="13">
      <c r="N670" s="5"/>
      <c r="O670" s="5"/>
      <c r="P670" s="5"/>
      <c r="R670" s="5"/>
    </row>
    <row r="671" spans="1:25" ht="13">
      <c r="N671" s="5"/>
      <c r="O671" s="5"/>
      <c r="P671" s="5"/>
      <c r="R671" s="5"/>
    </row>
    <row r="672" spans="1:25" ht="13">
      <c r="N672" s="5"/>
      <c r="O672" s="5"/>
      <c r="P672" s="5"/>
      <c r="R672" s="5"/>
    </row>
    <row r="673" spans="14:18" ht="13">
      <c r="N673" s="5"/>
      <c r="O673" s="5"/>
      <c r="P673" s="5"/>
      <c r="R673" s="5"/>
    </row>
    <row r="674" spans="14:18" ht="13">
      <c r="N674" s="5"/>
      <c r="O674" s="5"/>
      <c r="P674" s="5"/>
      <c r="R674" s="5"/>
    </row>
    <row r="675" spans="14:18" ht="13">
      <c r="N675" s="5"/>
      <c r="O675" s="5"/>
      <c r="P675" s="5"/>
      <c r="R675" s="5"/>
    </row>
    <row r="676" spans="14:18" ht="13">
      <c r="N676" s="5"/>
      <c r="O676" s="5"/>
      <c r="P676" s="5"/>
      <c r="R676" s="5"/>
    </row>
    <row r="677" spans="14:18" ht="13">
      <c r="N677" s="5"/>
      <c r="O677" s="5"/>
      <c r="P677" s="5"/>
      <c r="R677" s="5"/>
    </row>
    <row r="678" spans="14:18" ht="13">
      <c r="N678" s="5"/>
      <c r="O678" s="5"/>
      <c r="P678" s="5"/>
      <c r="R678" s="5"/>
    </row>
    <row r="679" spans="14:18" ht="13">
      <c r="N679" s="5"/>
      <c r="O679" s="5"/>
      <c r="P679" s="5"/>
      <c r="R679" s="5"/>
    </row>
    <row r="680" spans="14:18" ht="13">
      <c r="N680" s="5"/>
      <c r="O680" s="5"/>
      <c r="P680" s="5"/>
      <c r="R680" s="5"/>
    </row>
    <row r="681" spans="14:18" ht="13">
      <c r="N681" s="5"/>
      <c r="O681" s="5"/>
      <c r="P681" s="5"/>
      <c r="R681" s="5"/>
    </row>
    <row r="682" spans="14:18" ht="13">
      <c r="N682" s="5"/>
      <c r="O682" s="5"/>
      <c r="P682" s="5"/>
      <c r="R682" s="5"/>
    </row>
    <row r="683" spans="14:18" ht="13">
      <c r="N683" s="5"/>
      <c r="O683" s="5"/>
      <c r="P683" s="5"/>
      <c r="R683" s="5"/>
    </row>
    <row r="684" spans="14:18" ht="13">
      <c r="N684" s="5"/>
      <c r="O684" s="5"/>
      <c r="P684" s="5"/>
      <c r="R684" s="5"/>
    </row>
    <row r="685" spans="14:18" ht="13">
      <c r="N685" s="5"/>
      <c r="O685" s="5"/>
      <c r="P685" s="5"/>
      <c r="R685" s="5"/>
    </row>
    <row r="686" spans="14:18" ht="13">
      <c r="N686" s="5"/>
      <c r="O686" s="5"/>
      <c r="P686" s="5"/>
      <c r="R686" s="5"/>
    </row>
    <row r="687" spans="14:18" ht="13">
      <c r="N687" s="5"/>
      <c r="O687" s="5"/>
      <c r="P687" s="5"/>
      <c r="R687" s="5"/>
    </row>
    <row r="688" spans="14:18" ht="13">
      <c r="N688" s="5"/>
      <c r="O688" s="5"/>
      <c r="P688" s="5"/>
      <c r="R688" s="5"/>
    </row>
    <row r="689" spans="14:18" ht="13">
      <c r="N689" s="5"/>
      <c r="O689" s="5"/>
      <c r="P689" s="5"/>
      <c r="R689" s="5"/>
    </row>
    <row r="690" spans="14:18" ht="13">
      <c r="N690" s="5"/>
      <c r="O690" s="5"/>
      <c r="P690" s="5"/>
      <c r="R690" s="5"/>
    </row>
    <row r="691" spans="14:18" ht="13">
      <c r="N691" s="5"/>
      <c r="O691" s="5"/>
      <c r="P691" s="5"/>
      <c r="R691" s="5"/>
    </row>
    <row r="692" spans="14:18" ht="13">
      <c r="N692" s="5"/>
      <c r="O692" s="5"/>
      <c r="P692" s="5"/>
      <c r="R692" s="5"/>
    </row>
    <row r="693" spans="14:18" ht="13">
      <c r="N693" s="5"/>
      <c r="O693" s="5"/>
      <c r="P693" s="5"/>
      <c r="R693" s="5"/>
    </row>
    <row r="694" spans="14:18" ht="13">
      <c r="N694" s="5"/>
      <c r="O694" s="5"/>
      <c r="P694" s="5"/>
      <c r="R694" s="5"/>
    </row>
    <row r="695" spans="14:18" ht="13">
      <c r="N695" s="5"/>
      <c r="O695" s="5"/>
      <c r="P695" s="5"/>
      <c r="R695" s="5"/>
    </row>
    <row r="696" spans="14:18" ht="13">
      <c r="N696" s="5"/>
      <c r="O696" s="5"/>
      <c r="P696" s="5"/>
      <c r="R696" s="5"/>
    </row>
    <row r="697" spans="14:18" ht="13">
      <c r="N697" s="5"/>
      <c r="O697" s="5"/>
      <c r="P697" s="5"/>
      <c r="R697" s="5"/>
    </row>
    <row r="698" spans="14:18" ht="13">
      <c r="N698" s="5"/>
      <c r="O698" s="5"/>
      <c r="P698" s="5"/>
      <c r="R698" s="5"/>
    </row>
    <row r="699" spans="14:18" ht="13">
      <c r="N699" s="5"/>
      <c r="O699" s="5"/>
      <c r="P699" s="5"/>
      <c r="R699" s="5"/>
    </row>
    <row r="700" spans="14:18" ht="13">
      <c r="N700" s="5"/>
      <c r="O700" s="5"/>
      <c r="P700" s="5"/>
      <c r="R700" s="5"/>
    </row>
    <row r="701" spans="14:18" ht="13">
      <c r="N701" s="5"/>
      <c r="O701" s="5"/>
      <c r="P701" s="5"/>
      <c r="R701" s="5"/>
    </row>
    <row r="702" spans="14:18" ht="13">
      <c r="N702" s="5"/>
      <c r="O702" s="5"/>
      <c r="P702" s="5"/>
      <c r="R702" s="5"/>
    </row>
    <row r="703" spans="14:18" ht="13">
      <c r="N703" s="5"/>
      <c r="O703" s="5"/>
      <c r="P703" s="5"/>
      <c r="R703" s="5"/>
    </row>
    <row r="704" spans="14:18" ht="13">
      <c r="N704" s="5"/>
      <c r="O704" s="5"/>
      <c r="P704" s="5"/>
      <c r="R704" s="5"/>
    </row>
    <row r="705" spans="14:18" ht="13">
      <c r="N705" s="5"/>
      <c r="O705" s="5"/>
      <c r="P705" s="5"/>
      <c r="R705" s="5"/>
    </row>
    <row r="706" spans="14:18" ht="13">
      <c r="N706" s="5"/>
      <c r="O706" s="5"/>
      <c r="P706" s="5"/>
      <c r="R706" s="5"/>
    </row>
    <row r="707" spans="14:18" ht="13">
      <c r="N707" s="5"/>
      <c r="O707" s="5"/>
      <c r="P707" s="5"/>
      <c r="R707" s="5"/>
    </row>
    <row r="708" spans="14:18" ht="13">
      <c r="N708" s="5"/>
      <c r="O708" s="5"/>
      <c r="P708" s="5"/>
      <c r="R708" s="5"/>
    </row>
    <row r="709" spans="14:18" ht="13">
      <c r="N709" s="5"/>
      <c r="O709" s="5"/>
      <c r="P709" s="5"/>
      <c r="R709" s="5"/>
    </row>
    <row r="710" spans="14:18" ht="13">
      <c r="N710" s="5"/>
      <c r="O710" s="5"/>
      <c r="P710" s="5"/>
      <c r="R710" s="5"/>
    </row>
    <row r="711" spans="14:18" ht="13">
      <c r="N711" s="5"/>
      <c r="O711" s="5"/>
      <c r="P711" s="5"/>
      <c r="R711" s="5"/>
    </row>
    <row r="712" spans="14:18" ht="13">
      <c r="N712" s="5"/>
      <c r="O712" s="5"/>
      <c r="P712" s="5"/>
      <c r="R712" s="5"/>
    </row>
    <row r="713" spans="14:18" ht="13">
      <c r="N713" s="5"/>
      <c r="O713" s="5"/>
      <c r="P713" s="5"/>
      <c r="R713" s="5"/>
    </row>
    <row r="714" spans="14:18" ht="13">
      <c r="N714" s="5"/>
      <c r="O714" s="5"/>
      <c r="P714" s="5"/>
      <c r="R714" s="5"/>
    </row>
    <row r="715" spans="14:18" ht="13">
      <c r="N715" s="5"/>
      <c r="O715" s="5"/>
      <c r="P715" s="5"/>
      <c r="R715" s="5"/>
    </row>
    <row r="716" spans="14:18" ht="13">
      <c r="N716" s="5"/>
      <c r="O716" s="5"/>
      <c r="P716" s="5"/>
      <c r="R716" s="5"/>
    </row>
    <row r="717" spans="14:18" ht="13">
      <c r="N717" s="5"/>
      <c r="O717" s="5"/>
      <c r="P717" s="5"/>
      <c r="R717" s="5"/>
    </row>
    <row r="718" spans="14:18" ht="13">
      <c r="N718" s="5"/>
      <c r="O718" s="5"/>
      <c r="P718" s="5"/>
      <c r="R718" s="5"/>
    </row>
    <row r="719" spans="14:18" ht="13">
      <c r="N719" s="5"/>
      <c r="O719" s="5"/>
      <c r="P719" s="5"/>
      <c r="R719" s="5"/>
    </row>
    <row r="720" spans="14:18" ht="13">
      <c r="N720" s="5"/>
      <c r="O720" s="5"/>
      <c r="P720" s="5"/>
      <c r="R720" s="5"/>
    </row>
    <row r="721" spans="14:18" ht="13">
      <c r="N721" s="5"/>
      <c r="O721" s="5"/>
      <c r="P721" s="5"/>
      <c r="R721" s="5"/>
    </row>
    <row r="722" spans="14:18" ht="13">
      <c r="N722" s="5"/>
      <c r="O722" s="5"/>
      <c r="P722" s="5"/>
      <c r="R722" s="5"/>
    </row>
    <row r="723" spans="14:18" ht="13">
      <c r="N723" s="5"/>
      <c r="O723" s="5"/>
      <c r="P723" s="5"/>
      <c r="R723" s="5"/>
    </row>
    <row r="724" spans="14:18" ht="13">
      <c r="N724" s="5"/>
      <c r="O724" s="5"/>
      <c r="P724" s="5"/>
      <c r="R724" s="5"/>
    </row>
    <row r="725" spans="14:18" ht="13">
      <c r="N725" s="5"/>
      <c r="O725" s="5"/>
      <c r="P725" s="5"/>
      <c r="R725" s="5"/>
    </row>
    <row r="726" spans="14:18" ht="13">
      <c r="N726" s="5"/>
      <c r="O726" s="5"/>
      <c r="P726" s="5"/>
      <c r="R726" s="5"/>
    </row>
    <row r="727" spans="14:18" ht="13">
      <c r="N727" s="5"/>
      <c r="O727" s="5"/>
      <c r="P727" s="5"/>
      <c r="R727" s="5"/>
    </row>
    <row r="728" spans="14:18" ht="13">
      <c r="N728" s="5"/>
      <c r="O728" s="5"/>
      <c r="P728" s="5"/>
      <c r="R728" s="5"/>
    </row>
    <row r="729" spans="14:18" ht="13">
      <c r="N729" s="5"/>
      <c r="O729" s="5"/>
      <c r="P729" s="5"/>
      <c r="R729" s="5"/>
    </row>
    <row r="730" spans="14:18" ht="13">
      <c r="N730" s="5"/>
      <c r="O730" s="5"/>
      <c r="P730" s="5"/>
      <c r="R730" s="5"/>
    </row>
    <row r="731" spans="14:18" ht="13">
      <c r="N731" s="5"/>
      <c r="O731" s="5"/>
      <c r="P731" s="5"/>
      <c r="R731" s="5"/>
    </row>
    <row r="732" spans="14:18" ht="13">
      <c r="N732" s="5"/>
      <c r="O732" s="5"/>
      <c r="P732" s="5"/>
      <c r="R732" s="5"/>
    </row>
    <row r="733" spans="14:18" ht="13">
      <c r="N733" s="5"/>
      <c r="O733" s="5"/>
      <c r="P733" s="5"/>
      <c r="R733" s="5"/>
    </row>
    <row r="734" spans="14:18" ht="13">
      <c r="N734" s="5"/>
      <c r="O734" s="5"/>
      <c r="P734" s="5"/>
      <c r="R734" s="5"/>
    </row>
    <row r="735" spans="14:18" ht="13">
      <c r="N735" s="5"/>
      <c r="O735" s="5"/>
      <c r="P735" s="5"/>
      <c r="R735" s="5"/>
    </row>
    <row r="736" spans="14:18" ht="13">
      <c r="N736" s="5"/>
      <c r="O736" s="5"/>
      <c r="P736" s="5"/>
      <c r="R736" s="5"/>
    </row>
    <row r="737" spans="14:18" ht="13">
      <c r="N737" s="5"/>
      <c r="O737" s="5"/>
      <c r="P737" s="5"/>
      <c r="R737" s="5"/>
    </row>
    <row r="738" spans="14:18" ht="13">
      <c r="N738" s="5"/>
      <c r="O738" s="5"/>
      <c r="P738" s="5"/>
      <c r="R738" s="5"/>
    </row>
    <row r="739" spans="14:18" ht="13">
      <c r="N739" s="5"/>
      <c r="O739" s="5"/>
      <c r="P739" s="5"/>
      <c r="R739" s="5"/>
    </row>
    <row r="740" spans="14:18" ht="13">
      <c r="N740" s="5"/>
      <c r="O740" s="5"/>
      <c r="P740" s="5"/>
      <c r="R740" s="5"/>
    </row>
    <row r="741" spans="14:18" ht="13">
      <c r="N741" s="5"/>
      <c r="O741" s="5"/>
      <c r="P741" s="5"/>
      <c r="R741" s="5"/>
    </row>
    <row r="742" spans="14:18" ht="13">
      <c r="N742" s="5"/>
      <c r="O742" s="5"/>
      <c r="P742" s="5"/>
      <c r="R742" s="5"/>
    </row>
    <row r="743" spans="14:18" ht="13">
      <c r="N743" s="5"/>
      <c r="O743" s="5"/>
      <c r="P743" s="5"/>
      <c r="R743" s="5"/>
    </row>
    <row r="744" spans="14:18" ht="13">
      <c r="N744" s="5"/>
      <c r="O744" s="5"/>
      <c r="P744" s="5"/>
      <c r="R744" s="5"/>
    </row>
    <row r="745" spans="14:18" ht="13">
      <c r="N745" s="5"/>
      <c r="O745" s="5"/>
      <c r="P745" s="5"/>
      <c r="R745" s="5"/>
    </row>
    <row r="746" spans="14:18" ht="13">
      <c r="N746" s="5"/>
      <c r="O746" s="5"/>
      <c r="P746" s="5"/>
      <c r="R746" s="5"/>
    </row>
    <row r="747" spans="14:18" ht="13">
      <c r="N747" s="5"/>
      <c r="O747" s="5"/>
      <c r="P747" s="5"/>
      <c r="R747" s="5"/>
    </row>
    <row r="748" spans="14:18" ht="13">
      <c r="N748" s="5"/>
      <c r="O748" s="5"/>
      <c r="P748" s="5"/>
      <c r="R748" s="5"/>
    </row>
    <row r="749" spans="14:18" ht="13">
      <c r="N749" s="5"/>
      <c r="O749" s="5"/>
      <c r="P749" s="5"/>
      <c r="R749" s="5"/>
    </row>
    <row r="750" spans="14:18" ht="13">
      <c r="N750" s="5"/>
      <c r="O750" s="5"/>
      <c r="P750" s="5"/>
      <c r="R750" s="5"/>
    </row>
    <row r="751" spans="14:18" ht="13">
      <c r="N751" s="5"/>
      <c r="O751" s="5"/>
      <c r="P751" s="5"/>
      <c r="R751" s="5"/>
    </row>
    <row r="752" spans="14:18" ht="13">
      <c r="N752" s="5"/>
      <c r="O752" s="5"/>
      <c r="P752" s="5"/>
      <c r="R752" s="5"/>
    </row>
    <row r="753" spans="14:18" ht="13">
      <c r="N753" s="5"/>
      <c r="O753" s="5"/>
      <c r="P753" s="5"/>
      <c r="R753" s="5"/>
    </row>
    <row r="754" spans="14:18" ht="13">
      <c r="N754" s="5"/>
      <c r="O754" s="5"/>
      <c r="P754" s="5"/>
      <c r="R754" s="5"/>
    </row>
    <row r="755" spans="14:18" ht="13">
      <c r="N755" s="5"/>
      <c r="O755" s="5"/>
      <c r="P755" s="5"/>
      <c r="R755" s="5"/>
    </row>
    <row r="756" spans="14:18" ht="13">
      <c r="N756" s="5"/>
      <c r="O756" s="5"/>
      <c r="P756" s="5"/>
      <c r="R756" s="5"/>
    </row>
    <row r="757" spans="14:18" ht="13">
      <c r="N757" s="5"/>
      <c r="O757" s="5"/>
      <c r="P757" s="5"/>
      <c r="R757" s="5"/>
    </row>
    <row r="758" spans="14:18" ht="13">
      <c r="N758" s="5"/>
      <c r="O758" s="5"/>
      <c r="P758" s="5"/>
      <c r="R758" s="5"/>
    </row>
    <row r="759" spans="14:18" ht="13">
      <c r="N759" s="5"/>
      <c r="O759" s="5"/>
      <c r="P759" s="5"/>
      <c r="R759" s="5"/>
    </row>
    <row r="760" spans="14:18" ht="13">
      <c r="N760" s="5"/>
      <c r="O760" s="5"/>
      <c r="P760" s="5"/>
      <c r="R760" s="5"/>
    </row>
    <row r="761" spans="14:18" ht="13">
      <c r="N761" s="5"/>
      <c r="O761" s="5"/>
      <c r="P761" s="5"/>
      <c r="R761" s="5"/>
    </row>
    <row r="762" spans="14:18" ht="13">
      <c r="N762" s="5"/>
      <c r="O762" s="5"/>
      <c r="P762" s="5"/>
      <c r="R762" s="5"/>
    </row>
    <row r="763" spans="14:18" ht="13">
      <c r="N763" s="5"/>
      <c r="O763" s="5"/>
      <c r="P763" s="5"/>
      <c r="R763" s="5"/>
    </row>
    <row r="764" spans="14:18" ht="13">
      <c r="N764" s="5"/>
      <c r="O764" s="5"/>
      <c r="P764" s="5"/>
      <c r="R764" s="5"/>
    </row>
    <row r="765" spans="14:18" ht="13">
      <c r="N765" s="5"/>
      <c r="O765" s="5"/>
      <c r="P765" s="5"/>
      <c r="R765" s="5"/>
    </row>
    <row r="766" spans="14:18" ht="13">
      <c r="N766" s="5"/>
      <c r="O766" s="5"/>
      <c r="P766" s="5"/>
      <c r="R766" s="5"/>
    </row>
    <row r="767" spans="14:18" ht="13">
      <c r="N767" s="5"/>
      <c r="O767" s="5"/>
      <c r="P767" s="5"/>
      <c r="R767" s="5"/>
    </row>
    <row r="768" spans="14:18" ht="13">
      <c r="N768" s="5"/>
      <c r="O768" s="5"/>
      <c r="P768" s="5"/>
      <c r="R768" s="5"/>
    </row>
    <row r="769" spans="14:18" ht="13">
      <c r="N769" s="5"/>
      <c r="O769" s="5"/>
      <c r="P769" s="5"/>
      <c r="R769" s="5"/>
    </row>
    <row r="770" spans="14:18" ht="13">
      <c r="N770" s="5"/>
      <c r="O770" s="5"/>
      <c r="P770" s="5"/>
      <c r="R770" s="5"/>
    </row>
    <row r="771" spans="14:18" ht="13">
      <c r="N771" s="5"/>
      <c r="O771" s="5"/>
      <c r="P771" s="5"/>
      <c r="R771" s="5"/>
    </row>
    <row r="772" spans="14:18" ht="13">
      <c r="N772" s="5"/>
      <c r="O772" s="5"/>
      <c r="P772" s="5"/>
      <c r="R772" s="5"/>
    </row>
    <row r="773" spans="14:18" ht="13">
      <c r="N773" s="5"/>
      <c r="O773" s="5"/>
      <c r="P773" s="5"/>
      <c r="R773" s="5"/>
    </row>
    <row r="774" spans="14:18" ht="13">
      <c r="N774" s="5"/>
      <c r="O774" s="5"/>
      <c r="P774" s="5"/>
      <c r="R774" s="5"/>
    </row>
    <row r="775" spans="14:18" ht="13">
      <c r="N775" s="5"/>
      <c r="O775" s="5"/>
      <c r="P775" s="5"/>
      <c r="R775" s="5"/>
    </row>
    <row r="776" spans="14:18" ht="13">
      <c r="N776" s="5"/>
      <c r="O776" s="5"/>
      <c r="P776" s="5"/>
      <c r="R776" s="5"/>
    </row>
    <row r="777" spans="14:18" ht="13">
      <c r="N777" s="5"/>
      <c r="O777" s="5"/>
      <c r="P777" s="5"/>
      <c r="R777" s="5"/>
    </row>
    <row r="778" spans="14:18" ht="13">
      <c r="N778" s="5"/>
      <c r="O778" s="5"/>
      <c r="P778" s="5"/>
      <c r="R778" s="5"/>
    </row>
    <row r="779" spans="14:18" ht="13">
      <c r="N779" s="5"/>
      <c r="O779" s="5"/>
      <c r="P779" s="5"/>
      <c r="R779" s="5"/>
    </row>
    <row r="780" spans="14:18" ht="13">
      <c r="N780" s="5"/>
      <c r="O780" s="5"/>
      <c r="P780" s="5"/>
      <c r="R780" s="5"/>
    </row>
    <row r="781" spans="14:18" ht="13">
      <c r="N781" s="5"/>
      <c r="O781" s="5"/>
      <c r="P781" s="5"/>
      <c r="R781" s="5"/>
    </row>
    <row r="782" spans="14:18" ht="13">
      <c r="N782" s="5"/>
      <c r="O782" s="5"/>
      <c r="P782" s="5"/>
      <c r="R782" s="5"/>
    </row>
    <row r="783" spans="14:18" ht="13">
      <c r="N783" s="5"/>
      <c r="O783" s="5"/>
      <c r="P783" s="5"/>
      <c r="R783" s="5"/>
    </row>
    <row r="784" spans="14:18" ht="13">
      <c r="N784" s="5"/>
      <c r="O784" s="5"/>
      <c r="P784" s="5"/>
      <c r="R784" s="5"/>
    </row>
    <row r="785" spans="14:18" ht="13">
      <c r="N785" s="5"/>
      <c r="O785" s="5"/>
      <c r="P785" s="5"/>
      <c r="R785" s="5"/>
    </row>
    <row r="786" spans="14:18" ht="13">
      <c r="N786" s="5"/>
      <c r="O786" s="5"/>
      <c r="P786" s="5"/>
      <c r="R786" s="5"/>
    </row>
    <row r="787" spans="14:18" ht="13">
      <c r="N787" s="5"/>
      <c r="O787" s="5"/>
      <c r="P787" s="5"/>
      <c r="R787" s="5"/>
    </row>
    <row r="788" spans="14:18" ht="13">
      <c r="N788" s="5"/>
      <c r="O788" s="5"/>
      <c r="P788" s="5"/>
      <c r="R788" s="5"/>
    </row>
    <row r="789" spans="14:18" ht="13">
      <c r="N789" s="5"/>
      <c r="O789" s="5"/>
      <c r="P789" s="5"/>
      <c r="R789" s="5"/>
    </row>
    <row r="790" spans="14:18" ht="13">
      <c r="N790" s="5"/>
      <c r="O790" s="5"/>
      <c r="P790" s="5"/>
      <c r="R790" s="5"/>
    </row>
    <row r="791" spans="14:18" ht="13">
      <c r="N791" s="5"/>
      <c r="O791" s="5"/>
      <c r="P791" s="5"/>
      <c r="R791" s="5"/>
    </row>
    <row r="792" spans="14:18" ht="13">
      <c r="N792" s="5"/>
      <c r="O792" s="5"/>
      <c r="P792" s="5"/>
      <c r="R792" s="5"/>
    </row>
    <row r="793" spans="14:18" ht="13">
      <c r="N793" s="5"/>
      <c r="O793" s="5"/>
      <c r="P793" s="5"/>
      <c r="R793" s="5"/>
    </row>
    <row r="794" spans="14:18" ht="13">
      <c r="N794" s="5"/>
      <c r="O794" s="5"/>
      <c r="P794" s="5"/>
      <c r="R794" s="5"/>
    </row>
    <row r="795" spans="14:18" ht="13">
      <c r="N795" s="5"/>
      <c r="O795" s="5"/>
      <c r="P795" s="5"/>
      <c r="R795" s="5"/>
    </row>
    <row r="796" spans="14:18" ht="13">
      <c r="N796" s="5"/>
      <c r="O796" s="5"/>
      <c r="P796" s="5"/>
      <c r="R796" s="5"/>
    </row>
    <row r="797" spans="14:18" ht="13">
      <c r="N797" s="5"/>
      <c r="O797" s="5"/>
      <c r="P797" s="5"/>
      <c r="R797" s="5"/>
    </row>
    <row r="798" spans="14:18" ht="13">
      <c r="N798" s="5"/>
      <c r="O798" s="5"/>
      <c r="P798" s="5"/>
      <c r="R798" s="5"/>
    </row>
    <row r="799" spans="14:18" ht="13">
      <c r="N799" s="5"/>
      <c r="O799" s="5"/>
      <c r="P799" s="5"/>
      <c r="R799" s="5"/>
    </row>
    <row r="800" spans="14:18" ht="13">
      <c r="N800" s="5"/>
      <c r="O800" s="5"/>
      <c r="P800" s="5"/>
      <c r="R800" s="5"/>
    </row>
    <row r="801" spans="14:18" ht="13">
      <c r="N801" s="5"/>
      <c r="O801" s="5"/>
      <c r="P801" s="5"/>
      <c r="R801" s="5"/>
    </row>
    <row r="802" spans="14:18" ht="13">
      <c r="N802" s="5"/>
      <c r="O802" s="5"/>
      <c r="P802" s="5"/>
      <c r="R802" s="5"/>
    </row>
    <row r="803" spans="14:18" ht="13">
      <c r="N803" s="5"/>
      <c r="O803" s="5"/>
      <c r="P803" s="5"/>
      <c r="R803" s="5"/>
    </row>
    <row r="804" spans="14:18" ht="13">
      <c r="N804" s="5"/>
      <c r="O804" s="5"/>
      <c r="P804" s="5"/>
      <c r="R804" s="5"/>
    </row>
    <row r="805" spans="14:18" ht="13">
      <c r="N805" s="5"/>
      <c r="O805" s="5"/>
      <c r="P805" s="5"/>
      <c r="R805" s="5"/>
    </row>
    <row r="806" spans="14:18" ht="13">
      <c r="N806" s="5"/>
      <c r="O806" s="5"/>
      <c r="P806" s="5"/>
      <c r="R806" s="5"/>
    </row>
    <row r="807" spans="14:18" ht="13">
      <c r="N807" s="5"/>
      <c r="O807" s="5"/>
      <c r="P807" s="5"/>
      <c r="R807" s="5"/>
    </row>
    <row r="808" spans="14:18" ht="13">
      <c r="N808" s="5"/>
      <c r="O808" s="5"/>
      <c r="P808" s="5"/>
      <c r="R808" s="5"/>
    </row>
    <row r="809" spans="14:18" ht="13">
      <c r="N809" s="5"/>
      <c r="O809" s="5"/>
      <c r="P809" s="5"/>
      <c r="R809" s="5"/>
    </row>
    <row r="810" spans="14:18" ht="13">
      <c r="N810" s="5"/>
      <c r="O810" s="5"/>
      <c r="P810" s="5"/>
      <c r="R810" s="5"/>
    </row>
    <row r="811" spans="14:18" ht="13">
      <c r="N811" s="5"/>
      <c r="O811" s="5"/>
      <c r="P811" s="5"/>
      <c r="R811" s="5"/>
    </row>
    <row r="812" spans="14:18" ht="13">
      <c r="N812" s="5"/>
      <c r="O812" s="5"/>
      <c r="P812" s="5"/>
      <c r="R812" s="5"/>
    </row>
    <row r="813" spans="14:18" ht="13">
      <c r="N813" s="5"/>
      <c r="O813" s="5"/>
      <c r="P813" s="5"/>
      <c r="R813" s="5"/>
    </row>
    <row r="814" spans="14:18" ht="13">
      <c r="N814" s="5"/>
      <c r="O814" s="5"/>
      <c r="P814" s="5"/>
      <c r="R814" s="5"/>
    </row>
    <row r="815" spans="14:18" ht="13">
      <c r="N815" s="5"/>
      <c r="O815" s="5"/>
      <c r="P815" s="5"/>
      <c r="R815" s="5"/>
    </row>
    <row r="816" spans="14:18" ht="13">
      <c r="N816" s="5"/>
      <c r="O816" s="5"/>
      <c r="P816" s="5"/>
      <c r="R816" s="5"/>
    </row>
    <row r="817" spans="14:18" ht="13">
      <c r="N817" s="5"/>
      <c r="O817" s="5"/>
      <c r="P817" s="5"/>
      <c r="R817" s="5"/>
    </row>
    <row r="818" spans="14:18" ht="13">
      <c r="N818" s="5"/>
      <c r="O818" s="5"/>
      <c r="P818" s="5"/>
      <c r="R818" s="5"/>
    </row>
    <row r="819" spans="14:18" ht="13">
      <c r="N819" s="5"/>
      <c r="O819" s="5"/>
      <c r="P819" s="5"/>
      <c r="R819" s="5"/>
    </row>
    <row r="820" spans="14:18" ht="13">
      <c r="N820" s="5"/>
      <c r="O820" s="5"/>
      <c r="P820" s="5"/>
      <c r="R820" s="5"/>
    </row>
    <row r="821" spans="14:18" ht="13">
      <c r="N821" s="5"/>
      <c r="O821" s="5"/>
      <c r="P821" s="5"/>
      <c r="R821" s="5"/>
    </row>
    <row r="822" spans="14:18" ht="13">
      <c r="N822" s="5"/>
      <c r="O822" s="5"/>
      <c r="P822" s="5"/>
      <c r="R822" s="5"/>
    </row>
    <row r="823" spans="14:18" ht="13">
      <c r="N823" s="5"/>
      <c r="O823" s="5"/>
      <c r="P823" s="5"/>
      <c r="R823" s="5"/>
    </row>
    <row r="824" spans="14:18" ht="13">
      <c r="N824" s="5"/>
      <c r="O824" s="5"/>
      <c r="P824" s="5"/>
      <c r="R824" s="5"/>
    </row>
    <row r="825" spans="14:18" ht="13">
      <c r="N825" s="5"/>
      <c r="O825" s="5"/>
      <c r="P825" s="5"/>
      <c r="R825" s="5"/>
    </row>
    <row r="826" spans="14:18" ht="13">
      <c r="N826" s="5"/>
      <c r="O826" s="5"/>
      <c r="P826" s="5"/>
      <c r="R826" s="5"/>
    </row>
    <row r="827" spans="14:18" ht="13">
      <c r="N827" s="5"/>
      <c r="O827" s="5"/>
      <c r="P827" s="5"/>
      <c r="R827" s="5"/>
    </row>
    <row r="828" spans="14:18" ht="13">
      <c r="N828" s="5"/>
      <c r="O828" s="5"/>
      <c r="P828" s="5"/>
      <c r="R828" s="5"/>
    </row>
    <row r="829" spans="14:18" ht="13">
      <c r="N829" s="5"/>
      <c r="O829" s="5"/>
      <c r="P829" s="5"/>
      <c r="R829" s="5"/>
    </row>
    <row r="830" spans="14:18" ht="13">
      <c r="N830" s="5"/>
      <c r="O830" s="5"/>
      <c r="P830" s="5"/>
      <c r="R830" s="5"/>
    </row>
    <row r="831" spans="14:18" ht="13">
      <c r="N831" s="5"/>
      <c r="O831" s="5"/>
      <c r="P831" s="5"/>
      <c r="R831" s="5"/>
    </row>
    <row r="832" spans="14:18" ht="13">
      <c r="N832" s="5"/>
      <c r="O832" s="5"/>
      <c r="P832" s="5"/>
      <c r="R832" s="5"/>
    </row>
    <row r="833" spans="14:18" ht="13">
      <c r="N833" s="5"/>
      <c r="O833" s="5"/>
      <c r="P833" s="5"/>
      <c r="R833" s="5"/>
    </row>
    <row r="834" spans="14:18" ht="13">
      <c r="N834" s="5"/>
      <c r="O834" s="5"/>
      <c r="P834" s="5"/>
      <c r="R834" s="5"/>
    </row>
    <row r="835" spans="14:18" ht="13">
      <c r="N835" s="5"/>
      <c r="O835" s="5"/>
      <c r="P835" s="5"/>
      <c r="R835" s="5"/>
    </row>
    <row r="836" spans="14:18" ht="13">
      <c r="N836" s="5"/>
      <c r="O836" s="5"/>
      <c r="P836" s="5"/>
      <c r="R836" s="5"/>
    </row>
    <row r="837" spans="14:18" ht="13">
      <c r="N837" s="5"/>
      <c r="O837" s="5"/>
      <c r="P837" s="5"/>
      <c r="R837" s="5"/>
    </row>
    <row r="838" spans="14:18" ht="13">
      <c r="N838" s="5"/>
      <c r="O838" s="5"/>
      <c r="P838" s="5"/>
      <c r="R838" s="5"/>
    </row>
    <row r="839" spans="14:18" ht="13">
      <c r="N839" s="5"/>
      <c r="O839" s="5"/>
      <c r="P839" s="5"/>
      <c r="R839" s="5"/>
    </row>
    <row r="840" spans="14:18" ht="13">
      <c r="N840" s="5"/>
      <c r="O840" s="5"/>
      <c r="P840" s="5"/>
      <c r="R840" s="5"/>
    </row>
    <row r="841" spans="14:18" ht="13">
      <c r="N841" s="5"/>
      <c r="O841" s="5"/>
      <c r="P841" s="5"/>
      <c r="R841" s="5"/>
    </row>
    <row r="842" spans="14:18" ht="13">
      <c r="N842" s="5"/>
      <c r="O842" s="5"/>
      <c r="P842" s="5"/>
      <c r="R842" s="5"/>
    </row>
    <row r="843" spans="14:18" ht="13">
      <c r="N843" s="5"/>
      <c r="O843" s="5"/>
      <c r="P843" s="5"/>
      <c r="R843" s="5"/>
    </row>
    <row r="844" spans="14:18" ht="13">
      <c r="N844" s="5"/>
      <c r="O844" s="5"/>
      <c r="P844" s="5"/>
      <c r="R844" s="5"/>
    </row>
    <row r="845" spans="14:18" ht="13">
      <c r="N845" s="5"/>
      <c r="O845" s="5"/>
      <c r="P845" s="5"/>
      <c r="R845" s="5"/>
    </row>
    <row r="846" spans="14:18" ht="13">
      <c r="N846" s="5"/>
      <c r="O846" s="5"/>
      <c r="P846" s="5"/>
      <c r="R846" s="5"/>
    </row>
    <row r="847" spans="14:18" ht="13">
      <c r="N847" s="5"/>
      <c r="O847" s="5"/>
      <c r="P847" s="5"/>
      <c r="R847" s="5"/>
    </row>
    <row r="848" spans="14:18" ht="13">
      <c r="N848" s="5"/>
      <c r="O848" s="5"/>
      <c r="P848" s="5"/>
      <c r="R848" s="5"/>
    </row>
    <row r="849" spans="14:18" ht="13">
      <c r="N849" s="5"/>
      <c r="O849" s="5"/>
      <c r="P849" s="5"/>
      <c r="R849" s="5"/>
    </row>
    <row r="850" spans="14:18" ht="13">
      <c r="N850" s="5"/>
      <c r="O850" s="5"/>
      <c r="P850" s="5"/>
      <c r="R850" s="5"/>
    </row>
    <row r="851" spans="14:18" ht="13">
      <c r="N851" s="5"/>
      <c r="O851" s="5"/>
      <c r="P851" s="5"/>
      <c r="R851" s="5"/>
    </row>
    <row r="852" spans="14:18" ht="13">
      <c r="N852" s="5"/>
      <c r="O852" s="5"/>
      <c r="P852" s="5"/>
      <c r="R852" s="5"/>
    </row>
    <row r="853" spans="14:18" ht="13">
      <c r="N853" s="5"/>
      <c r="O853" s="5"/>
      <c r="P853" s="5"/>
      <c r="R853" s="5"/>
    </row>
    <row r="854" spans="14:18" ht="13">
      <c r="N854" s="5"/>
      <c r="O854" s="5"/>
      <c r="P854" s="5"/>
      <c r="R854" s="5"/>
    </row>
    <row r="855" spans="14:18" ht="13">
      <c r="N855" s="5"/>
      <c r="O855" s="5"/>
      <c r="P855" s="5"/>
      <c r="R855" s="5"/>
    </row>
    <row r="856" spans="14:18" ht="13">
      <c r="N856" s="5"/>
      <c r="O856" s="5"/>
      <c r="P856" s="5"/>
      <c r="R856" s="5"/>
    </row>
    <row r="857" spans="14:18" ht="13">
      <c r="N857" s="5"/>
      <c r="O857" s="5"/>
      <c r="P857" s="5"/>
      <c r="R857" s="5"/>
    </row>
    <row r="858" spans="14:18" ht="13">
      <c r="N858" s="5"/>
      <c r="O858" s="5"/>
      <c r="P858" s="5"/>
      <c r="R858" s="5"/>
    </row>
    <row r="859" spans="14:18" ht="13">
      <c r="N859" s="5"/>
      <c r="O859" s="5"/>
      <c r="P859" s="5"/>
      <c r="R859" s="5"/>
    </row>
    <row r="860" spans="14:18" ht="13">
      <c r="N860" s="5"/>
      <c r="O860" s="5"/>
      <c r="P860" s="5"/>
      <c r="R860" s="5"/>
    </row>
    <row r="861" spans="14:18" ht="13">
      <c r="N861" s="5"/>
      <c r="O861" s="5"/>
      <c r="P861" s="5"/>
      <c r="R861" s="5"/>
    </row>
    <row r="862" spans="14:18" ht="13">
      <c r="N862" s="5"/>
      <c r="O862" s="5"/>
      <c r="P862" s="5"/>
      <c r="R862" s="5"/>
    </row>
    <row r="863" spans="14:18" ht="13">
      <c r="N863" s="5"/>
      <c r="O863" s="5"/>
      <c r="P863" s="5"/>
      <c r="R863" s="5"/>
    </row>
    <row r="864" spans="14:18" ht="13">
      <c r="N864" s="5"/>
      <c r="O864" s="5"/>
      <c r="P864" s="5"/>
      <c r="R864" s="5"/>
    </row>
    <row r="865" spans="14:18" ht="13">
      <c r="N865" s="5"/>
      <c r="O865" s="5"/>
      <c r="P865" s="5"/>
      <c r="R865" s="5"/>
    </row>
    <row r="866" spans="14:18" ht="13">
      <c r="N866" s="5"/>
      <c r="O866" s="5"/>
      <c r="P866" s="5"/>
      <c r="R866" s="5"/>
    </row>
    <row r="867" spans="14:18" ht="13">
      <c r="N867" s="5"/>
      <c r="O867" s="5"/>
      <c r="P867" s="5"/>
      <c r="R867" s="5"/>
    </row>
    <row r="868" spans="14:18" ht="13">
      <c r="N868" s="5"/>
      <c r="O868" s="5"/>
      <c r="P868" s="5"/>
      <c r="R868" s="5"/>
    </row>
    <row r="869" spans="14:18" ht="13">
      <c r="N869" s="5"/>
      <c r="O869" s="5"/>
      <c r="P869" s="5"/>
      <c r="R869" s="5"/>
    </row>
    <row r="870" spans="14:18" ht="13">
      <c r="N870" s="5"/>
      <c r="O870" s="5"/>
      <c r="P870" s="5"/>
      <c r="R870" s="5"/>
    </row>
    <row r="871" spans="14:18" ht="13">
      <c r="N871" s="5"/>
      <c r="O871" s="5"/>
      <c r="P871" s="5"/>
      <c r="R871" s="5"/>
    </row>
    <row r="872" spans="14:18" ht="13">
      <c r="N872" s="5"/>
      <c r="O872" s="5"/>
      <c r="P872" s="5"/>
      <c r="R872" s="5"/>
    </row>
    <row r="873" spans="14:18" ht="13">
      <c r="N873" s="5"/>
      <c r="O873" s="5"/>
      <c r="P873" s="5"/>
      <c r="R873" s="5"/>
    </row>
    <row r="874" spans="14:18" ht="13">
      <c r="N874" s="5"/>
      <c r="O874" s="5"/>
      <c r="P874" s="5"/>
      <c r="R874" s="5"/>
    </row>
    <row r="875" spans="14:18" ht="13">
      <c r="N875" s="5"/>
      <c r="O875" s="5"/>
      <c r="P875" s="5"/>
      <c r="R875" s="5"/>
    </row>
    <row r="876" spans="14:18" ht="13">
      <c r="N876" s="5"/>
      <c r="O876" s="5"/>
      <c r="P876" s="5"/>
      <c r="R876" s="5"/>
    </row>
    <row r="877" spans="14:18" ht="13">
      <c r="N877" s="5"/>
      <c r="O877" s="5"/>
      <c r="P877" s="5"/>
      <c r="R877" s="5"/>
    </row>
    <row r="878" spans="14:18" ht="13">
      <c r="N878" s="5"/>
      <c r="O878" s="5"/>
      <c r="P878" s="5"/>
      <c r="R878" s="5"/>
    </row>
    <row r="879" spans="14:18" ht="13">
      <c r="N879" s="5"/>
      <c r="O879" s="5"/>
      <c r="P879" s="5"/>
      <c r="R879" s="5"/>
    </row>
    <row r="880" spans="14:18" ht="13">
      <c r="N880" s="5"/>
      <c r="O880" s="5"/>
      <c r="P880" s="5"/>
      <c r="R880" s="5"/>
    </row>
    <row r="881" spans="14:18" ht="13">
      <c r="N881" s="5"/>
      <c r="O881" s="5"/>
      <c r="P881" s="5"/>
      <c r="R881" s="5"/>
    </row>
    <row r="882" spans="14:18" ht="13">
      <c r="N882" s="5"/>
      <c r="O882" s="5"/>
      <c r="P882" s="5"/>
      <c r="R882" s="5"/>
    </row>
    <row r="883" spans="14:18" ht="13">
      <c r="N883" s="5"/>
      <c r="O883" s="5"/>
      <c r="P883" s="5"/>
      <c r="R883" s="5"/>
    </row>
    <row r="884" spans="14:18" ht="13">
      <c r="N884" s="5"/>
      <c r="O884" s="5"/>
      <c r="P884" s="5"/>
      <c r="R884" s="5"/>
    </row>
    <row r="885" spans="14:18" ht="13">
      <c r="N885" s="5"/>
      <c r="O885" s="5"/>
      <c r="P885" s="5"/>
      <c r="R885" s="5"/>
    </row>
    <row r="886" spans="14:18" ht="13">
      <c r="N886" s="5"/>
      <c r="O886" s="5"/>
      <c r="P886" s="5"/>
      <c r="R886" s="5"/>
    </row>
    <row r="887" spans="14:18" ht="13">
      <c r="N887" s="5"/>
      <c r="O887" s="5"/>
      <c r="P887" s="5"/>
      <c r="R887" s="5"/>
    </row>
    <row r="888" spans="14:18" ht="13">
      <c r="N888" s="5"/>
      <c r="O888" s="5"/>
      <c r="P888" s="5"/>
      <c r="R888" s="5"/>
    </row>
    <row r="889" spans="14:18" ht="13">
      <c r="N889" s="5"/>
      <c r="O889" s="5"/>
      <c r="P889" s="5"/>
      <c r="R889" s="5"/>
    </row>
    <row r="890" spans="14:18" ht="13">
      <c r="N890" s="5"/>
      <c r="O890" s="5"/>
      <c r="P890" s="5"/>
      <c r="R890" s="5"/>
    </row>
    <row r="891" spans="14:18" ht="13">
      <c r="N891" s="5"/>
      <c r="O891" s="5"/>
      <c r="P891" s="5"/>
      <c r="R891" s="5"/>
    </row>
    <row r="892" spans="14:18" ht="13">
      <c r="N892" s="5"/>
      <c r="O892" s="5"/>
      <c r="P892" s="5"/>
      <c r="R892" s="5"/>
    </row>
    <row r="893" spans="14:18" ht="13">
      <c r="N893" s="5"/>
      <c r="O893" s="5"/>
      <c r="P893" s="5"/>
      <c r="R893" s="5"/>
    </row>
    <row r="894" spans="14:18" ht="13">
      <c r="N894" s="5"/>
      <c r="O894" s="5"/>
      <c r="P894" s="5"/>
      <c r="R894" s="5"/>
    </row>
    <row r="895" spans="14:18" ht="13">
      <c r="N895" s="5"/>
      <c r="O895" s="5"/>
      <c r="P895" s="5"/>
      <c r="R895" s="5"/>
    </row>
    <row r="896" spans="14:18" ht="13">
      <c r="N896" s="5"/>
      <c r="O896" s="5"/>
      <c r="P896" s="5"/>
      <c r="R896" s="5"/>
    </row>
    <row r="897" spans="14:18" ht="13">
      <c r="N897" s="5"/>
      <c r="O897" s="5"/>
      <c r="P897" s="5"/>
      <c r="R897" s="5"/>
    </row>
    <row r="898" spans="14:18" ht="13">
      <c r="N898" s="5"/>
      <c r="O898" s="5"/>
      <c r="P898" s="5"/>
      <c r="R898" s="5"/>
    </row>
    <row r="899" spans="14:18" ht="13">
      <c r="N899" s="5"/>
      <c r="O899" s="5"/>
      <c r="P899" s="5"/>
      <c r="R899" s="5"/>
    </row>
    <row r="900" spans="14:18" ht="13">
      <c r="N900" s="5"/>
      <c r="O900" s="5"/>
      <c r="P900" s="5"/>
      <c r="R900" s="5"/>
    </row>
    <row r="901" spans="14:18" ht="13">
      <c r="N901" s="5"/>
      <c r="O901" s="5"/>
      <c r="P901" s="5"/>
      <c r="R901" s="5"/>
    </row>
    <row r="902" spans="14:18" ht="13">
      <c r="N902" s="5"/>
      <c r="O902" s="5"/>
      <c r="P902" s="5"/>
      <c r="R902" s="5"/>
    </row>
    <row r="903" spans="14:18" ht="13">
      <c r="N903" s="5"/>
      <c r="O903" s="5"/>
      <c r="P903" s="5"/>
      <c r="R903" s="5"/>
    </row>
    <row r="904" spans="14:18" ht="13">
      <c r="N904" s="5"/>
      <c r="O904" s="5"/>
      <c r="P904" s="5"/>
      <c r="R904" s="5"/>
    </row>
    <row r="905" spans="14:18" ht="13">
      <c r="N905" s="5"/>
      <c r="O905" s="5"/>
      <c r="P905" s="5"/>
      <c r="R905" s="5"/>
    </row>
    <row r="906" spans="14:18" ht="13">
      <c r="N906" s="5"/>
      <c r="O906" s="5"/>
      <c r="P906" s="5"/>
      <c r="R906" s="5"/>
    </row>
    <row r="907" spans="14:18" ht="13">
      <c r="N907" s="5"/>
      <c r="O907" s="5"/>
      <c r="P907" s="5"/>
      <c r="R907" s="5"/>
    </row>
    <row r="908" spans="14:18" ht="13">
      <c r="N908" s="5"/>
      <c r="O908" s="5"/>
      <c r="P908" s="5"/>
      <c r="R908" s="5"/>
    </row>
    <row r="909" spans="14:18" ht="13">
      <c r="N909" s="5"/>
      <c r="O909" s="5"/>
      <c r="P909" s="5"/>
      <c r="R909" s="5"/>
    </row>
    <row r="910" spans="14:18" ht="13">
      <c r="N910" s="5"/>
      <c r="O910" s="5"/>
      <c r="P910" s="5"/>
      <c r="R910" s="5"/>
    </row>
    <row r="911" spans="14:18" ht="13">
      <c r="N911" s="5"/>
      <c r="O911" s="5"/>
      <c r="P911" s="5"/>
      <c r="R911" s="5"/>
    </row>
    <row r="912" spans="14:18" ht="13">
      <c r="N912" s="5"/>
      <c r="O912" s="5"/>
      <c r="P912" s="5"/>
      <c r="R912" s="5"/>
    </row>
    <row r="913" spans="14:18" ht="13">
      <c r="N913" s="5"/>
      <c r="O913" s="5"/>
      <c r="P913" s="5"/>
      <c r="R913" s="5"/>
    </row>
    <row r="914" spans="14:18" ht="13">
      <c r="N914" s="5"/>
      <c r="O914" s="5"/>
      <c r="P914" s="5"/>
      <c r="R914" s="5"/>
    </row>
    <row r="915" spans="14:18" ht="13">
      <c r="N915" s="5"/>
      <c r="O915" s="5"/>
      <c r="P915" s="5"/>
      <c r="R915" s="5"/>
    </row>
    <row r="916" spans="14:18" ht="13">
      <c r="N916" s="5"/>
      <c r="O916" s="5"/>
      <c r="P916" s="5"/>
      <c r="R916" s="5"/>
    </row>
    <row r="917" spans="14:18" ht="13">
      <c r="N917" s="5"/>
      <c r="O917" s="5"/>
      <c r="P917" s="5"/>
      <c r="R917" s="5"/>
    </row>
    <row r="918" spans="14:18" ht="13">
      <c r="N918" s="5"/>
      <c r="O918" s="5"/>
      <c r="P918" s="5"/>
      <c r="R918" s="5"/>
    </row>
    <row r="919" spans="14:18" ht="13">
      <c r="N919" s="5"/>
      <c r="O919" s="5"/>
      <c r="P919" s="5"/>
      <c r="R919" s="5"/>
    </row>
    <row r="920" spans="14:18" ht="13">
      <c r="N920" s="5"/>
      <c r="O920" s="5"/>
      <c r="P920" s="5"/>
      <c r="R920" s="5"/>
    </row>
    <row r="921" spans="14:18" ht="13">
      <c r="N921" s="5"/>
      <c r="O921" s="5"/>
      <c r="P921" s="5"/>
      <c r="R921" s="5"/>
    </row>
    <row r="922" spans="14:18" ht="13">
      <c r="N922" s="5"/>
      <c r="O922" s="5"/>
      <c r="P922" s="5"/>
      <c r="R922" s="5"/>
    </row>
    <row r="923" spans="14:18" ht="13">
      <c r="N923" s="5"/>
      <c r="O923" s="5"/>
      <c r="P923" s="5"/>
      <c r="R923" s="5"/>
    </row>
    <row r="924" spans="14:18" ht="13">
      <c r="N924" s="5"/>
      <c r="O924" s="5"/>
      <c r="P924" s="5"/>
      <c r="R924" s="5"/>
    </row>
    <row r="925" spans="14:18" ht="13">
      <c r="N925" s="5"/>
      <c r="O925" s="5"/>
      <c r="P925" s="5"/>
      <c r="R925" s="5"/>
    </row>
    <row r="926" spans="14:18" ht="13">
      <c r="N926" s="5"/>
      <c r="O926" s="5"/>
      <c r="P926" s="5"/>
      <c r="R926" s="5"/>
    </row>
    <row r="927" spans="14:18" ht="13">
      <c r="N927" s="5"/>
      <c r="O927" s="5"/>
      <c r="P927" s="5"/>
      <c r="R927" s="5"/>
    </row>
    <row r="928" spans="14:18" ht="13">
      <c r="N928" s="5"/>
      <c r="O928" s="5"/>
      <c r="P928" s="5"/>
      <c r="R928" s="5"/>
    </row>
    <row r="929" spans="14:18" ht="13">
      <c r="N929" s="5"/>
      <c r="O929" s="5"/>
      <c r="P929" s="5"/>
      <c r="R929" s="5"/>
    </row>
    <row r="930" spans="14:18" ht="13">
      <c r="N930" s="5"/>
      <c r="O930" s="5"/>
      <c r="P930" s="5"/>
      <c r="R930" s="5"/>
    </row>
    <row r="931" spans="14:18" ht="13">
      <c r="N931" s="5"/>
      <c r="O931" s="5"/>
      <c r="P931" s="5"/>
      <c r="R931" s="5"/>
    </row>
    <row r="932" spans="14:18" ht="13">
      <c r="N932" s="5"/>
      <c r="O932" s="5"/>
      <c r="P932" s="5"/>
      <c r="R932" s="5"/>
    </row>
    <row r="933" spans="14:18" ht="13">
      <c r="N933" s="5"/>
      <c r="O933" s="5"/>
      <c r="P933" s="5"/>
      <c r="R933" s="5"/>
    </row>
    <row r="934" spans="14:18" ht="13">
      <c r="N934" s="5"/>
      <c r="O934" s="5"/>
      <c r="P934" s="5"/>
      <c r="R934" s="5"/>
    </row>
    <row r="935" spans="14:18" ht="13">
      <c r="N935" s="5"/>
      <c r="O935" s="5"/>
      <c r="P935" s="5"/>
      <c r="R935" s="5"/>
    </row>
    <row r="936" spans="14:18" ht="13">
      <c r="N936" s="5"/>
      <c r="O936" s="5"/>
      <c r="P936" s="5"/>
      <c r="R936" s="5"/>
    </row>
    <row r="937" spans="14:18" ht="13">
      <c r="N937" s="5"/>
      <c r="O937" s="5"/>
      <c r="P937" s="5"/>
      <c r="R937" s="5"/>
    </row>
    <row r="938" spans="14:18" ht="13">
      <c r="N938" s="5"/>
      <c r="O938" s="5"/>
      <c r="P938" s="5"/>
      <c r="R938" s="5"/>
    </row>
    <row r="939" spans="14:18" ht="13">
      <c r="N939" s="5"/>
      <c r="O939" s="5"/>
      <c r="P939" s="5"/>
      <c r="R939" s="5"/>
    </row>
    <row r="940" spans="14:18" ht="13">
      <c r="N940" s="5"/>
      <c r="O940" s="5"/>
      <c r="P940" s="5"/>
      <c r="R940" s="5"/>
    </row>
    <row r="941" spans="14:18" ht="13">
      <c r="N941" s="5"/>
      <c r="O941" s="5"/>
      <c r="P941" s="5"/>
      <c r="R941" s="5"/>
    </row>
    <row r="942" spans="14:18" ht="13">
      <c r="N942" s="5"/>
      <c r="O942" s="5"/>
      <c r="P942" s="5"/>
      <c r="R942" s="5"/>
    </row>
    <row r="943" spans="14:18" ht="13">
      <c r="N943" s="5"/>
      <c r="O943" s="5"/>
      <c r="P943" s="5"/>
      <c r="R943" s="5"/>
    </row>
    <row r="944" spans="14:18" ht="13">
      <c r="N944" s="5"/>
      <c r="O944" s="5"/>
      <c r="P944" s="5"/>
      <c r="R944" s="5"/>
    </row>
    <row r="945" spans="14:18" ht="13">
      <c r="N945" s="5"/>
      <c r="O945" s="5"/>
      <c r="P945" s="5"/>
      <c r="R945" s="5"/>
    </row>
    <row r="946" spans="14:18" ht="13">
      <c r="N946" s="5"/>
      <c r="O946" s="5"/>
      <c r="P946" s="5"/>
      <c r="R946" s="5"/>
    </row>
    <row r="947" spans="14:18" ht="13">
      <c r="N947" s="5"/>
      <c r="O947" s="5"/>
      <c r="P947" s="5"/>
      <c r="R947" s="5"/>
    </row>
    <row r="948" spans="14:18" ht="13">
      <c r="N948" s="5"/>
      <c r="O948" s="5"/>
      <c r="P948" s="5"/>
      <c r="R948" s="5"/>
    </row>
    <row r="949" spans="14:18" ht="13">
      <c r="N949" s="5"/>
      <c r="O949" s="5"/>
      <c r="P949" s="5"/>
      <c r="R949" s="5"/>
    </row>
    <row r="950" spans="14:18" ht="13">
      <c r="N950" s="5"/>
      <c r="O950" s="5"/>
      <c r="P950" s="5"/>
      <c r="R950" s="5"/>
    </row>
    <row r="951" spans="14:18" ht="13">
      <c r="N951" s="5"/>
      <c r="O951" s="5"/>
      <c r="P951" s="5"/>
      <c r="R951" s="5"/>
    </row>
    <row r="952" spans="14:18" ht="13">
      <c r="N952" s="5"/>
      <c r="O952" s="5"/>
      <c r="P952" s="5"/>
      <c r="R952" s="5"/>
    </row>
    <row r="953" spans="14:18" ht="13">
      <c r="N953" s="5"/>
      <c r="O953" s="5"/>
      <c r="P953" s="5"/>
      <c r="R953" s="5"/>
    </row>
    <row r="954" spans="14:18" ht="13">
      <c r="N954" s="5"/>
      <c r="O954" s="5"/>
      <c r="P954" s="5"/>
      <c r="R954" s="5"/>
    </row>
    <row r="955" spans="14:18" ht="13">
      <c r="N955" s="5"/>
      <c r="O955" s="5"/>
      <c r="P955" s="5"/>
      <c r="R955" s="5"/>
    </row>
    <row r="956" spans="14:18" ht="13">
      <c r="N956" s="5"/>
      <c r="O956" s="5"/>
      <c r="P956" s="5"/>
      <c r="R956" s="5"/>
    </row>
    <row r="957" spans="14:18" ht="13">
      <c r="N957" s="5"/>
      <c r="O957" s="5"/>
      <c r="P957" s="5"/>
      <c r="R957" s="5"/>
    </row>
    <row r="958" spans="14:18" ht="13">
      <c r="N958" s="5"/>
      <c r="O958" s="5"/>
      <c r="P958" s="5"/>
      <c r="R958" s="5"/>
    </row>
    <row r="959" spans="14:18" ht="13">
      <c r="N959" s="5"/>
      <c r="O959" s="5"/>
      <c r="P959" s="5"/>
      <c r="R959" s="5"/>
    </row>
    <row r="960" spans="14:18" ht="13">
      <c r="N960" s="5"/>
      <c r="O960" s="5"/>
      <c r="P960" s="5"/>
      <c r="R960" s="5"/>
    </row>
    <row r="961" spans="14:18" ht="13">
      <c r="N961" s="5"/>
      <c r="O961" s="5"/>
      <c r="P961" s="5"/>
      <c r="R961" s="5"/>
    </row>
    <row r="962" spans="14:18" ht="13">
      <c r="N962" s="5"/>
      <c r="O962" s="5"/>
      <c r="P962" s="5"/>
      <c r="R962" s="5"/>
    </row>
    <row r="963" spans="14:18" ht="13">
      <c r="N963" s="5"/>
      <c r="O963" s="5"/>
      <c r="P963" s="5"/>
      <c r="R963" s="5"/>
    </row>
    <row r="964" spans="14:18" ht="13">
      <c r="N964" s="5"/>
      <c r="O964" s="5"/>
      <c r="P964" s="5"/>
      <c r="R964" s="5"/>
    </row>
    <row r="965" spans="14:18" ht="13">
      <c r="N965" s="5"/>
      <c r="O965" s="5"/>
      <c r="P965" s="5"/>
      <c r="R965" s="5"/>
    </row>
    <row r="966" spans="14:18" ht="13">
      <c r="N966" s="5"/>
      <c r="O966" s="5"/>
      <c r="P966" s="5"/>
      <c r="R966" s="5"/>
    </row>
    <row r="967" spans="14:18" ht="13">
      <c r="N967" s="5"/>
      <c r="O967" s="5"/>
      <c r="P967" s="5"/>
      <c r="R967" s="5"/>
    </row>
    <row r="968" spans="14:18" ht="13">
      <c r="N968" s="5"/>
      <c r="O968" s="5"/>
      <c r="P968" s="5"/>
      <c r="R968" s="5"/>
    </row>
    <row r="969" spans="14:18" ht="13">
      <c r="N969" s="5"/>
      <c r="O969" s="5"/>
      <c r="P969" s="5"/>
      <c r="R969" s="5"/>
    </row>
    <row r="970" spans="14:18" ht="13">
      <c r="N970" s="5"/>
      <c r="O970" s="5"/>
      <c r="P970" s="5"/>
      <c r="R970" s="5"/>
    </row>
    <row r="971" spans="14:18" ht="13">
      <c r="N971" s="5"/>
      <c r="O971" s="5"/>
      <c r="P971" s="5"/>
      <c r="R971" s="5"/>
    </row>
    <row r="972" spans="14:18" ht="13">
      <c r="N972" s="5"/>
      <c r="O972" s="5"/>
      <c r="P972" s="5"/>
      <c r="R972" s="5"/>
    </row>
    <row r="973" spans="14:18" ht="13">
      <c r="N973" s="5"/>
      <c r="O973" s="5"/>
      <c r="P973" s="5"/>
      <c r="R973" s="5"/>
    </row>
    <row r="974" spans="14:18" ht="13">
      <c r="N974" s="5"/>
      <c r="O974" s="5"/>
      <c r="P974" s="5"/>
      <c r="R974" s="5"/>
    </row>
    <row r="975" spans="14:18" ht="13">
      <c r="N975" s="5"/>
      <c r="O975" s="5"/>
      <c r="P975" s="5"/>
      <c r="R975" s="5"/>
    </row>
    <row r="976" spans="14:18" ht="13">
      <c r="N976" s="5"/>
      <c r="O976" s="5"/>
      <c r="P976" s="5"/>
      <c r="R976" s="5"/>
    </row>
    <row r="977" spans="14:18" ht="13">
      <c r="N977" s="5"/>
      <c r="O977" s="5"/>
      <c r="P977" s="5"/>
      <c r="R977" s="5"/>
    </row>
    <row r="978" spans="14:18" ht="13">
      <c r="N978" s="5"/>
      <c r="O978" s="5"/>
      <c r="P978" s="5"/>
      <c r="R978" s="5"/>
    </row>
    <row r="979" spans="14:18" ht="13">
      <c r="N979" s="5"/>
      <c r="O979" s="5"/>
      <c r="P979" s="5"/>
      <c r="R979" s="5"/>
    </row>
    <row r="980" spans="14:18" ht="13">
      <c r="N980" s="5"/>
      <c r="O980" s="5"/>
      <c r="P980" s="5"/>
      <c r="R980" s="5"/>
    </row>
    <row r="981" spans="14:18" ht="13">
      <c r="N981" s="5"/>
      <c r="O981" s="5"/>
      <c r="P981" s="5"/>
      <c r="R981" s="5"/>
    </row>
    <row r="982" spans="14:18" ht="13">
      <c r="N982" s="5"/>
      <c r="O982" s="5"/>
      <c r="P982" s="5"/>
      <c r="R982" s="5"/>
    </row>
    <row r="983" spans="14:18" ht="13">
      <c r="N983" s="5"/>
      <c r="O983" s="5"/>
      <c r="P983" s="5"/>
      <c r="R983" s="5"/>
    </row>
    <row r="984" spans="14:18" ht="13">
      <c r="N984" s="5"/>
      <c r="O984" s="5"/>
      <c r="P984" s="5"/>
      <c r="R984" s="5"/>
    </row>
    <row r="985" spans="14:18" ht="13">
      <c r="N985" s="5"/>
      <c r="O985" s="5"/>
      <c r="P985" s="5"/>
      <c r="R985" s="5"/>
    </row>
    <row r="986" spans="14:18" ht="13">
      <c r="N986" s="5"/>
      <c r="O986" s="5"/>
      <c r="P986" s="5"/>
      <c r="R986" s="5"/>
    </row>
    <row r="987" spans="14:18" ht="13">
      <c r="N987" s="5"/>
      <c r="O987" s="5"/>
      <c r="P987" s="5"/>
      <c r="R987" s="5"/>
    </row>
    <row r="988" spans="14:18" ht="13">
      <c r="N988" s="5"/>
      <c r="O988" s="5"/>
      <c r="P988" s="5"/>
      <c r="R988" s="5"/>
    </row>
    <row r="989" spans="14:18" ht="13">
      <c r="N989" s="5"/>
      <c r="O989" s="5"/>
      <c r="P989" s="5"/>
      <c r="R989" s="5"/>
    </row>
    <row r="990" spans="14:18" ht="13">
      <c r="N990" s="5"/>
      <c r="O990" s="5"/>
      <c r="P990" s="5"/>
      <c r="R990" s="5"/>
    </row>
    <row r="991" spans="14:18" ht="13">
      <c r="N991" s="5"/>
      <c r="O991" s="5"/>
      <c r="P991" s="5"/>
      <c r="R991" s="5"/>
    </row>
    <row r="992" spans="14:18" ht="13">
      <c r="N992" s="5"/>
      <c r="O992" s="5"/>
      <c r="P992" s="5"/>
      <c r="R992" s="5"/>
    </row>
    <row r="993" spans="14:18" ht="13">
      <c r="N993" s="5"/>
      <c r="O993" s="5"/>
      <c r="P993" s="5"/>
      <c r="R993" s="5"/>
    </row>
    <row r="994" spans="14:18" ht="13">
      <c r="N994" s="5"/>
      <c r="O994" s="5"/>
      <c r="P994" s="5"/>
      <c r="R994" s="5"/>
    </row>
    <row r="995" spans="14:18" ht="13">
      <c r="N995" s="5"/>
      <c r="O995" s="5"/>
      <c r="P995" s="5"/>
      <c r="R995" s="5"/>
    </row>
    <row r="996" spans="14:18" ht="13">
      <c r="N996" s="5"/>
      <c r="O996" s="5"/>
      <c r="P996" s="5"/>
      <c r="R996" s="5"/>
    </row>
    <row r="997" spans="14:18" ht="13">
      <c r="N997" s="5"/>
      <c r="O997" s="5"/>
      <c r="P997" s="5"/>
      <c r="R997" s="5"/>
    </row>
    <row r="998" spans="14:18" ht="13">
      <c r="N998" s="5"/>
      <c r="O998" s="5"/>
      <c r="P998" s="5"/>
      <c r="R998" s="5"/>
    </row>
    <row r="999" spans="14:18" ht="13">
      <c r="N999" s="5"/>
      <c r="O999" s="5"/>
      <c r="P999" s="5"/>
      <c r="R999" s="5"/>
    </row>
    <row r="1000" spans="14:18" ht="13">
      <c r="N1000" s="5"/>
      <c r="O1000" s="5"/>
      <c r="P1000" s="5"/>
      <c r="R1000" s="5"/>
    </row>
    <row r="1001" spans="14:18" ht="13">
      <c r="N1001" s="5"/>
      <c r="O1001" s="5"/>
      <c r="P1001" s="5"/>
      <c r="R1001" s="5"/>
    </row>
    <row r="1002" spans="14:18" ht="13">
      <c r="N1002" s="5"/>
      <c r="O1002" s="5"/>
      <c r="P1002" s="5"/>
      <c r="R1002" s="5"/>
    </row>
    <row r="1003" spans="14:18" ht="13">
      <c r="N1003" s="5"/>
      <c r="O1003" s="5"/>
      <c r="P1003" s="5"/>
      <c r="R1003" s="5"/>
    </row>
    <row r="1004" spans="14:18" ht="13">
      <c r="N1004" s="5"/>
      <c r="O1004" s="5"/>
      <c r="P1004" s="5"/>
      <c r="R1004" s="5"/>
    </row>
    <row r="1005" spans="14:18" ht="13">
      <c r="N1005" s="5"/>
      <c r="O1005" s="5"/>
      <c r="P1005" s="5"/>
      <c r="R1005" s="5"/>
    </row>
    <row r="1006" spans="14:18" ht="13">
      <c r="N1006" s="5"/>
      <c r="O1006" s="5"/>
      <c r="P1006" s="5"/>
      <c r="R1006" s="5"/>
    </row>
    <row r="1007" spans="14:18" ht="13">
      <c r="N1007" s="5"/>
      <c r="O1007" s="5"/>
      <c r="P1007" s="5"/>
      <c r="R1007" s="5"/>
    </row>
    <row r="1008" spans="14:18" ht="13">
      <c r="N1008" s="5"/>
      <c r="O1008" s="5"/>
      <c r="P1008" s="5"/>
      <c r="R1008" s="5"/>
    </row>
    <row r="1009" spans="14:18" ht="13">
      <c r="N1009" s="5"/>
      <c r="O1009" s="5"/>
      <c r="P1009" s="5"/>
      <c r="R1009" s="5"/>
    </row>
    <row r="1010" spans="14:18" ht="13">
      <c r="N1010" s="5"/>
      <c r="O1010" s="5"/>
      <c r="P1010" s="5"/>
      <c r="R1010" s="5"/>
    </row>
    <row r="1011" spans="14:18" ht="13">
      <c r="N1011" s="5"/>
      <c r="O1011" s="5"/>
      <c r="P1011" s="5"/>
      <c r="R1011" s="5"/>
    </row>
    <row r="1012" spans="14:18" ht="13">
      <c r="N1012" s="5"/>
      <c r="O1012" s="5"/>
      <c r="P1012" s="5"/>
      <c r="R1012" s="5"/>
    </row>
    <row r="1013" spans="14:18" ht="13">
      <c r="N1013" s="5"/>
      <c r="O1013" s="5"/>
      <c r="P1013" s="5"/>
      <c r="R1013" s="5"/>
    </row>
    <row r="1014" spans="14:18" ht="13">
      <c r="N1014" s="5"/>
      <c r="O1014" s="5"/>
      <c r="P1014" s="5"/>
      <c r="R1014" s="5"/>
    </row>
    <row r="1015" spans="14:18" ht="13">
      <c r="N1015" s="5"/>
      <c r="O1015" s="5"/>
      <c r="P1015" s="5"/>
      <c r="R1015" s="5"/>
    </row>
    <row r="1016" spans="14:18" ht="13">
      <c r="N1016" s="5"/>
      <c r="O1016" s="5"/>
      <c r="P1016" s="5"/>
      <c r="R1016" s="5"/>
    </row>
    <row r="1017" spans="14:18" ht="13">
      <c r="N1017" s="5"/>
      <c r="O1017" s="5"/>
      <c r="P1017" s="5"/>
      <c r="R1017" s="5"/>
    </row>
    <row r="1018" spans="14:18" ht="13">
      <c r="N1018" s="5"/>
      <c r="O1018" s="5"/>
      <c r="P1018" s="5"/>
      <c r="R1018" s="5"/>
    </row>
    <row r="1019" spans="14:18" ht="13">
      <c r="N1019" s="5"/>
      <c r="O1019" s="5"/>
      <c r="P1019" s="5"/>
      <c r="R1019" s="5"/>
    </row>
    <row r="1020" spans="14:18" ht="13">
      <c r="N1020" s="5"/>
      <c r="O1020" s="5"/>
      <c r="P1020" s="5"/>
      <c r="R1020" s="5"/>
    </row>
    <row r="1021" spans="14:18" ht="13">
      <c r="N1021" s="5"/>
      <c r="O1021" s="5"/>
      <c r="P1021" s="5"/>
      <c r="R1021" s="5"/>
    </row>
    <row r="1022" spans="14:18" ht="13">
      <c r="N1022" s="5"/>
      <c r="O1022" s="5"/>
      <c r="P1022" s="5"/>
      <c r="R1022" s="5"/>
    </row>
    <row r="1023" spans="14:18" ht="13">
      <c r="N1023" s="5"/>
      <c r="O1023" s="5"/>
      <c r="P1023" s="5"/>
      <c r="R1023" s="5"/>
    </row>
    <row r="1024" spans="14:18" ht="13">
      <c r="N1024" s="5"/>
      <c r="O1024" s="5"/>
      <c r="P1024" s="5"/>
      <c r="R1024" s="5"/>
    </row>
    <row r="1025" spans="14:18" ht="13">
      <c r="N1025" s="5"/>
      <c r="O1025" s="5"/>
      <c r="P1025" s="5"/>
      <c r="R1025" s="5"/>
    </row>
    <row r="1026" spans="14:18" ht="13">
      <c r="N1026" s="5"/>
      <c r="O1026" s="5"/>
      <c r="P1026" s="5"/>
      <c r="R1026" s="5"/>
    </row>
    <row r="1027" spans="14:18" ht="13">
      <c r="N1027" s="5"/>
      <c r="O1027" s="5"/>
      <c r="P1027" s="5"/>
      <c r="R1027" s="5"/>
    </row>
    <row r="1028" spans="14:18" ht="13">
      <c r="N1028" s="5"/>
      <c r="O1028" s="5"/>
      <c r="P1028" s="5"/>
      <c r="R1028" s="5"/>
    </row>
    <row r="1029" spans="14:18" ht="13">
      <c r="N1029" s="5"/>
      <c r="O1029" s="5"/>
      <c r="P1029" s="5"/>
      <c r="R1029" s="5"/>
    </row>
    <row r="1030" spans="14:18" ht="13">
      <c r="N1030" s="5"/>
      <c r="O1030" s="5"/>
      <c r="P1030" s="5"/>
      <c r="R1030" s="5"/>
    </row>
    <row r="1031" spans="14:18" ht="13">
      <c r="N1031" s="5"/>
      <c r="O1031" s="5"/>
      <c r="P1031" s="5"/>
      <c r="R1031" s="5"/>
    </row>
    <row r="1032" spans="14:18" ht="13">
      <c r="N1032" s="5"/>
      <c r="O1032" s="5"/>
      <c r="P1032" s="5"/>
      <c r="R1032" s="5"/>
    </row>
    <row r="1033" spans="14:18" ht="13">
      <c r="N1033" s="5"/>
      <c r="O1033" s="5"/>
      <c r="P1033" s="5"/>
      <c r="R1033" s="5"/>
    </row>
    <row r="1034" spans="14:18" ht="13">
      <c r="N1034" s="5"/>
      <c r="O1034" s="5"/>
      <c r="P1034" s="5"/>
      <c r="R1034" s="5"/>
    </row>
    <row r="1035" spans="14:18" ht="13">
      <c r="N1035" s="5"/>
      <c r="O1035" s="5"/>
      <c r="P1035" s="5"/>
      <c r="R1035" s="5"/>
    </row>
    <row r="1036" spans="14:18" ht="13">
      <c r="N1036" s="5"/>
      <c r="O1036" s="5"/>
      <c r="P1036" s="5"/>
      <c r="R1036" s="5"/>
    </row>
    <row r="1037" spans="14:18" ht="13">
      <c r="N1037" s="5"/>
      <c r="O1037" s="5"/>
      <c r="P1037" s="5"/>
      <c r="R1037" s="5"/>
    </row>
    <row r="1038" spans="14:18" ht="13">
      <c r="N1038" s="5"/>
      <c r="O1038" s="5"/>
      <c r="P1038" s="5"/>
      <c r="R1038" s="5"/>
    </row>
    <row r="1039" spans="14:18" ht="13">
      <c r="N1039" s="5"/>
      <c r="O1039" s="5"/>
      <c r="P1039" s="5"/>
      <c r="R1039" s="5"/>
    </row>
    <row r="1040" spans="14:18" ht="13">
      <c r="N1040" s="5"/>
      <c r="O1040" s="5"/>
      <c r="P1040" s="5"/>
      <c r="R1040" s="5"/>
    </row>
    <row r="1041" spans="14:18" ht="13">
      <c r="N1041" s="5"/>
      <c r="O1041" s="5"/>
      <c r="P1041" s="5"/>
      <c r="R1041" s="5"/>
    </row>
    <row r="1042" spans="14:18" ht="13">
      <c r="N1042" s="5"/>
      <c r="O1042" s="5"/>
      <c r="P1042" s="5"/>
      <c r="R1042" s="5"/>
    </row>
    <row r="1043" spans="14:18" ht="13">
      <c r="N1043" s="5"/>
      <c r="O1043" s="5"/>
      <c r="P1043" s="5"/>
      <c r="R1043" s="5"/>
    </row>
    <row r="1044" spans="14:18" ht="13">
      <c r="N1044" s="5"/>
      <c r="O1044" s="5"/>
      <c r="P1044" s="5"/>
      <c r="R1044" s="5"/>
    </row>
    <row r="1045" spans="14:18" ht="13">
      <c r="N1045" s="5"/>
      <c r="O1045" s="5"/>
      <c r="P1045" s="5"/>
      <c r="R1045" s="5"/>
    </row>
    <row r="1046" spans="14:18" ht="13">
      <c r="N1046" s="5"/>
      <c r="O1046" s="5"/>
      <c r="P1046" s="5"/>
      <c r="R1046" s="5"/>
    </row>
    <row r="1047" spans="14:18" ht="13">
      <c r="N1047" s="5"/>
      <c r="O1047" s="5"/>
      <c r="P1047" s="5"/>
      <c r="R1047" s="5"/>
    </row>
    <row r="1048" spans="14:18" ht="13">
      <c r="N1048" s="5"/>
      <c r="O1048" s="5"/>
      <c r="P1048" s="5"/>
      <c r="R1048" s="5"/>
    </row>
    <row r="1049" spans="14:18" ht="13">
      <c r="N1049" s="5"/>
      <c r="O1049" s="5"/>
      <c r="P1049" s="5"/>
      <c r="R1049" s="5"/>
    </row>
    <row r="1050" spans="14:18" ht="13">
      <c r="N1050" s="5"/>
      <c r="O1050" s="5"/>
      <c r="P1050" s="5"/>
      <c r="R1050" s="5"/>
    </row>
    <row r="1051" spans="14:18" ht="13">
      <c r="N1051" s="5"/>
      <c r="O1051" s="5"/>
      <c r="P1051" s="5"/>
      <c r="R1051" s="5"/>
    </row>
    <row r="1052" spans="14:18" ht="13">
      <c r="N1052" s="5"/>
      <c r="O1052" s="5"/>
      <c r="P1052" s="5"/>
      <c r="R1052" s="5"/>
    </row>
    <row r="1053" spans="14:18" ht="13">
      <c r="N1053" s="5"/>
      <c r="O1053" s="5"/>
      <c r="P1053" s="5"/>
      <c r="R1053" s="5"/>
    </row>
    <row r="1054" spans="14:18" ht="13">
      <c r="N1054" s="5"/>
      <c r="O1054" s="5"/>
      <c r="P1054" s="5"/>
      <c r="R1054" s="5"/>
    </row>
    <row r="1055" spans="14:18" ht="13">
      <c r="N1055" s="5"/>
      <c r="O1055" s="5"/>
      <c r="P1055" s="5"/>
      <c r="R1055" s="5"/>
    </row>
    <row r="1056" spans="14:18" ht="13">
      <c r="N1056" s="5"/>
      <c r="O1056" s="5"/>
      <c r="P1056" s="5"/>
      <c r="R1056" s="5"/>
    </row>
    <row r="1057" spans="14:18" ht="13">
      <c r="N1057" s="5"/>
      <c r="O1057" s="5"/>
      <c r="P1057" s="5"/>
      <c r="R1057" s="5"/>
    </row>
    <row r="1058" spans="14:18" ht="13">
      <c r="N1058" s="5"/>
      <c r="O1058" s="5"/>
      <c r="P1058" s="5"/>
      <c r="R1058" s="5"/>
    </row>
    <row r="1059" spans="14:18" ht="13">
      <c r="N1059" s="5"/>
      <c r="O1059" s="5"/>
      <c r="P1059" s="5"/>
      <c r="R1059" s="5"/>
    </row>
    <row r="1060" spans="14:18" ht="13">
      <c r="N1060" s="5"/>
      <c r="O1060" s="5"/>
      <c r="P1060" s="5"/>
      <c r="R1060" s="5"/>
    </row>
    <row r="1061" spans="14:18" ht="13">
      <c r="N1061" s="5"/>
      <c r="O1061" s="5"/>
      <c r="P1061" s="5"/>
      <c r="R1061" s="5"/>
    </row>
    <row r="1062" spans="14:18" ht="13">
      <c r="N1062" s="5"/>
      <c r="O1062" s="5"/>
      <c r="P1062" s="5"/>
      <c r="R1062" s="5"/>
    </row>
    <row r="1063" spans="14:18" ht="13">
      <c r="N1063" s="5"/>
      <c r="O1063" s="5"/>
      <c r="P1063" s="5"/>
      <c r="R1063" s="5"/>
    </row>
    <row r="1064" spans="14:18" ht="13">
      <c r="N1064" s="5"/>
      <c r="O1064" s="5"/>
      <c r="P1064" s="5"/>
      <c r="R1064" s="5"/>
    </row>
    <row r="1065" spans="14:18" ht="13">
      <c r="N1065" s="5"/>
      <c r="O1065" s="5"/>
      <c r="P1065" s="5"/>
      <c r="R1065" s="5"/>
    </row>
    <row r="1066" spans="14:18" ht="13">
      <c r="N1066" s="5"/>
      <c r="O1066" s="5"/>
      <c r="P1066" s="5"/>
      <c r="R1066" s="5"/>
    </row>
    <row r="1067" spans="14:18" ht="13">
      <c r="N1067" s="5"/>
      <c r="O1067" s="5"/>
      <c r="P1067" s="5"/>
      <c r="R1067" s="5"/>
    </row>
    <row r="1068" spans="14:18" ht="13">
      <c r="N1068" s="5"/>
      <c r="O1068" s="5"/>
      <c r="P1068" s="5"/>
      <c r="R1068" s="5"/>
    </row>
    <row r="1069" spans="14:18" ht="13">
      <c r="N1069" s="5"/>
      <c r="O1069" s="5"/>
      <c r="P1069" s="5"/>
      <c r="R1069" s="5"/>
    </row>
    <row r="1070" spans="14:18" ht="13">
      <c r="N1070" s="5"/>
      <c r="O1070" s="5"/>
      <c r="P1070" s="5"/>
      <c r="R1070" s="5"/>
    </row>
    <row r="1071" spans="14:18" ht="13">
      <c r="N1071" s="5"/>
      <c r="O1071" s="5"/>
      <c r="P1071" s="5"/>
      <c r="R1071" s="5"/>
    </row>
    <row r="1072" spans="14:18" ht="13">
      <c r="N1072" s="5"/>
      <c r="O1072" s="5"/>
      <c r="P1072" s="5"/>
      <c r="R1072" s="5"/>
    </row>
    <row r="1073" spans="14:18" ht="13">
      <c r="N1073" s="5"/>
      <c r="O1073" s="5"/>
      <c r="P1073" s="5"/>
      <c r="R1073" s="5"/>
    </row>
    <row r="1074" spans="14:18" ht="13">
      <c r="N1074" s="5"/>
      <c r="O1074" s="5"/>
      <c r="P1074" s="5"/>
      <c r="R1074" s="5"/>
    </row>
    <row r="1075" spans="14:18" ht="13">
      <c r="N1075" s="5"/>
      <c r="O1075" s="5"/>
      <c r="P1075" s="5"/>
      <c r="R1075" s="5"/>
    </row>
    <row r="1076" spans="14:18" ht="13">
      <c r="N1076" s="5"/>
      <c r="O1076" s="5"/>
      <c r="P1076" s="5"/>
      <c r="R1076" s="5"/>
    </row>
    <row r="1077" spans="14:18" ht="13">
      <c r="N1077" s="5"/>
      <c r="O1077" s="5"/>
      <c r="P1077" s="5"/>
      <c r="R1077" s="5"/>
    </row>
    <row r="1078" spans="14:18" ht="13">
      <c r="N1078" s="5"/>
      <c r="O1078" s="5"/>
      <c r="P1078" s="5"/>
      <c r="R1078" s="5"/>
    </row>
    <row r="1079" spans="14:18" ht="13">
      <c r="N1079" s="5"/>
      <c r="O1079" s="5"/>
      <c r="P1079" s="5"/>
      <c r="R1079" s="5"/>
    </row>
    <row r="1080" spans="14:18" ht="13">
      <c r="N1080" s="5"/>
      <c r="O1080" s="5"/>
      <c r="P1080" s="5"/>
      <c r="R1080" s="5"/>
    </row>
    <row r="1081" spans="14:18" ht="13">
      <c r="N1081" s="5"/>
      <c r="O1081" s="5"/>
      <c r="P1081" s="5"/>
      <c r="R1081" s="5"/>
    </row>
    <row r="1082" spans="14:18" ht="13">
      <c r="N1082" s="5"/>
      <c r="O1082" s="5"/>
      <c r="P1082" s="5"/>
      <c r="R1082" s="5"/>
    </row>
    <row r="1083" spans="14:18" ht="13">
      <c r="N1083" s="5"/>
      <c r="O1083" s="5"/>
      <c r="P1083" s="5"/>
      <c r="R1083" s="5"/>
    </row>
    <row r="1084" spans="14:18" ht="13">
      <c r="N1084" s="5"/>
      <c r="O1084" s="5"/>
      <c r="P1084" s="5"/>
      <c r="R1084" s="5"/>
    </row>
    <row r="1085" spans="14:18" ht="13">
      <c r="N1085" s="5"/>
      <c r="O1085" s="5"/>
      <c r="P1085" s="5"/>
      <c r="R1085" s="5"/>
    </row>
    <row r="1086" spans="14:18" ht="13">
      <c r="N1086" s="5"/>
      <c r="O1086" s="5"/>
      <c r="P1086" s="5"/>
      <c r="R1086" s="5"/>
    </row>
    <row r="1087" spans="14:18" ht="13">
      <c r="N1087" s="5"/>
      <c r="O1087" s="5"/>
      <c r="P1087" s="5"/>
      <c r="R1087" s="5"/>
    </row>
    <row r="1088" spans="14:18" ht="13">
      <c r="N1088" s="5"/>
      <c r="O1088" s="5"/>
      <c r="P1088" s="5"/>
      <c r="R1088" s="5"/>
    </row>
    <row r="1089" spans="14:18" ht="13">
      <c r="N1089" s="5"/>
      <c r="O1089" s="5"/>
      <c r="P1089" s="5"/>
      <c r="R1089" s="5"/>
    </row>
    <row r="1090" spans="14:18" ht="13">
      <c r="N1090" s="5"/>
      <c r="O1090" s="5"/>
      <c r="P1090" s="5"/>
      <c r="R1090" s="5"/>
    </row>
    <row r="1091" spans="14:18" ht="13">
      <c r="N1091" s="5"/>
      <c r="O1091" s="5"/>
      <c r="P1091" s="5"/>
      <c r="R1091" s="5"/>
    </row>
    <row r="1092" spans="14:18" ht="13">
      <c r="N1092" s="5"/>
      <c r="O1092" s="5"/>
      <c r="P1092" s="5"/>
      <c r="R1092" s="5"/>
    </row>
    <row r="1093" spans="14:18" ht="13">
      <c r="N1093" s="5"/>
      <c r="O1093" s="5"/>
      <c r="P1093" s="5"/>
      <c r="R1093" s="5"/>
    </row>
    <row r="1094" spans="14:18" ht="13">
      <c r="N1094" s="5"/>
      <c r="O1094" s="5"/>
      <c r="P1094" s="5"/>
      <c r="R1094" s="5"/>
    </row>
    <row r="1095" spans="14:18" ht="13">
      <c r="N1095" s="5"/>
      <c r="O1095" s="5"/>
      <c r="P1095" s="5"/>
      <c r="R1095" s="5"/>
    </row>
    <row r="1096" spans="14:18" ht="13">
      <c r="N1096" s="5"/>
      <c r="O1096" s="5"/>
      <c r="P1096" s="5"/>
      <c r="R1096" s="5"/>
    </row>
    <row r="1097" spans="14:18" ht="13">
      <c r="N1097" s="5"/>
      <c r="O1097" s="5"/>
      <c r="P1097" s="5"/>
      <c r="R1097" s="5"/>
    </row>
    <row r="1098" spans="14:18" ht="13">
      <c r="N1098" s="5"/>
      <c r="O1098" s="5"/>
      <c r="P1098" s="5"/>
      <c r="R1098" s="5"/>
    </row>
    <row r="1099" spans="14:18" ht="13">
      <c r="N1099" s="5"/>
      <c r="O1099" s="5"/>
      <c r="P1099" s="5"/>
      <c r="R1099" s="5"/>
    </row>
    <row r="1100" spans="14:18" ht="13">
      <c r="N1100" s="5"/>
      <c r="O1100" s="5"/>
      <c r="P1100" s="5"/>
      <c r="R1100" s="5"/>
    </row>
    <row r="1101" spans="14:18" ht="13">
      <c r="N1101" s="5"/>
      <c r="O1101" s="5"/>
      <c r="P1101" s="5"/>
      <c r="R1101" s="5"/>
    </row>
    <row r="1102" spans="14:18" ht="13">
      <c r="N1102" s="5"/>
      <c r="O1102" s="5"/>
      <c r="P1102" s="5"/>
      <c r="R1102" s="5"/>
    </row>
    <row r="1103" spans="14:18" ht="13">
      <c r="N1103" s="5"/>
      <c r="O1103" s="5"/>
      <c r="P1103" s="5"/>
      <c r="R1103" s="5"/>
    </row>
    <row r="1104" spans="14:18" ht="13">
      <c r="N1104" s="5"/>
      <c r="O1104" s="5"/>
      <c r="P1104" s="5"/>
      <c r="R1104" s="5"/>
    </row>
    <row r="1105" spans="14:18" ht="13">
      <c r="N1105" s="5"/>
      <c r="O1105" s="5"/>
      <c r="P1105" s="5"/>
      <c r="R1105" s="5"/>
    </row>
    <row r="1106" spans="14:18" ht="13">
      <c r="N1106" s="5"/>
      <c r="O1106" s="5"/>
      <c r="P1106" s="5"/>
      <c r="R1106" s="5"/>
    </row>
    <row r="1107" spans="14:18" ht="13">
      <c r="N1107" s="5"/>
      <c r="O1107" s="5"/>
      <c r="P1107" s="5"/>
      <c r="R1107" s="5"/>
    </row>
    <row r="1108" spans="14:18" ht="13">
      <c r="N1108" s="5"/>
      <c r="O1108" s="5"/>
      <c r="P1108" s="5"/>
      <c r="R1108" s="5"/>
    </row>
    <row r="1109" spans="14:18" ht="13">
      <c r="N1109" s="5"/>
      <c r="O1109" s="5"/>
      <c r="P1109" s="5"/>
      <c r="R1109" s="5"/>
    </row>
    <row r="1110" spans="14:18" ht="13">
      <c r="N1110" s="5"/>
      <c r="O1110" s="5"/>
      <c r="P1110" s="5"/>
      <c r="R1110" s="5"/>
    </row>
    <row r="1111" spans="14:18" ht="13">
      <c r="N1111" s="5"/>
      <c r="O1111" s="5"/>
      <c r="P1111" s="5"/>
      <c r="R1111" s="5"/>
    </row>
    <row r="1112" spans="14:18" ht="13">
      <c r="N1112" s="5"/>
      <c r="O1112" s="5"/>
      <c r="P1112" s="5"/>
      <c r="R1112" s="5"/>
    </row>
    <row r="1113" spans="14:18" ht="13">
      <c r="N1113" s="5"/>
      <c r="O1113" s="5"/>
      <c r="P1113" s="5"/>
      <c r="R1113" s="5"/>
    </row>
    <row r="1114" spans="14:18" ht="13">
      <c r="N1114" s="5"/>
      <c r="O1114" s="5"/>
      <c r="P1114" s="5"/>
      <c r="R1114" s="5"/>
    </row>
    <row r="1115" spans="14:18" ht="13">
      <c r="N1115" s="5"/>
      <c r="O1115" s="5"/>
      <c r="P1115" s="5"/>
      <c r="R1115" s="5"/>
    </row>
    <row r="1116" spans="14:18" ht="13">
      <c r="N1116" s="5"/>
      <c r="O1116" s="5"/>
      <c r="P1116" s="5"/>
      <c r="R1116" s="5"/>
    </row>
    <row r="1117" spans="14:18" ht="13">
      <c r="N1117" s="5"/>
      <c r="O1117" s="5"/>
      <c r="P1117" s="5"/>
      <c r="R1117" s="5"/>
    </row>
    <row r="1118" spans="14:18" ht="13">
      <c r="N1118" s="5"/>
      <c r="O1118" s="5"/>
      <c r="P1118" s="5"/>
      <c r="R1118" s="5"/>
    </row>
    <row r="1119" spans="14:18" ht="13">
      <c r="N1119" s="5"/>
      <c r="O1119" s="5"/>
      <c r="P1119" s="5"/>
      <c r="R1119" s="5"/>
    </row>
    <row r="1120" spans="14:18" ht="13">
      <c r="N1120" s="5"/>
      <c r="O1120" s="5"/>
      <c r="P1120" s="5"/>
      <c r="R1120" s="5"/>
    </row>
    <row r="1121" spans="14:18" ht="13">
      <c r="N1121" s="5"/>
      <c r="O1121" s="5"/>
      <c r="P1121" s="5"/>
      <c r="R1121" s="5"/>
    </row>
    <row r="1122" spans="14:18" ht="13">
      <c r="N1122" s="5"/>
      <c r="O1122" s="5"/>
      <c r="P1122" s="5"/>
      <c r="R1122" s="5"/>
    </row>
    <row r="1123" spans="14:18" ht="13">
      <c r="N1123" s="5"/>
      <c r="O1123" s="5"/>
      <c r="P1123" s="5"/>
      <c r="R1123" s="5"/>
    </row>
    <row r="1124" spans="14:18" ht="13">
      <c r="N1124" s="5"/>
      <c r="O1124" s="5"/>
      <c r="P1124" s="5"/>
      <c r="R1124" s="5"/>
    </row>
    <row r="1125" spans="14:18" ht="13">
      <c r="N1125" s="5"/>
      <c r="O1125" s="5"/>
      <c r="P1125" s="5"/>
      <c r="R1125" s="5"/>
    </row>
    <row r="1126" spans="14:18" ht="13">
      <c r="N1126" s="5"/>
      <c r="O1126" s="5"/>
      <c r="P1126" s="5"/>
      <c r="R1126" s="5"/>
    </row>
    <row r="1127" spans="14:18" ht="13">
      <c r="N1127" s="5"/>
      <c r="O1127" s="5"/>
      <c r="P1127" s="5"/>
      <c r="R1127" s="5"/>
    </row>
    <row r="1128" spans="14:18" ht="13">
      <c r="N1128" s="5"/>
      <c r="O1128" s="5"/>
      <c r="P1128" s="5"/>
      <c r="R1128" s="5"/>
    </row>
    <row r="1129" spans="14:18" ht="13">
      <c r="N1129" s="5"/>
      <c r="O1129" s="5"/>
      <c r="P1129" s="5"/>
      <c r="R1129" s="5"/>
    </row>
    <row r="1130" spans="14:18" ht="13">
      <c r="N1130" s="5"/>
      <c r="O1130" s="5"/>
      <c r="P1130" s="5"/>
      <c r="R1130" s="5"/>
    </row>
    <row r="1131" spans="14:18" ht="13">
      <c r="N1131" s="5"/>
      <c r="O1131" s="5"/>
      <c r="P1131" s="5"/>
      <c r="R1131" s="5"/>
    </row>
    <row r="1132" spans="14:18" ht="13">
      <c r="N1132" s="5"/>
      <c r="O1132" s="5"/>
      <c r="P1132" s="5"/>
      <c r="R1132" s="5"/>
    </row>
    <row r="1133" spans="14:18" ht="13">
      <c r="N1133" s="5"/>
      <c r="O1133" s="5"/>
      <c r="P1133" s="5"/>
      <c r="R1133" s="5"/>
    </row>
    <row r="1134" spans="14:18" ht="13">
      <c r="N1134" s="5"/>
      <c r="O1134" s="5"/>
      <c r="P1134" s="5"/>
      <c r="R1134" s="5"/>
    </row>
    <row r="1135" spans="14:18" ht="13">
      <c r="N1135" s="5"/>
      <c r="O1135" s="5"/>
      <c r="P1135" s="5"/>
      <c r="R1135" s="5"/>
    </row>
    <row r="1136" spans="14:18" ht="13">
      <c r="N1136" s="5"/>
      <c r="O1136" s="5"/>
      <c r="P1136" s="5"/>
      <c r="R1136" s="5"/>
    </row>
    <row r="1137" spans="14:18" ht="13">
      <c r="N1137" s="5"/>
      <c r="O1137" s="5"/>
      <c r="P1137" s="5"/>
      <c r="R1137" s="5"/>
    </row>
    <row r="1138" spans="14:18" ht="13">
      <c r="N1138" s="5"/>
      <c r="O1138" s="5"/>
      <c r="P1138" s="5"/>
      <c r="R1138" s="5"/>
    </row>
    <row r="1139" spans="14:18" ht="13">
      <c r="N1139" s="5"/>
      <c r="O1139" s="5"/>
      <c r="P1139" s="5"/>
      <c r="R1139" s="5"/>
    </row>
    <row r="1140" spans="14:18" ht="13">
      <c r="N1140" s="5"/>
      <c r="O1140" s="5"/>
      <c r="P1140" s="5"/>
      <c r="R1140" s="5"/>
    </row>
    <row r="1141" spans="14:18" ht="13">
      <c r="N1141" s="5"/>
      <c r="O1141" s="5"/>
      <c r="P1141" s="5"/>
      <c r="R1141" s="5"/>
    </row>
    <row r="1142" spans="14:18" ht="13">
      <c r="N1142" s="5"/>
      <c r="O1142" s="5"/>
      <c r="P1142" s="5"/>
      <c r="R1142" s="5"/>
    </row>
    <row r="1143" spans="14:18" ht="13">
      <c r="N1143" s="5"/>
      <c r="O1143" s="5"/>
      <c r="P1143" s="5"/>
      <c r="R1143" s="5"/>
    </row>
    <row r="1144" spans="14:18" ht="13">
      <c r="N1144" s="5"/>
      <c r="O1144" s="5"/>
      <c r="P1144" s="5"/>
      <c r="R1144" s="5"/>
    </row>
    <row r="1145" spans="14:18" ht="13">
      <c r="N1145" s="5"/>
      <c r="O1145" s="5"/>
      <c r="P1145" s="5"/>
      <c r="R1145" s="5"/>
    </row>
    <row r="1146" spans="14:18" ht="13">
      <c r="N1146" s="5"/>
      <c r="O1146" s="5"/>
      <c r="P1146" s="5"/>
      <c r="R1146" s="5"/>
    </row>
    <row r="1147" spans="14:18" ht="13">
      <c r="N1147" s="5"/>
      <c r="O1147" s="5"/>
      <c r="P1147" s="5"/>
      <c r="R1147" s="5"/>
    </row>
    <row r="1148" spans="14:18" ht="13">
      <c r="N1148" s="5"/>
      <c r="O1148" s="5"/>
      <c r="P1148" s="5"/>
      <c r="R1148" s="5"/>
    </row>
    <row r="1149" spans="14:18" ht="13">
      <c r="N1149" s="5"/>
      <c r="O1149" s="5"/>
      <c r="P1149" s="5"/>
      <c r="R1149" s="5"/>
    </row>
    <row r="1150" spans="14:18" ht="13">
      <c r="N1150" s="5"/>
      <c r="O1150" s="5"/>
      <c r="P1150" s="5"/>
      <c r="R1150" s="5"/>
    </row>
    <row r="1151" spans="14:18" ht="13">
      <c r="N1151" s="5"/>
      <c r="O1151" s="5"/>
      <c r="P1151" s="5"/>
      <c r="R1151" s="5"/>
    </row>
    <row r="1152" spans="14:18" ht="13">
      <c r="N1152" s="5"/>
      <c r="O1152" s="5"/>
      <c r="P1152" s="5"/>
      <c r="R1152" s="5"/>
    </row>
    <row r="1153" spans="14:18" ht="13">
      <c r="N1153" s="5"/>
      <c r="O1153" s="5"/>
      <c r="P1153" s="5"/>
      <c r="R1153" s="5"/>
    </row>
    <row r="1154" spans="14:18" ht="13">
      <c r="N1154" s="5"/>
      <c r="O1154" s="5"/>
      <c r="P1154" s="5"/>
      <c r="R1154" s="5"/>
    </row>
    <row r="1155" spans="14:18" ht="13">
      <c r="N1155" s="5"/>
      <c r="O1155" s="5"/>
      <c r="P1155" s="5"/>
      <c r="R1155" s="5"/>
    </row>
    <row r="1156" spans="14:18" ht="13">
      <c r="N1156" s="5"/>
      <c r="O1156" s="5"/>
      <c r="P1156" s="5"/>
      <c r="R1156" s="5"/>
    </row>
    <row r="1157" spans="14:18" ht="13">
      <c r="N1157" s="5"/>
      <c r="O1157" s="5"/>
      <c r="P1157" s="5"/>
      <c r="R1157" s="5"/>
    </row>
    <row r="1158" spans="14:18" ht="13">
      <c r="N1158" s="5"/>
      <c r="O1158" s="5"/>
      <c r="P1158" s="5"/>
      <c r="R1158" s="5"/>
    </row>
    <row r="1159" spans="14:18" ht="13">
      <c r="N1159" s="5"/>
      <c r="O1159" s="5"/>
      <c r="P1159" s="5"/>
      <c r="R1159" s="5"/>
    </row>
    <row r="1160" spans="14:18" ht="13">
      <c r="N1160" s="5"/>
      <c r="O1160" s="5"/>
      <c r="P1160" s="5"/>
      <c r="R1160" s="5"/>
    </row>
    <row r="1161" spans="14:18" ht="13">
      <c r="N1161" s="5"/>
      <c r="O1161" s="5"/>
      <c r="P1161" s="5"/>
      <c r="R1161" s="5"/>
    </row>
    <row r="1162" spans="14:18" ht="13">
      <c r="N1162" s="5"/>
      <c r="O1162" s="5"/>
      <c r="P1162" s="5"/>
      <c r="R1162" s="5"/>
    </row>
    <row r="1163" spans="14:18" ht="13">
      <c r="N1163" s="5"/>
      <c r="O1163" s="5"/>
      <c r="P1163" s="5"/>
      <c r="R1163" s="5"/>
    </row>
    <row r="1164" spans="14:18" ht="13">
      <c r="N1164" s="5"/>
      <c r="O1164" s="5"/>
      <c r="P1164" s="5"/>
      <c r="R1164" s="5"/>
    </row>
    <row r="1165" spans="14:18" ht="13">
      <c r="N1165" s="5"/>
      <c r="O1165" s="5"/>
      <c r="P1165" s="5"/>
      <c r="R1165" s="5"/>
    </row>
    <row r="1166" spans="14:18" ht="13">
      <c r="N1166" s="5"/>
      <c r="O1166" s="5"/>
      <c r="P1166" s="5"/>
      <c r="R1166" s="5"/>
    </row>
    <row r="1167" spans="14:18" ht="13">
      <c r="N1167" s="5"/>
      <c r="O1167" s="5"/>
      <c r="P1167" s="5"/>
      <c r="R1167" s="5"/>
    </row>
    <row r="1168" spans="14:18" ht="13">
      <c r="N1168" s="5"/>
      <c r="O1168" s="5"/>
      <c r="P1168" s="5"/>
      <c r="R1168" s="5"/>
    </row>
    <row r="1169" spans="14:18" ht="13">
      <c r="N1169" s="5"/>
      <c r="O1169" s="5"/>
      <c r="P1169" s="5"/>
      <c r="R1169" s="5"/>
    </row>
    <row r="1170" spans="14:18" ht="13">
      <c r="N1170" s="5"/>
      <c r="O1170" s="5"/>
      <c r="P1170" s="5"/>
      <c r="R1170" s="5"/>
    </row>
    <row r="1171" spans="14:18" ht="13">
      <c r="N1171" s="5"/>
      <c r="O1171" s="5"/>
      <c r="P1171" s="5"/>
      <c r="R1171" s="5"/>
    </row>
    <row r="1172" spans="14:18" ht="13">
      <c r="N1172" s="5"/>
      <c r="O1172" s="5"/>
      <c r="P1172" s="5"/>
      <c r="R1172" s="5"/>
    </row>
    <row r="1173" spans="14:18" ht="13">
      <c r="N1173" s="5"/>
      <c r="O1173" s="5"/>
      <c r="P1173" s="5"/>
      <c r="R1173" s="5"/>
    </row>
    <row r="1174" spans="14:18" ht="13">
      <c r="N1174" s="5"/>
      <c r="O1174" s="5"/>
      <c r="P1174" s="5"/>
      <c r="R1174" s="5"/>
    </row>
    <row r="1175" spans="14:18" ht="13">
      <c r="N1175" s="5"/>
      <c r="O1175" s="5"/>
      <c r="P1175" s="5"/>
      <c r="R1175" s="5"/>
    </row>
    <row r="1176" spans="14:18" ht="13">
      <c r="N1176" s="5"/>
      <c r="O1176" s="5"/>
      <c r="P1176" s="5"/>
      <c r="R1176" s="5"/>
    </row>
    <row r="1177" spans="14:18" ht="13">
      <c r="N1177" s="5"/>
      <c r="O1177" s="5"/>
      <c r="P1177" s="5"/>
      <c r="R1177" s="5"/>
    </row>
    <row r="1178" spans="14:18" ht="13">
      <c r="N1178" s="5"/>
      <c r="O1178" s="5"/>
      <c r="P1178" s="5"/>
      <c r="R1178" s="5"/>
    </row>
    <row r="1179" spans="14:18" ht="13">
      <c r="N1179" s="5"/>
      <c r="O1179" s="5"/>
      <c r="P1179" s="5"/>
      <c r="R1179" s="5"/>
    </row>
    <row r="1180" spans="14:18" ht="13">
      <c r="N1180" s="5"/>
      <c r="O1180" s="5"/>
      <c r="P1180" s="5"/>
      <c r="R1180" s="5"/>
    </row>
    <row r="1181" spans="14:18" ht="13">
      <c r="N1181" s="5"/>
      <c r="O1181" s="5"/>
      <c r="P1181" s="5"/>
      <c r="R1181" s="5"/>
    </row>
    <row r="1182" spans="14:18" ht="13">
      <c r="N1182" s="5"/>
      <c r="O1182" s="5"/>
      <c r="P1182" s="5"/>
      <c r="R1182" s="5"/>
    </row>
    <row r="1183" spans="14:18" ht="13">
      <c r="N1183" s="5"/>
      <c r="O1183" s="5"/>
      <c r="P1183" s="5"/>
      <c r="R1183" s="5"/>
    </row>
    <row r="1184" spans="14:18" ht="13">
      <c r="N1184" s="5"/>
      <c r="O1184" s="5"/>
      <c r="P1184" s="5"/>
      <c r="R1184" s="5"/>
    </row>
    <row r="1185" spans="14:18" ht="13">
      <c r="N1185" s="5"/>
      <c r="O1185" s="5"/>
      <c r="P1185" s="5"/>
      <c r="R1185" s="5"/>
    </row>
    <row r="1186" spans="14:18" ht="13">
      <c r="N1186" s="5"/>
      <c r="O1186" s="5"/>
      <c r="P1186" s="5"/>
      <c r="R1186" s="5"/>
    </row>
    <row r="1187" spans="14:18" ht="13">
      <c r="N1187" s="5"/>
      <c r="O1187" s="5"/>
      <c r="P1187" s="5"/>
      <c r="R1187" s="5"/>
    </row>
    <row r="1188" spans="14:18" ht="13">
      <c r="N1188" s="5"/>
      <c r="O1188" s="5"/>
      <c r="P1188" s="5"/>
      <c r="R1188" s="5"/>
    </row>
    <row r="1189" spans="14:18" ht="13">
      <c r="N1189" s="5"/>
      <c r="O1189" s="5"/>
      <c r="P1189" s="5"/>
      <c r="R1189" s="5"/>
    </row>
    <row r="1190" spans="14:18" ht="13">
      <c r="N1190" s="5"/>
      <c r="O1190" s="5"/>
      <c r="P1190" s="5"/>
      <c r="R1190" s="5"/>
    </row>
    <row r="1191" spans="14:18" ht="13">
      <c r="N1191" s="5"/>
      <c r="O1191" s="5"/>
      <c r="P1191" s="5"/>
      <c r="R1191" s="5"/>
    </row>
    <row r="1192" spans="14:18" ht="13">
      <c r="N1192" s="5"/>
      <c r="O1192" s="5"/>
      <c r="P1192" s="5"/>
      <c r="R1192" s="5"/>
    </row>
    <row r="1193" spans="14:18" ht="13">
      <c r="N1193" s="5"/>
      <c r="O1193" s="5"/>
      <c r="P1193" s="5"/>
      <c r="R1193" s="5"/>
    </row>
    <row r="1194" spans="14:18" ht="13">
      <c r="N1194" s="5"/>
      <c r="O1194" s="5"/>
      <c r="P1194" s="5"/>
      <c r="R1194" s="5"/>
    </row>
    <row r="1195" spans="14:18" ht="13">
      <c r="N1195" s="5"/>
      <c r="O1195" s="5"/>
      <c r="P1195" s="5"/>
      <c r="R1195" s="5"/>
    </row>
    <row r="1196" spans="14:18" ht="13">
      <c r="N1196" s="5"/>
      <c r="O1196" s="5"/>
      <c r="P1196" s="5"/>
      <c r="R1196" s="5"/>
    </row>
    <row r="1197" spans="14:18" ht="13">
      <c r="N1197" s="5"/>
      <c r="O1197" s="5"/>
      <c r="P1197" s="5"/>
      <c r="R1197" s="5"/>
    </row>
    <row r="1198" spans="14:18" ht="13">
      <c r="N1198" s="5"/>
      <c r="O1198" s="5"/>
      <c r="P1198" s="5"/>
      <c r="R1198" s="5"/>
    </row>
    <row r="1199" spans="14:18" ht="13">
      <c r="N1199" s="5"/>
      <c r="O1199" s="5"/>
      <c r="P1199" s="5"/>
      <c r="R1199" s="5"/>
    </row>
    <row r="1200" spans="14:18" ht="13">
      <c r="N1200" s="5"/>
      <c r="O1200" s="5"/>
      <c r="P1200" s="5"/>
      <c r="R1200" s="5"/>
    </row>
    <row r="1201" spans="14:18" ht="13">
      <c r="N1201" s="5"/>
      <c r="O1201" s="5"/>
      <c r="P1201" s="5"/>
      <c r="R1201" s="5"/>
    </row>
    <row r="1202" spans="14:18" ht="13">
      <c r="N1202" s="5"/>
      <c r="O1202" s="5"/>
      <c r="P1202" s="5"/>
      <c r="R1202" s="5"/>
    </row>
    <row r="1203" spans="14:18" ht="13">
      <c r="N1203" s="5"/>
      <c r="O1203" s="5"/>
      <c r="P1203" s="5"/>
      <c r="R1203" s="5"/>
    </row>
    <row r="1204" spans="14:18" ht="13">
      <c r="N1204" s="5"/>
      <c r="O1204" s="5"/>
      <c r="P1204" s="5"/>
      <c r="R1204" s="5"/>
    </row>
    <row r="1205" spans="14:18" ht="13">
      <c r="N1205" s="5"/>
      <c r="O1205" s="5"/>
      <c r="P1205" s="5"/>
      <c r="R1205" s="5"/>
    </row>
    <row r="1206" spans="14:18" ht="13">
      <c r="N1206" s="5"/>
      <c r="O1206" s="5"/>
      <c r="P1206" s="5"/>
      <c r="R1206" s="5"/>
    </row>
    <row r="1207" spans="14:18" ht="13">
      <c r="N1207" s="5"/>
      <c r="O1207" s="5"/>
      <c r="P1207" s="5"/>
      <c r="R1207" s="5"/>
    </row>
    <row r="1208" spans="14:18" ht="13">
      <c r="N1208" s="5"/>
      <c r="O1208" s="5"/>
      <c r="P1208" s="5"/>
      <c r="R1208" s="5"/>
    </row>
    <row r="1209" spans="14:18" ht="13">
      <c r="N1209" s="5"/>
      <c r="O1209" s="5"/>
      <c r="P1209" s="5"/>
      <c r="R1209" s="5"/>
    </row>
    <row r="1210" spans="14:18" ht="13">
      <c r="N1210" s="5"/>
      <c r="O1210" s="5"/>
      <c r="P1210" s="5"/>
      <c r="R1210" s="5"/>
    </row>
    <row r="1211" spans="14:18" ht="13">
      <c r="N1211" s="5"/>
      <c r="O1211" s="5"/>
      <c r="P1211" s="5"/>
      <c r="R1211" s="5"/>
    </row>
    <row r="1212" spans="14:18" ht="13">
      <c r="N1212" s="5"/>
      <c r="O1212" s="5"/>
      <c r="P1212" s="5"/>
      <c r="R1212" s="5"/>
    </row>
    <row r="1213" spans="14:18" ht="13">
      <c r="N1213" s="5"/>
      <c r="O1213" s="5"/>
      <c r="P1213" s="5"/>
      <c r="R1213" s="5"/>
    </row>
    <row r="1214" spans="14:18" ht="13">
      <c r="N1214" s="5"/>
      <c r="O1214" s="5"/>
      <c r="P1214" s="5"/>
      <c r="R1214" s="5"/>
    </row>
    <row r="1215" spans="14:18" ht="13">
      <c r="N1215" s="5"/>
      <c r="O1215" s="5"/>
      <c r="P1215" s="5"/>
      <c r="R1215" s="5"/>
    </row>
    <row r="1216" spans="14:18" ht="13">
      <c r="N1216" s="5"/>
      <c r="O1216" s="5"/>
      <c r="P1216" s="5"/>
      <c r="R1216" s="5"/>
    </row>
    <row r="1217" spans="14:18" ht="13">
      <c r="N1217" s="5"/>
      <c r="O1217" s="5"/>
      <c r="P1217" s="5"/>
      <c r="R1217" s="5"/>
    </row>
    <row r="1218" spans="14:18" ht="13">
      <c r="N1218" s="5"/>
      <c r="O1218" s="5"/>
      <c r="P1218" s="5"/>
      <c r="R1218" s="5"/>
    </row>
    <row r="1219" spans="14:18" ht="13">
      <c r="N1219" s="5"/>
      <c r="O1219" s="5"/>
      <c r="P1219" s="5"/>
      <c r="R1219" s="5"/>
    </row>
    <row r="1220" spans="14:18" ht="13">
      <c r="N1220" s="5"/>
      <c r="O1220" s="5"/>
      <c r="P1220" s="5"/>
      <c r="R1220" s="5"/>
    </row>
    <row r="1221" spans="14:18" ht="13">
      <c r="N1221" s="5"/>
      <c r="O1221" s="5"/>
      <c r="P1221" s="5"/>
      <c r="R1221" s="5"/>
    </row>
    <row r="1222" spans="14:18" ht="13">
      <c r="N1222" s="5"/>
      <c r="O1222" s="5"/>
      <c r="P1222" s="5"/>
      <c r="R1222" s="5"/>
    </row>
    <row r="1223" spans="14:18" ht="13">
      <c r="N1223" s="5"/>
      <c r="O1223" s="5"/>
      <c r="P1223" s="5"/>
      <c r="R1223" s="5"/>
    </row>
    <row r="1224" spans="14:18" ht="13">
      <c r="N1224" s="5"/>
      <c r="O1224" s="5"/>
      <c r="P1224" s="5"/>
      <c r="R1224" s="5"/>
    </row>
    <row r="1225" spans="14:18" ht="13">
      <c r="N1225" s="5"/>
      <c r="O1225" s="5"/>
      <c r="P1225" s="5"/>
      <c r="R1225" s="5"/>
    </row>
    <row r="1226" spans="14:18" ht="13">
      <c r="N1226" s="5"/>
      <c r="O1226" s="5"/>
      <c r="P1226" s="5"/>
      <c r="R1226" s="5"/>
    </row>
    <row r="1227" spans="14:18" ht="13">
      <c r="N1227" s="5"/>
      <c r="O1227" s="5"/>
      <c r="P1227" s="5"/>
      <c r="R1227" s="5"/>
    </row>
    <row r="1228" spans="14:18" ht="13">
      <c r="N1228" s="5"/>
      <c r="O1228" s="5"/>
      <c r="P1228" s="5"/>
      <c r="R1228" s="5"/>
    </row>
    <row r="1229" spans="14:18" ht="13">
      <c r="N1229" s="5"/>
      <c r="O1229" s="5"/>
      <c r="P1229" s="5"/>
      <c r="R1229" s="5"/>
    </row>
    <row r="1230" spans="14:18" ht="13">
      <c r="N1230" s="5"/>
      <c r="O1230" s="5"/>
      <c r="P1230" s="5"/>
      <c r="R1230" s="5"/>
    </row>
    <row r="1231" spans="14:18" ht="13">
      <c r="N1231" s="5"/>
      <c r="O1231" s="5"/>
      <c r="P1231" s="5"/>
      <c r="R1231" s="5"/>
    </row>
    <row r="1232" spans="14:18" ht="13">
      <c r="N1232" s="5"/>
      <c r="O1232" s="5"/>
      <c r="P1232" s="5"/>
      <c r="R1232" s="5"/>
    </row>
    <row r="1233" spans="14:18" ht="13">
      <c r="N1233" s="5"/>
      <c r="O1233" s="5"/>
      <c r="P1233" s="5"/>
      <c r="R1233" s="5"/>
    </row>
    <row r="1234" spans="14:18" ht="13">
      <c r="N1234" s="5"/>
      <c r="O1234" s="5"/>
      <c r="P1234" s="5"/>
      <c r="R1234" s="5"/>
    </row>
    <row r="1235" spans="14:18" ht="13">
      <c r="N1235" s="5"/>
      <c r="O1235" s="5"/>
      <c r="P1235" s="5"/>
      <c r="R1235" s="5"/>
    </row>
    <row r="1236" spans="14:18" ht="13">
      <c r="N1236" s="5"/>
      <c r="O1236" s="5"/>
      <c r="P1236" s="5"/>
      <c r="R1236" s="5"/>
    </row>
    <row r="1237" spans="14:18" ht="13">
      <c r="N1237" s="5"/>
      <c r="O1237" s="5"/>
      <c r="P1237" s="5"/>
      <c r="R1237" s="5"/>
    </row>
    <row r="1238" spans="14:18" ht="13">
      <c r="N1238" s="5"/>
      <c r="O1238" s="5"/>
      <c r="P1238" s="5"/>
      <c r="R1238" s="5"/>
    </row>
    <row r="1239" spans="14:18" ht="13">
      <c r="N1239" s="5"/>
      <c r="O1239" s="5"/>
      <c r="P1239" s="5"/>
      <c r="R1239" s="5"/>
    </row>
    <row r="1240" spans="14:18" ht="13">
      <c r="N1240" s="5"/>
      <c r="O1240" s="5"/>
      <c r="P1240" s="5"/>
      <c r="R1240" s="5"/>
    </row>
    <row r="1241" spans="14:18" ht="13">
      <c r="N1241" s="5"/>
      <c r="O1241" s="5"/>
      <c r="P1241" s="5"/>
      <c r="R1241" s="5"/>
    </row>
    <row r="1242" spans="14:18" ht="13">
      <c r="N1242" s="5"/>
      <c r="O1242" s="5"/>
      <c r="P1242" s="5"/>
      <c r="R1242" s="5"/>
    </row>
    <row r="1243" spans="14:18" ht="13">
      <c r="N1243" s="5"/>
      <c r="O1243" s="5"/>
      <c r="P1243" s="5"/>
      <c r="R1243" s="5"/>
    </row>
    <row r="1244" spans="14:18" ht="13">
      <c r="N1244" s="5"/>
      <c r="O1244" s="5"/>
      <c r="P1244" s="5"/>
      <c r="R1244" s="5"/>
    </row>
    <row r="1245" spans="14:18" ht="13">
      <c r="N1245" s="5"/>
      <c r="O1245" s="5"/>
      <c r="P1245" s="5"/>
      <c r="R1245" s="5"/>
    </row>
    <row r="1246" spans="14:18" ht="13">
      <c r="N1246" s="5"/>
      <c r="O1246" s="5"/>
      <c r="P1246" s="5"/>
      <c r="R1246" s="5"/>
    </row>
    <row r="1247" spans="14:18" ht="13">
      <c r="N1247" s="5"/>
      <c r="O1247" s="5"/>
      <c r="P1247" s="5"/>
      <c r="R1247" s="5"/>
    </row>
    <row r="1248" spans="14:18" ht="13">
      <c r="N1248" s="5"/>
      <c r="O1248" s="5"/>
      <c r="P1248" s="5"/>
      <c r="R1248" s="5"/>
    </row>
    <row r="1249" spans="14:18" ht="13">
      <c r="N1249" s="5"/>
      <c r="O1249" s="5"/>
      <c r="P1249" s="5"/>
      <c r="R1249" s="5"/>
    </row>
    <row r="1250" spans="14:18" ht="13">
      <c r="N1250" s="5"/>
      <c r="O1250" s="5"/>
      <c r="P1250" s="5"/>
      <c r="R1250" s="5"/>
    </row>
    <row r="1251" spans="14:18" ht="13">
      <c r="N1251" s="5"/>
      <c r="O1251" s="5"/>
      <c r="P1251" s="5"/>
      <c r="R1251" s="5"/>
    </row>
    <row r="1252" spans="14:18" ht="13">
      <c r="N1252" s="5"/>
      <c r="O1252" s="5"/>
      <c r="P1252" s="5"/>
      <c r="R1252" s="5"/>
    </row>
    <row r="1253" spans="14:18" ht="13">
      <c r="N1253" s="5"/>
      <c r="O1253" s="5"/>
      <c r="P1253" s="5"/>
      <c r="R1253" s="5"/>
    </row>
    <row r="1254" spans="14:18" ht="13">
      <c r="N1254" s="5"/>
      <c r="O1254" s="5"/>
      <c r="P1254" s="5"/>
      <c r="R1254" s="5"/>
    </row>
    <row r="1255" spans="14:18" ht="13">
      <c r="N1255" s="5"/>
      <c r="O1255" s="5"/>
      <c r="P1255" s="5"/>
      <c r="R1255" s="5"/>
    </row>
    <row r="1256" spans="14:18" ht="13">
      <c r="N1256" s="5"/>
      <c r="O1256" s="5"/>
      <c r="P1256" s="5"/>
      <c r="R1256" s="5"/>
    </row>
    <row r="1257" spans="14:18" ht="13">
      <c r="N1257" s="5"/>
      <c r="O1257" s="5"/>
      <c r="P1257" s="5"/>
      <c r="R1257" s="5"/>
    </row>
    <row r="1258" spans="14:18" ht="13">
      <c r="N1258" s="5"/>
      <c r="O1258" s="5"/>
      <c r="P1258" s="5"/>
      <c r="R1258" s="5"/>
    </row>
    <row r="1259" spans="14:18" ht="13">
      <c r="N1259" s="5"/>
      <c r="O1259" s="5"/>
      <c r="P1259" s="5"/>
      <c r="R1259" s="5"/>
    </row>
    <row r="1260" spans="14:18" ht="13">
      <c r="N1260" s="5"/>
      <c r="O1260" s="5"/>
      <c r="P1260" s="5"/>
      <c r="R1260" s="5"/>
    </row>
    <row r="1261" spans="14:18" ht="13">
      <c r="N1261" s="5"/>
      <c r="O1261" s="5"/>
      <c r="P1261" s="5"/>
      <c r="R1261" s="5"/>
    </row>
    <row r="1262" spans="14:18" ht="13">
      <c r="N1262" s="5"/>
      <c r="O1262" s="5"/>
      <c r="P1262" s="5"/>
      <c r="R1262" s="5"/>
    </row>
    <row r="1263" spans="14:18" ht="13">
      <c r="N1263" s="5"/>
      <c r="O1263" s="5"/>
      <c r="P1263" s="5"/>
      <c r="R1263" s="5"/>
    </row>
    <row r="1264" spans="14:18" ht="13">
      <c r="N1264" s="5"/>
      <c r="O1264" s="5"/>
      <c r="P1264" s="5"/>
      <c r="R1264" s="5"/>
    </row>
    <row r="1265" spans="14:18" ht="13">
      <c r="N1265" s="5"/>
      <c r="O1265" s="5"/>
      <c r="P1265" s="5"/>
      <c r="R1265" s="5"/>
    </row>
    <row r="1266" spans="14:18" ht="13">
      <c r="N1266" s="5"/>
      <c r="O1266" s="5"/>
      <c r="P1266" s="5"/>
      <c r="R1266" s="5"/>
    </row>
    <row r="1267" spans="14:18" ht="13">
      <c r="N1267" s="5"/>
      <c r="O1267" s="5"/>
      <c r="P1267" s="5"/>
      <c r="R1267" s="5"/>
    </row>
    <row r="1268" spans="14:18" ht="13">
      <c r="N1268" s="5"/>
      <c r="O1268" s="5"/>
      <c r="P1268" s="5"/>
      <c r="R1268" s="5"/>
    </row>
    <row r="1269" spans="14:18" ht="13">
      <c r="N1269" s="5"/>
      <c r="O1269" s="5"/>
      <c r="P1269" s="5"/>
      <c r="R1269" s="5"/>
    </row>
    <row r="1270" spans="14:18" ht="13">
      <c r="N1270" s="5"/>
      <c r="O1270" s="5"/>
      <c r="P1270" s="5"/>
      <c r="R1270" s="5"/>
    </row>
    <row r="1271" spans="14:18" ht="13">
      <c r="N1271" s="5"/>
      <c r="O1271" s="5"/>
      <c r="P1271" s="5"/>
      <c r="R1271" s="5"/>
    </row>
    <row r="1272" spans="14:18" ht="13">
      <c r="N1272" s="5"/>
      <c r="O1272" s="5"/>
      <c r="P1272" s="5"/>
      <c r="R1272" s="5"/>
    </row>
    <row r="1273" spans="14:18" ht="13">
      <c r="N1273" s="5"/>
      <c r="O1273" s="5"/>
      <c r="P1273" s="5"/>
      <c r="R1273" s="5"/>
    </row>
    <row r="1274" spans="14:18" ht="13">
      <c r="N1274" s="5"/>
      <c r="O1274" s="5"/>
      <c r="P1274" s="5"/>
      <c r="R1274" s="5"/>
    </row>
    <row r="1275" spans="14:18" ht="13">
      <c r="N1275" s="5"/>
      <c r="O1275" s="5"/>
      <c r="P1275" s="5"/>
      <c r="R1275" s="5"/>
    </row>
    <row r="1276" spans="14:18" ht="13">
      <c r="N1276" s="5"/>
      <c r="O1276" s="5"/>
      <c r="P1276" s="5"/>
      <c r="R1276" s="5"/>
    </row>
    <row r="1277" spans="14:18" ht="13">
      <c r="N1277" s="5"/>
      <c r="O1277" s="5"/>
      <c r="P1277" s="5"/>
      <c r="R1277" s="5"/>
    </row>
    <row r="1278" spans="14:18" ht="13">
      <c r="N1278" s="5"/>
      <c r="O1278" s="5"/>
      <c r="P1278" s="5"/>
      <c r="R1278" s="5"/>
    </row>
    <row r="1279" spans="14:18" ht="13">
      <c r="N1279" s="5"/>
      <c r="O1279" s="5"/>
      <c r="P1279" s="5"/>
      <c r="R1279" s="5"/>
    </row>
    <row r="1280" spans="14:18" ht="13">
      <c r="N1280" s="5"/>
      <c r="O1280" s="5"/>
      <c r="P1280" s="5"/>
      <c r="R1280" s="5"/>
    </row>
    <row r="1281" spans="14:18" ht="13">
      <c r="N1281" s="5"/>
      <c r="O1281" s="5"/>
      <c r="P1281" s="5"/>
      <c r="R1281" s="5"/>
    </row>
    <row r="1282" spans="14:18" ht="13">
      <c r="N1282" s="5"/>
      <c r="O1282" s="5"/>
      <c r="P1282" s="5"/>
      <c r="R1282" s="5"/>
    </row>
    <row r="1283" spans="14:18" ht="13">
      <c r="N1283" s="5"/>
      <c r="O1283" s="5"/>
      <c r="P1283" s="5"/>
      <c r="R1283" s="5"/>
    </row>
    <row r="1284" spans="14:18" ht="13">
      <c r="N1284" s="5"/>
      <c r="O1284" s="5"/>
      <c r="P1284" s="5"/>
      <c r="R1284" s="5"/>
    </row>
    <row r="1285" spans="14:18" ht="13">
      <c r="N1285" s="5"/>
      <c r="O1285" s="5"/>
      <c r="P1285" s="5"/>
      <c r="R1285" s="5"/>
    </row>
    <row r="1286" spans="14:18" ht="13">
      <c r="N1286" s="5"/>
      <c r="O1286" s="5"/>
      <c r="P1286" s="5"/>
      <c r="R1286" s="5"/>
    </row>
    <row r="1287" spans="14:18" ht="13">
      <c r="N1287" s="5"/>
      <c r="O1287" s="5"/>
      <c r="P1287" s="5"/>
      <c r="R1287" s="5"/>
    </row>
    <row r="1288" spans="14:18" ht="13">
      <c r="N1288" s="5"/>
      <c r="O1288" s="5"/>
      <c r="P1288" s="5"/>
      <c r="R1288" s="5"/>
    </row>
    <row r="1289" spans="14:18" ht="13">
      <c r="N1289" s="5"/>
      <c r="O1289" s="5"/>
      <c r="P1289" s="5"/>
      <c r="R1289" s="5"/>
    </row>
    <row r="1290" spans="14:18" ht="13">
      <c r="N1290" s="5"/>
      <c r="O1290" s="5"/>
      <c r="P1290" s="5"/>
      <c r="R1290" s="5"/>
    </row>
    <row r="1291" spans="14:18" ht="13">
      <c r="N1291" s="5"/>
      <c r="O1291" s="5"/>
      <c r="P1291" s="5"/>
      <c r="R1291" s="5"/>
    </row>
    <row r="1292" spans="14:18" ht="13">
      <c r="N1292" s="5"/>
      <c r="O1292" s="5"/>
      <c r="P1292" s="5"/>
      <c r="R1292" s="5"/>
    </row>
    <row r="1293" spans="14:18" ht="13">
      <c r="N1293" s="5"/>
      <c r="O1293" s="5"/>
      <c r="P1293" s="5"/>
      <c r="R1293" s="5"/>
    </row>
    <row r="1294" spans="14:18" ht="13">
      <c r="N1294" s="5"/>
      <c r="O1294" s="5"/>
      <c r="P1294" s="5"/>
      <c r="R1294" s="5"/>
    </row>
    <row r="1295" spans="14:18" ht="13">
      <c r="N1295" s="5"/>
      <c r="O1295" s="5"/>
      <c r="P1295" s="5"/>
      <c r="R1295" s="5"/>
    </row>
    <row r="1296" spans="14:18" ht="13">
      <c r="N1296" s="5"/>
      <c r="O1296" s="5"/>
      <c r="P1296" s="5"/>
      <c r="R1296" s="5"/>
    </row>
    <row r="1297" spans="14:18" ht="13">
      <c r="N1297" s="5"/>
      <c r="O1297" s="5"/>
      <c r="P1297" s="5"/>
      <c r="R1297" s="5"/>
    </row>
    <row r="1298" spans="14:18" ht="13">
      <c r="N1298" s="5"/>
      <c r="O1298" s="5"/>
      <c r="P1298" s="5"/>
      <c r="R1298" s="5"/>
    </row>
    <row r="1299" spans="14:18" ht="13">
      <c r="N1299" s="5"/>
      <c r="O1299" s="5"/>
      <c r="P1299" s="5"/>
      <c r="R1299" s="5"/>
    </row>
    <row r="1300" spans="14:18" ht="13">
      <c r="N1300" s="5"/>
      <c r="O1300" s="5"/>
      <c r="P1300" s="5"/>
      <c r="R1300" s="5"/>
    </row>
    <row r="1301" spans="14:18" ht="13">
      <c r="N1301" s="5"/>
      <c r="O1301" s="5"/>
      <c r="P1301" s="5"/>
      <c r="R1301" s="5"/>
    </row>
    <row r="1302" spans="14:18" ht="13">
      <c r="N1302" s="5"/>
      <c r="O1302" s="5"/>
      <c r="P1302" s="5"/>
      <c r="R1302" s="5"/>
    </row>
    <row r="1303" spans="14:18" ht="13">
      <c r="N1303" s="5"/>
      <c r="O1303" s="5"/>
      <c r="P1303" s="5"/>
      <c r="R1303" s="5"/>
    </row>
    <row r="1304" spans="14:18" ht="13">
      <c r="N1304" s="5"/>
      <c r="O1304" s="5"/>
      <c r="P1304" s="5"/>
      <c r="R1304" s="5"/>
    </row>
    <row r="1305" spans="14:18" ht="13">
      <c r="N1305" s="5"/>
      <c r="O1305" s="5"/>
      <c r="P1305" s="5"/>
      <c r="R1305" s="5"/>
    </row>
    <row r="1306" spans="14:18" ht="13">
      <c r="N1306" s="5"/>
      <c r="O1306" s="5"/>
      <c r="P1306" s="5"/>
      <c r="R1306" s="5"/>
    </row>
    <row r="1307" spans="14:18" ht="13">
      <c r="N1307" s="5"/>
      <c r="O1307" s="5"/>
      <c r="P1307" s="5"/>
      <c r="R1307" s="5"/>
    </row>
    <row r="1308" spans="14:18" ht="13">
      <c r="N1308" s="5"/>
      <c r="O1308" s="5"/>
      <c r="P1308" s="5"/>
      <c r="R1308" s="5"/>
    </row>
    <row r="1309" spans="14:18" ht="13">
      <c r="N1309" s="5"/>
      <c r="O1309" s="5"/>
      <c r="P1309" s="5"/>
      <c r="R1309" s="5"/>
    </row>
    <row r="1310" spans="14:18" ht="13">
      <c r="N1310" s="5"/>
      <c r="O1310" s="5"/>
      <c r="P1310" s="5"/>
      <c r="R1310" s="5"/>
    </row>
    <row r="1311" spans="14:18" ht="13">
      <c r="N1311" s="5"/>
      <c r="O1311" s="5"/>
      <c r="P1311" s="5"/>
      <c r="R1311" s="5"/>
    </row>
    <row r="1312" spans="14:18" ht="13">
      <c r="N1312" s="5"/>
      <c r="O1312" s="5"/>
      <c r="P1312" s="5"/>
      <c r="R1312" s="5"/>
    </row>
    <row r="1313" spans="14:18" ht="13">
      <c r="N1313" s="5"/>
      <c r="O1313" s="5"/>
      <c r="P1313" s="5"/>
      <c r="R1313" s="5"/>
    </row>
    <row r="1314" spans="14:18" ht="13">
      <c r="N1314" s="5"/>
      <c r="O1314" s="5"/>
      <c r="P1314" s="5"/>
      <c r="R1314" s="5"/>
    </row>
    <row r="1315" spans="14:18" ht="13">
      <c r="N1315" s="5"/>
      <c r="O1315" s="5"/>
      <c r="P1315" s="5"/>
      <c r="R1315" s="5"/>
    </row>
    <row r="1316" spans="14:18" ht="13">
      <c r="N1316" s="5"/>
      <c r="O1316" s="5"/>
      <c r="P1316" s="5"/>
      <c r="R1316" s="5"/>
    </row>
    <row r="1317" spans="14:18" ht="13">
      <c r="N1317" s="5"/>
      <c r="O1317" s="5"/>
      <c r="P1317" s="5"/>
      <c r="R1317" s="5"/>
    </row>
    <row r="1318" spans="14:18" ht="13">
      <c r="N1318" s="5"/>
      <c r="O1318" s="5"/>
      <c r="P1318" s="5"/>
      <c r="R1318" s="5"/>
    </row>
    <row r="1319" spans="14:18" ht="13">
      <c r="N1319" s="5"/>
      <c r="O1319" s="5"/>
      <c r="P1319" s="5"/>
      <c r="R1319" s="5"/>
    </row>
    <row r="1320" spans="14:18" ht="13">
      <c r="N1320" s="5"/>
      <c r="O1320" s="5"/>
      <c r="P1320" s="5"/>
      <c r="R1320" s="5"/>
    </row>
    <row r="1321" spans="14:18" ht="13">
      <c r="N1321" s="5"/>
      <c r="O1321" s="5"/>
      <c r="P1321" s="5"/>
      <c r="R1321" s="5"/>
    </row>
    <row r="1322" spans="14:18" ht="13">
      <c r="N1322" s="5"/>
      <c r="O1322" s="5"/>
      <c r="P1322" s="5"/>
      <c r="R1322" s="5"/>
    </row>
    <row r="1323" spans="14:18" ht="13">
      <c r="N1323" s="5"/>
      <c r="O1323" s="5"/>
      <c r="P1323" s="5"/>
      <c r="R1323" s="5"/>
    </row>
    <row r="1324" spans="14:18" ht="13">
      <c r="N1324" s="5"/>
      <c r="O1324" s="5"/>
      <c r="P1324" s="5"/>
      <c r="R1324" s="5"/>
    </row>
    <row r="1325" spans="14:18" ht="13">
      <c r="N1325" s="5"/>
      <c r="O1325" s="5"/>
      <c r="P1325" s="5"/>
      <c r="R1325" s="5"/>
    </row>
    <row r="1326" spans="14:18" ht="13">
      <c r="N1326" s="5"/>
      <c r="O1326" s="5"/>
      <c r="P1326" s="5"/>
      <c r="R1326" s="5"/>
    </row>
    <row r="1327" spans="14:18" ht="13">
      <c r="N1327" s="5"/>
      <c r="O1327" s="5"/>
      <c r="P1327" s="5"/>
      <c r="R1327" s="5"/>
    </row>
    <row r="1328" spans="14:18" ht="13">
      <c r="N1328" s="5"/>
      <c r="O1328" s="5"/>
      <c r="P1328" s="5"/>
      <c r="R1328" s="5"/>
    </row>
    <row r="1329" spans="14:18" ht="13">
      <c r="N1329" s="5"/>
      <c r="O1329" s="5"/>
      <c r="P1329" s="5"/>
      <c r="R1329" s="5"/>
    </row>
    <row r="1330" spans="14:18" ht="13">
      <c r="N1330" s="5"/>
      <c r="O1330" s="5"/>
      <c r="P1330" s="5"/>
      <c r="R1330" s="5"/>
    </row>
    <row r="1331" spans="14:18" ht="13">
      <c r="N1331" s="5"/>
      <c r="O1331" s="5"/>
      <c r="P1331" s="5"/>
      <c r="R1331" s="5"/>
    </row>
    <row r="1332" spans="14:18" ht="13">
      <c r="N1332" s="5"/>
      <c r="O1332" s="5"/>
      <c r="P1332" s="5"/>
      <c r="R1332" s="5"/>
    </row>
    <row r="1333" spans="14:18" ht="13">
      <c r="N1333" s="5"/>
      <c r="O1333" s="5"/>
      <c r="P1333" s="5"/>
      <c r="R1333" s="5"/>
    </row>
    <row r="1334" spans="14:18" ht="13">
      <c r="N1334" s="5"/>
      <c r="O1334" s="5"/>
      <c r="P1334" s="5"/>
      <c r="R1334" s="5"/>
    </row>
    <row r="1335" spans="14:18" ht="13">
      <c r="N1335" s="5"/>
      <c r="O1335" s="5"/>
      <c r="P1335" s="5"/>
      <c r="R1335" s="5"/>
    </row>
    <row r="1336" spans="14:18" ht="13">
      <c r="N1336" s="5"/>
      <c r="O1336" s="5"/>
      <c r="P1336" s="5"/>
      <c r="R1336" s="5"/>
    </row>
    <row r="1337" spans="14:18" ht="13">
      <c r="N1337" s="5"/>
      <c r="O1337" s="5"/>
      <c r="P1337" s="5"/>
      <c r="R1337" s="5"/>
    </row>
    <row r="1338" spans="14:18" ht="13">
      <c r="N1338" s="5"/>
      <c r="O1338" s="5"/>
      <c r="P1338" s="5"/>
      <c r="R1338" s="5"/>
    </row>
    <row r="1339" spans="14:18" ht="13">
      <c r="N1339" s="5"/>
      <c r="O1339" s="5"/>
      <c r="P1339" s="5"/>
      <c r="R1339" s="5"/>
    </row>
    <row r="1340" spans="14:18" ht="13">
      <c r="N1340" s="5"/>
      <c r="O1340" s="5"/>
      <c r="P1340" s="5"/>
      <c r="R1340" s="5"/>
    </row>
    <row r="1341" spans="14:18" ht="13">
      <c r="N1341" s="5"/>
      <c r="O1341" s="5"/>
      <c r="P1341" s="5"/>
      <c r="R1341" s="5"/>
    </row>
    <row r="1342" spans="14:18" ht="13">
      <c r="N1342" s="5"/>
      <c r="O1342" s="5"/>
      <c r="P1342" s="5"/>
      <c r="R1342" s="5"/>
    </row>
    <row r="1343" spans="14:18" ht="13">
      <c r="N1343" s="5"/>
      <c r="O1343" s="5"/>
      <c r="P1343" s="5"/>
      <c r="R1343" s="5"/>
    </row>
    <row r="1344" spans="14:18" ht="13">
      <c r="N1344" s="5"/>
      <c r="O1344" s="5"/>
      <c r="P1344" s="5"/>
      <c r="R1344" s="5"/>
    </row>
    <row r="1345" spans="14:18" ht="13">
      <c r="N1345" s="5"/>
      <c r="O1345" s="5"/>
      <c r="P1345" s="5"/>
      <c r="R1345" s="5"/>
    </row>
    <row r="1346" spans="14:18" ht="13">
      <c r="N1346" s="5"/>
      <c r="O1346" s="5"/>
      <c r="P1346" s="5"/>
      <c r="R1346" s="5"/>
    </row>
    <row r="1347" spans="14:18" ht="13">
      <c r="N1347" s="5"/>
      <c r="O1347" s="5"/>
      <c r="P1347" s="5"/>
      <c r="R1347" s="5"/>
    </row>
    <row r="1348" spans="14:18" ht="13">
      <c r="N1348" s="5"/>
      <c r="O1348" s="5"/>
      <c r="P1348" s="5"/>
      <c r="R1348" s="5"/>
    </row>
    <row r="1349" spans="14:18" ht="13">
      <c r="N1349" s="5"/>
      <c r="O1349" s="5"/>
      <c r="P1349" s="5"/>
      <c r="R1349" s="5"/>
    </row>
    <row r="1350" spans="14:18" ht="13">
      <c r="N1350" s="5"/>
      <c r="O1350" s="5"/>
      <c r="P1350" s="5"/>
      <c r="R1350" s="5"/>
    </row>
    <row r="1351" spans="14:18" ht="13">
      <c r="N1351" s="5"/>
      <c r="O1351" s="5"/>
      <c r="P1351" s="5"/>
      <c r="R1351" s="5"/>
    </row>
    <row r="1352" spans="14:18" ht="13">
      <c r="N1352" s="5"/>
      <c r="O1352" s="5"/>
      <c r="P1352" s="5"/>
      <c r="R1352" s="5"/>
    </row>
    <row r="1353" spans="14:18" ht="13">
      <c r="N1353" s="5"/>
      <c r="O1353" s="5"/>
      <c r="P1353" s="5"/>
      <c r="R1353" s="5"/>
    </row>
    <row r="1354" spans="14:18" ht="13">
      <c r="N1354" s="5"/>
      <c r="O1354" s="5"/>
      <c r="P1354" s="5"/>
      <c r="R1354" s="5"/>
    </row>
    <row r="1355" spans="14:18" ht="13">
      <c r="N1355" s="5"/>
      <c r="O1355" s="5"/>
      <c r="P1355" s="5"/>
      <c r="R1355" s="5"/>
    </row>
    <row r="1356" spans="14:18" ht="13">
      <c r="N1356" s="5"/>
      <c r="O1356" s="5"/>
      <c r="P1356" s="5"/>
      <c r="R1356" s="5"/>
    </row>
    <row r="1357" spans="14:18" ht="13">
      <c r="N1357" s="5"/>
      <c r="O1357" s="5"/>
      <c r="P1357" s="5"/>
      <c r="R1357" s="5"/>
    </row>
    <row r="1358" spans="14:18" ht="13">
      <c r="N1358" s="5"/>
      <c r="O1358" s="5"/>
      <c r="P1358" s="5"/>
      <c r="R1358" s="5"/>
    </row>
    <row r="1359" spans="14:18" ht="13">
      <c r="N1359" s="5"/>
      <c r="O1359" s="5"/>
      <c r="P1359" s="5"/>
      <c r="R1359" s="5"/>
    </row>
    <row r="1360" spans="14:18" ht="13">
      <c r="N1360" s="5"/>
      <c r="O1360" s="5"/>
      <c r="P1360" s="5"/>
      <c r="R1360" s="5"/>
    </row>
    <row r="1361" spans="14:18" ht="13">
      <c r="N1361" s="5"/>
      <c r="O1361" s="5"/>
      <c r="P1361" s="5"/>
      <c r="R1361" s="5"/>
    </row>
    <row r="1362" spans="14:18" ht="13">
      <c r="N1362" s="5"/>
      <c r="O1362" s="5"/>
      <c r="P1362" s="5"/>
      <c r="R1362" s="5"/>
    </row>
    <row r="1363" spans="14:18" ht="13">
      <c r="N1363" s="5"/>
      <c r="O1363" s="5"/>
      <c r="P1363" s="5"/>
      <c r="R1363" s="5"/>
    </row>
    <row r="1364" spans="14:18" ht="13">
      <c r="N1364" s="5"/>
      <c r="O1364" s="5"/>
      <c r="P1364" s="5"/>
      <c r="R1364" s="5"/>
    </row>
    <row r="1365" spans="14:18" ht="13">
      <c r="N1365" s="5"/>
      <c r="O1365" s="5"/>
      <c r="P1365" s="5"/>
      <c r="R1365" s="5"/>
    </row>
    <row r="1366" spans="14:18" ht="13">
      <c r="N1366" s="5"/>
      <c r="O1366" s="5"/>
      <c r="P1366" s="5"/>
      <c r="R1366" s="5"/>
    </row>
    <row r="1367" spans="14:18" ht="13">
      <c r="N1367" s="5"/>
      <c r="O1367" s="5"/>
      <c r="P1367" s="5"/>
      <c r="R1367" s="5"/>
    </row>
    <row r="1368" spans="14:18" ht="13">
      <c r="N1368" s="5"/>
      <c r="O1368" s="5"/>
      <c r="P1368" s="5"/>
      <c r="R1368" s="5"/>
    </row>
    <row r="1369" spans="14:18" ht="13">
      <c r="N1369" s="5"/>
      <c r="O1369" s="5"/>
      <c r="P1369" s="5"/>
      <c r="R1369" s="5"/>
    </row>
    <row r="1370" spans="14:18" ht="13">
      <c r="N1370" s="5"/>
      <c r="O1370" s="5"/>
      <c r="P1370" s="5"/>
      <c r="R1370" s="5"/>
    </row>
    <row r="1371" spans="14:18" ht="13">
      <c r="N1371" s="5"/>
      <c r="O1371" s="5"/>
      <c r="P1371" s="5"/>
      <c r="R1371" s="5"/>
    </row>
    <row r="1372" spans="14:18" ht="13">
      <c r="N1372" s="5"/>
      <c r="O1372" s="5"/>
      <c r="P1372" s="5"/>
      <c r="R1372" s="5"/>
    </row>
    <row r="1373" spans="14:18" ht="13">
      <c r="N1373" s="5"/>
      <c r="O1373" s="5"/>
      <c r="P1373" s="5"/>
      <c r="R1373" s="5"/>
    </row>
    <row r="1374" spans="14:18" ht="13">
      <c r="N1374" s="5"/>
      <c r="O1374" s="5"/>
      <c r="P1374" s="5"/>
      <c r="R1374" s="5"/>
    </row>
    <row r="1375" spans="14:18" ht="13">
      <c r="N1375" s="5"/>
      <c r="O1375" s="5"/>
      <c r="P1375" s="5"/>
      <c r="R1375" s="5"/>
    </row>
    <row r="1376" spans="14:18" ht="13">
      <c r="N1376" s="5"/>
      <c r="O1376" s="5"/>
      <c r="P1376" s="5"/>
      <c r="R1376" s="5"/>
    </row>
    <row r="1377" spans="14:18" ht="13">
      <c r="N1377" s="5"/>
      <c r="O1377" s="5"/>
      <c r="P1377" s="5"/>
      <c r="R1377" s="5"/>
    </row>
    <row r="1378" spans="14:18" ht="13">
      <c r="N1378" s="5"/>
      <c r="O1378" s="5"/>
      <c r="P1378" s="5"/>
      <c r="R1378" s="5"/>
    </row>
    <row r="1379" spans="14:18" ht="13">
      <c r="N1379" s="5"/>
      <c r="O1379" s="5"/>
      <c r="P1379" s="5"/>
      <c r="R1379" s="5"/>
    </row>
    <row r="1380" spans="14:18" ht="13">
      <c r="N1380" s="5"/>
      <c r="O1380" s="5"/>
      <c r="P1380" s="5"/>
      <c r="R1380" s="5"/>
    </row>
    <row r="1381" spans="14:18" ht="13">
      <c r="N1381" s="5"/>
      <c r="O1381" s="5"/>
      <c r="P1381" s="5"/>
      <c r="R1381" s="5"/>
    </row>
    <row r="1382" spans="14:18" ht="13">
      <c r="N1382" s="5"/>
      <c r="O1382" s="5"/>
      <c r="P1382" s="5"/>
      <c r="R1382" s="5"/>
    </row>
    <row r="1383" spans="14:18" ht="13">
      <c r="N1383" s="5"/>
      <c r="O1383" s="5"/>
      <c r="P1383" s="5"/>
      <c r="R1383" s="5"/>
    </row>
    <row r="1384" spans="14:18" ht="13">
      <c r="N1384" s="5"/>
      <c r="O1384" s="5"/>
      <c r="P1384" s="5"/>
      <c r="R1384" s="5"/>
    </row>
    <row r="1385" spans="14:18" ht="13">
      <c r="N1385" s="5"/>
      <c r="O1385" s="5"/>
      <c r="P1385" s="5"/>
      <c r="R1385" s="5"/>
    </row>
    <row r="1386" spans="14:18" ht="13">
      <c r="N1386" s="5"/>
      <c r="O1386" s="5"/>
      <c r="P1386" s="5"/>
      <c r="R1386" s="5"/>
    </row>
    <row r="1387" spans="14:18" ht="13">
      <c r="N1387" s="5"/>
      <c r="O1387" s="5"/>
      <c r="P1387" s="5"/>
      <c r="R1387" s="5"/>
    </row>
    <row r="1388" spans="14:18" ht="13">
      <c r="N1388" s="5"/>
      <c r="O1388" s="5"/>
      <c r="P1388" s="5"/>
      <c r="R1388" s="5"/>
    </row>
    <row r="1389" spans="14:18" ht="13">
      <c r="N1389" s="5"/>
      <c r="O1389" s="5"/>
      <c r="P1389" s="5"/>
      <c r="R1389" s="5"/>
    </row>
    <row r="1390" spans="14:18" ht="13">
      <c r="N1390" s="5"/>
      <c r="O1390" s="5"/>
      <c r="P1390" s="5"/>
      <c r="R1390" s="5"/>
    </row>
    <row r="1391" spans="14:18" ht="13">
      <c r="N1391" s="5"/>
      <c r="O1391" s="5"/>
      <c r="P1391" s="5"/>
      <c r="R1391" s="5"/>
    </row>
    <row r="1392" spans="14:18" ht="13">
      <c r="N1392" s="5"/>
      <c r="O1392" s="5"/>
      <c r="P1392" s="5"/>
      <c r="R1392" s="5"/>
    </row>
    <row r="1393" spans="14:18" ht="13">
      <c r="N1393" s="5"/>
      <c r="O1393" s="5"/>
      <c r="P1393" s="5"/>
      <c r="R1393" s="5"/>
    </row>
    <row r="1394" spans="14:18" ht="13">
      <c r="N1394" s="5"/>
      <c r="O1394" s="5"/>
      <c r="P1394" s="5"/>
      <c r="R1394" s="5"/>
    </row>
    <row r="1395" spans="14:18" ht="13">
      <c r="N1395" s="5"/>
      <c r="O1395" s="5"/>
      <c r="P1395" s="5"/>
      <c r="R1395" s="5"/>
    </row>
    <row r="1396" spans="14:18" ht="13">
      <c r="N1396" s="5"/>
      <c r="O1396" s="5"/>
      <c r="P1396" s="5"/>
      <c r="R1396" s="5"/>
    </row>
    <row r="1397" spans="14:18" ht="13">
      <c r="N1397" s="5"/>
      <c r="O1397" s="5"/>
      <c r="P1397" s="5"/>
      <c r="R1397" s="5"/>
    </row>
    <row r="1398" spans="14:18" ht="13">
      <c r="N1398" s="5"/>
      <c r="O1398" s="5"/>
      <c r="P1398" s="5"/>
      <c r="R1398" s="5"/>
    </row>
    <row r="1399" spans="14:18" ht="13">
      <c r="N1399" s="5"/>
      <c r="O1399" s="5"/>
      <c r="P1399" s="5"/>
      <c r="R1399" s="5"/>
    </row>
    <row r="1400" spans="14:18" ht="13">
      <c r="N1400" s="5"/>
      <c r="O1400" s="5"/>
      <c r="P1400" s="5"/>
      <c r="R1400" s="5"/>
    </row>
    <row r="1401" spans="14:18" ht="13">
      <c r="N1401" s="5"/>
      <c r="O1401" s="5"/>
      <c r="P1401" s="5"/>
      <c r="R1401" s="5"/>
    </row>
    <row r="1402" spans="14:18" ht="13">
      <c r="N1402" s="5"/>
      <c r="O1402" s="5"/>
      <c r="P1402" s="5"/>
      <c r="R1402" s="5"/>
    </row>
    <row r="1403" spans="14:18" ht="13">
      <c r="N1403" s="5"/>
      <c r="O1403" s="5"/>
      <c r="P1403" s="5"/>
      <c r="R1403" s="5"/>
    </row>
    <row r="1404" spans="14:18" ht="13">
      <c r="N1404" s="5"/>
      <c r="O1404" s="5"/>
      <c r="P1404" s="5"/>
      <c r="R1404" s="5"/>
    </row>
    <row r="1405" spans="14:18" ht="13">
      <c r="N1405" s="5"/>
      <c r="O1405" s="5"/>
      <c r="P1405" s="5"/>
      <c r="R1405" s="5"/>
    </row>
    <row r="1406" spans="14:18" ht="13">
      <c r="N1406" s="5"/>
      <c r="O1406" s="5"/>
      <c r="P1406" s="5"/>
      <c r="R1406" s="5"/>
    </row>
    <row r="1407" spans="14:18" ht="13">
      <c r="N1407" s="5"/>
      <c r="O1407" s="5"/>
      <c r="P1407" s="5"/>
      <c r="R1407" s="5"/>
    </row>
    <row r="1408" spans="14:18" ht="13">
      <c r="N1408" s="5"/>
      <c r="O1408" s="5"/>
      <c r="P1408" s="5"/>
      <c r="R1408" s="5"/>
    </row>
    <row r="1409" spans="14:18" ht="13">
      <c r="N1409" s="5"/>
      <c r="O1409" s="5"/>
      <c r="P1409" s="5"/>
      <c r="R1409" s="5"/>
    </row>
    <row r="1410" spans="14:18" ht="13">
      <c r="N1410" s="5"/>
      <c r="O1410" s="5"/>
      <c r="P1410" s="5"/>
      <c r="R1410" s="5"/>
    </row>
    <row r="1411" spans="14:18" ht="13">
      <c r="N1411" s="5"/>
      <c r="O1411" s="5"/>
      <c r="P1411" s="5"/>
      <c r="R1411" s="5"/>
    </row>
    <row r="1412" spans="14:18" ht="13">
      <c r="N1412" s="5"/>
      <c r="O1412" s="5"/>
      <c r="P1412" s="5"/>
      <c r="R1412" s="5"/>
    </row>
    <row r="1413" spans="14:18" ht="13">
      <c r="N1413" s="5"/>
      <c r="O1413" s="5"/>
      <c r="P1413" s="5"/>
      <c r="R1413" s="5"/>
    </row>
    <row r="1414" spans="14:18" ht="13">
      <c r="N1414" s="5"/>
      <c r="O1414" s="5"/>
      <c r="P1414" s="5"/>
      <c r="R1414" s="5"/>
    </row>
    <row r="1415" spans="14:18" ht="13">
      <c r="N1415" s="5"/>
      <c r="O1415" s="5"/>
      <c r="P1415" s="5"/>
      <c r="R1415" s="5"/>
    </row>
    <row r="1416" spans="14:18" ht="13">
      <c r="N1416" s="5"/>
      <c r="O1416" s="5"/>
      <c r="P1416" s="5"/>
      <c r="R1416" s="5"/>
    </row>
    <row r="1417" spans="14:18" ht="13">
      <c r="N1417" s="5"/>
      <c r="O1417" s="5"/>
      <c r="P1417" s="5"/>
      <c r="R1417" s="5"/>
    </row>
    <row r="1418" spans="14:18" ht="13">
      <c r="N1418" s="5"/>
      <c r="O1418" s="5"/>
      <c r="P1418" s="5"/>
      <c r="R1418" s="5"/>
    </row>
    <row r="1419" spans="14:18" ht="13">
      <c r="N1419" s="5"/>
      <c r="O1419" s="5"/>
      <c r="P1419" s="5"/>
      <c r="R1419" s="5"/>
    </row>
    <row r="1420" spans="14:18" ht="13">
      <c r="N1420" s="5"/>
      <c r="O1420" s="5"/>
      <c r="P1420" s="5"/>
      <c r="R1420" s="5"/>
    </row>
    <row r="1421" spans="14:18" ht="13">
      <c r="N1421" s="5"/>
      <c r="O1421" s="5"/>
      <c r="P1421" s="5"/>
      <c r="R1421" s="5"/>
    </row>
    <row r="1422" spans="14:18" ht="13">
      <c r="N1422" s="5"/>
      <c r="O1422" s="5"/>
      <c r="P1422" s="5"/>
      <c r="R1422" s="5"/>
    </row>
    <row r="1423" spans="14:18" ht="13">
      <c r="N1423" s="5"/>
      <c r="O1423" s="5"/>
      <c r="P1423" s="5"/>
      <c r="R1423" s="5"/>
    </row>
    <row r="1424" spans="14:18" ht="13">
      <c r="N1424" s="5"/>
      <c r="O1424" s="5"/>
      <c r="P1424" s="5"/>
      <c r="R1424" s="5"/>
    </row>
    <row r="1425" spans="14:18" ht="13">
      <c r="N1425" s="5"/>
      <c r="O1425" s="5"/>
      <c r="P1425" s="5"/>
      <c r="R1425" s="5"/>
    </row>
    <row r="1426" spans="14:18" ht="13">
      <c r="N1426" s="5"/>
      <c r="O1426" s="5"/>
      <c r="P1426" s="5"/>
      <c r="R1426" s="5"/>
    </row>
    <row r="1427" spans="14:18" ht="13">
      <c r="N1427" s="5"/>
      <c r="O1427" s="5"/>
      <c r="P1427" s="5"/>
      <c r="R1427" s="5"/>
    </row>
    <row r="1428" spans="14:18" ht="13">
      <c r="N1428" s="5"/>
      <c r="O1428" s="5"/>
      <c r="P1428" s="5"/>
      <c r="R1428" s="5"/>
    </row>
    <row r="1429" spans="14:18" ht="13">
      <c r="N1429" s="5"/>
      <c r="O1429" s="5"/>
      <c r="P1429" s="5"/>
      <c r="R1429" s="5"/>
    </row>
    <row r="1430" spans="14:18" ht="13">
      <c r="N1430" s="5"/>
      <c r="O1430" s="5"/>
      <c r="P1430" s="5"/>
      <c r="R1430" s="5"/>
    </row>
    <row r="1431" spans="14:18" ht="13">
      <c r="N1431" s="5"/>
      <c r="O1431" s="5"/>
      <c r="P1431" s="5"/>
      <c r="R1431" s="5"/>
    </row>
    <row r="1432" spans="14:18" ht="13">
      <c r="N1432" s="5"/>
      <c r="O1432" s="5"/>
      <c r="P1432" s="5"/>
      <c r="R1432" s="5"/>
    </row>
    <row r="1433" spans="14:18" ht="13">
      <c r="N1433" s="5"/>
      <c r="O1433" s="5"/>
      <c r="P1433" s="5"/>
      <c r="R1433" s="5"/>
    </row>
    <row r="1434" spans="14:18" ht="13">
      <c r="N1434" s="5"/>
      <c r="O1434" s="5"/>
      <c r="P1434" s="5"/>
      <c r="R1434" s="5"/>
    </row>
    <row r="1435" spans="14:18" ht="13">
      <c r="N1435" s="5"/>
      <c r="O1435" s="5"/>
      <c r="P1435" s="5"/>
      <c r="R1435" s="5"/>
    </row>
    <row r="1436" spans="14:18" ht="13">
      <c r="N1436" s="5"/>
      <c r="O1436" s="5"/>
      <c r="P1436" s="5"/>
      <c r="R1436" s="5"/>
    </row>
    <row r="1437" spans="14:18" ht="13">
      <c r="N1437" s="5"/>
      <c r="O1437" s="5"/>
      <c r="P1437" s="5"/>
      <c r="R1437" s="5"/>
    </row>
    <row r="1438" spans="14:18" ht="13">
      <c r="N1438" s="5"/>
      <c r="O1438" s="5"/>
      <c r="P1438" s="5"/>
      <c r="R1438" s="5"/>
    </row>
    <row r="1439" spans="14:18" ht="13">
      <c r="N1439" s="5"/>
      <c r="O1439" s="5"/>
      <c r="P1439" s="5"/>
      <c r="R1439" s="5"/>
    </row>
    <row r="1440" spans="14:18" ht="13">
      <c r="N1440" s="5"/>
      <c r="O1440" s="5"/>
      <c r="P1440" s="5"/>
      <c r="R1440" s="5"/>
    </row>
    <row r="1441" spans="14:18" ht="13">
      <c r="N1441" s="5"/>
      <c r="O1441" s="5"/>
      <c r="P1441" s="5"/>
      <c r="R1441" s="5"/>
    </row>
    <row r="1442" spans="14:18" ht="13">
      <c r="N1442" s="5"/>
      <c r="O1442" s="5"/>
      <c r="P1442" s="5"/>
      <c r="R1442" s="5"/>
    </row>
    <row r="1443" spans="14:18" ht="13">
      <c r="N1443" s="5"/>
      <c r="O1443" s="5"/>
      <c r="P1443" s="5"/>
      <c r="R1443" s="5"/>
    </row>
    <row r="1444" spans="14:18" ht="13">
      <c r="N1444" s="5"/>
      <c r="O1444" s="5"/>
      <c r="P1444" s="5"/>
      <c r="R1444" s="5"/>
    </row>
    <row r="1445" spans="14:18" ht="13">
      <c r="N1445" s="5"/>
      <c r="O1445" s="5"/>
      <c r="P1445" s="5"/>
      <c r="R1445" s="5"/>
    </row>
    <row r="1446" spans="14:18" ht="13">
      <c r="N1446" s="5"/>
      <c r="O1446" s="5"/>
      <c r="P1446" s="5"/>
      <c r="R1446" s="5"/>
    </row>
    <row r="1447" spans="14:18" ht="13">
      <c r="N1447" s="5"/>
      <c r="O1447" s="5"/>
      <c r="P1447" s="5"/>
      <c r="R1447" s="5"/>
    </row>
    <row r="1448" spans="14:18" ht="13">
      <c r="N1448" s="5"/>
      <c r="O1448" s="5"/>
      <c r="P1448" s="5"/>
      <c r="R1448" s="5"/>
    </row>
    <row r="1449" spans="14:18" ht="13">
      <c r="N1449" s="5"/>
      <c r="O1449" s="5"/>
      <c r="P1449" s="5"/>
      <c r="R1449" s="5"/>
    </row>
    <row r="1450" spans="14:18" ht="13">
      <c r="N1450" s="5"/>
      <c r="O1450" s="5"/>
      <c r="P1450" s="5"/>
      <c r="R1450" s="5"/>
    </row>
    <row r="1451" spans="14:18" ht="13">
      <c r="N1451" s="5"/>
      <c r="O1451" s="5"/>
      <c r="P1451" s="5"/>
      <c r="R1451" s="5"/>
    </row>
    <row r="1452" spans="14:18" ht="13">
      <c r="N1452" s="5"/>
      <c r="O1452" s="5"/>
      <c r="P1452" s="5"/>
      <c r="R1452" s="5"/>
    </row>
    <row r="1453" spans="14:18" ht="13">
      <c r="N1453" s="5"/>
      <c r="O1453" s="5"/>
      <c r="P1453" s="5"/>
      <c r="R1453" s="5"/>
    </row>
    <row r="1454" spans="14:18" ht="13">
      <c r="N1454" s="5"/>
      <c r="O1454" s="5"/>
      <c r="P1454" s="5"/>
      <c r="R1454" s="5"/>
    </row>
    <row r="1455" spans="14:18" ht="13">
      <c r="N1455" s="5"/>
      <c r="O1455" s="5"/>
      <c r="P1455" s="5"/>
      <c r="R1455" s="5"/>
    </row>
    <row r="1456" spans="14:18" ht="13">
      <c r="N1456" s="5"/>
      <c r="O1456" s="5"/>
      <c r="P1456" s="5"/>
      <c r="R1456" s="5"/>
    </row>
    <row r="1457" spans="14:18" ht="13">
      <c r="N1457" s="5"/>
      <c r="O1457" s="5"/>
      <c r="P1457" s="5"/>
      <c r="R1457" s="5"/>
    </row>
    <row r="1458" spans="14:18" ht="13">
      <c r="N1458" s="5"/>
      <c r="O1458" s="5"/>
      <c r="P1458" s="5"/>
      <c r="R1458" s="5"/>
    </row>
    <row r="1459" spans="14:18" ht="13">
      <c r="N1459" s="5"/>
      <c r="O1459" s="5"/>
      <c r="P1459" s="5"/>
      <c r="R1459" s="5"/>
    </row>
    <row r="1460" spans="14:18" ht="13">
      <c r="N1460" s="5"/>
      <c r="O1460" s="5"/>
      <c r="P1460" s="5"/>
      <c r="R1460" s="5"/>
    </row>
    <row r="1461" spans="14:18" ht="13">
      <c r="N1461" s="5"/>
      <c r="O1461" s="5"/>
      <c r="P1461" s="5"/>
      <c r="R1461" s="5"/>
    </row>
    <row r="1462" spans="14:18" ht="13">
      <c r="N1462" s="5"/>
      <c r="O1462" s="5"/>
      <c r="P1462" s="5"/>
      <c r="R1462" s="5"/>
    </row>
    <row r="1463" spans="14:18" ht="13">
      <c r="N1463" s="5"/>
      <c r="O1463" s="5"/>
      <c r="P1463" s="5"/>
      <c r="R1463" s="5"/>
    </row>
    <row r="1464" spans="14:18" ht="13">
      <c r="N1464" s="5"/>
      <c r="O1464" s="5"/>
      <c r="P1464" s="5"/>
      <c r="R1464" s="5"/>
    </row>
    <row r="1465" spans="14:18" ht="13">
      <c r="N1465" s="5"/>
      <c r="O1465" s="5"/>
      <c r="P1465" s="5"/>
      <c r="R1465" s="5"/>
    </row>
    <row r="1466" spans="14:18" ht="13">
      <c r="N1466" s="5"/>
      <c r="O1466" s="5"/>
      <c r="P1466" s="5"/>
      <c r="R1466" s="5"/>
    </row>
    <row r="1467" spans="14:18" ht="13">
      <c r="N1467" s="5"/>
      <c r="O1467" s="5"/>
      <c r="P1467" s="5"/>
      <c r="R1467" s="5"/>
    </row>
    <row r="1468" spans="14:18" ht="13">
      <c r="N1468" s="5"/>
      <c r="O1468" s="5"/>
      <c r="P1468" s="5"/>
      <c r="R1468" s="5"/>
    </row>
    <row r="1469" spans="14:18" ht="13">
      <c r="N1469" s="5"/>
      <c r="O1469" s="5"/>
      <c r="P1469" s="5"/>
      <c r="R1469" s="5"/>
    </row>
    <row r="1470" spans="14:18" ht="13">
      <c r="N1470" s="5"/>
      <c r="O1470" s="5"/>
      <c r="P1470" s="5"/>
      <c r="R1470" s="5"/>
    </row>
    <row r="1471" spans="14:18" ht="13">
      <c r="N1471" s="5"/>
      <c r="O1471" s="5"/>
      <c r="P1471" s="5"/>
      <c r="R1471" s="5"/>
    </row>
    <row r="1472" spans="14:18" ht="13">
      <c r="N1472" s="5"/>
      <c r="O1472" s="5"/>
      <c r="P1472" s="5"/>
      <c r="R1472" s="5"/>
    </row>
    <row r="1473" spans="14:18" ht="13">
      <c r="N1473" s="5"/>
      <c r="O1473" s="5"/>
      <c r="P1473" s="5"/>
      <c r="R1473" s="5"/>
    </row>
    <row r="1474" spans="14:18" ht="13">
      <c r="N1474" s="5"/>
      <c r="O1474" s="5"/>
      <c r="P1474" s="5"/>
      <c r="R1474" s="5"/>
    </row>
    <row r="1475" spans="14:18" ht="13">
      <c r="N1475" s="5"/>
      <c r="O1475" s="5"/>
      <c r="P1475" s="5"/>
      <c r="R1475" s="5"/>
    </row>
    <row r="1476" spans="14:18" ht="13">
      <c r="N1476" s="5"/>
      <c r="O1476" s="5"/>
      <c r="P1476" s="5"/>
      <c r="R1476" s="5"/>
    </row>
    <row r="1477" spans="14:18" ht="13">
      <c r="N1477" s="5"/>
      <c r="O1477" s="5"/>
      <c r="P1477" s="5"/>
      <c r="R1477" s="5"/>
    </row>
    <row r="1478" spans="14:18" ht="13">
      <c r="N1478" s="5"/>
      <c r="O1478" s="5"/>
      <c r="P1478" s="5"/>
      <c r="R1478" s="5"/>
    </row>
    <row r="1479" spans="14:18" ht="13">
      <c r="N1479" s="5"/>
      <c r="O1479" s="5"/>
      <c r="P1479" s="5"/>
      <c r="R1479" s="5"/>
    </row>
    <row r="1480" spans="14:18" ht="13">
      <c r="N1480" s="5"/>
      <c r="O1480" s="5"/>
      <c r="P1480" s="5"/>
      <c r="R1480" s="5"/>
    </row>
    <row r="1481" spans="14:18" ht="13">
      <c r="N1481" s="5"/>
      <c r="O1481" s="5"/>
      <c r="P1481" s="5"/>
      <c r="R1481" s="5"/>
    </row>
    <row r="1482" spans="14:18" ht="13">
      <c r="N1482" s="5"/>
      <c r="O1482" s="5"/>
      <c r="P1482" s="5"/>
      <c r="R1482" s="5"/>
    </row>
    <row r="1483" spans="14:18" ht="13">
      <c r="N1483" s="5"/>
      <c r="O1483" s="5"/>
      <c r="P1483" s="5"/>
      <c r="R1483" s="5"/>
    </row>
    <row r="1484" spans="14:18" ht="13">
      <c r="N1484" s="5"/>
      <c r="O1484" s="5"/>
      <c r="P1484" s="5"/>
      <c r="R1484" s="5"/>
    </row>
    <row r="1485" spans="14:18" ht="13">
      <c r="N1485" s="5"/>
      <c r="O1485" s="5"/>
      <c r="P1485" s="5"/>
      <c r="R1485" s="5"/>
    </row>
    <row r="1486" spans="14:18" ht="13">
      <c r="N1486" s="5"/>
      <c r="O1486" s="5"/>
      <c r="P1486" s="5"/>
      <c r="R1486" s="5"/>
    </row>
    <row r="1487" spans="14:18" ht="13">
      <c r="N1487" s="5"/>
      <c r="O1487" s="5"/>
      <c r="P1487" s="5"/>
      <c r="R1487" s="5"/>
    </row>
    <row r="1488" spans="14:18" ht="13">
      <c r="N1488" s="5"/>
      <c r="O1488" s="5"/>
      <c r="P1488" s="5"/>
      <c r="R1488" s="5"/>
    </row>
    <row r="1489" spans="14:18" ht="13">
      <c r="N1489" s="5"/>
      <c r="O1489" s="5"/>
      <c r="P1489" s="5"/>
      <c r="R1489" s="5"/>
    </row>
    <row r="1490" spans="14:18" ht="13">
      <c r="N1490" s="5"/>
      <c r="O1490" s="5"/>
      <c r="P1490" s="5"/>
      <c r="R1490" s="5"/>
    </row>
    <row r="1491" spans="14:18" ht="13">
      <c r="N1491" s="5"/>
      <c r="O1491" s="5"/>
      <c r="P1491" s="5"/>
      <c r="R1491" s="5"/>
    </row>
    <row r="1492" spans="14:18" ht="13">
      <c r="N1492" s="5"/>
      <c r="O1492" s="5"/>
      <c r="P1492" s="5"/>
      <c r="R1492" s="5"/>
    </row>
    <row r="1493" spans="14:18" ht="13">
      <c r="N1493" s="5"/>
      <c r="O1493" s="5"/>
      <c r="P1493" s="5"/>
      <c r="R1493" s="5"/>
    </row>
    <row r="1494" spans="14:18" ht="13">
      <c r="N1494" s="5"/>
      <c r="O1494" s="5"/>
      <c r="P1494" s="5"/>
      <c r="R1494" s="5"/>
    </row>
    <row r="1495" spans="14:18" ht="13">
      <c r="N1495" s="5"/>
      <c r="O1495" s="5"/>
      <c r="P1495" s="5"/>
      <c r="R1495" s="5"/>
    </row>
    <row r="1496" spans="14:18" ht="13">
      <c r="N1496" s="5"/>
      <c r="O1496" s="5"/>
      <c r="P1496" s="5"/>
      <c r="R1496" s="5"/>
    </row>
    <row r="1497" spans="14:18" ht="13">
      <c r="N1497" s="5"/>
      <c r="O1497" s="5"/>
      <c r="P1497" s="5"/>
      <c r="R1497" s="5"/>
    </row>
    <row r="1498" spans="14:18" ht="13">
      <c r="N1498" s="5"/>
      <c r="O1498" s="5"/>
      <c r="P1498" s="5"/>
      <c r="R1498" s="5"/>
    </row>
    <row r="1499" spans="14:18" ht="13">
      <c r="N1499" s="5"/>
      <c r="O1499" s="5"/>
      <c r="P1499" s="5"/>
      <c r="R1499" s="5"/>
    </row>
    <row r="1500" spans="14:18" ht="13">
      <c r="N1500" s="5"/>
      <c r="O1500" s="5"/>
      <c r="P1500" s="5"/>
      <c r="R1500" s="5"/>
    </row>
    <row r="1501" spans="14:18" ht="13">
      <c r="N1501" s="5"/>
      <c r="O1501" s="5"/>
      <c r="P1501" s="5"/>
      <c r="R1501" s="5"/>
    </row>
    <row r="1502" spans="14:18" ht="13">
      <c r="N1502" s="5"/>
      <c r="O1502" s="5"/>
      <c r="P1502" s="5"/>
      <c r="R1502" s="5"/>
    </row>
    <row r="1503" spans="14:18" ht="13">
      <c r="N1503" s="5"/>
      <c r="O1503" s="5"/>
      <c r="P1503" s="5"/>
      <c r="R1503" s="5"/>
    </row>
    <row r="1504" spans="14:18" ht="13">
      <c r="N1504" s="5"/>
      <c r="O1504" s="5"/>
      <c r="P1504" s="5"/>
      <c r="R1504" s="5"/>
    </row>
    <row r="1505" spans="14:18" ht="13">
      <c r="N1505" s="5"/>
      <c r="O1505" s="5"/>
      <c r="P1505" s="5"/>
      <c r="R1505" s="5"/>
    </row>
    <row r="1506" spans="14:18" ht="13">
      <c r="N1506" s="5"/>
      <c r="O1506" s="5"/>
      <c r="P1506" s="5"/>
      <c r="R1506" s="5"/>
    </row>
    <row r="1507" spans="14:18" ht="13">
      <c r="N1507" s="5"/>
      <c r="O1507" s="5"/>
      <c r="P1507" s="5"/>
      <c r="R1507" s="5"/>
    </row>
    <row r="1508" spans="14:18" ht="13">
      <c r="N1508" s="5"/>
      <c r="O1508" s="5"/>
      <c r="P1508" s="5"/>
      <c r="R1508" s="5"/>
    </row>
    <row r="1509" spans="14:18" ht="13">
      <c r="N1509" s="5"/>
      <c r="O1509" s="5"/>
      <c r="P1509" s="5"/>
      <c r="R1509" s="5"/>
    </row>
    <row r="1510" spans="14:18" ht="13">
      <c r="N1510" s="5"/>
      <c r="O1510" s="5"/>
      <c r="P1510" s="5"/>
      <c r="R1510" s="5"/>
    </row>
    <row r="1511" spans="14:18" ht="13">
      <c r="N1511" s="5"/>
      <c r="O1511" s="5"/>
      <c r="P1511" s="5"/>
      <c r="R1511" s="5"/>
    </row>
    <row r="1512" spans="14:18" ht="13">
      <c r="N1512" s="5"/>
      <c r="O1512" s="5"/>
      <c r="P1512" s="5"/>
      <c r="R1512" s="5"/>
    </row>
    <row r="1513" spans="14:18" ht="13">
      <c r="N1513" s="5"/>
      <c r="O1513" s="5"/>
      <c r="P1513" s="5"/>
      <c r="R1513" s="5"/>
    </row>
    <row r="1514" spans="14:18" ht="13">
      <c r="N1514" s="5"/>
      <c r="O1514" s="5"/>
      <c r="P1514" s="5"/>
      <c r="R1514" s="5"/>
    </row>
    <row r="1515" spans="14:18" ht="13">
      <c r="N1515" s="5"/>
      <c r="O1515" s="5"/>
      <c r="P1515" s="5"/>
      <c r="R1515" s="5"/>
    </row>
    <row r="1516" spans="14:18" ht="13">
      <c r="N1516" s="5"/>
      <c r="O1516" s="5"/>
      <c r="P1516" s="5"/>
      <c r="R1516" s="5"/>
    </row>
    <row r="1517" spans="14:18" ht="13">
      <c r="N1517" s="5"/>
      <c r="O1517" s="5"/>
      <c r="P1517" s="5"/>
      <c r="R1517" s="5"/>
    </row>
    <row r="1518" spans="14:18" ht="13">
      <c r="N1518" s="5"/>
      <c r="O1518" s="5"/>
      <c r="P1518" s="5"/>
      <c r="R1518" s="5"/>
    </row>
    <row r="1519" spans="14:18" ht="13">
      <c r="N1519" s="5"/>
      <c r="O1519" s="5"/>
      <c r="P1519" s="5"/>
      <c r="R1519" s="5"/>
    </row>
    <row r="1520" spans="14:18" ht="13">
      <c r="N1520" s="5"/>
      <c r="O1520" s="5"/>
      <c r="P1520" s="5"/>
      <c r="R1520" s="5"/>
    </row>
    <row r="1521" spans="14:18" ht="13">
      <c r="N1521" s="5"/>
      <c r="O1521" s="5"/>
      <c r="P1521" s="5"/>
      <c r="R1521" s="5"/>
    </row>
    <row r="1522" spans="14:18" ht="13">
      <c r="N1522" s="5"/>
      <c r="O1522" s="5"/>
      <c r="P1522" s="5"/>
      <c r="R1522" s="5"/>
    </row>
    <row r="1523" spans="14:18" ht="13">
      <c r="N1523" s="5"/>
      <c r="O1523" s="5"/>
      <c r="P1523" s="5"/>
      <c r="R1523" s="5"/>
    </row>
    <row r="1524" spans="14:18" ht="13">
      <c r="N1524" s="5"/>
      <c r="O1524" s="5"/>
      <c r="P1524" s="5"/>
      <c r="R1524" s="5"/>
    </row>
    <row r="1525" spans="14:18" ht="13">
      <c r="N1525" s="5"/>
      <c r="O1525" s="5"/>
      <c r="P1525" s="5"/>
      <c r="R1525" s="5"/>
    </row>
    <row r="1526" spans="14:18" ht="13">
      <c r="N1526" s="5"/>
      <c r="O1526" s="5"/>
      <c r="P1526" s="5"/>
      <c r="R1526" s="5"/>
    </row>
    <row r="1527" spans="14:18" ht="13">
      <c r="N1527" s="5"/>
      <c r="O1527" s="5"/>
      <c r="P1527" s="5"/>
      <c r="R1527" s="5"/>
    </row>
    <row r="1528" spans="14:18" ht="13">
      <c r="N1528" s="5"/>
      <c r="O1528" s="5"/>
      <c r="P1528" s="5"/>
      <c r="R1528" s="5"/>
    </row>
    <row r="1529" spans="14:18" ht="13">
      <c r="N1529" s="5"/>
      <c r="O1529" s="5"/>
      <c r="P1529" s="5"/>
      <c r="R1529" s="5"/>
    </row>
    <row r="1530" spans="14:18" ht="13">
      <c r="N1530" s="5"/>
      <c r="O1530" s="5"/>
      <c r="P1530" s="5"/>
      <c r="R1530" s="5"/>
    </row>
    <row r="1531" spans="14:18" ht="13">
      <c r="N1531" s="5"/>
      <c r="O1531" s="5"/>
      <c r="P1531" s="5"/>
      <c r="R1531" s="5"/>
    </row>
    <row r="1532" spans="14:18" ht="13">
      <c r="N1532" s="5"/>
      <c r="O1532" s="5"/>
      <c r="P1532" s="5"/>
      <c r="R1532" s="5"/>
    </row>
    <row r="1533" spans="14:18" ht="13">
      <c r="N1533" s="5"/>
      <c r="O1533" s="5"/>
      <c r="P1533" s="5"/>
      <c r="R1533" s="5"/>
    </row>
    <row r="1534" spans="14:18" ht="13">
      <c r="N1534" s="5"/>
      <c r="O1534" s="5"/>
      <c r="P1534" s="5"/>
      <c r="R1534" s="5"/>
    </row>
    <row r="1535" spans="14:18" ht="13">
      <c r="N1535" s="5"/>
      <c r="O1535" s="5"/>
      <c r="P1535" s="5"/>
      <c r="R1535" s="5"/>
    </row>
    <row r="1536" spans="14:18" ht="13">
      <c r="N1536" s="5"/>
      <c r="O1536" s="5"/>
      <c r="P1536" s="5"/>
      <c r="R1536" s="5"/>
    </row>
    <row r="1537" spans="14:18" ht="13">
      <c r="N1537" s="5"/>
      <c r="O1537" s="5"/>
      <c r="P1537" s="5"/>
      <c r="R1537" s="5"/>
    </row>
    <row r="1538" spans="14:18" ht="13">
      <c r="N1538" s="5"/>
      <c r="O1538" s="5"/>
      <c r="P1538" s="5"/>
      <c r="R1538" s="5"/>
    </row>
    <row r="1539" spans="14:18" ht="13">
      <c r="N1539" s="5"/>
      <c r="O1539" s="5"/>
      <c r="P1539" s="5"/>
      <c r="R1539" s="5"/>
    </row>
    <row r="1540" spans="14:18" ht="13">
      <c r="N1540" s="5"/>
      <c r="O1540" s="5"/>
      <c r="P1540" s="5"/>
      <c r="R1540" s="5"/>
    </row>
    <row r="1541" spans="14:18" ht="13">
      <c r="N1541" s="5"/>
      <c r="O1541" s="5"/>
      <c r="P1541" s="5"/>
      <c r="R1541" s="5"/>
    </row>
    <row r="1542" spans="14:18" ht="13">
      <c r="N1542" s="5"/>
      <c r="O1542" s="5"/>
      <c r="P1542" s="5"/>
      <c r="R1542" s="5"/>
    </row>
    <row r="1543" spans="14:18" ht="13">
      <c r="N1543" s="5"/>
      <c r="O1543" s="5"/>
      <c r="P1543" s="5"/>
      <c r="R1543" s="5"/>
    </row>
    <row r="1544" spans="14:18" ht="13">
      <c r="N1544" s="5"/>
      <c r="O1544" s="5"/>
      <c r="P1544" s="5"/>
      <c r="R1544" s="5"/>
    </row>
    <row r="1545" spans="14:18" ht="13">
      <c r="N1545" s="5"/>
      <c r="O1545" s="5"/>
      <c r="P1545" s="5"/>
      <c r="R1545" s="5"/>
    </row>
    <row r="1546" spans="14:18" ht="13">
      <c r="N1546" s="5"/>
      <c r="O1546" s="5"/>
      <c r="P1546" s="5"/>
      <c r="R1546" s="5"/>
    </row>
    <row r="1547" spans="14:18" ht="13">
      <c r="N1547" s="5"/>
      <c r="O1547" s="5"/>
      <c r="P1547" s="5"/>
      <c r="R1547" s="5"/>
    </row>
    <row r="1548" spans="14:18" ht="13">
      <c r="N1548" s="5"/>
      <c r="O1548" s="5"/>
      <c r="P1548" s="5"/>
      <c r="R1548" s="5"/>
    </row>
    <row r="1549" spans="14:18" ht="13">
      <c r="N1549" s="5"/>
      <c r="O1549" s="5"/>
      <c r="P1549" s="5"/>
      <c r="R1549" s="5"/>
    </row>
    <row r="1550" spans="14:18" ht="13">
      <c r="N1550" s="5"/>
      <c r="O1550" s="5"/>
      <c r="P1550" s="5"/>
      <c r="R1550" s="5"/>
    </row>
    <row r="1551" spans="14:18" ht="13">
      <c r="N1551" s="5"/>
      <c r="O1551" s="5"/>
      <c r="P1551" s="5"/>
      <c r="R1551" s="5"/>
    </row>
    <row r="1552" spans="14:18" ht="13">
      <c r="N1552" s="5"/>
      <c r="O1552" s="5"/>
      <c r="P1552" s="5"/>
      <c r="R1552" s="5"/>
    </row>
    <row r="1553" spans="14:18" ht="13">
      <c r="N1553" s="5"/>
      <c r="O1553" s="5"/>
      <c r="P1553" s="5"/>
      <c r="R1553" s="5"/>
    </row>
    <row r="1554" spans="14:18" ht="13">
      <c r="N1554" s="5"/>
      <c r="O1554" s="5"/>
      <c r="P1554" s="5"/>
      <c r="R1554" s="5"/>
    </row>
    <row r="1555" spans="14:18" ht="13">
      <c r="N1555" s="5"/>
      <c r="O1555" s="5"/>
      <c r="P1555" s="5"/>
      <c r="R1555" s="5"/>
    </row>
    <row r="1556" spans="14:18" ht="13">
      <c r="N1556" s="5"/>
      <c r="O1556" s="5"/>
      <c r="P1556" s="5"/>
      <c r="R1556" s="5"/>
    </row>
    <row r="1557" spans="14:18" ht="13">
      <c r="N1557" s="5"/>
      <c r="O1557" s="5"/>
      <c r="P1557" s="5"/>
      <c r="R1557" s="5"/>
    </row>
    <row r="1558" spans="14:18" ht="13">
      <c r="N1558" s="5"/>
      <c r="O1558" s="5"/>
      <c r="P1558" s="5"/>
      <c r="R1558" s="5"/>
    </row>
    <row r="1559" spans="14:18" ht="13">
      <c r="N1559" s="5"/>
      <c r="O1559" s="5"/>
      <c r="P1559" s="5"/>
      <c r="R1559" s="5"/>
    </row>
    <row r="1560" spans="14:18" ht="13">
      <c r="N1560" s="5"/>
      <c r="O1560" s="5"/>
      <c r="P1560" s="5"/>
      <c r="R1560" s="5"/>
    </row>
    <row r="1561" spans="14:18" ht="13">
      <c r="N1561" s="5"/>
      <c r="O1561" s="5"/>
      <c r="P1561" s="5"/>
      <c r="R1561" s="5"/>
    </row>
    <row r="1562" spans="14:18" ht="13">
      <c r="N1562" s="5"/>
      <c r="O1562" s="5"/>
      <c r="P1562" s="5"/>
      <c r="R1562" s="5"/>
    </row>
    <row r="1563" spans="14:18" ht="13">
      <c r="N1563" s="5"/>
      <c r="O1563" s="5"/>
      <c r="P1563" s="5"/>
      <c r="R1563" s="5"/>
    </row>
    <row r="1564" spans="14:18" ht="13">
      <c r="N1564" s="5"/>
      <c r="O1564" s="5"/>
      <c r="P1564" s="5"/>
      <c r="R1564" s="5"/>
    </row>
    <row r="1565" spans="14:18" ht="13">
      <c r="N1565" s="5"/>
      <c r="O1565" s="5"/>
      <c r="P1565" s="5"/>
      <c r="R1565" s="5"/>
    </row>
    <row r="1566" spans="14:18" ht="13">
      <c r="N1566" s="5"/>
      <c r="O1566" s="5"/>
      <c r="P1566" s="5"/>
      <c r="R1566" s="5"/>
    </row>
    <row r="1567" spans="14:18" ht="13">
      <c r="N1567" s="5"/>
      <c r="O1567" s="5"/>
      <c r="P1567" s="5"/>
      <c r="R1567" s="5"/>
    </row>
    <row r="1568" spans="14:18" ht="13">
      <c r="N1568" s="5"/>
      <c r="O1568" s="5"/>
      <c r="P1568" s="5"/>
      <c r="R1568" s="5"/>
    </row>
    <row r="1569" spans="14:18" ht="13">
      <c r="N1569" s="5"/>
      <c r="O1569" s="5"/>
      <c r="P1569" s="5"/>
      <c r="R1569" s="5"/>
    </row>
    <row r="1570" spans="14:18" ht="13">
      <c r="N1570" s="5"/>
      <c r="O1570" s="5"/>
      <c r="P1570" s="5"/>
      <c r="R1570" s="5"/>
    </row>
    <row r="1571" spans="14:18" ht="13">
      <c r="N1571" s="5"/>
      <c r="O1571" s="5"/>
      <c r="P1571" s="5"/>
      <c r="R1571" s="5"/>
    </row>
    <row r="1572" spans="14:18" ht="13">
      <c r="N1572" s="5"/>
      <c r="O1572" s="5"/>
      <c r="P1572" s="5"/>
      <c r="R1572" s="5"/>
    </row>
    <row r="1573" spans="14:18" ht="13">
      <c r="N1573" s="5"/>
      <c r="O1573" s="5"/>
      <c r="P1573" s="5"/>
      <c r="R1573" s="5"/>
    </row>
    <row r="1574" spans="14:18" ht="13">
      <c r="N1574" s="5"/>
      <c r="O1574" s="5"/>
      <c r="P1574" s="5"/>
      <c r="R1574" s="5"/>
    </row>
    <row r="1575" spans="14:18" ht="13">
      <c r="N1575" s="5"/>
      <c r="O1575" s="5"/>
      <c r="P1575" s="5"/>
      <c r="R1575" s="5"/>
    </row>
    <row r="1576" spans="14:18" ht="13">
      <c r="N1576" s="5"/>
      <c r="O1576" s="5"/>
      <c r="P1576" s="5"/>
      <c r="R1576" s="5"/>
    </row>
    <row r="1577" spans="14:18" ht="13">
      <c r="N1577" s="5"/>
      <c r="O1577" s="5"/>
      <c r="P1577" s="5"/>
      <c r="R1577" s="5"/>
    </row>
    <row r="1578" spans="14:18" ht="13">
      <c r="N1578" s="5"/>
      <c r="O1578" s="5"/>
      <c r="P1578" s="5"/>
      <c r="R1578" s="5"/>
    </row>
    <row r="1579" spans="14:18" ht="13">
      <c r="N1579" s="5"/>
      <c r="O1579" s="5"/>
      <c r="P1579" s="5"/>
      <c r="R1579" s="5"/>
    </row>
    <row r="1580" spans="14:18" ht="13">
      <c r="N1580" s="5"/>
      <c r="O1580" s="5"/>
      <c r="P1580" s="5"/>
      <c r="R1580" s="5"/>
    </row>
    <row r="1581" spans="14:18" ht="13">
      <c r="N1581" s="5"/>
      <c r="O1581" s="5"/>
      <c r="P1581" s="5"/>
      <c r="R1581" s="5"/>
    </row>
    <row r="1582" spans="14:18" ht="13">
      <c r="N1582" s="5"/>
      <c r="O1582" s="5"/>
      <c r="P1582" s="5"/>
      <c r="R1582" s="5"/>
    </row>
    <row r="1583" spans="14:18" ht="13">
      <c r="N1583" s="5"/>
      <c r="O1583" s="5"/>
      <c r="P1583" s="5"/>
      <c r="R1583" s="5"/>
    </row>
    <row r="1584" spans="14:18" ht="13">
      <c r="N1584" s="5"/>
      <c r="O1584" s="5"/>
      <c r="P1584" s="5"/>
      <c r="R1584" s="5"/>
    </row>
    <row r="1585" spans="14:18" ht="13">
      <c r="N1585" s="5"/>
      <c r="O1585" s="5"/>
      <c r="P1585" s="5"/>
      <c r="R1585" s="5"/>
    </row>
    <row r="1586" spans="14:18" ht="13">
      <c r="N1586" s="5"/>
      <c r="O1586" s="5"/>
      <c r="P1586" s="5"/>
      <c r="R1586" s="5"/>
    </row>
    <row r="1587" spans="14:18" ht="13">
      <c r="N1587" s="5"/>
      <c r="O1587" s="5"/>
      <c r="P1587" s="5"/>
      <c r="R1587" s="5"/>
    </row>
    <row r="1588" spans="14:18" ht="13">
      <c r="N1588" s="5"/>
      <c r="O1588" s="5"/>
      <c r="P1588" s="5"/>
      <c r="R1588" s="5"/>
    </row>
    <row r="1589" spans="14:18" ht="13">
      <c r="N1589" s="5"/>
      <c r="O1589" s="5"/>
      <c r="P1589" s="5"/>
      <c r="R1589" s="5"/>
    </row>
    <row r="1590" spans="14:18" ht="13">
      <c r="N1590" s="5"/>
      <c r="O1590" s="5"/>
      <c r="P1590" s="5"/>
      <c r="R1590" s="5"/>
    </row>
    <row r="1591" spans="14:18" ht="13">
      <c r="N1591" s="5"/>
      <c r="O1591" s="5"/>
      <c r="P1591" s="5"/>
      <c r="R1591" s="5"/>
    </row>
    <row r="1592" spans="14:18" ht="13">
      <c r="N1592" s="5"/>
      <c r="O1592" s="5"/>
      <c r="P1592" s="5"/>
      <c r="R1592" s="5"/>
    </row>
    <row r="1593" spans="14:18" ht="13">
      <c r="N1593" s="5"/>
      <c r="O1593" s="5"/>
      <c r="P1593" s="5"/>
      <c r="R1593" s="5"/>
    </row>
    <row r="1594" spans="14:18" ht="13">
      <c r="N1594" s="5"/>
      <c r="O1594" s="5"/>
      <c r="P1594" s="5"/>
      <c r="R1594" s="5"/>
    </row>
    <row r="1595" spans="14:18" ht="13">
      <c r="N1595" s="5"/>
      <c r="O1595" s="5"/>
      <c r="P1595" s="5"/>
      <c r="R1595" s="5"/>
    </row>
    <row r="1596" spans="14:18" ht="13">
      <c r="N1596" s="5"/>
      <c r="O1596" s="5"/>
      <c r="P1596" s="5"/>
      <c r="R1596" s="5"/>
    </row>
    <row r="1597" spans="14:18" ht="13">
      <c r="N1597" s="5"/>
      <c r="O1597" s="5"/>
      <c r="P1597" s="5"/>
      <c r="R1597" s="5"/>
    </row>
    <row r="1598" spans="14:18" ht="13">
      <c r="N1598" s="5"/>
      <c r="O1598" s="5"/>
      <c r="P1598" s="5"/>
      <c r="R1598" s="5"/>
    </row>
    <row r="1599" spans="14:18" ht="13">
      <c r="N1599" s="5"/>
      <c r="O1599" s="5"/>
      <c r="P1599" s="5"/>
      <c r="R1599" s="5"/>
    </row>
    <row r="1600" spans="14:18" ht="13">
      <c r="N1600" s="5"/>
      <c r="O1600" s="5"/>
      <c r="P1600" s="5"/>
      <c r="R1600" s="5"/>
    </row>
    <row r="1601" spans="14:18" ht="13">
      <c r="N1601" s="5"/>
      <c r="O1601" s="5"/>
      <c r="P1601" s="5"/>
      <c r="R1601" s="5"/>
    </row>
    <row r="1602" spans="14:18" ht="13">
      <c r="N1602" s="5"/>
      <c r="O1602" s="5"/>
      <c r="P1602" s="5"/>
      <c r="R1602" s="5"/>
    </row>
    <row r="1603" spans="14:18" ht="13">
      <c r="N1603" s="5"/>
      <c r="O1603" s="5"/>
      <c r="P1603" s="5"/>
      <c r="R1603" s="5"/>
    </row>
    <row r="1604" spans="14:18" ht="13">
      <c r="N1604" s="5"/>
      <c r="O1604" s="5"/>
      <c r="P1604" s="5"/>
      <c r="R1604" s="5"/>
    </row>
    <row r="1605" spans="14:18" ht="13">
      <c r="N1605" s="5"/>
      <c r="O1605" s="5"/>
      <c r="P1605" s="5"/>
      <c r="R1605" s="5"/>
    </row>
    <row r="1606" spans="14:18" ht="13">
      <c r="N1606" s="5"/>
      <c r="O1606" s="5"/>
      <c r="P1606" s="5"/>
      <c r="R1606" s="5"/>
    </row>
    <row r="1607" spans="14:18" ht="13">
      <c r="N1607" s="5"/>
      <c r="O1607" s="5"/>
      <c r="P1607" s="5"/>
      <c r="R1607" s="5"/>
    </row>
    <row r="1608" spans="14:18" ht="13">
      <c r="N1608" s="5"/>
      <c r="O1608" s="5"/>
      <c r="P1608" s="5"/>
      <c r="R1608" s="5"/>
    </row>
    <row r="1609" spans="14:18" ht="13">
      <c r="N1609" s="5"/>
      <c r="O1609" s="5"/>
      <c r="P1609" s="5"/>
      <c r="R1609" s="5"/>
    </row>
    <row r="1610" spans="14:18" ht="13">
      <c r="N1610" s="5"/>
      <c r="O1610" s="5"/>
      <c r="P1610" s="5"/>
      <c r="R1610" s="5"/>
    </row>
    <row r="1611" spans="14:18" ht="13">
      <c r="N1611" s="5"/>
      <c r="O1611" s="5"/>
      <c r="P1611" s="5"/>
      <c r="R1611" s="5"/>
    </row>
    <row r="1612" spans="14:18" ht="13">
      <c r="N1612" s="5"/>
      <c r="O1612" s="5"/>
      <c r="P1612" s="5"/>
      <c r="R1612" s="5"/>
    </row>
    <row r="1613" spans="14:18" ht="13">
      <c r="N1613" s="5"/>
      <c r="O1613" s="5"/>
      <c r="P1613" s="5"/>
      <c r="R1613" s="5"/>
    </row>
    <row r="1614" spans="14:18" ht="13">
      <c r="N1614" s="5"/>
      <c r="O1614" s="5"/>
      <c r="P1614" s="5"/>
      <c r="R1614" s="5"/>
    </row>
    <row r="1615" spans="14:18" ht="13">
      <c r="N1615" s="5"/>
      <c r="O1615" s="5"/>
      <c r="P1615" s="5"/>
      <c r="R1615" s="5"/>
    </row>
    <row r="1616" spans="14:18" ht="13">
      <c r="N1616" s="5"/>
      <c r="O1616" s="5"/>
      <c r="P1616" s="5"/>
      <c r="R1616" s="5"/>
    </row>
    <row r="1617" spans="14:18" ht="13">
      <c r="N1617" s="5"/>
      <c r="O1617" s="5"/>
      <c r="P1617" s="5"/>
      <c r="R1617" s="5"/>
    </row>
    <row r="1618" spans="14:18" ht="13">
      <c r="N1618" s="5"/>
      <c r="O1618" s="5"/>
      <c r="P1618" s="5"/>
      <c r="R1618" s="5"/>
    </row>
    <row r="1619" spans="14:18" ht="13">
      <c r="N1619" s="5"/>
      <c r="O1619" s="5"/>
      <c r="P1619" s="5"/>
      <c r="R1619" s="5"/>
    </row>
    <row r="1620" spans="14:18" ht="13">
      <c r="N1620" s="5"/>
      <c r="O1620" s="5"/>
      <c r="P1620" s="5"/>
      <c r="R1620" s="5"/>
    </row>
    <row r="1621" spans="14:18" ht="13">
      <c r="N1621" s="5"/>
      <c r="O1621" s="5"/>
      <c r="P1621" s="5"/>
      <c r="R1621" s="5"/>
    </row>
    <row r="1622" spans="14:18" ht="13">
      <c r="N1622" s="5"/>
      <c r="O1622" s="5"/>
      <c r="P1622" s="5"/>
      <c r="R1622" s="5"/>
    </row>
    <row r="1623" spans="14:18" ht="13">
      <c r="N1623" s="5"/>
      <c r="O1623" s="5"/>
      <c r="P1623" s="5"/>
      <c r="R1623" s="5"/>
    </row>
    <row r="1624" spans="14:18" ht="13">
      <c r="N1624" s="5"/>
      <c r="O1624" s="5"/>
      <c r="P1624" s="5"/>
      <c r="R1624" s="5"/>
    </row>
    <row r="1625" spans="14:18" ht="13">
      <c r="N1625" s="5"/>
      <c r="O1625" s="5"/>
      <c r="P1625" s="5"/>
      <c r="R1625" s="5"/>
    </row>
    <row r="1626" spans="14:18" ht="13">
      <c r="N1626" s="5"/>
      <c r="O1626" s="5"/>
      <c r="P1626" s="5"/>
      <c r="R1626" s="5"/>
    </row>
    <row r="1627" spans="14:18" ht="13">
      <c r="N1627" s="5"/>
      <c r="O1627" s="5"/>
      <c r="P1627" s="5"/>
      <c r="R1627" s="5"/>
    </row>
    <row r="1628" spans="14:18" ht="13">
      <c r="N1628" s="5"/>
      <c r="O1628" s="5"/>
      <c r="P1628" s="5"/>
      <c r="R1628" s="5"/>
    </row>
    <row r="1629" spans="14:18" ht="13">
      <c r="N1629" s="5"/>
      <c r="O1629" s="5"/>
      <c r="P1629" s="5"/>
      <c r="R1629" s="5"/>
    </row>
    <row r="1630" spans="14:18" ht="13">
      <c r="N1630" s="5"/>
      <c r="O1630" s="5"/>
      <c r="P1630" s="5"/>
      <c r="R1630" s="5"/>
    </row>
    <row r="1631" spans="14:18" ht="13">
      <c r="N1631" s="5"/>
      <c r="O1631" s="5"/>
      <c r="P1631" s="5"/>
      <c r="R1631" s="5"/>
    </row>
    <row r="1632" spans="14:18" ht="13">
      <c r="N1632" s="5"/>
      <c r="O1632" s="5"/>
      <c r="P1632" s="5"/>
      <c r="R1632" s="5"/>
    </row>
    <row r="1633" spans="14:18" ht="13">
      <c r="N1633" s="5"/>
      <c r="O1633" s="5"/>
      <c r="P1633" s="5"/>
      <c r="R1633" s="5"/>
    </row>
    <row r="1634" spans="14:18" ht="13">
      <c r="N1634" s="5"/>
      <c r="O1634" s="5"/>
      <c r="P1634" s="5"/>
      <c r="R1634" s="5"/>
    </row>
    <row r="1635" spans="14:18" ht="13">
      <c r="N1635" s="5"/>
      <c r="O1635" s="5"/>
      <c r="P1635" s="5"/>
      <c r="R1635" s="5"/>
    </row>
    <row r="1636" spans="14:18" ht="13">
      <c r="N1636" s="5"/>
      <c r="O1636" s="5"/>
      <c r="P1636" s="5"/>
      <c r="R1636" s="5"/>
    </row>
    <row r="1637" spans="14:18" ht="13">
      <c r="N1637" s="5"/>
      <c r="O1637" s="5"/>
      <c r="P1637" s="5"/>
      <c r="R1637" s="5"/>
    </row>
    <row r="1638" spans="14:18" ht="13">
      <c r="N1638" s="5"/>
      <c r="O1638" s="5"/>
      <c r="P1638" s="5"/>
      <c r="R1638" s="5"/>
    </row>
    <row r="1639" spans="14:18" ht="13">
      <c r="N1639" s="5"/>
      <c r="O1639" s="5"/>
      <c r="P1639" s="5"/>
      <c r="R1639" s="5"/>
    </row>
    <row r="1640" spans="14:18" ht="13">
      <c r="N1640" s="5"/>
      <c r="O1640" s="5"/>
      <c r="P1640" s="5"/>
      <c r="R1640" s="5"/>
    </row>
    <row r="1641" spans="14:18" ht="13">
      <c r="N1641" s="5"/>
      <c r="O1641" s="5"/>
      <c r="P1641" s="5"/>
      <c r="R1641" s="5"/>
    </row>
    <row r="1642" spans="14:18" ht="13">
      <c r="N1642" s="5"/>
      <c r="O1642" s="5"/>
      <c r="P1642" s="5"/>
      <c r="R1642" s="5"/>
    </row>
    <row r="1643" spans="14:18" ht="13">
      <c r="N1643" s="5"/>
      <c r="O1643" s="5"/>
      <c r="P1643" s="5"/>
      <c r="R1643" s="5"/>
    </row>
    <row r="1644" spans="14:18" ht="13">
      <c r="N1644" s="5"/>
      <c r="O1644" s="5"/>
      <c r="P1644" s="5"/>
      <c r="R1644" s="5"/>
    </row>
    <row r="1645" spans="14:18" ht="13">
      <c r="N1645" s="5"/>
      <c r="O1645" s="5"/>
      <c r="P1645" s="5"/>
      <c r="R1645" s="5"/>
    </row>
    <row r="1646" spans="14:18" ht="13">
      <c r="N1646" s="5"/>
      <c r="O1646" s="5"/>
      <c r="P1646" s="5"/>
      <c r="R1646" s="5"/>
    </row>
    <row r="1647" spans="14:18" ht="13">
      <c r="N1647" s="5"/>
      <c r="O1647" s="5"/>
      <c r="P1647" s="5"/>
      <c r="R1647" s="5"/>
    </row>
    <row r="1648" spans="14:18" ht="13">
      <c r="N1648" s="5"/>
      <c r="O1648" s="5"/>
      <c r="P1648" s="5"/>
      <c r="R1648" s="5"/>
    </row>
    <row r="1649" spans="14:18" ht="13">
      <c r="N1649" s="5"/>
      <c r="O1649" s="5"/>
      <c r="P1649" s="5"/>
      <c r="R1649" s="5"/>
    </row>
    <row r="1650" spans="14:18" ht="13">
      <c r="N1650" s="5"/>
      <c r="O1650" s="5"/>
      <c r="P1650" s="5"/>
      <c r="R1650" s="5"/>
    </row>
    <row r="1651" spans="14:18" ht="13">
      <c r="N1651" s="5"/>
      <c r="O1651" s="5"/>
      <c r="P1651" s="5"/>
      <c r="R1651" s="5"/>
    </row>
    <row r="1652" spans="14:18" ht="13">
      <c r="N1652" s="5"/>
      <c r="O1652" s="5"/>
      <c r="P1652" s="5"/>
      <c r="R1652" s="5"/>
    </row>
    <row r="1653" spans="14:18" ht="13">
      <c r="N1653" s="5"/>
      <c r="O1653" s="5"/>
      <c r="P1653" s="5"/>
      <c r="R1653" s="5"/>
    </row>
    <row r="1654" spans="14:18" ht="13">
      <c r="N1654" s="5"/>
      <c r="O1654" s="5"/>
      <c r="P1654" s="5"/>
      <c r="R1654" s="5"/>
    </row>
    <row r="1655" spans="14:18" ht="13">
      <c r="N1655" s="5"/>
      <c r="O1655" s="5"/>
      <c r="P1655" s="5"/>
      <c r="R1655" s="5"/>
    </row>
    <row r="1656" spans="14:18" ht="13">
      <c r="N1656" s="5"/>
      <c r="O1656" s="5"/>
      <c r="P1656" s="5"/>
      <c r="R1656" s="5"/>
    </row>
    <row r="1657" spans="14:18" ht="13">
      <c r="N1657" s="5"/>
      <c r="O1657" s="5"/>
      <c r="P1657" s="5"/>
      <c r="R1657" s="5"/>
    </row>
    <row r="1658" spans="14:18" ht="13">
      <c r="N1658" s="5"/>
      <c r="O1658" s="5"/>
      <c r="P1658" s="5"/>
      <c r="R1658" s="5"/>
    </row>
    <row r="1659" spans="14:18" ht="13">
      <c r="N1659" s="5"/>
      <c r="O1659" s="5"/>
      <c r="P1659" s="5"/>
      <c r="R1659" s="5"/>
    </row>
    <row r="1660" spans="14:18" ht="13">
      <c r="N1660" s="5"/>
      <c r="O1660" s="5"/>
      <c r="P1660" s="5"/>
      <c r="R1660" s="5"/>
    </row>
    <row r="1661" spans="14:18" ht="13">
      <c r="N1661" s="5"/>
      <c r="O1661" s="5"/>
      <c r="P1661" s="5"/>
      <c r="R1661" s="5"/>
    </row>
    <row r="1662" spans="14:18" ht="13">
      <c r="N1662" s="5"/>
      <c r="O1662" s="5"/>
      <c r="P1662" s="5"/>
      <c r="R1662" s="5"/>
    </row>
    <row r="1663" spans="14:18" ht="13">
      <c r="N1663" s="5"/>
      <c r="O1663" s="5"/>
      <c r="P1663" s="5"/>
      <c r="R1663" s="5"/>
    </row>
    <row r="1664" spans="14:18" ht="13">
      <c r="N1664" s="5"/>
      <c r="O1664" s="5"/>
      <c r="P1664" s="5"/>
      <c r="R1664" s="5"/>
    </row>
    <row r="1665" spans="14:18" ht="13">
      <c r="N1665" s="5"/>
      <c r="O1665" s="5"/>
      <c r="P1665" s="5"/>
      <c r="R1665" s="5"/>
    </row>
    <row r="1666" spans="14:18" ht="13">
      <c r="N1666" s="5"/>
      <c r="O1666" s="5"/>
      <c r="P1666" s="5"/>
      <c r="R1666" s="5"/>
    </row>
    <row r="1667" spans="14:18" ht="13">
      <c r="N1667" s="5"/>
      <c r="O1667" s="5"/>
      <c r="P1667" s="5"/>
      <c r="R1667" s="5"/>
    </row>
    <row r="1668" spans="14:18" ht="13">
      <c r="N1668" s="5"/>
      <c r="O1668" s="5"/>
      <c r="P1668" s="5"/>
      <c r="R1668" s="5"/>
    </row>
    <row r="1669" spans="14:18" ht="13">
      <c r="N1669" s="5"/>
      <c r="O1669" s="5"/>
      <c r="P1669" s="5"/>
      <c r="R1669" s="5"/>
    </row>
    <row r="1670" spans="14:18" ht="13">
      <c r="N1670" s="5"/>
      <c r="O1670" s="5"/>
      <c r="P1670" s="5"/>
      <c r="R1670" s="5"/>
    </row>
    <row r="1671" spans="14:18" ht="13">
      <c r="N1671" s="5"/>
      <c r="O1671" s="5"/>
      <c r="P1671" s="5"/>
      <c r="R1671" s="5"/>
    </row>
    <row r="1672" spans="14:18" ht="13">
      <c r="N1672" s="5"/>
      <c r="O1672" s="5"/>
      <c r="P1672" s="5"/>
      <c r="R1672" s="5"/>
    </row>
    <row r="1673" spans="14:18" ht="13">
      <c r="N1673" s="5"/>
      <c r="O1673" s="5"/>
      <c r="P1673" s="5"/>
      <c r="R1673" s="5"/>
    </row>
    <row r="1674" spans="14:18" ht="13">
      <c r="N1674" s="5"/>
      <c r="O1674" s="5"/>
      <c r="P1674" s="5"/>
      <c r="R1674" s="5"/>
    </row>
    <row r="1675" spans="14:18" ht="13">
      <c r="N1675" s="5"/>
      <c r="O1675" s="5"/>
      <c r="P1675" s="5"/>
      <c r="R1675" s="5"/>
    </row>
    <row r="1676" spans="14:18" ht="13">
      <c r="N1676" s="5"/>
      <c r="O1676" s="5"/>
      <c r="P1676" s="5"/>
      <c r="R1676" s="5"/>
    </row>
    <row r="1677" spans="14:18" ht="13">
      <c r="N1677" s="5"/>
      <c r="O1677" s="5"/>
      <c r="P1677" s="5"/>
      <c r="R1677" s="5"/>
    </row>
    <row r="1678" spans="14:18" ht="13">
      <c r="N1678" s="5"/>
      <c r="O1678" s="5"/>
      <c r="P1678" s="5"/>
      <c r="R1678" s="5"/>
    </row>
    <row r="1679" spans="14:18" ht="13">
      <c r="N1679" s="5"/>
      <c r="O1679" s="5"/>
      <c r="P1679" s="5"/>
      <c r="R1679" s="5"/>
    </row>
    <row r="1680" spans="14:18" ht="13">
      <c r="N1680" s="5"/>
      <c r="O1680" s="5"/>
      <c r="P1680" s="5"/>
      <c r="R1680" s="5"/>
    </row>
    <row r="1681" spans="14:18" ht="13">
      <c r="N1681" s="5"/>
      <c r="O1681" s="5"/>
      <c r="P1681" s="5"/>
      <c r="R1681" s="5"/>
    </row>
    <row r="1682" spans="14:18" ht="13">
      <c r="N1682" s="5"/>
      <c r="O1682" s="5"/>
      <c r="P1682" s="5"/>
      <c r="R1682" s="5"/>
    </row>
    <row r="1683" spans="14:18" ht="13">
      <c r="N1683" s="5"/>
      <c r="O1683" s="5"/>
      <c r="P1683" s="5"/>
      <c r="R1683" s="5"/>
    </row>
    <row r="1684" spans="14:18" ht="13">
      <c r="N1684" s="5"/>
      <c r="O1684" s="5"/>
      <c r="P1684" s="5"/>
      <c r="R1684" s="5"/>
    </row>
    <row r="1685" spans="14:18" ht="13">
      <c r="N1685" s="5"/>
      <c r="O1685" s="5"/>
      <c r="P1685" s="5"/>
      <c r="R1685" s="5"/>
    </row>
    <row r="1686" spans="14:18" ht="13">
      <c r="N1686" s="5"/>
      <c r="O1686" s="5"/>
      <c r="P1686" s="5"/>
      <c r="R1686" s="5"/>
    </row>
    <row r="1687" spans="14:18" ht="13">
      <c r="N1687" s="5"/>
      <c r="O1687" s="5"/>
      <c r="P1687" s="5"/>
      <c r="R1687" s="5"/>
    </row>
    <row r="1688" spans="14:18" ht="13">
      <c r="N1688" s="5"/>
      <c r="O1688" s="5"/>
      <c r="P1688" s="5"/>
      <c r="R1688" s="5"/>
    </row>
    <row r="1689" spans="14:18" ht="13">
      <c r="N1689" s="5"/>
      <c r="O1689" s="5"/>
      <c r="P1689" s="5"/>
      <c r="R1689" s="5"/>
    </row>
    <row r="1690" spans="14:18" ht="13">
      <c r="N1690" s="5"/>
      <c r="O1690" s="5"/>
      <c r="P1690" s="5"/>
      <c r="R1690" s="5"/>
    </row>
    <row r="1691" spans="14:18" ht="13">
      <c r="N1691" s="5"/>
      <c r="O1691" s="5"/>
      <c r="P1691" s="5"/>
      <c r="R1691" s="5"/>
    </row>
    <row r="1692" spans="14:18" ht="13">
      <c r="N1692" s="5"/>
      <c r="O1692" s="5"/>
      <c r="P1692" s="5"/>
      <c r="R1692" s="5"/>
    </row>
    <row r="1693" spans="14:18" ht="13">
      <c r="N1693" s="5"/>
      <c r="O1693" s="5"/>
      <c r="P1693" s="5"/>
      <c r="R1693" s="5"/>
    </row>
    <row r="1694" spans="14:18" ht="13">
      <c r="N1694" s="5"/>
      <c r="O1694" s="5"/>
      <c r="P1694" s="5"/>
      <c r="R1694" s="5"/>
    </row>
    <row r="1695" spans="14:18" ht="13">
      <c r="N1695" s="5"/>
      <c r="O1695" s="5"/>
      <c r="P1695" s="5"/>
      <c r="R1695" s="5"/>
    </row>
    <row r="1696" spans="14:18" ht="13">
      <c r="N1696" s="5"/>
      <c r="O1696" s="5"/>
      <c r="P1696" s="5"/>
      <c r="R1696" s="5"/>
    </row>
    <row r="1697" spans="14:18" ht="13">
      <c r="N1697" s="5"/>
      <c r="O1697" s="5"/>
      <c r="P1697" s="5"/>
      <c r="R1697" s="5"/>
    </row>
    <row r="1698" spans="14:18" ht="13">
      <c r="N1698" s="5"/>
      <c r="O1698" s="5"/>
      <c r="P1698" s="5"/>
      <c r="R1698" s="5"/>
    </row>
    <row r="1699" spans="14:18" ht="13">
      <c r="N1699" s="5"/>
      <c r="O1699" s="5"/>
      <c r="P1699" s="5"/>
      <c r="R1699" s="5"/>
    </row>
    <row r="1700" spans="14:18" ht="13">
      <c r="N1700" s="5"/>
      <c r="O1700" s="5"/>
      <c r="P1700" s="5"/>
      <c r="R1700" s="5"/>
    </row>
    <row r="1701" spans="14:18" ht="13">
      <c r="N1701" s="5"/>
      <c r="O1701" s="5"/>
      <c r="P1701" s="5"/>
      <c r="R1701" s="5"/>
    </row>
    <row r="1702" spans="14:18" ht="13">
      <c r="N1702" s="5"/>
      <c r="O1702" s="5"/>
      <c r="P1702" s="5"/>
      <c r="R1702" s="5"/>
    </row>
    <row r="1703" spans="14:18" ht="13">
      <c r="N1703" s="5"/>
      <c r="O1703" s="5"/>
      <c r="P1703" s="5"/>
      <c r="R1703" s="5"/>
    </row>
    <row r="1704" spans="14:18" ht="13">
      <c r="N1704" s="5"/>
      <c r="O1704" s="5"/>
      <c r="P1704" s="5"/>
      <c r="R1704" s="5"/>
    </row>
    <row r="1705" spans="14:18" ht="13">
      <c r="N1705" s="5"/>
      <c r="O1705" s="5"/>
      <c r="P1705" s="5"/>
      <c r="R1705" s="5"/>
    </row>
    <row r="1706" spans="14:18" ht="13">
      <c r="N1706" s="5"/>
      <c r="O1706" s="5"/>
      <c r="P1706" s="5"/>
      <c r="R1706" s="5"/>
    </row>
    <row r="1707" spans="14:18" ht="13">
      <c r="N1707" s="5"/>
      <c r="O1707" s="5"/>
      <c r="P1707" s="5"/>
      <c r="R1707" s="5"/>
    </row>
    <row r="1708" spans="14:18" ht="13">
      <c r="N1708" s="5"/>
      <c r="O1708" s="5"/>
      <c r="P1708" s="5"/>
      <c r="R1708" s="5"/>
    </row>
    <row r="1709" spans="14:18" ht="13">
      <c r="N1709" s="5"/>
      <c r="O1709" s="5"/>
      <c r="P1709" s="5"/>
      <c r="R1709" s="5"/>
    </row>
    <row r="1710" spans="14:18" ht="13">
      <c r="N1710" s="5"/>
      <c r="O1710" s="5"/>
      <c r="P1710" s="5"/>
      <c r="R1710" s="5"/>
    </row>
    <row r="1711" spans="14:18" ht="13">
      <c r="N1711" s="5"/>
      <c r="O1711" s="5"/>
      <c r="P1711" s="5"/>
      <c r="R1711" s="5"/>
    </row>
    <row r="1712" spans="14:18" ht="13">
      <c r="N1712" s="5"/>
      <c r="O1712" s="5"/>
      <c r="P1712" s="5"/>
      <c r="R1712" s="5"/>
    </row>
    <row r="1713" spans="14:18" ht="13">
      <c r="N1713" s="5"/>
      <c r="O1713" s="5"/>
      <c r="P1713" s="5"/>
      <c r="R1713" s="5"/>
    </row>
    <row r="1714" spans="14:18" ht="13">
      <c r="N1714" s="5"/>
      <c r="O1714" s="5"/>
      <c r="P1714" s="5"/>
      <c r="R1714" s="5"/>
    </row>
    <row r="1715" spans="14:18" ht="13">
      <c r="N1715" s="5"/>
      <c r="O1715" s="5"/>
      <c r="P1715" s="5"/>
      <c r="R1715" s="5"/>
    </row>
    <row r="1716" spans="14:18" ht="13">
      <c r="N1716" s="5"/>
      <c r="O1716" s="5"/>
      <c r="P1716" s="5"/>
      <c r="R1716" s="5"/>
    </row>
    <row r="1717" spans="14:18" ht="13">
      <c r="N1717" s="5"/>
      <c r="O1717" s="5"/>
      <c r="P1717" s="5"/>
      <c r="R1717" s="5"/>
    </row>
    <row r="1718" spans="14:18" ht="13">
      <c r="N1718" s="5"/>
      <c r="O1718" s="5"/>
      <c r="P1718" s="5"/>
      <c r="R1718" s="5"/>
    </row>
    <row r="1719" spans="14:18" ht="13">
      <c r="N1719" s="5"/>
      <c r="O1719" s="5"/>
      <c r="P1719" s="5"/>
      <c r="R1719" s="5"/>
    </row>
    <row r="1720" spans="14:18" ht="13">
      <c r="N1720" s="5"/>
      <c r="O1720" s="5"/>
      <c r="P1720" s="5"/>
      <c r="R1720" s="5"/>
    </row>
    <row r="1721" spans="14:18" ht="13">
      <c r="N1721" s="5"/>
      <c r="O1721" s="5"/>
      <c r="P1721" s="5"/>
      <c r="R1721" s="5"/>
    </row>
    <row r="1722" spans="14:18" ht="13">
      <c r="N1722" s="5"/>
      <c r="O1722" s="5"/>
      <c r="P1722" s="5"/>
      <c r="R1722" s="5"/>
    </row>
    <row r="1723" spans="14:18" ht="13">
      <c r="N1723" s="5"/>
      <c r="O1723" s="5"/>
      <c r="P1723" s="5"/>
      <c r="R1723" s="5"/>
    </row>
    <row r="1724" spans="14:18" ht="13">
      <c r="N1724" s="5"/>
      <c r="O1724" s="5"/>
      <c r="P1724" s="5"/>
      <c r="R1724" s="5"/>
    </row>
    <row r="1725" spans="14:18" ht="13">
      <c r="N1725" s="5"/>
      <c r="O1725" s="5"/>
      <c r="P1725" s="5"/>
      <c r="R1725" s="5"/>
    </row>
    <row r="1726" spans="14:18" ht="13">
      <c r="N1726" s="5"/>
      <c r="O1726" s="5"/>
      <c r="P1726" s="5"/>
      <c r="R1726" s="5"/>
    </row>
    <row r="1727" spans="14:18" ht="13">
      <c r="N1727" s="5"/>
      <c r="O1727" s="5"/>
      <c r="P1727" s="5"/>
      <c r="R1727" s="5"/>
    </row>
    <row r="1728" spans="14:18" ht="13">
      <c r="N1728" s="5"/>
      <c r="O1728" s="5"/>
      <c r="P1728" s="5"/>
      <c r="R1728" s="5"/>
    </row>
    <row r="1729" spans="14:18" ht="13">
      <c r="N1729" s="5"/>
      <c r="O1729" s="5"/>
      <c r="P1729" s="5"/>
      <c r="R1729" s="5"/>
    </row>
    <row r="1730" spans="14:18" ht="13">
      <c r="N1730" s="5"/>
      <c r="O1730" s="5"/>
      <c r="P1730" s="5"/>
      <c r="R1730" s="5"/>
    </row>
    <row r="1731" spans="14:18" ht="13">
      <c r="N1731" s="5"/>
      <c r="O1731" s="5"/>
      <c r="P1731" s="5"/>
      <c r="R1731" s="5"/>
    </row>
    <row r="1732" spans="14:18" ht="13">
      <c r="N1732" s="5"/>
      <c r="O1732" s="5"/>
      <c r="P1732" s="5"/>
      <c r="R1732" s="5"/>
    </row>
    <row r="1733" spans="14:18" ht="13">
      <c r="N1733" s="5"/>
      <c r="O1733" s="5"/>
      <c r="P1733" s="5"/>
      <c r="R1733" s="5"/>
    </row>
    <row r="1734" spans="14:18" ht="13">
      <c r="N1734" s="5"/>
      <c r="O1734" s="5"/>
      <c r="P1734" s="5"/>
      <c r="R1734" s="5"/>
    </row>
    <row r="1735" spans="14:18" ht="13">
      <c r="N1735" s="5"/>
      <c r="O1735" s="5"/>
      <c r="P1735" s="5"/>
      <c r="R1735" s="5"/>
    </row>
    <row r="1736" spans="14:18" ht="13">
      <c r="N1736" s="5"/>
      <c r="O1736" s="5"/>
      <c r="P1736" s="5"/>
      <c r="R1736" s="5"/>
    </row>
    <row r="1737" spans="14:18" ht="13">
      <c r="N1737" s="5"/>
      <c r="O1737" s="5"/>
      <c r="P1737" s="5"/>
      <c r="R1737" s="5"/>
    </row>
    <row r="1738" spans="14:18" ht="13">
      <c r="N1738" s="5"/>
      <c r="O1738" s="5"/>
      <c r="P1738" s="5"/>
      <c r="R1738" s="5"/>
    </row>
    <row r="1739" spans="14:18" ht="13">
      <c r="N1739" s="5"/>
      <c r="O1739" s="5"/>
      <c r="P1739" s="5"/>
      <c r="R1739" s="5"/>
    </row>
    <row r="1740" spans="14:18" ht="13">
      <c r="N1740" s="5"/>
      <c r="O1740" s="5"/>
      <c r="P1740" s="5"/>
      <c r="R1740" s="5"/>
    </row>
    <row r="1741" spans="14:18" ht="13">
      <c r="N1741" s="5"/>
      <c r="O1741" s="5"/>
      <c r="P1741" s="5"/>
      <c r="R1741" s="5"/>
    </row>
    <row r="1742" spans="14:18" ht="13">
      <c r="N1742" s="5"/>
      <c r="O1742" s="5"/>
      <c r="P1742" s="5"/>
      <c r="R1742" s="5"/>
    </row>
    <row r="1743" spans="14:18" ht="13">
      <c r="N1743" s="5"/>
      <c r="O1743" s="5"/>
      <c r="P1743" s="5"/>
      <c r="R1743" s="5"/>
    </row>
    <row r="1744" spans="14:18" ht="13">
      <c r="N1744" s="5"/>
      <c r="O1744" s="5"/>
      <c r="P1744" s="5"/>
      <c r="R1744" s="5"/>
    </row>
    <row r="1745" spans="14:18" ht="13">
      <c r="N1745" s="5"/>
      <c r="O1745" s="5"/>
      <c r="P1745" s="5"/>
      <c r="R1745" s="5"/>
    </row>
    <row r="1746" spans="14:18" ht="13">
      <c r="N1746" s="5"/>
      <c r="O1746" s="5"/>
      <c r="P1746" s="5"/>
      <c r="R1746" s="5"/>
    </row>
    <row r="1747" spans="14:18" ht="13">
      <c r="N1747" s="5"/>
      <c r="O1747" s="5"/>
      <c r="P1747" s="5"/>
      <c r="R1747" s="5"/>
    </row>
    <row r="1748" spans="14:18" ht="13">
      <c r="N1748" s="5"/>
      <c r="O1748" s="5"/>
      <c r="P1748" s="5"/>
      <c r="R1748" s="5"/>
    </row>
    <row r="1749" spans="14:18" ht="13">
      <c r="N1749" s="5"/>
      <c r="O1749" s="5"/>
      <c r="P1749" s="5"/>
      <c r="R1749" s="5"/>
    </row>
    <row r="1750" spans="14:18" ht="13">
      <c r="N1750" s="5"/>
      <c r="O1750" s="5"/>
      <c r="P1750" s="5"/>
      <c r="R1750" s="5"/>
    </row>
    <row r="1751" spans="14:18" ht="13">
      <c r="N1751" s="5"/>
      <c r="O1751" s="5"/>
      <c r="P1751" s="5"/>
      <c r="R1751" s="5"/>
    </row>
    <row r="1752" spans="14:18" ht="13">
      <c r="N1752" s="5"/>
      <c r="O1752" s="5"/>
      <c r="P1752" s="5"/>
      <c r="R1752" s="5"/>
    </row>
    <row r="1753" spans="14:18" ht="13">
      <c r="N1753" s="5"/>
      <c r="O1753" s="5"/>
      <c r="P1753" s="5"/>
      <c r="R1753" s="5"/>
    </row>
    <row r="1754" spans="14:18" ht="13">
      <c r="N1754" s="5"/>
      <c r="O1754" s="5"/>
      <c r="P1754" s="5"/>
      <c r="R1754" s="5"/>
    </row>
    <row r="1755" spans="14:18" ht="13">
      <c r="N1755" s="5"/>
      <c r="O1755" s="5"/>
      <c r="P1755" s="5"/>
      <c r="R1755" s="5"/>
    </row>
    <row r="1756" spans="14:18" ht="13">
      <c r="N1756" s="5"/>
      <c r="O1756" s="5"/>
      <c r="P1756" s="5"/>
      <c r="R1756" s="5"/>
    </row>
    <row r="1757" spans="14:18" ht="13">
      <c r="N1757" s="5"/>
      <c r="O1757" s="5"/>
      <c r="P1757" s="5"/>
      <c r="R1757" s="5"/>
    </row>
    <row r="1758" spans="14:18" ht="13">
      <c r="N1758" s="5"/>
      <c r="O1758" s="5"/>
      <c r="P1758" s="5"/>
      <c r="R1758" s="5"/>
    </row>
    <row r="1759" spans="14:18" ht="13">
      <c r="N1759" s="5"/>
      <c r="O1759" s="5"/>
      <c r="P1759" s="5"/>
      <c r="R1759" s="5"/>
    </row>
    <row r="1760" spans="14:18" ht="13">
      <c r="N1760" s="5"/>
      <c r="O1760" s="5"/>
      <c r="P1760" s="5"/>
      <c r="R1760" s="5"/>
    </row>
    <row r="1761" spans="14:18" ht="13">
      <c r="N1761" s="5"/>
      <c r="O1761" s="5"/>
      <c r="P1761" s="5"/>
      <c r="R1761" s="5"/>
    </row>
    <row r="1762" spans="14:18" ht="13">
      <c r="N1762" s="5"/>
      <c r="O1762" s="5"/>
      <c r="P1762" s="5"/>
      <c r="R1762" s="5"/>
    </row>
    <row r="1763" spans="14:18" ht="13">
      <c r="N1763" s="5"/>
      <c r="O1763" s="5"/>
      <c r="P1763" s="5"/>
      <c r="R1763" s="5"/>
    </row>
    <row r="1764" spans="14:18" ht="13">
      <c r="N1764" s="5"/>
      <c r="O1764" s="5"/>
      <c r="P1764" s="5"/>
      <c r="R1764" s="5"/>
    </row>
    <row r="1765" spans="14:18" ht="13">
      <c r="N1765" s="5"/>
      <c r="O1765" s="5"/>
      <c r="P1765" s="5"/>
      <c r="R1765" s="5"/>
    </row>
    <row r="1766" spans="14:18" ht="13">
      <c r="N1766" s="5"/>
      <c r="O1766" s="5"/>
      <c r="P1766" s="5"/>
      <c r="R1766" s="5"/>
    </row>
    <row r="1767" spans="14:18" ht="13">
      <c r="N1767" s="5"/>
      <c r="O1767" s="5"/>
      <c r="P1767" s="5"/>
      <c r="R1767" s="5"/>
    </row>
    <row r="1768" spans="14:18" ht="13">
      <c r="N1768" s="5"/>
      <c r="O1768" s="5"/>
      <c r="P1768" s="5"/>
      <c r="R1768" s="5"/>
    </row>
    <row r="1769" spans="14:18" ht="13">
      <c r="N1769" s="5"/>
      <c r="O1769" s="5"/>
      <c r="P1769" s="5"/>
      <c r="R1769" s="5"/>
    </row>
    <row r="1770" spans="14:18" ht="13">
      <c r="N1770" s="5"/>
      <c r="O1770" s="5"/>
      <c r="P1770" s="5"/>
      <c r="R1770" s="5"/>
    </row>
    <row r="1771" spans="14:18" ht="13">
      <c r="N1771" s="5"/>
      <c r="O1771" s="5"/>
      <c r="P1771" s="5"/>
      <c r="R1771" s="5"/>
    </row>
    <row r="1772" spans="14:18" ht="13">
      <c r="N1772" s="5"/>
      <c r="O1772" s="5"/>
      <c r="P1772" s="5"/>
      <c r="R1772" s="5"/>
    </row>
    <row r="1773" spans="14:18" ht="13">
      <c r="N1773" s="5"/>
      <c r="O1773" s="5"/>
      <c r="P1773" s="5"/>
      <c r="R1773" s="5"/>
    </row>
    <row r="1774" spans="14:18" ht="13">
      <c r="N1774" s="5"/>
      <c r="O1774" s="5"/>
      <c r="P1774" s="5"/>
      <c r="R1774" s="5"/>
    </row>
    <row r="1775" spans="14:18" ht="13">
      <c r="N1775" s="5"/>
      <c r="O1775" s="5"/>
      <c r="P1775" s="5"/>
      <c r="R1775" s="5"/>
    </row>
    <row r="1776" spans="14:18" ht="13">
      <c r="N1776" s="5"/>
      <c r="O1776" s="5"/>
      <c r="P1776" s="5"/>
      <c r="R1776" s="5"/>
    </row>
    <row r="1777" spans="14:18" ht="13">
      <c r="N1777" s="5"/>
      <c r="O1777" s="5"/>
      <c r="P1777" s="5"/>
      <c r="R1777" s="5"/>
    </row>
    <row r="1778" spans="14:18" ht="13">
      <c r="N1778" s="5"/>
      <c r="O1778" s="5"/>
      <c r="P1778" s="5"/>
      <c r="R1778" s="5"/>
    </row>
    <row r="1779" spans="14:18" ht="13">
      <c r="N1779" s="5"/>
      <c r="O1779" s="5"/>
      <c r="P1779" s="5"/>
      <c r="R1779" s="5"/>
    </row>
    <row r="1780" spans="14:18" ht="13">
      <c r="N1780" s="5"/>
      <c r="O1780" s="5"/>
      <c r="P1780" s="5"/>
      <c r="R1780" s="5"/>
    </row>
    <row r="1781" spans="14:18" ht="13">
      <c r="N1781" s="5"/>
      <c r="O1781" s="5"/>
      <c r="P1781" s="5"/>
      <c r="R1781" s="5"/>
    </row>
    <row r="1782" spans="14:18" ht="13">
      <c r="N1782" s="5"/>
      <c r="O1782" s="5"/>
      <c r="P1782" s="5"/>
      <c r="R1782" s="5"/>
    </row>
    <row r="1783" spans="14:18" ht="13">
      <c r="N1783" s="5"/>
      <c r="O1783" s="5"/>
      <c r="P1783" s="5"/>
      <c r="R1783" s="5"/>
    </row>
    <row r="1784" spans="14:18" ht="13">
      <c r="N1784" s="5"/>
      <c r="O1784" s="5"/>
      <c r="P1784" s="5"/>
      <c r="R1784" s="5"/>
    </row>
    <row r="1785" spans="14:18" ht="13">
      <c r="N1785" s="5"/>
      <c r="O1785" s="5"/>
      <c r="P1785" s="5"/>
      <c r="R1785" s="5"/>
    </row>
    <row r="1786" spans="14:18" ht="13">
      <c r="N1786" s="5"/>
      <c r="O1786" s="5"/>
      <c r="P1786" s="5"/>
      <c r="R1786" s="5"/>
    </row>
    <row r="1787" spans="14:18" ht="13">
      <c r="N1787" s="5"/>
      <c r="O1787" s="5"/>
      <c r="P1787" s="5"/>
      <c r="R1787" s="5"/>
    </row>
    <row r="1788" spans="14:18" ht="13">
      <c r="N1788" s="5"/>
      <c r="O1788" s="5"/>
      <c r="P1788" s="5"/>
      <c r="R1788" s="5"/>
    </row>
    <row r="1789" spans="14:18" ht="13">
      <c r="N1789" s="5"/>
      <c r="O1789" s="5"/>
      <c r="P1789" s="5"/>
      <c r="R1789" s="5"/>
    </row>
    <row r="1790" spans="14:18" ht="13">
      <c r="N1790" s="5"/>
      <c r="O1790" s="5"/>
      <c r="P1790" s="5"/>
      <c r="R1790" s="5"/>
    </row>
    <row r="1791" spans="14:18" ht="13">
      <c r="N1791" s="5"/>
      <c r="O1791" s="5"/>
      <c r="P1791" s="5"/>
      <c r="R1791" s="5"/>
    </row>
    <row r="1792" spans="14:18" ht="13">
      <c r="N1792" s="5"/>
      <c r="O1792" s="5"/>
      <c r="P1792" s="5"/>
      <c r="R1792" s="5"/>
    </row>
    <row r="1793" spans="14:18" ht="13">
      <c r="N1793" s="5"/>
      <c r="O1793" s="5"/>
      <c r="P1793" s="5"/>
      <c r="R1793" s="5"/>
    </row>
    <row r="1794" spans="14:18" ht="13">
      <c r="N1794" s="5"/>
      <c r="O1794" s="5"/>
      <c r="P1794" s="5"/>
      <c r="R1794" s="5"/>
    </row>
    <row r="1795" spans="14:18" ht="13">
      <c r="N1795" s="5"/>
      <c r="O1795" s="5"/>
      <c r="P1795" s="5"/>
      <c r="R1795" s="5"/>
    </row>
    <row r="1796" spans="14:18" ht="13">
      <c r="N1796" s="5"/>
      <c r="O1796" s="5"/>
      <c r="P1796" s="5"/>
      <c r="R1796" s="5"/>
    </row>
    <row r="1797" spans="14:18" ht="13">
      <c r="N1797" s="5"/>
      <c r="O1797" s="5"/>
      <c r="P1797" s="5"/>
      <c r="R1797" s="5"/>
    </row>
    <row r="1798" spans="14:18" ht="13">
      <c r="N1798" s="5"/>
      <c r="O1798" s="5"/>
      <c r="P1798" s="5"/>
      <c r="R1798" s="5"/>
    </row>
    <row r="1799" spans="14:18" ht="13">
      <c r="N1799" s="5"/>
      <c r="O1799" s="5"/>
      <c r="P1799" s="5"/>
      <c r="R1799" s="5"/>
    </row>
    <row r="1800" spans="14:18" ht="13">
      <c r="N1800" s="5"/>
      <c r="O1800" s="5"/>
      <c r="P1800" s="5"/>
      <c r="R1800" s="5"/>
    </row>
    <row r="1801" spans="14:18" ht="13">
      <c r="N1801" s="5"/>
      <c r="O1801" s="5"/>
      <c r="P1801" s="5"/>
      <c r="R1801" s="5"/>
    </row>
    <row r="1802" spans="14:18" ht="13">
      <c r="N1802" s="5"/>
      <c r="O1802" s="5"/>
      <c r="P1802" s="5"/>
      <c r="R1802" s="5"/>
    </row>
    <row r="1803" spans="14:18" ht="13">
      <c r="N1803" s="5"/>
      <c r="O1803" s="5"/>
      <c r="P1803" s="5"/>
      <c r="R1803" s="5"/>
    </row>
    <row r="1804" spans="14:18" ht="13">
      <c r="N1804" s="5"/>
      <c r="O1804" s="5"/>
      <c r="P1804" s="5"/>
      <c r="R1804" s="5"/>
    </row>
    <row r="1805" spans="14:18" ht="13">
      <c r="N1805" s="5"/>
      <c r="O1805" s="5"/>
      <c r="P1805" s="5"/>
      <c r="R1805" s="5"/>
    </row>
    <row r="1806" spans="14:18" ht="13">
      <c r="N1806" s="5"/>
      <c r="O1806" s="5"/>
      <c r="P1806" s="5"/>
      <c r="R1806" s="5"/>
    </row>
    <row r="1807" spans="14:18" ht="13">
      <c r="N1807" s="5"/>
      <c r="O1807" s="5"/>
      <c r="P1807" s="5"/>
      <c r="R1807" s="5"/>
    </row>
    <row r="1808" spans="14:18" ht="13">
      <c r="N1808" s="5"/>
      <c r="O1808" s="5"/>
      <c r="P1808" s="5"/>
      <c r="R1808" s="5"/>
    </row>
    <row r="1809" spans="14:18" ht="13">
      <c r="N1809" s="5"/>
      <c r="O1809" s="5"/>
      <c r="P1809" s="5"/>
      <c r="R1809" s="5"/>
    </row>
    <row r="1810" spans="14:18" ht="13">
      <c r="N1810" s="5"/>
      <c r="O1810" s="5"/>
      <c r="P1810" s="5"/>
      <c r="R1810" s="5"/>
    </row>
    <row r="1811" spans="14:18" ht="13">
      <c r="N1811" s="5"/>
      <c r="O1811" s="5"/>
      <c r="P1811" s="5"/>
      <c r="R1811" s="5"/>
    </row>
    <row r="1812" spans="14:18" ht="13">
      <c r="N1812" s="5"/>
      <c r="O1812" s="5"/>
      <c r="P1812" s="5"/>
      <c r="R1812" s="5"/>
    </row>
    <row r="1813" spans="14:18" ht="13">
      <c r="N1813" s="5"/>
      <c r="O1813" s="5"/>
      <c r="P1813" s="5"/>
      <c r="R1813" s="5"/>
    </row>
    <row r="1814" spans="14:18" ht="13">
      <c r="N1814" s="5"/>
      <c r="O1814" s="5"/>
      <c r="P1814" s="5"/>
      <c r="R1814" s="5"/>
    </row>
    <row r="1815" spans="14:18" ht="13">
      <c r="N1815" s="5"/>
      <c r="O1815" s="5"/>
      <c r="P1815" s="5"/>
      <c r="R1815" s="5"/>
    </row>
    <row r="1816" spans="14:18" ht="13">
      <c r="N1816" s="5"/>
      <c r="O1816" s="5"/>
      <c r="P1816" s="5"/>
      <c r="R1816" s="5"/>
    </row>
    <row r="1817" spans="14:18" ht="13">
      <c r="N1817" s="5"/>
      <c r="O1817" s="5"/>
      <c r="P1817" s="5"/>
      <c r="R1817" s="5"/>
    </row>
    <row r="1818" spans="14:18" ht="13">
      <c r="N1818" s="5"/>
      <c r="O1818" s="5"/>
      <c r="P1818" s="5"/>
      <c r="R1818" s="5"/>
    </row>
    <row r="1819" spans="14:18" ht="13">
      <c r="N1819" s="5"/>
      <c r="O1819" s="5"/>
      <c r="P1819" s="5"/>
      <c r="R1819" s="5"/>
    </row>
    <row r="1820" spans="14:18" ht="13">
      <c r="N1820" s="5"/>
      <c r="O1820" s="5"/>
      <c r="P1820" s="5"/>
      <c r="R1820" s="5"/>
    </row>
    <row r="1821" spans="14:18" ht="13">
      <c r="N1821" s="5"/>
      <c r="O1821" s="5"/>
      <c r="P1821" s="5"/>
      <c r="R1821" s="5"/>
    </row>
    <row r="1822" spans="14:18" ht="13">
      <c r="N1822" s="5"/>
      <c r="O1822" s="5"/>
      <c r="P1822" s="5"/>
      <c r="R1822" s="5"/>
    </row>
    <row r="1823" spans="14:18" ht="13">
      <c r="N1823" s="5"/>
      <c r="O1823" s="5"/>
      <c r="P1823" s="5"/>
      <c r="R1823" s="5"/>
    </row>
    <row r="1824" spans="14:18" ht="13">
      <c r="N1824" s="5"/>
      <c r="O1824" s="5"/>
      <c r="P1824" s="5"/>
      <c r="R1824" s="5"/>
    </row>
    <row r="1825" spans="14:18" ht="13">
      <c r="N1825" s="5"/>
      <c r="O1825" s="5"/>
      <c r="P1825" s="5"/>
      <c r="R1825" s="5"/>
    </row>
    <row r="1826" spans="14:18" ht="13">
      <c r="N1826" s="5"/>
      <c r="O1826" s="5"/>
      <c r="P1826" s="5"/>
      <c r="R1826" s="5"/>
    </row>
    <row r="1827" spans="14:18" ht="13">
      <c r="N1827" s="5"/>
      <c r="O1827" s="5"/>
      <c r="P1827" s="5"/>
      <c r="R1827" s="5"/>
    </row>
    <row r="1828" spans="14:18" ht="13">
      <c r="N1828" s="5"/>
      <c r="O1828" s="5"/>
      <c r="P1828" s="5"/>
      <c r="R1828" s="5"/>
    </row>
    <row r="1829" spans="14:18" ht="13">
      <c r="N1829" s="5"/>
      <c r="O1829" s="5"/>
      <c r="P1829" s="5"/>
      <c r="R1829" s="5"/>
    </row>
    <row r="1830" spans="14:18" ht="13">
      <c r="N1830" s="5"/>
      <c r="O1830" s="5"/>
      <c r="P1830" s="5"/>
      <c r="R1830" s="5"/>
    </row>
    <row r="1831" spans="14:18" ht="13">
      <c r="N1831" s="5"/>
      <c r="O1831" s="5"/>
      <c r="P1831" s="5"/>
      <c r="R1831" s="5"/>
    </row>
    <row r="1832" spans="14:18" ht="13">
      <c r="N1832" s="5"/>
      <c r="O1832" s="5"/>
      <c r="P1832" s="5"/>
      <c r="R1832" s="5"/>
    </row>
    <row r="1833" spans="14:18" ht="13">
      <c r="N1833" s="5"/>
      <c r="O1833" s="5"/>
      <c r="P1833" s="5"/>
      <c r="R1833" s="5"/>
    </row>
    <row r="1834" spans="14:18" ht="13">
      <c r="N1834" s="5"/>
      <c r="O1834" s="5"/>
      <c r="P1834" s="5"/>
      <c r="R1834" s="5"/>
    </row>
    <row r="1835" spans="14:18" ht="13">
      <c r="N1835" s="5"/>
      <c r="O1835" s="5"/>
      <c r="P1835" s="5"/>
      <c r="R1835" s="5"/>
    </row>
    <row r="1836" spans="14:18" ht="13">
      <c r="N1836" s="5"/>
      <c r="O1836" s="5"/>
      <c r="P1836" s="5"/>
      <c r="R1836" s="5"/>
    </row>
    <row r="1837" spans="14:18" ht="13">
      <c r="N1837" s="5"/>
      <c r="O1837" s="5"/>
      <c r="P1837" s="5"/>
      <c r="R1837" s="5"/>
    </row>
    <row r="1838" spans="14:18" ht="13">
      <c r="N1838" s="5"/>
      <c r="O1838" s="5"/>
      <c r="P1838" s="5"/>
      <c r="R1838" s="5"/>
    </row>
    <row r="1839" spans="14:18" ht="13">
      <c r="N1839" s="5"/>
      <c r="O1839" s="5"/>
      <c r="P1839" s="5"/>
      <c r="R1839" s="5"/>
    </row>
    <row r="1840" spans="14:18" ht="13">
      <c r="N1840" s="5"/>
      <c r="O1840" s="5"/>
      <c r="P1840" s="5"/>
      <c r="R1840" s="5"/>
    </row>
    <row r="1841" spans="14:18" ht="13">
      <c r="N1841" s="5"/>
      <c r="O1841" s="5"/>
      <c r="P1841" s="5"/>
      <c r="R1841" s="5"/>
    </row>
    <row r="1842" spans="14:18" ht="13">
      <c r="N1842" s="5"/>
      <c r="O1842" s="5"/>
      <c r="P1842" s="5"/>
      <c r="R1842" s="5"/>
    </row>
    <row r="1843" spans="14:18" ht="13">
      <c r="N1843" s="5"/>
      <c r="O1843" s="5"/>
      <c r="P1843" s="5"/>
      <c r="R1843" s="5"/>
    </row>
    <row r="1844" spans="14:18" ht="13">
      <c r="N1844" s="5"/>
      <c r="O1844" s="5"/>
      <c r="P1844" s="5"/>
      <c r="R1844" s="5"/>
    </row>
    <row r="1845" spans="14:18" ht="13">
      <c r="N1845" s="5"/>
      <c r="O1845" s="5"/>
      <c r="P1845" s="5"/>
      <c r="R1845" s="5"/>
    </row>
    <row r="1846" spans="14:18" ht="13">
      <c r="N1846" s="5"/>
      <c r="O1846" s="5"/>
      <c r="P1846" s="5"/>
      <c r="R1846" s="5"/>
    </row>
    <row r="1847" spans="14:18" ht="13">
      <c r="N1847" s="5"/>
      <c r="O1847" s="5"/>
      <c r="P1847" s="5"/>
      <c r="R1847" s="5"/>
    </row>
    <row r="1848" spans="14:18" ht="13">
      <c r="N1848" s="5"/>
      <c r="O1848" s="5"/>
      <c r="P1848" s="5"/>
      <c r="R1848" s="5"/>
    </row>
    <row r="1849" spans="14:18" ht="13">
      <c r="N1849" s="5"/>
      <c r="O1849" s="5"/>
      <c r="P1849" s="5"/>
      <c r="R1849" s="5"/>
    </row>
    <row r="1850" spans="14:18" ht="13">
      <c r="N1850" s="5"/>
      <c r="O1850" s="5"/>
      <c r="P1850" s="5"/>
      <c r="R1850" s="5"/>
    </row>
    <row r="1851" spans="14:18" ht="13">
      <c r="N1851" s="5"/>
      <c r="O1851" s="5"/>
      <c r="P1851" s="5"/>
      <c r="R1851" s="5"/>
    </row>
    <row r="1852" spans="14:18" ht="13">
      <c r="N1852" s="5"/>
      <c r="O1852" s="5"/>
      <c r="P1852" s="5"/>
      <c r="R1852" s="5"/>
    </row>
    <row r="1853" spans="14:18" ht="13">
      <c r="N1853" s="5"/>
      <c r="O1853" s="5"/>
      <c r="P1853" s="5"/>
      <c r="R1853" s="5"/>
    </row>
    <row r="1854" spans="14:18" ht="13">
      <c r="N1854" s="5"/>
      <c r="O1854" s="5"/>
      <c r="P1854" s="5"/>
      <c r="R1854" s="5"/>
    </row>
    <row r="1855" spans="14:18" ht="13">
      <c r="N1855" s="5"/>
      <c r="O1855" s="5"/>
      <c r="P1855" s="5"/>
      <c r="R1855" s="5"/>
    </row>
    <row r="1856" spans="14:18" ht="13">
      <c r="N1856" s="5"/>
      <c r="O1856" s="5"/>
      <c r="P1856" s="5"/>
      <c r="R1856" s="5"/>
    </row>
    <row r="1857" spans="14:18" ht="13">
      <c r="N1857" s="5"/>
      <c r="O1857" s="5"/>
      <c r="P1857" s="5"/>
      <c r="R1857" s="5"/>
    </row>
    <row r="1858" spans="14:18" ht="13">
      <c r="N1858" s="5"/>
      <c r="O1858" s="5"/>
      <c r="P1858" s="5"/>
      <c r="R1858" s="5"/>
    </row>
    <row r="1859" spans="14:18" ht="13">
      <c r="N1859" s="5"/>
      <c r="O1859" s="5"/>
      <c r="P1859" s="5"/>
      <c r="R1859" s="5"/>
    </row>
    <row r="1860" spans="14:18" ht="13">
      <c r="N1860" s="5"/>
      <c r="O1860" s="5"/>
      <c r="P1860" s="5"/>
      <c r="R1860" s="5"/>
    </row>
    <row r="1861" spans="14:18" ht="13">
      <c r="N1861" s="5"/>
      <c r="O1861" s="5"/>
      <c r="P1861" s="5"/>
      <c r="R1861" s="5"/>
    </row>
    <row r="1862" spans="14:18" ht="13">
      <c r="N1862" s="5"/>
      <c r="O1862" s="5"/>
      <c r="P1862" s="5"/>
      <c r="R1862" s="5"/>
    </row>
    <row r="1863" spans="14:18" ht="13">
      <c r="N1863" s="5"/>
      <c r="O1863" s="5"/>
      <c r="P1863" s="5"/>
      <c r="R1863" s="5"/>
    </row>
    <row r="1864" spans="14:18" ht="13">
      <c r="N1864" s="5"/>
      <c r="O1864" s="5"/>
      <c r="P1864" s="5"/>
      <c r="R1864" s="5"/>
    </row>
    <row r="1865" spans="14:18" ht="13">
      <c r="N1865" s="5"/>
      <c r="O1865" s="5"/>
      <c r="P1865" s="5"/>
      <c r="R1865" s="5"/>
    </row>
    <row r="1866" spans="14:18" ht="13">
      <c r="N1866" s="5"/>
      <c r="O1866" s="5"/>
      <c r="P1866" s="5"/>
      <c r="R1866" s="5"/>
    </row>
    <row r="1867" spans="14:18" ht="13">
      <c r="N1867" s="5"/>
      <c r="O1867" s="5"/>
      <c r="P1867" s="5"/>
      <c r="R1867" s="5"/>
    </row>
    <row r="1868" spans="14:18" ht="13">
      <c r="N1868" s="5"/>
      <c r="O1868" s="5"/>
      <c r="P1868" s="5"/>
      <c r="R1868" s="5"/>
    </row>
    <row r="1869" spans="14:18" ht="13">
      <c r="N1869" s="5"/>
      <c r="O1869" s="5"/>
      <c r="P1869" s="5"/>
      <c r="R1869" s="5"/>
    </row>
    <row r="1870" spans="14:18" ht="13">
      <c r="N1870" s="5"/>
      <c r="O1870" s="5"/>
      <c r="P1870" s="5"/>
      <c r="R1870" s="5"/>
    </row>
    <row r="1871" spans="14:18" ht="13">
      <c r="N1871" s="5"/>
      <c r="O1871" s="5"/>
      <c r="P1871" s="5"/>
      <c r="R1871" s="5"/>
    </row>
    <row r="1872" spans="14:18" ht="13">
      <c r="N1872" s="5"/>
      <c r="O1872" s="5"/>
      <c r="P1872" s="5"/>
      <c r="R1872" s="5"/>
    </row>
    <row r="1873" spans="14:18" ht="13">
      <c r="N1873" s="5"/>
      <c r="O1873" s="5"/>
      <c r="P1873" s="5"/>
      <c r="R1873" s="5"/>
    </row>
    <row r="1874" spans="14:18" ht="13">
      <c r="N1874" s="5"/>
      <c r="O1874" s="5"/>
      <c r="P1874" s="5"/>
      <c r="R1874" s="5"/>
    </row>
    <row r="1875" spans="14:18" ht="13">
      <c r="N1875" s="5"/>
      <c r="O1875" s="5"/>
      <c r="P1875" s="5"/>
      <c r="R1875" s="5"/>
    </row>
    <row r="1876" spans="14:18" ht="13">
      <c r="N1876" s="5"/>
      <c r="O1876" s="5"/>
      <c r="P1876" s="5"/>
      <c r="R1876" s="5"/>
    </row>
    <row r="1877" spans="14:18" ht="13">
      <c r="N1877" s="5"/>
      <c r="O1877" s="5"/>
      <c r="P1877" s="5"/>
      <c r="R1877" s="5"/>
    </row>
    <row r="1878" spans="14:18" ht="13">
      <c r="N1878" s="5"/>
      <c r="O1878" s="5"/>
      <c r="P1878" s="5"/>
      <c r="R1878" s="5"/>
    </row>
    <row r="1879" spans="14:18" ht="13">
      <c r="N1879" s="5"/>
      <c r="O1879" s="5"/>
      <c r="P1879" s="5"/>
      <c r="R1879" s="5"/>
    </row>
    <row r="1880" spans="14:18" ht="13">
      <c r="N1880" s="5"/>
      <c r="O1880" s="5"/>
      <c r="P1880" s="5"/>
      <c r="R1880" s="5"/>
    </row>
    <row r="1881" spans="14:18" ht="13">
      <c r="N1881" s="5"/>
      <c r="O1881" s="5"/>
      <c r="P1881" s="5"/>
      <c r="R1881" s="5"/>
    </row>
    <row r="1882" spans="14:18" ht="13">
      <c r="N1882" s="5"/>
      <c r="O1882" s="5"/>
      <c r="P1882" s="5"/>
      <c r="R1882" s="5"/>
    </row>
    <row r="1883" spans="14:18" ht="13">
      <c r="N1883" s="5"/>
      <c r="O1883" s="5"/>
      <c r="P1883" s="5"/>
      <c r="R1883" s="5"/>
    </row>
    <row r="1884" spans="14:18" ht="13">
      <c r="N1884" s="5"/>
      <c r="O1884" s="5"/>
      <c r="P1884" s="5"/>
      <c r="R1884" s="5"/>
    </row>
    <row r="1885" spans="14:18" ht="13">
      <c r="N1885" s="5"/>
      <c r="O1885" s="5"/>
      <c r="P1885" s="5"/>
      <c r="R1885" s="5"/>
    </row>
    <row r="1886" spans="14:18" ht="13">
      <c r="N1886" s="5"/>
      <c r="O1886" s="5"/>
      <c r="P1886" s="5"/>
      <c r="R1886" s="5"/>
    </row>
    <row r="1887" spans="14:18" ht="13">
      <c r="N1887" s="5"/>
      <c r="O1887" s="5"/>
      <c r="P1887" s="5"/>
      <c r="R1887" s="5"/>
    </row>
    <row r="1888" spans="14:18" ht="13">
      <c r="N1888" s="5"/>
      <c r="O1888" s="5"/>
      <c r="P1888" s="5"/>
      <c r="R1888" s="5"/>
    </row>
    <row r="1889" spans="14:18" ht="13">
      <c r="N1889" s="5"/>
      <c r="O1889" s="5"/>
      <c r="P1889" s="5"/>
      <c r="R1889" s="5"/>
    </row>
    <row r="1890" spans="14:18" ht="13">
      <c r="N1890" s="5"/>
      <c r="O1890" s="5"/>
      <c r="P1890" s="5"/>
      <c r="R1890" s="5"/>
    </row>
    <row r="1891" spans="14:18" ht="13">
      <c r="N1891" s="5"/>
      <c r="O1891" s="5"/>
      <c r="P1891" s="5"/>
      <c r="R1891" s="5"/>
    </row>
    <row r="1892" spans="14:18" ht="13">
      <c r="N1892" s="5"/>
      <c r="O1892" s="5"/>
      <c r="P1892" s="5"/>
      <c r="R1892" s="5"/>
    </row>
    <row r="1893" spans="14:18" ht="13">
      <c r="N1893" s="5"/>
      <c r="O1893" s="5"/>
      <c r="P1893" s="5"/>
      <c r="R1893" s="5"/>
    </row>
    <row r="1894" spans="14:18" ht="13">
      <c r="N1894" s="5"/>
      <c r="O1894" s="5"/>
      <c r="P1894" s="5"/>
      <c r="R1894" s="5"/>
    </row>
    <row r="1895" spans="14:18" ht="13">
      <c r="N1895" s="5"/>
      <c r="O1895" s="5"/>
      <c r="P1895" s="5"/>
      <c r="R1895" s="5"/>
    </row>
    <row r="1896" spans="14:18" ht="13">
      <c r="N1896" s="5"/>
      <c r="O1896" s="5"/>
      <c r="P1896" s="5"/>
      <c r="R1896" s="5"/>
    </row>
    <row r="1897" spans="14:18" ht="13">
      <c r="N1897" s="5"/>
      <c r="O1897" s="5"/>
      <c r="P1897" s="5"/>
      <c r="R1897" s="5"/>
    </row>
    <row r="1898" spans="14:18" ht="13">
      <c r="N1898" s="5"/>
      <c r="O1898" s="5"/>
      <c r="P1898" s="5"/>
      <c r="R1898" s="5"/>
    </row>
    <row r="1899" spans="14:18" ht="13">
      <c r="N1899" s="5"/>
      <c r="O1899" s="5"/>
      <c r="P1899" s="5"/>
      <c r="R1899" s="5"/>
    </row>
    <row r="1900" spans="14:18" ht="13">
      <c r="N1900" s="5"/>
      <c r="O1900" s="5"/>
      <c r="P1900" s="5"/>
      <c r="R1900" s="5"/>
    </row>
    <row r="1901" spans="14:18" ht="13">
      <c r="N1901" s="5"/>
      <c r="O1901" s="5"/>
      <c r="P1901" s="5"/>
      <c r="R1901" s="5"/>
    </row>
    <row r="1902" spans="14:18" ht="13">
      <c r="N1902" s="5"/>
      <c r="O1902" s="5"/>
      <c r="P1902" s="5"/>
      <c r="R1902" s="5"/>
    </row>
    <row r="1903" spans="14:18" ht="13">
      <c r="N1903" s="5"/>
      <c r="O1903" s="5"/>
      <c r="P1903" s="5"/>
      <c r="R1903" s="5"/>
    </row>
    <row r="1904" spans="14:18" ht="13">
      <c r="N1904" s="5"/>
      <c r="O1904" s="5"/>
      <c r="P1904" s="5"/>
      <c r="R1904" s="5"/>
    </row>
    <row r="1905" spans="14:18" ht="13">
      <c r="N1905" s="5"/>
      <c r="O1905" s="5"/>
      <c r="P1905" s="5"/>
      <c r="R1905" s="5"/>
    </row>
    <row r="1906" spans="14:18" ht="13">
      <c r="N1906" s="5"/>
      <c r="O1906" s="5"/>
      <c r="P1906" s="5"/>
      <c r="R1906" s="5"/>
    </row>
    <row r="1907" spans="14:18" ht="13">
      <c r="N1907" s="5"/>
      <c r="O1907" s="5"/>
      <c r="P1907" s="5"/>
      <c r="R1907" s="5"/>
    </row>
    <row r="1908" spans="14:18" ht="13">
      <c r="N1908" s="5"/>
      <c r="O1908" s="5"/>
      <c r="P1908" s="5"/>
      <c r="R1908" s="5"/>
    </row>
    <row r="1909" spans="14:18" ht="13">
      <c r="N1909" s="5"/>
      <c r="O1909" s="5"/>
      <c r="P1909" s="5"/>
      <c r="R1909" s="5"/>
    </row>
    <row r="1910" spans="14:18" ht="13">
      <c r="N1910" s="5"/>
      <c r="O1910" s="5"/>
      <c r="P1910" s="5"/>
      <c r="R1910" s="5"/>
    </row>
    <row r="1911" spans="14:18" ht="13">
      <c r="N1911" s="5"/>
      <c r="O1911" s="5"/>
      <c r="P1911" s="5"/>
      <c r="R1911" s="5"/>
    </row>
    <row r="1912" spans="14:18" ht="13">
      <c r="N1912" s="5"/>
      <c r="O1912" s="5"/>
      <c r="P1912" s="5"/>
      <c r="R1912" s="5"/>
    </row>
    <row r="1913" spans="14:18" ht="13">
      <c r="N1913" s="5"/>
      <c r="O1913" s="5"/>
      <c r="P1913" s="5"/>
      <c r="R1913" s="5"/>
    </row>
    <row r="1914" spans="14:18" ht="13">
      <c r="N1914" s="5"/>
      <c r="O1914" s="5"/>
      <c r="P1914" s="5"/>
      <c r="R1914" s="5"/>
    </row>
    <row r="1915" spans="14:18" ht="13">
      <c r="N1915" s="5"/>
      <c r="O1915" s="5"/>
      <c r="P1915" s="5"/>
      <c r="R1915" s="5"/>
    </row>
    <row r="1916" spans="14:18" ht="13">
      <c r="N1916" s="5"/>
      <c r="O1916" s="5"/>
      <c r="P1916" s="5"/>
      <c r="R1916" s="5"/>
    </row>
    <row r="1917" spans="14:18" ht="13">
      <c r="N1917" s="5"/>
      <c r="O1917" s="5"/>
      <c r="P1917" s="5"/>
      <c r="R1917" s="5"/>
    </row>
    <row r="1918" spans="14:18" ht="13">
      <c r="N1918" s="5"/>
      <c r="O1918" s="5"/>
      <c r="P1918" s="5"/>
      <c r="R1918" s="5"/>
    </row>
    <row r="1919" spans="14:18" ht="13">
      <c r="N1919" s="5"/>
      <c r="O1919" s="5"/>
      <c r="P1919" s="5"/>
      <c r="R1919" s="5"/>
    </row>
    <row r="1920" spans="14:18" ht="13">
      <c r="N1920" s="5"/>
      <c r="O1920" s="5"/>
      <c r="P1920" s="5"/>
      <c r="R1920" s="5"/>
    </row>
    <row r="1921" spans="14:18" ht="13">
      <c r="N1921" s="5"/>
      <c r="O1921" s="5"/>
      <c r="P1921" s="5"/>
      <c r="R1921" s="5"/>
    </row>
    <row r="1922" spans="14:18" ht="13">
      <c r="N1922" s="5"/>
      <c r="O1922" s="5"/>
      <c r="P1922" s="5"/>
      <c r="R1922" s="5"/>
    </row>
    <row r="1923" spans="14:18" ht="13">
      <c r="N1923" s="5"/>
      <c r="O1923" s="5"/>
      <c r="P1923" s="5"/>
      <c r="R1923" s="5"/>
    </row>
    <row r="1924" spans="14:18" ht="13">
      <c r="N1924" s="5"/>
      <c r="O1924" s="5"/>
      <c r="P1924" s="5"/>
      <c r="R1924" s="5"/>
    </row>
    <row r="1925" spans="14:18" ht="13">
      <c r="N1925" s="5"/>
      <c r="O1925" s="5"/>
      <c r="P1925" s="5"/>
      <c r="R1925" s="5"/>
    </row>
    <row r="1926" spans="14:18" ht="13">
      <c r="N1926" s="5"/>
      <c r="O1926" s="5"/>
      <c r="P1926" s="5"/>
      <c r="R1926" s="5"/>
    </row>
    <row r="1927" spans="14:18" ht="13">
      <c r="N1927" s="5"/>
      <c r="O1927" s="5"/>
      <c r="P1927" s="5"/>
      <c r="R1927" s="5"/>
    </row>
    <row r="1928" spans="14:18" ht="13">
      <c r="N1928" s="5"/>
      <c r="O1928" s="5"/>
      <c r="P1928" s="5"/>
      <c r="R1928" s="5"/>
    </row>
    <row r="1929" spans="14:18" ht="13">
      <c r="N1929" s="5"/>
      <c r="O1929" s="5"/>
      <c r="P1929" s="5"/>
      <c r="R1929" s="5"/>
    </row>
    <row r="1930" spans="14:18" ht="13">
      <c r="N1930" s="5"/>
      <c r="O1930" s="5"/>
      <c r="P1930" s="5"/>
      <c r="R1930" s="5"/>
    </row>
    <row r="1931" spans="14:18" ht="13">
      <c r="N1931" s="5"/>
      <c r="O1931" s="5"/>
      <c r="P1931" s="5"/>
      <c r="R1931" s="5"/>
    </row>
    <row r="1932" spans="14:18" ht="13">
      <c r="N1932" s="5"/>
      <c r="O1932" s="5"/>
      <c r="P1932" s="5"/>
      <c r="R1932" s="5"/>
    </row>
    <row r="1933" spans="14:18" ht="13">
      <c r="N1933" s="5"/>
      <c r="O1933" s="5"/>
      <c r="P1933" s="5"/>
      <c r="R1933" s="5"/>
    </row>
    <row r="1934" spans="14:18" ht="13">
      <c r="N1934" s="5"/>
      <c r="O1934" s="5"/>
      <c r="P1934" s="5"/>
      <c r="R1934" s="5"/>
    </row>
    <row r="1935" spans="14:18" ht="13">
      <c r="N1935" s="5"/>
      <c r="O1935" s="5"/>
      <c r="P1935" s="5"/>
      <c r="R1935" s="5"/>
    </row>
    <row r="1936" spans="14:18" ht="13">
      <c r="N1936" s="5"/>
      <c r="O1936" s="5"/>
      <c r="P1936" s="5"/>
      <c r="R1936" s="5"/>
    </row>
    <row r="1937" spans="14:18" ht="13">
      <c r="N1937" s="5"/>
      <c r="O1937" s="5"/>
      <c r="P1937" s="5"/>
      <c r="R1937" s="5"/>
    </row>
    <row r="1938" spans="14:18" ht="13">
      <c r="N1938" s="5"/>
      <c r="O1938" s="5"/>
      <c r="P1938" s="5"/>
      <c r="R1938" s="5"/>
    </row>
    <row r="1939" spans="14:18" ht="13">
      <c r="N1939" s="5"/>
      <c r="O1939" s="5"/>
      <c r="P1939" s="5"/>
      <c r="R1939" s="5"/>
    </row>
    <row r="1940" spans="14:18" ht="13">
      <c r="N1940" s="5"/>
      <c r="O1940" s="5"/>
      <c r="P1940" s="5"/>
      <c r="R1940" s="5"/>
    </row>
    <row r="1941" spans="14:18" ht="13">
      <c r="N1941" s="5"/>
      <c r="O1941" s="5"/>
      <c r="P1941" s="5"/>
      <c r="R1941" s="5"/>
    </row>
    <row r="1942" spans="14:18" ht="13">
      <c r="N1942" s="5"/>
      <c r="O1942" s="5"/>
      <c r="P1942" s="5"/>
      <c r="R1942" s="5"/>
    </row>
    <row r="1943" spans="14:18" ht="13">
      <c r="N1943" s="5"/>
      <c r="O1943" s="5"/>
      <c r="P1943" s="5"/>
      <c r="R1943" s="5"/>
    </row>
    <row r="1944" spans="14:18" ht="13">
      <c r="N1944" s="5"/>
      <c r="O1944" s="5"/>
      <c r="P1944" s="5"/>
      <c r="R1944" s="5"/>
    </row>
    <row r="1945" spans="14:18" ht="13">
      <c r="N1945" s="5"/>
      <c r="O1945" s="5"/>
      <c r="P1945" s="5"/>
      <c r="R1945" s="5"/>
    </row>
    <row r="1946" spans="14:18" ht="13">
      <c r="N1946" s="5"/>
      <c r="O1946" s="5"/>
      <c r="P1946" s="5"/>
      <c r="R1946" s="5"/>
    </row>
    <row r="1947" spans="14:18" ht="13">
      <c r="N1947" s="5"/>
      <c r="O1947" s="5"/>
      <c r="P1947" s="5"/>
      <c r="R1947" s="5"/>
    </row>
    <row r="1948" spans="14:18" ht="13">
      <c r="N1948" s="5"/>
      <c r="O1948" s="5"/>
      <c r="P1948" s="5"/>
      <c r="R1948" s="5"/>
    </row>
    <row r="1949" spans="14:18" ht="13">
      <c r="N1949" s="5"/>
      <c r="O1949" s="5"/>
      <c r="P1949" s="5"/>
      <c r="R1949" s="5"/>
    </row>
    <row r="1950" spans="14:18" ht="13">
      <c r="N1950" s="5"/>
      <c r="O1950" s="5"/>
      <c r="P1950" s="5"/>
      <c r="R1950" s="5"/>
    </row>
    <row r="1951" spans="14:18" ht="13">
      <c r="N1951" s="5"/>
      <c r="O1951" s="5"/>
      <c r="P1951" s="5"/>
      <c r="R1951" s="5"/>
    </row>
    <row r="1952" spans="14:18" ht="13">
      <c r="N1952" s="5"/>
      <c r="O1952" s="5"/>
      <c r="P1952" s="5"/>
      <c r="R1952" s="5"/>
    </row>
    <row r="1953" spans="14:18" ht="13">
      <c r="N1953" s="5"/>
      <c r="O1953" s="5"/>
      <c r="P1953" s="5"/>
      <c r="R1953" s="5"/>
    </row>
    <row r="1954" spans="14:18" ht="13">
      <c r="N1954" s="5"/>
      <c r="O1954" s="5"/>
      <c r="P1954" s="5"/>
      <c r="R1954" s="5"/>
    </row>
    <row r="1955" spans="14:18" ht="13">
      <c r="N1955" s="5"/>
      <c r="O1955" s="5"/>
      <c r="P1955" s="5"/>
      <c r="R1955" s="5"/>
    </row>
    <row r="1956" spans="14:18" ht="13">
      <c r="N1956" s="5"/>
      <c r="O1956" s="5"/>
      <c r="P1956" s="5"/>
      <c r="R1956" s="5"/>
    </row>
    <row r="1957" spans="14:18" ht="13">
      <c r="N1957" s="5"/>
      <c r="O1957" s="5"/>
      <c r="P1957" s="5"/>
      <c r="R1957" s="5"/>
    </row>
    <row r="1958" spans="14:18" ht="13">
      <c r="N1958" s="5"/>
      <c r="O1958" s="5"/>
      <c r="P1958" s="5"/>
      <c r="R1958" s="5"/>
    </row>
    <row r="1959" spans="14:18" ht="13">
      <c r="N1959" s="5"/>
      <c r="O1959" s="5"/>
      <c r="P1959" s="5"/>
      <c r="R1959" s="5"/>
    </row>
    <row r="1960" spans="14:18" ht="13">
      <c r="N1960" s="5"/>
      <c r="O1960" s="5"/>
      <c r="P1960" s="5"/>
      <c r="R1960" s="5"/>
    </row>
    <row r="1961" spans="14:18" ht="13">
      <c r="N1961" s="5"/>
      <c r="O1961" s="5"/>
      <c r="P1961" s="5"/>
      <c r="R1961" s="5"/>
    </row>
    <row r="1962" spans="14:18" ht="13">
      <c r="N1962" s="5"/>
      <c r="O1962" s="5"/>
      <c r="P1962" s="5"/>
      <c r="R1962" s="5"/>
    </row>
    <row r="1963" spans="14:18" ht="13">
      <c r="N1963" s="5"/>
      <c r="O1963" s="5"/>
      <c r="P1963" s="5"/>
      <c r="R1963" s="5"/>
    </row>
    <row r="1964" spans="14:18" ht="13">
      <c r="N1964" s="5"/>
      <c r="O1964" s="5"/>
      <c r="P1964" s="5"/>
      <c r="R1964" s="5"/>
    </row>
    <row r="1965" spans="14:18" ht="13">
      <c r="N1965" s="5"/>
      <c r="O1965" s="5"/>
      <c r="P1965" s="5"/>
      <c r="R1965" s="5"/>
    </row>
    <row r="1966" spans="14:18" ht="13">
      <c r="N1966" s="5"/>
      <c r="O1966" s="5"/>
      <c r="P1966" s="5"/>
      <c r="R1966" s="5"/>
    </row>
    <row r="1967" spans="14:18" ht="13">
      <c r="N1967" s="5"/>
      <c r="O1967" s="5"/>
      <c r="P1967" s="5"/>
      <c r="R1967" s="5"/>
    </row>
    <row r="1968" spans="14:18" ht="13">
      <c r="N1968" s="5"/>
      <c r="O1968" s="5"/>
      <c r="P1968" s="5"/>
      <c r="R1968" s="5"/>
    </row>
    <row r="1969" spans="14:18" ht="13">
      <c r="N1969" s="5"/>
      <c r="O1969" s="5"/>
      <c r="P1969" s="5"/>
      <c r="R1969" s="5"/>
    </row>
    <row r="1970" spans="14:18" ht="13">
      <c r="N1970" s="5"/>
      <c r="O1970" s="5"/>
      <c r="P1970" s="5"/>
      <c r="R1970" s="5"/>
    </row>
    <row r="1971" spans="14:18" ht="13">
      <c r="N1971" s="5"/>
      <c r="O1971" s="5"/>
      <c r="P1971" s="5"/>
      <c r="R1971" s="5"/>
    </row>
    <row r="1972" spans="14:18" ht="13">
      <c r="N1972" s="5"/>
      <c r="O1972" s="5"/>
      <c r="P1972" s="5"/>
      <c r="R1972" s="5"/>
    </row>
    <row r="1973" spans="14:18" ht="13">
      <c r="N1973" s="5"/>
      <c r="O1973" s="5"/>
      <c r="P1973" s="5"/>
      <c r="R1973" s="5"/>
    </row>
    <row r="1974" spans="14:18" ht="13">
      <c r="N1974" s="5"/>
      <c r="O1974" s="5"/>
      <c r="P1974" s="5"/>
      <c r="R1974" s="5"/>
    </row>
    <row r="1975" spans="14:18" ht="13">
      <c r="N1975" s="5"/>
      <c r="O1975" s="5"/>
      <c r="P1975" s="5"/>
      <c r="R1975" s="5"/>
    </row>
    <row r="1976" spans="14:18" ht="13">
      <c r="N1976" s="5"/>
      <c r="O1976" s="5"/>
      <c r="P1976" s="5"/>
      <c r="R1976" s="5"/>
    </row>
    <row r="1977" spans="14:18" ht="13">
      <c r="N1977" s="5"/>
      <c r="O1977" s="5"/>
      <c r="P1977" s="5"/>
      <c r="R1977" s="5"/>
    </row>
    <row r="1978" spans="14:18" ht="13">
      <c r="N1978" s="5"/>
      <c r="O1978" s="5"/>
      <c r="P1978" s="5"/>
      <c r="R1978" s="5"/>
    </row>
    <row r="1979" spans="14:18" ht="13">
      <c r="N1979" s="5"/>
      <c r="O1979" s="5"/>
      <c r="P1979" s="5"/>
      <c r="R1979" s="5"/>
    </row>
    <row r="1980" spans="14:18" ht="13">
      <c r="N1980" s="5"/>
      <c r="O1980" s="5"/>
      <c r="P1980" s="5"/>
      <c r="R1980" s="5"/>
    </row>
    <row r="1981" spans="14:18" ht="13">
      <c r="N1981" s="5"/>
      <c r="O1981" s="5"/>
      <c r="P1981" s="5"/>
      <c r="R1981" s="5"/>
    </row>
    <row r="1982" spans="14:18" ht="13">
      <c r="N1982" s="5"/>
      <c r="O1982" s="5"/>
      <c r="P1982" s="5"/>
      <c r="R1982" s="5"/>
    </row>
    <row r="1983" spans="14:18" ht="13">
      <c r="N1983" s="5"/>
      <c r="O1983" s="5"/>
      <c r="P1983" s="5"/>
      <c r="R1983" s="5"/>
    </row>
    <row r="1984" spans="14:18" ht="13">
      <c r="N1984" s="5"/>
      <c r="O1984" s="5"/>
      <c r="P1984" s="5"/>
      <c r="R1984" s="5"/>
    </row>
    <row r="1985" spans="14:18" ht="13">
      <c r="N1985" s="5"/>
      <c r="O1985" s="5"/>
      <c r="P1985" s="5"/>
      <c r="R1985" s="5"/>
    </row>
    <row r="1986" spans="14:18" ht="13">
      <c r="N1986" s="5"/>
      <c r="O1986" s="5"/>
      <c r="P1986" s="5"/>
      <c r="R1986" s="5"/>
    </row>
    <row r="1987" spans="14:18" ht="13">
      <c r="N1987" s="5"/>
      <c r="O1987" s="5"/>
      <c r="P1987" s="5"/>
      <c r="R1987" s="5"/>
    </row>
    <row r="1988" spans="14:18" ht="13">
      <c r="N1988" s="5"/>
      <c r="O1988" s="5"/>
      <c r="P1988" s="5"/>
      <c r="R1988" s="5"/>
    </row>
    <row r="1989" spans="14:18" ht="13">
      <c r="N1989" s="5"/>
      <c r="O1989" s="5"/>
      <c r="P1989" s="5"/>
      <c r="R1989" s="5"/>
    </row>
    <row r="1990" spans="14:18" ht="13">
      <c r="N1990" s="5"/>
      <c r="O1990" s="5"/>
      <c r="P1990" s="5"/>
      <c r="R1990" s="5"/>
    </row>
    <row r="1991" spans="14:18" ht="13">
      <c r="N1991" s="5"/>
      <c r="O1991" s="5"/>
      <c r="P1991" s="5"/>
      <c r="R1991" s="5"/>
    </row>
    <row r="1992" spans="14:18" ht="13">
      <c r="N1992" s="5"/>
      <c r="O1992" s="5"/>
      <c r="P1992" s="5"/>
      <c r="R1992" s="5"/>
    </row>
    <row r="1993" spans="14:18" ht="13">
      <c r="N1993" s="5"/>
      <c r="O1993" s="5"/>
      <c r="P1993" s="5"/>
      <c r="R1993" s="5"/>
    </row>
    <row r="1994" spans="14:18" ht="13">
      <c r="N1994" s="5"/>
      <c r="O1994" s="5"/>
      <c r="P1994" s="5"/>
      <c r="R1994" s="5"/>
    </row>
    <row r="1995" spans="14:18" ht="13">
      <c r="N1995" s="5"/>
      <c r="O1995" s="5"/>
      <c r="P1995" s="5"/>
      <c r="R1995" s="5"/>
    </row>
    <row r="1996" spans="14:18" ht="13">
      <c r="N1996" s="5"/>
      <c r="O1996" s="5"/>
      <c r="P1996" s="5"/>
      <c r="R1996" s="5"/>
    </row>
    <row r="1997" spans="14:18" ht="13">
      <c r="N1997" s="5"/>
      <c r="O1997" s="5"/>
      <c r="P1997" s="5"/>
      <c r="R1997" s="5"/>
    </row>
    <row r="1998" spans="14:18" ht="13">
      <c r="N1998" s="5"/>
      <c r="O1998" s="5"/>
      <c r="P1998" s="5"/>
      <c r="R1998" s="5"/>
    </row>
    <row r="1999" spans="14:18" ht="13">
      <c r="N1999" s="5"/>
      <c r="O1999" s="5"/>
      <c r="P1999" s="5"/>
      <c r="R1999" s="5"/>
    </row>
    <row r="2000" spans="14:18" ht="13">
      <c r="N2000" s="5"/>
      <c r="O2000" s="5"/>
      <c r="P2000" s="5"/>
      <c r="R2000" s="5"/>
    </row>
    <row r="2001" spans="14:18" ht="13">
      <c r="N2001" s="5"/>
      <c r="O2001" s="5"/>
      <c r="P2001" s="5"/>
      <c r="R2001" s="5"/>
    </row>
    <row r="2002" spans="14:18" ht="13">
      <c r="N2002" s="5"/>
      <c r="O2002" s="5"/>
      <c r="P2002" s="5"/>
      <c r="R2002" s="5"/>
    </row>
    <row r="2003" spans="14:18" ht="13">
      <c r="N2003" s="5"/>
      <c r="O2003" s="5"/>
      <c r="P2003" s="5"/>
      <c r="R2003" s="5"/>
    </row>
    <row r="2004" spans="14:18" ht="13">
      <c r="N2004" s="5"/>
      <c r="O2004" s="5"/>
      <c r="P2004" s="5"/>
      <c r="R2004" s="5"/>
    </row>
    <row r="2005" spans="14:18" ht="13">
      <c r="N2005" s="5"/>
      <c r="O2005" s="5"/>
      <c r="P2005" s="5"/>
      <c r="R2005" s="5"/>
    </row>
    <row r="2006" spans="14:18" ht="13">
      <c r="N2006" s="5"/>
      <c r="O2006" s="5"/>
      <c r="P2006" s="5"/>
      <c r="R2006" s="5"/>
    </row>
    <row r="2007" spans="14:18" ht="13">
      <c r="N2007" s="5"/>
      <c r="O2007" s="5"/>
      <c r="P2007" s="5"/>
      <c r="R2007" s="5"/>
    </row>
    <row r="2008" spans="14:18" ht="13">
      <c r="N2008" s="5"/>
      <c r="O2008" s="5"/>
      <c r="P2008" s="5"/>
      <c r="R2008" s="5"/>
    </row>
    <row r="2009" spans="14:18" ht="13">
      <c r="N2009" s="5"/>
      <c r="O2009" s="5"/>
      <c r="P2009" s="5"/>
      <c r="R2009" s="5"/>
    </row>
    <row r="2010" spans="14:18" ht="13">
      <c r="N2010" s="5"/>
      <c r="O2010" s="5"/>
      <c r="P2010" s="5"/>
      <c r="R2010" s="5"/>
    </row>
    <row r="2011" spans="14:18" ht="13">
      <c r="N2011" s="5"/>
      <c r="O2011" s="5"/>
      <c r="P2011" s="5"/>
      <c r="R2011" s="5"/>
    </row>
    <row r="2012" spans="14:18" ht="13">
      <c r="N2012" s="5"/>
      <c r="O2012" s="5"/>
      <c r="P2012" s="5"/>
      <c r="R2012" s="5"/>
    </row>
    <row r="2013" spans="14:18" ht="13">
      <c r="N2013" s="5"/>
      <c r="O2013" s="5"/>
      <c r="P2013" s="5"/>
      <c r="R2013" s="5"/>
    </row>
    <row r="2014" spans="14:18" ht="13">
      <c r="N2014" s="5"/>
      <c r="O2014" s="5"/>
      <c r="P2014" s="5"/>
      <c r="R2014" s="5"/>
    </row>
    <row r="2015" spans="14:18" ht="13">
      <c r="N2015" s="5"/>
      <c r="O2015" s="5"/>
      <c r="P2015" s="5"/>
      <c r="R2015" s="5"/>
    </row>
    <row r="2016" spans="14:18" ht="13">
      <c r="N2016" s="5"/>
      <c r="O2016" s="5"/>
      <c r="P2016" s="5"/>
      <c r="R2016" s="5"/>
    </row>
    <row r="2017" spans="14:18" ht="13">
      <c r="N2017" s="5"/>
      <c r="O2017" s="5"/>
      <c r="P2017" s="5"/>
      <c r="R2017" s="5"/>
    </row>
    <row r="2018" spans="14:18" ht="13">
      <c r="N2018" s="5"/>
      <c r="O2018" s="5"/>
      <c r="P2018" s="5"/>
      <c r="R2018" s="5"/>
    </row>
    <row r="2019" spans="14:18" ht="13">
      <c r="N2019" s="5"/>
      <c r="O2019" s="5"/>
      <c r="P2019" s="5"/>
      <c r="R2019" s="5"/>
    </row>
    <row r="2020" spans="14:18" ht="13">
      <c r="N2020" s="5"/>
      <c r="O2020" s="5"/>
      <c r="P2020" s="5"/>
      <c r="R2020" s="5"/>
    </row>
    <row r="2021" spans="14:18" ht="13">
      <c r="N2021" s="5"/>
      <c r="O2021" s="5"/>
      <c r="P2021" s="5"/>
      <c r="R2021" s="5"/>
    </row>
    <row r="2022" spans="14:18" ht="13">
      <c r="N2022" s="5"/>
      <c r="O2022" s="5"/>
      <c r="P2022" s="5"/>
      <c r="R2022" s="5"/>
    </row>
    <row r="2023" spans="14:18" ht="13">
      <c r="N2023" s="5"/>
      <c r="O2023" s="5"/>
      <c r="P2023" s="5"/>
      <c r="R2023" s="5"/>
    </row>
    <row r="2024" spans="14:18" ht="13">
      <c r="N2024" s="5"/>
      <c r="O2024" s="5"/>
      <c r="P2024" s="5"/>
      <c r="R2024" s="5"/>
    </row>
    <row r="2025" spans="14:18" ht="13">
      <c r="N2025" s="5"/>
      <c r="O2025" s="5"/>
      <c r="P2025" s="5"/>
      <c r="R2025" s="5"/>
    </row>
    <row r="2026" spans="14:18" ht="13">
      <c r="N2026" s="5"/>
      <c r="O2026" s="5"/>
      <c r="P2026" s="5"/>
      <c r="R2026" s="5"/>
    </row>
    <row r="2027" spans="14:18" ht="13">
      <c r="N2027" s="5"/>
      <c r="O2027" s="5"/>
      <c r="P2027" s="5"/>
      <c r="R2027" s="5"/>
    </row>
    <row r="2028" spans="14:18" ht="13">
      <c r="N2028" s="5"/>
      <c r="O2028" s="5"/>
      <c r="P2028" s="5"/>
      <c r="R2028" s="5"/>
    </row>
    <row r="2029" spans="14:18" ht="13">
      <c r="N2029" s="5"/>
      <c r="O2029" s="5"/>
      <c r="P2029" s="5"/>
      <c r="R2029" s="5"/>
    </row>
    <row r="2030" spans="14:18" ht="13">
      <c r="N2030" s="5"/>
      <c r="O2030" s="5"/>
      <c r="P2030" s="5"/>
      <c r="R2030" s="5"/>
    </row>
    <row r="2031" spans="14:18" ht="13">
      <c r="N2031" s="5"/>
      <c r="O2031" s="5"/>
      <c r="P2031" s="5"/>
      <c r="R2031" s="5"/>
    </row>
    <row r="2032" spans="14:18" ht="13">
      <c r="N2032" s="5"/>
      <c r="O2032" s="5"/>
      <c r="P2032" s="5"/>
      <c r="R2032" s="5"/>
    </row>
    <row r="2033" spans="14:18" ht="13">
      <c r="N2033" s="5"/>
      <c r="O2033" s="5"/>
      <c r="P2033" s="5"/>
      <c r="R2033" s="5"/>
    </row>
    <row r="2034" spans="14:18" ht="13">
      <c r="N2034" s="5"/>
      <c r="O2034" s="5"/>
      <c r="P2034" s="5"/>
      <c r="R2034" s="5"/>
    </row>
    <row r="2035" spans="14:18" ht="13">
      <c r="N2035" s="5"/>
      <c r="O2035" s="5"/>
      <c r="P2035" s="5"/>
      <c r="R2035" s="5"/>
    </row>
    <row r="2036" spans="14:18" ht="13">
      <c r="N2036" s="5"/>
      <c r="O2036" s="5"/>
      <c r="P2036" s="5"/>
      <c r="R2036" s="5"/>
    </row>
    <row r="2037" spans="14:18" ht="13">
      <c r="N2037" s="5"/>
      <c r="O2037" s="5"/>
      <c r="P2037" s="5"/>
      <c r="R2037" s="5"/>
    </row>
    <row r="2038" spans="14:18" ht="13">
      <c r="N2038" s="5"/>
      <c r="O2038" s="5"/>
      <c r="P2038" s="5"/>
      <c r="R2038" s="5"/>
    </row>
    <row r="2039" spans="14:18" ht="13">
      <c r="N2039" s="5"/>
      <c r="O2039" s="5"/>
      <c r="P2039" s="5"/>
      <c r="R2039" s="5"/>
    </row>
    <row r="2040" spans="14:18" ht="13">
      <c r="N2040" s="5"/>
      <c r="O2040" s="5"/>
      <c r="P2040" s="5"/>
      <c r="R2040" s="5"/>
    </row>
    <row r="2041" spans="14:18" ht="13">
      <c r="N2041" s="5"/>
      <c r="O2041" s="5"/>
      <c r="P2041" s="5"/>
      <c r="R2041" s="5"/>
    </row>
    <row r="2042" spans="14:18" ht="13">
      <c r="N2042" s="5"/>
      <c r="O2042" s="5"/>
      <c r="P2042" s="5"/>
      <c r="R2042" s="5"/>
    </row>
    <row r="2043" spans="14:18" ht="13">
      <c r="N2043" s="5"/>
      <c r="O2043" s="5"/>
      <c r="P2043" s="5"/>
      <c r="R2043" s="5"/>
    </row>
    <row r="2044" spans="14:18" ht="13">
      <c r="N2044" s="5"/>
      <c r="O2044" s="5"/>
      <c r="P2044" s="5"/>
      <c r="R2044" s="5"/>
    </row>
    <row r="2045" spans="14:18" ht="13">
      <c r="N2045" s="5"/>
      <c r="O2045" s="5"/>
      <c r="P2045" s="5"/>
      <c r="R2045" s="5"/>
    </row>
    <row r="2046" spans="14:18" ht="13">
      <c r="N2046" s="5"/>
      <c r="O2046" s="5"/>
      <c r="P2046" s="5"/>
      <c r="R2046" s="5"/>
    </row>
    <row r="2047" spans="14:18" ht="13">
      <c r="N2047" s="5"/>
      <c r="O2047" s="5"/>
      <c r="P2047" s="5"/>
      <c r="R2047" s="5"/>
    </row>
    <row r="2048" spans="14:18" ht="13">
      <c r="N2048" s="5"/>
      <c r="O2048" s="5"/>
      <c r="P2048" s="5"/>
      <c r="R2048" s="5"/>
    </row>
    <row r="2049" spans="14:18" ht="13">
      <c r="N2049" s="5"/>
      <c r="O2049" s="5"/>
      <c r="P2049" s="5"/>
      <c r="R2049" s="5"/>
    </row>
    <row r="2050" spans="14:18" ht="13">
      <c r="N2050" s="5"/>
      <c r="O2050" s="5"/>
      <c r="P2050" s="5"/>
      <c r="R2050" s="5"/>
    </row>
    <row r="2051" spans="14:18" ht="13">
      <c r="N2051" s="5"/>
      <c r="O2051" s="5"/>
      <c r="P2051" s="5"/>
      <c r="R2051" s="5"/>
    </row>
    <row r="2052" spans="14:18" ht="13">
      <c r="N2052" s="5"/>
      <c r="O2052" s="5"/>
      <c r="P2052" s="5"/>
      <c r="R2052" s="5"/>
    </row>
    <row r="2053" spans="14:18" ht="13">
      <c r="N2053" s="5"/>
      <c r="O2053" s="5"/>
      <c r="P2053" s="5"/>
      <c r="R2053" s="5"/>
    </row>
    <row r="2054" spans="14:18" ht="13">
      <c r="N2054" s="5"/>
      <c r="O2054" s="5"/>
      <c r="P2054" s="5"/>
      <c r="R2054" s="5"/>
    </row>
    <row r="2055" spans="14:18" ht="13">
      <c r="N2055" s="5"/>
      <c r="O2055" s="5"/>
      <c r="P2055" s="5"/>
      <c r="R2055" s="5"/>
    </row>
    <row r="2056" spans="14:18" ht="13">
      <c r="N2056" s="5"/>
      <c r="O2056" s="5"/>
      <c r="P2056" s="5"/>
      <c r="R2056" s="5"/>
    </row>
    <row r="2057" spans="14:18" ht="13">
      <c r="N2057" s="5"/>
      <c r="O2057" s="5"/>
      <c r="P2057" s="5"/>
      <c r="R2057" s="5"/>
    </row>
    <row r="2058" spans="14:18" ht="13">
      <c r="N2058" s="5"/>
      <c r="O2058" s="5"/>
      <c r="P2058" s="5"/>
      <c r="R2058" s="5"/>
    </row>
    <row r="2059" spans="14:18" ht="13">
      <c r="N2059" s="5"/>
      <c r="O2059" s="5"/>
      <c r="P2059" s="5"/>
      <c r="R2059" s="5"/>
    </row>
    <row r="2060" spans="14:18" ht="13">
      <c r="N2060" s="5"/>
      <c r="O2060" s="5"/>
      <c r="P2060" s="5"/>
      <c r="R2060" s="5"/>
    </row>
    <row r="2061" spans="14:18" ht="13">
      <c r="N2061" s="5"/>
      <c r="O2061" s="5"/>
      <c r="P2061" s="5"/>
      <c r="R2061" s="5"/>
    </row>
    <row r="2062" spans="14:18" ht="13">
      <c r="N2062" s="5"/>
      <c r="O2062" s="5"/>
      <c r="P2062" s="5"/>
      <c r="R2062" s="5"/>
    </row>
    <row r="2063" spans="14:18" ht="13">
      <c r="N2063" s="5"/>
      <c r="O2063" s="5"/>
      <c r="P2063" s="5"/>
      <c r="R2063" s="5"/>
    </row>
    <row r="2064" spans="14:18" ht="13">
      <c r="N2064" s="5"/>
      <c r="O2064" s="5"/>
      <c r="P2064" s="5"/>
      <c r="R2064" s="5"/>
    </row>
    <row r="2065" spans="14:18" ht="13">
      <c r="N2065" s="5"/>
      <c r="O2065" s="5"/>
      <c r="P2065" s="5"/>
      <c r="R2065" s="5"/>
    </row>
    <row r="2066" spans="14:18" ht="13">
      <c r="N2066" s="5"/>
      <c r="O2066" s="5"/>
      <c r="P2066" s="5"/>
      <c r="R2066" s="5"/>
    </row>
    <row r="2067" spans="14:18" ht="13">
      <c r="N2067" s="5"/>
      <c r="O2067" s="5"/>
      <c r="P2067" s="5"/>
      <c r="R2067" s="5"/>
    </row>
    <row r="2068" spans="14:18" ht="13">
      <c r="N2068" s="5"/>
      <c r="O2068" s="5"/>
      <c r="P2068" s="5"/>
      <c r="R2068" s="5"/>
    </row>
    <row r="2069" spans="14:18" ht="13">
      <c r="N2069" s="5"/>
      <c r="O2069" s="5"/>
      <c r="P2069" s="5"/>
      <c r="R2069" s="5"/>
    </row>
    <row r="2070" spans="14:18" ht="13">
      <c r="N2070" s="5"/>
      <c r="O2070" s="5"/>
      <c r="P2070" s="5"/>
      <c r="R2070" s="5"/>
    </row>
    <row r="2071" spans="14:18" ht="13">
      <c r="N2071" s="5"/>
      <c r="O2071" s="5"/>
      <c r="P2071" s="5"/>
      <c r="R2071" s="5"/>
    </row>
    <row r="2072" spans="14:18" ht="13">
      <c r="N2072" s="5"/>
      <c r="O2072" s="5"/>
      <c r="P2072" s="5"/>
      <c r="R2072" s="5"/>
    </row>
    <row r="2073" spans="14:18" ht="13">
      <c r="N2073" s="5"/>
      <c r="O2073" s="5"/>
      <c r="P2073" s="5"/>
      <c r="R2073" s="5"/>
    </row>
    <row r="2074" spans="14:18" ht="13">
      <c r="N2074" s="5"/>
      <c r="O2074" s="5"/>
      <c r="P2074" s="5"/>
      <c r="R2074" s="5"/>
    </row>
    <row r="2075" spans="14:18" ht="13">
      <c r="N2075" s="5"/>
      <c r="O2075" s="5"/>
      <c r="P2075" s="5"/>
      <c r="R2075" s="5"/>
    </row>
    <row r="2076" spans="14:18" ht="13">
      <c r="N2076" s="5"/>
      <c r="O2076" s="5"/>
      <c r="P2076" s="5"/>
      <c r="R2076" s="5"/>
    </row>
    <row r="2077" spans="14:18" ht="13">
      <c r="N2077" s="5"/>
      <c r="O2077" s="5"/>
      <c r="P2077" s="5"/>
      <c r="R2077" s="5"/>
    </row>
    <row r="2078" spans="14:18" ht="13">
      <c r="N2078" s="5"/>
      <c r="O2078" s="5"/>
      <c r="P2078" s="5"/>
      <c r="R2078" s="5"/>
    </row>
    <row r="2079" spans="14:18" ht="13">
      <c r="N2079" s="5"/>
      <c r="O2079" s="5"/>
      <c r="P2079" s="5"/>
      <c r="R2079" s="5"/>
    </row>
    <row r="2080" spans="14:18" ht="13">
      <c r="N2080" s="5"/>
      <c r="O2080" s="5"/>
      <c r="P2080" s="5"/>
      <c r="R2080" s="5"/>
    </row>
    <row r="2081" spans="14:18" ht="13">
      <c r="N2081" s="5"/>
      <c r="O2081" s="5"/>
      <c r="P2081" s="5"/>
      <c r="R2081" s="5"/>
    </row>
    <row r="2082" spans="14:18" ht="13">
      <c r="N2082" s="5"/>
      <c r="O2082" s="5"/>
      <c r="P2082" s="5"/>
      <c r="R2082" s="5"/>
    </row>
    <row r="2083" spans="14:18" ht="13">
      <c r="N2083" s="5"/>
      <c r="O2083" s="5"/>
      <c r="P2083" s="5"/>
      <c r="R2083" s="5"/>
    </row>
    <row r="2084" spans="14:18" ht="13">
      <c r="N2084" s="5"/>
      <c r="O2084" s="5"/>
      <c r="P2084" s="5"/>
      <c r="R2084" s="5"/>
    </row>
    <row r="2085" spans="14:18" ht="13">
      <c r="N2085" s="5"/>
      <c r="O2085" s="5"/>
      <c r="P2085" s="5"/>
      <c r="R2085" s="5"/>
    </row>
    <row r="2086" spans="14:18" ht="13">
      <c r="N2086" s="5"/>
      <c r="O2086" s="5"/>
      <c r="P2086" s="5"/>
      <c r="R2086" s="5"/>
    </row>
    <row r="2087" spans="14:18" ht="13">
      <c r="N2087" s="5"/>
      <c r="O2087" s="5"/>
      <c r="P2087" s="5"/>
      <c r="R2087" s="5"/>
    </row>
    <row r="2088" spans="14:18" ht="13">
      <c r="N2088" s="5"/>
      <c r="O2088" s="5"/>
      <c r="P2088" s="5"/>
      <c r="R2088" s="5"/>
    </row>
    <row r="2089" spans="14:18" ht="13">
      <c r="N2089" s="5"/>
      <c r="O2089" s="5"/>
      <c r="P2089" s="5"/>
      <c r="R2089" s="5"/>
    </row>
    <row r="2090" spans="14:18" ht="13">
      <c r="N2090" s="5"/>
      <c r="O2090" s="5"/>
      <c r="P2090" s="5"/>
      <c r="R2090" s="5"/>
    </row>
    <row r="2091" spans="14:18" ht="13">
      <c r="N2091" s="5"/>
      <c r="O2091" s="5"/>
      <c r="P2091" s="5"/>
      <c r="R2091" s="5"/>
    </row>
    <row r="2092" spans="14:18" ht="13">
      <c r="N2092" s="5"/>
      <c r="O2092" s="5"/>
      <c r="P2092" s="5"/>
      <c r="R2092" s="5"/>
    </row>
    <row r="2093" spans="14:18" ht="13">
      <c r="N2093" s="5"/>
      <c r="O2093" s="5"/>
      <c r="P2093" s="5"/>
      <c r="R2093" s="5"/>
    </row>
    <row r="2094" spans="14:18" ht="13">
      <c r="N2094" s="5"/>
      <c r="O2094" s="5"/>
      <c r="P2094" s="5"/>
      <c r="R2094" s="5"/>
    </row>
    <row r="2095" spans="14:18" ht="13">
      <c r="N2095" s="5"/>
      <c r="O2095" s="5"/>
      <c r="P2095" s="5"/>
      <c r="R2095" s="5"/>
    </row>
    <row r="2096" spans="14:18" ht="13">
      <c r="N2096" s="5"/>
      <c r="O2096" s="5"/>
      <c r="P2096" s="5"/>
      <c r="R2096" s="5"/>
    </row>
    <row r="2097" spans="14:18" ht="13">
      <c r="N2097" s="5"/>
      <c r="O2097" s="5"/>
      <c r="P2097" s="5"/>
      <c r="R2097" s="5"/>
    </row>
    <row r="2098" spans="14:18" ht="13">
      <c r="N2098" s="5"/>
      <c r="O2098" s="5"/>
      <c r="P2098" s="5"/>
      <c r="R2098" s="5"/>
    </row>
    <row r="2099" spans="14:18" ht="13">
      <c r="N2099" s="5"/>
      <c r="O2099" s="5"/>
      <c r="P2099" s="5"/>
      <c r="R2099" s="5"/>
    </row>
    <row r="2100" spans="14:18" ht="13">
      <c r="N2100" s="5"/>
      <c r="O2100" s="5"/>
      <c r="P2100" s="5"/>
      <c r="R2100" s="5"/>
    </row>
    <row r="2101" spans="14:18" ht="13">
      <c r="N2101" s="5"/>
      <c r="O2101" s="5"/>
      <c r="P2101" s="5"/>
      <c r="R2101" s="5"/>
    </row>
    <row r="2102" spans="14:18" ht="13">
      <c r="N2102" s="5"/>
      <c r="O2102" s="5"/>
      <c r="P2102" s="5"/>
      <c r="R2102" s="5"/>
    </row>
    <row r="2103" spans="14:18" ht="13">
      <c r="N2103" s="5"/>
      <c r="O2103" s="5"/>
      <c r="P2103" s="5"/>
      <c r="R2103" s="5"/>
    </row>
    <row r="2104" spans="14:18" ht="13">
      <c r="N2104" s="5"/>
      <c r="O2104" s="5"/>
      <c r="P2104" s="5"/>
      <c r="R2104" s="5"/>
    </row>
    <row r="2105" spans="14:18" ht="13">
      <c r="N2105" s="5"/>
      <c r="O2105" s="5"/>
      <c r="P2105" s="5"/>
      <c r="R2105" s="5"/>
    </row>
    <row r="2106" spans="14:18" ht="13">
      <c r="N2106" s="5"/>
      <c r="O2106" s="5"/>
      <c r="P2106" s="5"/>
      <c r="R2106" s="5"/>
    </row>
    <row r="2107" spans="14:18" ht="13">
      <c r="N2107" s="5"/>
      <c r="O2107" s="5"/>
      <c r="P2107" s="5"/>
      <c r="R2107" s="5"/>
    </row>
    <row r="2108" spans="14:18" ht="13">
      <c r="N2108" s="5"/>
      <c r="O2108" s="5"/>
      <c r="P2108" s="5"/>
      <c r="R2108" s="5"/>
    </row>
    <row r="2109" spans="14:18" ht="13">
      <c r="N2109" s="5"/>
      <c r="O2109" s="5"/>
      <c r="P2109" s="5"/>
      <c r="R2109" s="5"/>
    </row>
    <row r="2110" spans="14:18" ht="13">
      <c r="N2110" s="5"/>
      <c r="O2110" s="5"/>
      <c r="P2110" s="5"/>
      <c r="R2110" s="5"/>
    </row>
    <row r="2111" spans="14:18" ht="13">
      <c r="N2111" s="5"/>
      <c r="O2111" s="5"/>
      <c r="P2111" s="5"/>
      <c r="R2111" s="5"/>
    </row>
    <row r="2112" spans="14:18" ht="13">
      <c r="N2112" s="5"/>
      <c r="O2112" s="5"/>
      <c r="P2112" s="5"/>
      <c r="R2112" s="5"/>
    </row>
    <row r="2113" spans="14:18" ht="13">
      <c r="N2113" s="5"/>
      <c r="O2113" s="5"/>
      <c r="P2113" s="5"/>
      <c r="R2113" s="5"/>
    </row>
    <row r="2114" spans="14:18" ht="13">
      <c r="N2114" s="5"/>
      <c r="O2114" s="5"/>
      <c r="P2114" s="5"/>
      <c r="R2114" s="5"/>
    </row>
    <row r="2115" spans="14:18" ht="13">
      <c r="N2115" s="5"/>
      <c r="O2115" s="5"/>
      <c r="P2115" s="5"/>
      <c r="R2115" s="5"/>
    </row>
    <row r="2116" spans="14:18" ht="13">
      <c r="N2116" s="5"/>
      <c r="O2116" s="5"/>
      <c r="P2116" s="5"/>
      <c r="R2116" s="5"/>
    </row>
    <row r="2117" spans="14:18" ht="13">
      <c r="N2117" s="5"/>
      <c r="O2117" s="5"/>
      <c r="P2117" s="5"/>
      <c r="R2117" s="5"/>
    </row>
    <row r="2118" spans="14:18" ht="13">
      <c r="N2118" s="5"/>
      <c r="O2118" s="5"/>
      <c r="P2118" s="5"/>
      <c r="R2118" s="5"/>
    </row>
    <row r="2119" spans="14:18" ht="13">
      <c r="N2119" s="5"/>
      <c r="O2119" s="5"/>
      <c r="P2119" s="5"/>
      <c r="R2119" s="5"/>
    </row>
    <row r="2120" spans="14:18" ht="13">
      <c r="N2120" s="5"/>
      <c r="O2120" s="5"/>
      <c r="P2120" s="5"/>
      <c r="R2120" s="5"/>
    </row>
    <row r="2121" spans="14:18" ht="13">
      <c r="N2121" s="5"/>
      <c r="O2121" s="5"/>
      <c r="P2121" s="5"/>
      <c r="R2121" s="5"/>
    </row>
    <row r="2122" spans="14:18" ht="13">
      <c r="N2122" s="5"/>
      <c r="O2122" s="5"/>
      <c r="P2122" s="5"/>
      <c r="R2122" s="5"/>
    </row>
    <row r="2123" spans="14:18" ht="13">
      <c r="N2123" s="5"/>
      <c r="O2123" s="5"/>
      <c r="P2123" s="5"/>
      <c r="R2123" s="5"/>
    </row>
    <row r="2124" spans="14:18" ht="13">
      <c r="N2124" s="5"/>
      <c r="O2124" s="5"/>
      <c r="P2124" s="5"/>
      <c r="R2124" s="5"/>
    </row>
    <row r="2125" spans="14:18" ht="13">
      <c r="N2125" s="5"/>
      <c r="O2125" s="5"/>
      <c r="P2125" s="5"/>
      <c r="R2125" s="5"/>
    </row>
    <row r="2126" spans="14:18" ht="13">
      <c r="N2126" s="5"/>
      <c r="O2126" s="5"/>
      <c r="P2126" s="5"/>
      <c r="R2126" s="5"/>
    </row>
    <row r="2127" spans="14:18" ht="13">
      <c r="N2127" s="5"/>
      <c r="O2127" s="5"/>
      <c r="P2127" s="5"/>
      <c r="R2127" s="5"/>
    </row>
    <row r="2128" spans="14:18" ht="13">
      <c r="N2128" s="5"/>
      <c r="O2128" s="5"/>
      <c r="P2128" s="5"/>
      <c r="R2128" s="5"/>
    </row>
    <row r="2129" spans="14:18" ht="13">
      <c r="N2129" s="5"/>
      <c r="O2129" s="5"/>
      <c r="P2129" s="5"/>
      <c r="R2129" s="5"/>
    </row>
    <row r="2130" spans="14:18" ht="13">
      <c r="N2130" s="5"/>
      <c r="O2130" s="5"/>
      <c r="P2130" s="5"/>
      <c r="R2130" s="5"/>
    </row>
    <row r="2131" spans="14:18" ht="13">
      <c r="N2131" s="5"/>
      <c r="O2131" s="5"/>
      <c r="P2131" s="5"/>
      <c r="R2131" s="5"/>
    </row>
    <row r="2132" spans="14:18" ht="13">
      <c r="N2132" s="5"/>
      <c r="O2132" s="5"/>
      <c r="P2132" s="5"/>
      <c r="R2132" s="5"/>
    </row>
    <row r="2133" spans="14:18" ht="13">
      <c r="N2133" s="5"/>
      <c r="O2133" s="5"/>
      <c r="P2133" s="5"/>
      <c r="R2133" s="5"/>
    </row>
    <row r="2134" spans="14:18" ht="13">
      <c r="N2134" s="5"/>
      <c r="O2134" s="5"/>
      <c r="P2134" s="5"/>
      <c r="R2134" s="5"/>
    </row>
    <row r="2135" spans="14:18" ht="13">
      <c r="N2135" s="5"/>
      <c r="O2135" s="5"/>
      <c r="P2135" s="5"/>
      <c r="R2135" s="5"/>
    </row>
    <row r="2136" spans="14:18" ht="13">
      <c r="N2136" s="5"/>
      <c r="O2136" s="5"/>
      <c r="P2136" s="5"/>
      <c r="R2136" s="5"/>
    </row>
    <row r="2137" spans="14:18" ht="13">
      <c r="N2137" s="5"/>
      <c r="O2137" s="5"/>
      <c r="P2137" s="5"/>
      <c r="R2137" s="5"/>
    </row>
    <row r="2138" spans="14:18" ht="13">
      <c r="N2138" s="5"/>
      <c r="O2138" s="5"/>
      <c r="P2138" s="5"/>
      <c r="R2138" s="5"/>
    </row>
    <row r="2139" spans="14:18" ht="13">
      <c r="N2139" s="5"/>
      <c r="O2139" s="5"/>
      <c r="P2139" s="5"/>
      <c r="R2139" s="5"/>
    </row>
    <row r="2140" spans="14:18" ht="13">
      <c r="N2140" s="5"/>
      <c r="O2140" s="5"/>
      <c r="P2140" s="5"/>
      <c r="R2140" s="5"/>
    </row>
    <row r="2141" spans="14:18" ht="13">
      <c r="N2141" s="5"/>
      <c r="O2141" s="5"/>
      <c r="P2141" s="5"/>
      <c r="R2141" s="5"/>
    </row>
    <row r="2142" spans="14:18" ht="13">
      <c r="N2142" s="5"/>
      <c r="O2142" s="5"/>
      <c r="P2142" s="5"/>
      <c r="R2142" s="5"/>
    </row>
    <row r="2143" spans="14:18" ht="13">
      <c r="N2143" s="5"/>
      <c r="O2143" s="5"/>
      <c r="P2143" s="5"/>
      <c r="R2143" s="5"/>
    </row>
    <row r="2144" spans="14:18" ht="13">
      <c r="N2144" s="5"/>
      <c r="O2144" s="5"/>
      <c r="P2144" s="5"/>
      <c r="R2144" s="5"/>
    </row>
    <row r="2145" spans="14:18" ht="13">
      <c r="N2145" s="5"/>
      <c r="O2145" s="5"/>
      <c r="P2145" s="5"/>
      <c r="R2145" s="5"/>
    </row>
    <row r="2146" spans="14:18" ht="13">
      <c r="N2146" s="5"/>
      <c r="O2146" s="5"/>
      <c r="P2146" s="5"/>
      <c r="R2146" s="5"/>
    </row>
    <row r="2147" spans="14:18" ht="13">
      <c r="N2147" s="5"/>
      <c r="O2147" s="5"/>
      <c r="P2147" s="5"/>
      <c r="R2147" s="5"/>
    </row>
    <row r="2148" spans="14:18" ht="13">
      <c r="N2148" s="5"/>
      <c r="O2148" s="5"/>
      <c r="P2148" s="5"/>
      <c r="R2148" s="5"/>
    </row>
    <row r="2149" spans="14:18" ht="13">
      <c r="N2149" s="5"/>
      <c r="O2149" s="5"/>
      <c r="P2149" s="5"/>
      <c r="R2149" s="5"/>
    </row>
    <row r="2150" spans="14:18" ht="13">
      <c r="N2150" s="5"/>
      <c r="O2150" s="5"/>
      <c r="P2150" s="5"/>
      <c r="R2150" s="5"/>
    </row>
    <row r="2151" spans="14:18" ht="13">
      <c r="N2151" s="5"/>
      <c r="O2151" s="5"/>
      <c r="P2151" s="5"/>
      <c r="R2151" s="5"/>
    </row>
    <row r="2152" spans="14:18" ht="13">
      <c r="N2152" s="5"/>
      <c r="O2152" s="5"/>
      <c r="P2152" s="5"/>
      <c r="R2152" s="5"/>
    </row>
    <row r="2153" spans="14:18" ht="13">
      <c r="N2153" s="5"/>
      <c r="O2153" s="5"/>
      <c r="P2153" s="5"/>
      <c r="R2153" s="5"/>
    </row>
    <row r="2154" spans="14:18" ht="13">
      <c r="N2154" s="5"/>
      <c r="O2154" s="5"/>
      <c r="P2154" s="5"/>
      <c r="R2154" s="5"/>
    </row>
    <row r="2155" spans="14:18" ht="13">
      <c r="N2155" s="5"/>
      <c r="O2155" s="5"/>
      <c r="P2155" s="5"/>
      <c r="R2155" s="5"/>
    </row>
    <row r="2156" spans="14:18" ht="13">
      <c r="N2156" s="5"/>
      <c r="O2156" s="5"/>
      <c r="P2156" s="5"/>
      <c r="R2156" s="5"/>
    </row>
    <row r="2157" spans="14:18" ht="13">
      <c r="N2157" s="5"/>
      <c r="O2157" s="5"/>
      <c r="P2157" s="5"/>
      <c r="R2157" s="5"/>
    </row>
    <row r="2158" spans="14:18" ht="13">
      <c r="N2158" s="5"/>
      <c r="O2158" s="5"/>
      <c r="P2158" s="5"/>
      <c r="R2158" s="5"/>
    </row>
    <row r="2159" spans="14:18" ht="13">
      <c r="N2159" s="5"/>
      <c r="O2159" s="5"/>
      <c r="P2159" s="5"/>
      <c r="R2159" s="5"/>
    </row>
    <row r="2160" spans="14:18" ht="13">
      <c r="N2160" s="5"/>
      <c r="O2160" s="5"/>
      <c r="P2160" s="5"/>
      <c r="R2160" s="5"/>
    </row>
    <row r="2161" spans="14:18" ht="13">
      <c r="N2161" s="5"/>
      <c r="O2161" s="5"/>
      <c r="P2161" s="5"/>
      <c r="R2161" s="5"/>
    </row>
    <row r="2162" spans="14:18" ht="13">
      <c r="N2162" s="5"/>
      <c r="O2162" s="5"/>
      <c r="P2162" s="5"/>
      <c r="R2162" s="5"/>
    </row>
    <row r="2163" spans="14:18" ht="13">
      <c r="N2163" s="5"/>
      <c r="O2163" s="5"/>
      <c r="P2163" s="5"/>
      <c r="R2163" s="5"/>
    </row>
    <row r="2164" spans="14:18" ht="13">
      <c r="N2164" s="5"/>
      <c r="O2164" s="5"/>
      <c r="P2164" s="5"/>
      <c r="R2164" s="5"/>
    </row>
    <row r="2165" spans="14:18" ht="13">
      <c r="N2165" s="5"/>
      <c r="O2165" s="5"/>
      <c r="P2165" s="5"/>
      <c r="R2165" s="5"/>
    </row>
    <row r="2166" spans="14:18" ht="13">
      <c r="N2166" s="5"/>
      <c r="O2166" s="5"/>
      <c r="P2166" s="5"/>
      <c r="R2166" s="5"/>
    </row>
    <row r="2167" spans="14:18" ht="13">
      <c r="N2167" s="5"/>
      <c r="O2167" s="5"/>
      <c r="P2167" s="5"/>
      <c r="R2167" s="5"/>
    </row>
    <row r="2168" spans="14:18" ht="13">
      <c r="N2168" s="5"/>
      <c r="O2168" s="5"/>
      <c r="P2168" s="5"/>
      <c r="R2168" s="5"/>
    </row>
    <row r="2169" spans="14:18" ht="13">
      <c r="N2169" s="5"/>
      <c r="O2169" s="5"/>
      <c r="P2169" s="5"/>
      <c r="R2169" s="5"/>
    </row>
    <row r="2170" spans="14:18" ht="13">
      <c r="N2170" s="5"/>
      <c r="O2170" s="5"/>
      <c r="P2170" s="5"/>
      <c r="R2170" s="5"/>
    </row>
    <row r="2171" spans="14:18" ht="13">
      <c r="N2171" s="5"/>
      <c r="O2171" s="5"/>
      <c r="P2171" s="5"/>
      <c r="R2171" s="5"/>
    </row>
    <row r="2172" spans="14:18" ht="13">
      <c r="N2172" s="5"/>
      <c r="O2172" s="5"/>
      <c r="P2172" s="5"/>
      <c r="R2172" s="5"/>
    </row>
    <row r="2173" spans="14:18" ht="13">
      <c r="N2173" s="5"/>
      <c r="O2173" s="5"/>
      <c r="P2173" s="5"/>
      <c r="R2173" s="5"/>
    </row>
    <row r="2174" spans="14:18" ht="13">
      <c r="N2174" s="5"/>
      <c r="O2174" s="5"/>
      <c r="P2174" s="5"/>
      <c r="R2174" s="5"/>
    </row>
    <row r="2175" spans="14:18" ht="13">
      <c r="N2175" s="5"/>
      <c r="O2175" s="5"/>
      <c r="P2175" s="5"/>
      <c r="R2175" s="5"/>
    </row>
    <row r="2176" spans="14:18" ht="13">
      <c r="N2176" s="5"/>
      <c r="O2176" s="5"/>
      <c r="P2176" s="5"/>
      <c r="R2176" s="5"/>
    </row>
    <row r="2177" spans="14:18" ht="13">
      <c r="N2177" s="5"/>
      <c r="O2177" s="5"/>
      <c r="P2177" s="5"/>
      <c r="R2177" s="5"/>
    </row>
    <row r="2178" spans="14:18" ht="13">
      <c r="N2178" s="5"/>
      <c r="O2178" s="5"/>
      <c r="P2178" s="5"/>
      <c r="R2178" s="5"/>
    </row>
    <row r="2179" spans="14:18" ht="13">
      <c r="N2179" s="5"/>
      <c r="O2179" s="5"/>
      <c r="P2179" s="5"/>
      <c r="R2179" s="5"/>
    </row>
    <row r="2180" spans="14:18" ht="13">
      <c r="N2180" s="5"/>
      <c r="O2180" s="5"/>
      <c r="P2180" s="5"/>
      <c r="R2180" s="5"/>
    </row>
    <row r="2181" spans="14:18" ht="13">
      <c r="N2181" s="5"/>
      <c r="O2181" s="5"/>
      <c r="P2181" s="5"/>
      <c r="R2181" s="5"/>
    </row>
    <row r="2182" spans="14:18" ht="13">
      <c r="N2182" s="5"/>
      <c r="O2182" s="5"/>
      <c r="P2182" s="5"/>
      <c r="R2182" s="5"/>
    </row>
    <row r="2183" spans="14:18" ht="13">
      <c r="N2183" s="5"/>
      <c r="O2183" s="5"/>
      <c r="P2183" s="5"/>
      <c r="R2183" s="5"/>
    </row>
    <row r="2184" spans="14:18" ht="13">
      <c r="N2184" s="5"/>
      <c r="O2184" s="5"/>
      <c r="P2184" s="5"/>
      <c r="R2184" s="5"/>
    </row>
    <row r="2185" spans="14:18" ht="13">
      <c r="N2185" s="5"/>
      <c r="O2185" s="5"/>
      <c r="P2185" s="5"/>
      <c r="R2185" s="5"/>
    </row>
    <row r="2186" spans="14:18" ht="13">
      <c r="N2186" s="5"/>
      <c r="O2186" s="5"/>
      <c r="P2186" s="5"/>
      <c r="R2186" s="5"/>
    </row>
    <row r="2187" spans="14:18" ht="13">
      <c r="N2187" s="5"/>
      <c r="O2187" s="5"/>
      <c r="P2187" s="5"/>
      <c r="R2187" s="5"/>
    </row>
    <row r="2188" spans="14:18" ht="13">
      <c r="N2188" s="5"/>
      <c r="O2188" s="5"/>
      <c r="P2188" s="5"/>
      <c r="R2188" s="5"/>
    </row>
    <row r="2189" spans="14:18" ht="13">
      <c r="N2189" s="5"/>
      <c r="O2189" s="5"/>
      <c r="P2189" s="5"/>
      <c r="R2189" s="5"/>
    </row>
    <row r="2190" spans="14:18" ht="13">
      <c r="N2190" s="5"/>
      <c r="O2190" s="5"/>
      <c r="P2190" s="5"/>
      <c r="R2190" s="5"/>
    </row>
    <row r="2191" spans="14:18" ht="13">
      <c r="N2191" s="5"/>
      <c r="O2191" s="5"/>
      <c r="P2191" s="5"/>
      <c r="R2191" s="5"/>
    </row>
    <row r="2192" spans="14:18" ht="13">
      <c r="N2192" s="5"/>
      <c r="O2192" s="5"/>
      <c r="P2192" s="5"/>
      <c r="R2192" s="5"/>
    </row>
    <row r="2193" spans="14:18" ht="13">
      <c r="N2193" s="5"/>
      <c r="O2193" s="5"/>
      <c r="P2193" s="5"/>
      <c r="R2193" s="5"/>
    </row>
    <row r="2194" spans="14:18" ht="13">
      <c r="N2194" s="5"/>
      <c r="O2194" s="5"/>
      <c r="P2194" s="5"/>
      <c r="R2194" s="5"/>
    </row>
    <row r="2195" spans="14:18" ht="13">
      <c r="N2195" s="5"/>
      <c r="O2195" s="5"/>
      <c r="P2195" s="5"/>
      <c r="R2195" s="5"/>
    </row>
    <row r="2196" spans="14:18" ht="13">
      <c r="N2196" s="5"/>
      <c r="O2196" s="5"/>
      <c r="P2196" s="5"/>
      <c r="R2196" s="5"/>
    </row>
    <row r="2197" spans="14:18" ht="13">
      <c r="N2197" s="5"/>
      <c r="O2197" s="5"/>
      <c r="P2197" s="5"/>
      <c r="R2197" s="5"/>
    </row>
    <row r="2198" spans="14:18" ht="13">
      <c r="N2198" s="5"/>
      <c r="O2198" s="5"/>
      <c r="P2198" s="5"/>
      <c r="R2198" s="5"/>
    </row>
    <row r="2199" spans="14:18" ht="13">
      <c r="N2199" s="5"/>
      <c r="O2199" s="5"/>
      <c r="P2199" s="5"/>
      <c r="R2199" s="5"/>
    </row>
    <row r="2200" spans="14:18" ht="13">
      <c r="N2200" s="5"/>
      <c r="O2200" s="5"/>
      <c r="P2200" s="5"/>
      <c r="R2200" s="5"/>
    </row>
    <row r="2201" spans="14:18" ht="13">
      <c r="N2201" s="5"/>
      <c r="O2201" s="5"/>
      <c r="P2201" s="5"/>
      <c r="R2201" s="5"/>
    </row>
    <row r="2202" spans="14:18" ht="13">
      <c r="N2202" s="5"/>
      <c r="O2202" s="5"/>
      <c r="P2202" s="5"/>
      <c r="R2202" s="5"/>
    </row>
    <row r="2203" spans="14:18" ht="13">
      <c r="N2203" s="5"/>
      <c r="O2203" s="5"/>
      <c r="P2203" s="5"/>
      <c r="R2203" s="5"/>
    </row>
    <row r="2204" spans="14:18" ht="13">
      <c r="N2204" s="5"/>
      <c r="O2204" s="5"/>
      <c r="P2204" s="5"/>
      <c r="R2204" s="5"/>
    </row>
    <row r="2205" spans="14:18" ht="13">
      <c r="N2205" s="5"/>
      <c r="O2205" s="5"/>
      <c r="P2205" s="5"/>
      <c r="R2205" s="5"/>
    </row>
    <row r="2206" spans="14:18" ht="13">
      <c r="N2206" s="5"/>
      <c r="O2206" s="5"/>
      <c r="P2206" s="5"/>
      <c r="R2206" s="5"/>
    </row>
    <row r="2207" spans="14:18" ht="13">
      <c r="N2207" s="5"/>
      <c r="O2207" s="5"/>
      <c r="P2207" s="5"/>
      <c r="R2207" s="5"/>
    </row>
    <row r="2208" spans="14:18" ht="13">
      <c r="N2208" s="5"/>
      <c r="O2208" s="5"/>
      <c r="P2208" s="5"/>
      <c r="R2208" s="5"/>
    </row>
    <row r="2209" spans="14:18" ht="13">
      <c r="N2209" s="5"/>
      <c r="O2209" s="5"/>
      <c r="P2209" s="5"/>
      <c r="R2209" s="5"/>
    </row>
    <row r="2210" spans="14:18" ht="13">
      <c r="N2210" s="5"/>
      <c r="O2210" s="5"/>
      <c r="P2210" s="5"/>
      <c r="R2210" s="5"/>
    </row>
    <row r="2211" spans="14:18" ht="13">
      <c r="N2211" s="5"/>
      <c r="O2211" s="5"/>
      <c r="P2211" s="5"/>
      <c r="R2211" s="5"/>
    </row>
    <row r="2212" spans="14:18" ht="13">
      <c r="N2212" s="5"/>
      <c r="O2212" s="5"/>
      <c r="P2212" s="5"/>
      <c r="R2212" s="5"/>
    </row>
    <row r="2213" spans="14:18" ht="13">
      <c r="N2213" s="5"/>
      <c r="O2213" s="5"/>
      <c r="P2213" s="5"/>
      <c r="R2213" s="5"/>
    </row>
    <row r="2214" spans="14:18" ht="13">
      <c r="N2214" s="5"/>
      <c r="O2214" s="5"/>
      <c r="P2214" s="5"/>
      <c r="R2214" s="5"/>
    </row>
    <row r="2215" spans="14:18" ht="13">
      <c r="N2215" s="5"/>
      <c r="O2215" s="5"/>
      <c r="P2215" s="5"/>
      <c r="R2215" s="5"/>
    </row>
    <row r="2216" spans="14:18" ht="13">
      <c r="N2216" s="5"/>
      <c r="O2216" s="5"/>
      <c r="P2216" s="5"/>
      <c r="R2216" s="5"/>
    </row>
    <row r="2217" spans="14:18" ht="13">
      <c r="N2217" s="5"/>
      <c r="O2217" s="5"/>
      <c r="P2217" s="5"/>
      <c r="R2217" s="5"/>
    </row>
    <row r="2218" spans="14:18" ht="13">
      <c r="N2218" s="5"/>
      <c r="O2218" s="5"/>
      <c r="P2218" s="5"/>
      <c r="R2218" s="5"/>
    </row>
    <row r="2219" spans="14:18" ht="13">
      <c r="N2219" s="5"/>
      <c r="O2219" s="5"/>
      <c r="P2219" s="5"/>
      <c r="R2219" s="5"/>
    </row>
    <row r="2220" spans="14:18" ht="13">
      <c r="N2220" s="5"/>
      <c r="O2220" s="5"/>
      <c r="P2220" s="5"/>
      <c r="R2220" s="5"/>
    </row>
    <row r="2221" spans="14:18" ht="13">
      <c r="N2221" s="5"/>
      <c r="O2221" s="5"/>
      <c r="P2221" s="5"/>
      <c r="R2221" s="5"/>
    </row>
    <row r="2222" spans="14:18" ht="13">
      <c r="N2222" s="5"/>
      <c r="O2222" s="5"/>
      <c r="P2222" s="5"/>
      <c r="R2222" s="5"/>
    </row>
    <row r="2223" spans="14:18" ht="13">
      <c r="N2223" s="5"/>
      <c r="O2223" s="5"/>
      <c r="P2223" s="5"/>
      <c r="R2223" s="5"/>
    </row>
    <row r="2224" spans="14:18" ht="13">
      <c r="N2224" s="5"/>
      <c r="O2224" s="5"/>
      <c r="P2224" s="5"/>
      <c r="R2224" s="5"/>
    </row>
    <row r="2225" spans="14:18" ht="13">
      <c r="N2225" s="5"/>
      <c r="O2225" s="5"/>
      <c r="P2225" s="5"/>
      <c r="R2225" s="5"/>
    </row>
    <row r="2226" spans="14:18" ht="13">
      <c r="N2226" s="5"/>
      <c r="O2226" s="5"/>
      <c r="P2226" s="5"/>
      <c r="R2226" s="5"/>
    </row>
    <row r="2227" spans="14:18" ht="13">
      <c r="N2227" s="5"/>
      <c r="O2227" s="5"/>
      <c r="P2227" s="5"/>
      <c r="R2227" s="5"/>
    </row>
    <row r="2228" spans="14:18" ht="13">
      <c r="N2228" s="5"/>
      <c r="O2228" s="5"/>
      <c r="P2228" s="5"/>
      <c r="R2228" s="5"/>
    </row>
    <row r="2229" spans="14:18" ht="13">
      <c r="N2229" s="5"/>
      <c r="O2229" s="5"/>
      <c r="P2229" s="5"/>
      <c r="R2229" s="5"/>
    </row>
    <row r="2230" spans="14:18" ht="13">
      <c r="N2230" s="5"/>
      <c r="O2230" s="5"/>
      <c r="P2230" s="5"/>
      <c r="R2230" s="5"/>
    </row>
    <row r="2231" spans="14:18" ht="13">
      <c r="N2231" s="5"/>
      <c r="O2231" s="5"/>
      <c r="P2231" s="5"/>
      <c r="R2231" s="5"/>
    </row>
    <row r="2232" spans="14:18" ht="13">
      <c r="N2232" s="5"/>
      <c r="O2232" s="5"/>
      <c r="P2232" s="5"/>
      <c r="R2232" s="5"/>
    </row>
    <row r="2233" spans="14:18" ht="13">
      <c r="N2233" s="5"/>
      <c r="O2233" s="5"/>
      <c r="P2233" s="5"/>
      <c r="R2233" s="5"/>
    </row>
    <row r="2234" spans="14:18" ht="13">
      <c r="N2234" s="5"/>
      <c r="O2234" s="5"/>
      <c r="P2234" s="5"/>
      <c r="R2234" s="5"/>
    </row>
    <row r="2235" spans="14:18" ht="13">
      <c r="N2235" s="5"/>
      <c r="O2235" s="5"/>
      <c r="P2235" s="5"/>
      <c r="R2235" s="5"/>
    </row>
    <row r="2236" spans="14:18" ht="13">
      <c r="N2236" s="5"/>
      <c r="O2236" s="5"/>
      <c r="P2236" s="5"/>
      <c r="R2236" s="5"/>
    </row>
    <row r="2237" spans="14:18" ht="13">
      <c r="N2237" s="5"/>
      <c r="O2237" s="5"/>
      <c r="P2237" s="5"/>
      <c r="R2237" s="5"/>
    </row>
    <row r="2238" spans="14:18" ht="13">
      <c r="N2238" s="5"/>
      <c r="O2238" s="5"/>
      <c r="P2238" s="5"/>
      <c r="R2238" s="5"/>
    </row>
    <row r="2239" spans="14:18" ht="13">
      <c r="N2239" s="5"/>
      <c r="O2239" s="5"/>
      <c r="P2239" s="5"/>
      <c r="R2239" s="5"/>
    </row>
    <row r="2240" spans="14:18" ht="13">
      <c r="N2240" s="5"/>
      <c r="O2240" s="5"/>
      <c r="P2240" s="5"/>
      <c r="R2240" s="5"/>
    </row>
    <row r="2241" spans="14:18" ht="13">
      <c r="N2241" s="5"/>
      <c r="O2241" s="5"/>
      <c r="P2241" s="5"/>
      <c r="R2241" s="5"/>
    </row>
    <row r="2242" spans="14:18" ht="13">
      <c r="N2242" s="5"/>
      <c r="O2242" s="5"/>
      <c r="P2242" s="5"/>
      <c r="R2242" s="5"/>
    </row>
    <row r="2243" spans="14:18" ht="13">
      <c r="N2243" s="5"/>
      <c r="O2243" s="5"/>
      <c r="P2243" s="5"/>
      <c r="R2243" s="5"/>
    </row>
    <row r="2244" spans="14:18" ht="13">
      <c r="N2244" s="5"/>
      <c r="O2244" s="5"/>
      <c r="P2244" s="5"/>
      <c r="R2244" s="5"/>
    </row>
    <row r="2245" spans="14:18" ht="13">
      <c r="N2245" s="5"/>
      <c r="O2245" s="5"/>
      <c r="P2245" s="5"/>
      <c r="R2245" s="5"/>
    </row>
    <row r="2246" spans="14:18" ht="13">
      <c r="N2246" s="5"/>
      <c r="O2246" s="5"/>
      <c r="P2246" s="5"/>
      <c r="R2246" s="5"/>
    </row>
    <row r="2247" spans="14:18" ht="13">
      <c r="N2247" s="5"/>
      <c r="O2247" s="5"/>
      <c r="P2247" s="5"/>
      <c r="R2247" s="5"/>
    </row>
    <row r="2248" spans="14:18" ht="13">
      <c r="N2248" s="5"/>
      <c r="O2248" s="5"/>
      <c r="P2248" s="5"/>
      <c r="R2248" s="5"/>
    </row>
    <row r="2249" spans="14:18" ht="13">
      <c r="N2249" s="5"/>
      <c r="O2249" s="5"/>
      <c r="P2249" s="5"/>
      <c r="R2249" s="5"/>
    </row>
    <row r="2250" spans="14:18" ht="13">
      <c r="N2250" s="5"/>
      <c r="O2250" s="5"/>
      <c r="P2250" s="5"/>
      <c r="R2250" s="5"/>
    </row>
    <row r="2251" spans="14:18" ht="13">
      <c r="N2251" s="5"/>
      <c r="O2251" s="5"/>
      <c r="P2251" s="5"/>
      <c r="R2251" s="5"/>
    </row>
    <row r="2252" spans="14:18" ht="13">
      <c r="N2252" s="5"/>
      <c r="O2252" s="5"/>
      <c r="P2252" s="5"/>
      <c r="R2252" s="5"/>
    </row>
    <row r="2253" spans="14:18" ht="13">
      <c r="N2253" s="5"/>
      <c r="O2253" s="5"/>
      <c r="P2253" s="5"/>
      <c r="R2253" s="5"/>
    </row>
    <row r="2254" spans="14:18" ht="13">
      <c r="N2254" s="5"/>
      <c r="O2254" s="5"/>
      <c r="P2254" s="5"/>
      <c r="R2254" s="5"/>
    </row>
    <row r="2255" spans="14:18" ht="13">
      <c r="N2255" s="5"/>
      <c r="O2255" s="5"/>
      <c r="P2255" s="5"/>
      <c r="R2255" s="5"/>
    </row>
    <row r="2256" spans="14:18" ht="13">
      <c r="N2256" s="5"/>
      <c r="O2256" s="5"/>
      <c r="P2256" s="5"/>
      <c r="R2256" s="5"/>
    </row>
    <row r="2257" spans="14:18" ht="13">
      <c r="N2257" s="5"/>
      <c r="O2257" s="5"/>
      <c r="P2257" s="5"/>
      <c r="R2257" s="5"/>
    </row>
    <row r="2258" spans="14:18" ht="13">
      <c r="N2258" s="5"/>
      <c r="O2258" s="5"/>
      <c r="P2258" s="5"/>
      <c r="R2258" s="5"/>
    </row>
    <row r="2259" spans="14:18" ht="13">
      <c r="N2259" s="5"/>
      <c r="O2259" s="5"/>
      <c r="P2259" s="5"/>
      <c r="R2259" s="5"/>
    </row>
    <row r="2260" spans="14:18" ht="13">
      <c r="N2260" s="5"/>
      <c r="O2260" s="5"/>
      <c r="P2260" s="5"/>
      <c r="R2260" s="5"/>
    </row>
    <row r="2261" spans="14:18" ht="13">
      <c r="N2261" s="5"/>
      <c r="O2261" s="5"/>
      <c r="P2261" s="5"/>
      <c r="R2261" s="5"/>
    </row>
    <row r="2262" spans="14:18" ht="13">
      <c r="N2262" s="5"/>
      <c r="O2262" s="5"/>
      <c r="P2262" s="5"/>
      <c r="R2262" s="5"/>
    </row>
    <row r="2263" spans="14:18" ht="13">
      <c r="N2263" s="5"/>
      <c r="O2263" s="5"/>
      <c r="P2263" s="5"/>
      <c r="R2263" s="5"/>
    </row>
    <row r="2264" spans="14:18" ht="13">
      <c r="N2264" s="5"/>
      <c r="O2264" s="5"/>
      <c r="P2264" s="5"/>
      <c r="R2264" s="5"/>
    </row>
    <row r="2265" spans="14:18" ht="13">
      <c r="N2265" s="5"/>
      <c r="O2265" s="5"/>
      <c r="P2265" s="5"/>
      <c r="R2265" s="5"/>
    </row>
    <row r="2266" spans="14:18" ht="13">
      <c r="N2266" s="5"/>
      <c r="O2266" s="5"/>
      <c r="P2266" s="5"/>
      <c r="R2266" s="5"/>
    </row>
    <row r="2267" spans="14:18" ht="13">
      <c r="N2267" s="5"/>
      <c r="O2267" s="5"/>
      <c r="P2267" s="5"/>
      <c r="R2267" s="5"/>
    </row>
    <row r="2268" spans="14:18" ht="13">
      <c r="N2268" s="5"/>
      <c r="O2268" s="5"/>
      <c r="P2268" s="5"/>
      <c r="R2268" s="5"/>
    </row>
    <row r="2269" spans="14:18" ht="13">
      <c r="N2269" s="5"/>
      <c r="O2269" s="5"/>
      <c r="P2269" s="5"/>
      <c r="R2269" s="5"/>
    </row>
    <row r="2270" spans="14:18" ht="13">
      <c r="N2270" s="5"/>
      <c r="O2270" s="5"/>
      <c r="P2270" s="5"/>
      <c r="R2270" s="5"/>
    </row>
    <row r="2271" spans="14:18" ht="13">
      <c r="N2271" s="5"/>
      <c r="O2271" s="5"/>
      <c r="P2271" s="5"/>
      <c r="R2271" s="5"/>
    </row>
    <row r="2272" spans="14:18" ht="13">
      <c r="N2272" s="5"/>
      <c r="O2272" s="5"/>
      <c r="P2272" s="5"/>
      <c r="R2272" s="5"/>
    </row>
    <row r="2273" spans="14:18" ht="13">
      <c r="N2273" s="5"/>
      <c r="O2273" s="5"/>
      <c r="P2273" s="5"/>
      <c r="R2273" s="5"/>
    </row>
    <row r="2274" spans="14:18" ht="13">
      <c r="N2274" s="5"/>
      <c r="O2274" s="5"/>
      <c r="P2274" s="5"/>
      <c r="R2274" s="5"/>
    </row>
    <row r="2275" spans="14:18" ht="13">
      <c r="N2275" s="5"/>
      <c r="O2275" s="5"/>
      <c r="P2275" s="5"/>
      <c r="R2275" s="5"/>
    </row>
    <row r="2276" spans="14:18" ht="13">
      <c r="N2276" s="5"/>
      <c r="O2276" s="5"/>
      <c r="P2276" s="5"/>
      <c r="R2276" s="5"/>
    </row>
    <row r="2277" spans="14:18" ht="13">
      <c r="N2277" s="5"/>
      <c r="O2277" s="5"/>
      <c r="P2277" s="5"/>
      <c r="R2277" s="5"/>
    </row>
    <row r="2278" spans="14:18" ht="13">
      <c r="N2278" s="5"/>
      <c r="O2278" s="5"/>
      <c r="P2278" s="5"/>
      <c r="R2278" s="5"/>
    </row>
    <row r="2279" spans="14:18" ht="13">
      <c r="N2279" s="5"/>
      <c r="O2279" s="5"/>
      <c r="P2279" s="5"/>
      <c r="R2279" s="5"/>
    </row>
    <row r="2280" spans="14:18" ht="13">
      <c r="N2280" s="5"/>
      <c r="O2280" s="5"/>
      <c r="P2280" s="5"/>
      <c r="R2280" s="5"/>
    </row>
    <row r="2281" spans="14:18" ht="13">
      <c r="N2281" s="5"/>
      <c r="O2281" s="5"/>
      <c r="P2281" s="5"/>
      <c r="R2281" s="5"/>
    </row>
    <row r="2282" spans="14:18" ht="13">
      <c r="N2282" s="5"/>
      <c r="O2282" s="5"/>
      <c r="P2282" s="5"/>
      <c r="R2282" s="5"/>
    </row>
    <row r="2283" spans="14:18" ht="13">
      <c r="N2283" s="5"/>
      <c r="O2283" s="5"/>
      <c r="P2283" s="5"/>
      <c r="R2283" s="5"/>
    </row>
    <row r="2284" spans="14:18" ht="13">
      <c r="N2284" s="5"/>
      <c r="O2284" s="5"/>
      <c r="P2284" s="5"/>
      <c r="R2284" s="5"/>
    </row>
    <row r="2285" spans="14:18" ht="13">
      <c r="N2285" s="5"/>
      <c r="O2285" s="5"/>
      <c r="P2285" s="5"/>
      <c r="R2285" s="5"/>
    </row>
    <row r="2286" spans="14:18" ht="13">
      <c r="N2286" s="5"/>
      <c r="O2286" s="5"/>
      <c r="P2286" s="5"/>
      <c r="R2286" s="5"/>
    </row>
    <row r="2287" spans="14:18" ht="13">
      <c r="N2287" s="5"/>
      <c r="O2287" s="5"/>
      <c r="P2287" s="5"/>
      <c r="R2287" s="5"/>
    </row>
    <row r="2288" spans="14:18" ht="13">
      <c r="N2288" s="5"/>
      <c r="O2288" s="5"/>
      <c r="P2288" s="5"/>
      <c r="R2288" s="5"/>
    </row>
    <row r="2289" spans="14:18" ht="13">
      <c r="N2289" s="5"/>
      <c r="O2289" s="5"/>
      <c r="P2289" s="5"/>
      <c r="R2289" s="5"/>
    </row>
    <row r="2290" spans="14:18" ht="13">
      <c r="N2290" s="5"/>
      <c r="O2290" s="5"/>
      <c r="P2290" s="5"/>
      <c r="R2290" s="5"/>
    </row>
    <row r="2291" spans="14:18" ht="13">
      <c r="N2291" s="5"/>
      <c r="O2291" s="5"/>
      <c r="P2291" s="5"/>
      <c r="R2291" s="5"/>
    </row>
    <row r="2292" spans="14:18" ht="13">
      <c r="N2292" s="5"/>
      <c r="O2292" s="5"/>
      <c r="P2292" s="5"/>
      <c r="R2292" s="5"/>
    </row>
    <row r="2293" spans="14:18" ht="13">
      <c r="N2293" s="5"/>
      <c r="O2293" s="5"/>
      <c r="P2293" s="5"/>
      <c r="R2293" s="5"/>
    </row>
    <row r="2294" spans="14:18" ht="13">
      <c r="N2294" s="5"/>
      <c r="O2294" s="5"/>
      <c r="P2294" s="5"/>
      <c r="R2294" s="5"/>
    </row>
    <row r="2295" spans="14:18" ht="13">
      <c r="N2295" s="5"/>
      <c r="O2295" s="5"/>
      <c r="P2295" s="5"/>
      <c r="R2295" s="5"/>
    </row>
    <row r="2296" spans="14:18" ht="13">
      <c r="N2296" s="5"/>
      <c r="O2296" s="5"/>
      <c r="P2296" s="5"/>
      <c r="R2296" s="5"/>
    </row>
    <row r="2297" spans="14:18" ht="13">
      <c r="N2297" s="5"/>
      <c r="O2297" s="5"/>
      <c r="P2297" s="5"/>
      <c r="R2297" s="5"/>
    </row>
    <row r="2298" spans="14:18" ht="13">
      <c r="N2298" s="5"/>
      <c r="O2298" s="5"/>
      <c r="P2298" s="5"/>
      <c r="R2298" s="5"/>
    </row>
    <row r="2299" spans="14:18" ht="13">
      <c r="N2299" s="5"/>
      <c r="O2299" s="5"/>
      <c r="P2299" s="5"/>
      <c r="R2299" s="5"/>
    </row>
    <row r="2300" spans="14:18" ht="13">
      <c r="N2300" s="5"/>
      <c r="O2300" s="5"/>
      <c r="P2300" s="5"/>
      <c r="R2300" s="5"/>
    </row>
    <row r="2301" spans="14:18" ht="13">
      <c r="N2301" s="5"/>
      <c r="O2301" s="5"/>
      <c r="P2301" s="5"/>
      <c r="R2301" s="5"/>
    </row>
    <row r="2302" spans="14:18" ht="13">
      <c r="N2302" s="5"/>
      <c r="O2302" s="5"/>
      <c r="P2302" s="5"/>
      <c r="R2302" s="5"/>
    </row>
    <row r="2303" spans="14:18" ht="13">
      <c r="N2303" s="5"/>
      <c r="O2303" s="5"/>
      <c r="P2303" s="5"/>
      <c r="R2303" s="5"/>
    </row>
    <row r="2304" spans="14:18" ht="13">
      <c r="N2304" s="5"/>
      <c r="O2304" s="5"/>
      <c r="P2304" s="5"/>
      <c r="R2304" s="5"/>
    </row>
    <row r="2305" spans="14:18" ht="13">
      <c r="N2305" s="5"/>
      <c r="O2305" s="5"/>
      <c r="P2305" s="5"/>
      <c r="R2305" s="5"/>
    </row>
    <row r="2306" spans="14:18" ht="13">
      <c r="N2306" s="5"/>
      <c r="O2306" s="5"/>
      <c r="P2306" s="5"/>
      <c r="R2306" s="5"/>
    </row>
    <row r="2307" spans="14:18" ht="13">
      <c r="N2307" s="5"/>
      <c r="O2307" s="5"/>
      <c r="P2307" s="5"/>
      <c r="R2307" s="5"/>
    </row>
    <row r="2308" spans="14:18" ht="13">
      <c r="N2308" s="5"/>
      <c r="O2308" s="5"/>
      <c r="P2308" s="5"/>
      <c r="R2308" s="5"/>
    </row>
    <row r="2309" spans="14:18" ht="13">
      <c r="N2309" s="5"/>
      <c r="O2309" s="5"/>
      <c r="P2309" s="5"/>
      <c r="R2309" s="5"/>
    </row>
    <row r="2310" spans="14:18" ht="13">
      <c r="N2310" s="5"/>
      <c r="O2310" s="5"/>
      <c r="P2310" s="5"/>
      <c r="R2310" s="5"/>
    </row>
    <row r="2311" spans="14:18" ht="13">
      <c r="N2311" s="5"/>
      <c r="O2311" s="5"/>
      <c r="P2311" s="5"/>
      <c r="R2311" s="5"/>
    </row>
    <row r="2312" spans="14:18" ht="13">
      <c r="N2312" s="5"/>
      <c r="O2312" s="5"/>
      <c r="P2312" s="5"/>
      <c r="R2312" s="5"/>
    </row>
    <row r="2313" spans="14:18" ht="13">
      <c r="N2313" s="5"/>
      <c r="O2313" s="5"/>
      <c r="P2313" s="5"/>
      <c r="R2313" s="5"/>
    </row>
    <row r="2314" spans="14:18" ht="13">
      <c r="N2314" s="5"/>
      <c r="O2314" s="5"/>
      <c r="P2314" s="5"/>
      <c r="R2314" s="5"/>
    </row>
    <row r="2315" spans="14:18" ht="13">
      <c r="N2315" s="5"/>
      <c r="O2315" s="5"/>
      <c r="P2315" s="5"/>
      <c r="R2315" s="5"/>
    </row>
    <row r="2316" spans="14:18" ht="13">
      <c r="N2316" s="5"/>
      <c r="O2316" s="5"/>
      <c r="P2316" s="5"/>
      <c r="R2316" s="5"/>
    </row>
    <row r="2317" spans="14:18" ht="13">
      <c r="N2317" s="5"/>
      <c r="O2317" s="5"/>
      <c r="P2317" s="5"/>
      <c r="R2317" s="5"/>
    </row>
    <row r="2318" spans="14:18" ht="13">
      <c r="N2318" s="5"/>
      <c r="O2318" s="5"/>
      <c r="P2318" s="5"/>
      <c r="R2318" s="5"/>
    </row>
    <row r="2319" spans="14:18" ht="13">
      <c r="N2319" s="5"/>
      <c r="O2319" s="5"/>
      <c r="P2319" s="5"/>
      <c r="R2319" s="5"/>
    </row>
    <row r="2320" spans="14:18" ht="13">
      <c r="N2320" s="5"/>
      <c r="O2320" s="5"/>
      <c r="P2320" s="5"/>
      <c r="R2320" s="5"/>
    </row>
    <row r="2321" spans="14:18" ht="13">
      <c r="N2321" s="5"/>
      <c r="O2321" s="5"/>
      <c r="P2321" s="5"/>
      <c r="R2321" s="5"/>
    </row>
    <row r="2322" spans="14:18" ht="13">
      <c r="N2322" s="5"/>
      <c r="O2322" s="5"/>
      <c r="P2322" s="5"/>
      <c r="R2322" s="5"/>
    </row>
    <row r="2323" spans="14:18" ht="13">
      <c r="N2323" s="5"/>
      <c r="O2323" s="5"/>
      <c r="P2323" s="5"/>
      <c r="R2323" s="5"/>
    </row>
    <row r="2324" spans="14:18" ht="13">
      <c r="N2324" s="5"/>
      <c r="O2324" s="5"/>
      <c r="P2324" s="5"/>
      <c r="R2324" s="5"/>
    </row>
    <row r="2325" spans="14:18" ht="13">
      <c r="N2325" s="5"/>
      <c r="O2325" s="5"/>
      <c r="P2325" s="5"/>
      <c r="R2325" s="5"/>
    </row>
    <row r="2326" spans="14:18" ht="13">
      <c r="N2326" s="5"/>
      <c r="O2326" s="5"/>
      <c r="P2326" s="5"/>
      <c r="R2326" s="5"/>
    </row>
    <row r="2327" spans="14:18" ht="13">
      <c r="N2327" s="5"/>
      <c r="O2327" s="5"/>
      <c r="P2327" s="5"/>
      <c r="R2327" s="5"/>
    </row>
    <row r="2328" spans="14:18" ht="13">
      <c r="N2328" s="5"/>
      <c r="O2328" s="5"/>
      <c r="P2328" s="5"/>
      <c r="R2328" s="5"/>
    </row>
    <row r="2329" spans="14:18" ht="13">
      <c r="N2329" s="5"/>
      <c r="O2329" s="5"/>
      <c r="P2329" s="5"/>
      <c r="R2329" s="5"/>
    </row>
    <row r="2330" spans="14:18" ht="13">
      <c r="N2330" s="5"/>
      <c r="O2330" s="5"/>
      <c r="P2330" s="5"/>
      <c r="R2330" s="5"/>
    </row>
    <row r="2331" spans="14:18" ht="13">
      <c r="N2331" s="5"/>
      <c r="O2331" s="5"/>
      <c r="P2331" s="5"/>
      <c r="R2331" s="5"/>
    </row>
    <row r="2332" spans="14:18" ht="13">
      <c r="N2332" s="5"/>
      <c r="O2332" s="5"/>
      <c r="P2332" s="5"/>
      <c r="R2332" s="5"/>
    </row>
    <row r="2333" spans="14:18" ht="13">
      <c r="N2333" s="5"/>
      <c r="O2333" s="5"/>
      <c r="P2333" s="5"/>
      <c r="R2333" s="5"/>
    </row>
    <row r="2334" spans="14:18" ht="13">
      <c r="N2334" s="5"/>
      <c r="O2334" s="5"/>
      <c r="P2334" s="5"/>
      <c r="R2334" s="5"/>
    </row>
    <row r="2335" spans="14:18" ht="13">
      <c r="N2335" s="5"/>
      <c r="O2335" s="5"/>
      <c r="P2335" s="5"/>
      <c r="R2335" s="5"/>
    </row>
    <row r="2336" spans="14:18" ht="13">
      <c r="N2336" s="5"/>
      <c r="O2336" s="5"/>
      <c r="P2336" s="5"/>
      <c r="R2336" s="5"/>
    </row>
    <row r="2337" spans="14:18" ht="13">
      <c r="N2337" s="5"/>
      <c r="O2337" s="5"/>
      <c r="P2337" s="5"/>
      <c r="R2337" s="5"/>
    </row>
    <row r="2338" spans="14:18" ht="13">
      <c r="N2338" s="5"/>
      <c r="O2338" s="5"/>
      <c r="P2338" s="5"/>
      <c r="R2338" s="5"/>
    </row>
    <row r="2339" spans="14:18" ht="13">
      <c r="N2339" s="5"/>
      <c r="O2339" s="5"/>
      <c r="P2339" s="5"/>
      <c r="R2339" s="5"/>
    </row>
    <row r="2340" spans="14:18" ht="13">
      <c r="N2340" s="5"/>
      <c r="O2340" s="5"/>
      <c r="P2340" s="5"/>
      <c r="R2340" s="5"/>
    </row>
    <row r="2341" spans="14:18" ht="13">
      <c r="N2341" s="5"/>
      <c r="O2341" s="5"/>
      <c r="P2341" s="5"/>
      <c r="R2341" s="5"/>
    </row>
    <row r="2342" spans="14:18" ht="13">
      <c r="N2342" s="5"/>
      <c r="O2342" s="5"/>
      <c r="P2342" s="5"/>
      <c r="R2342" s="5"/>
    </row>
    <row r="2343" spans="14:18" ht="13">
      <c r="N2343" s="5"/>
      <c r="O2343" s="5"/>
      <c r="P2343" s="5"/>
      <c r="R2343" s="5"/>
    </row>
    <row r="2344" spans="14:18" ht="13">
      <c r="N2344" s="5"/>
      <c r="O2344" s="5"/>
      <c r="P2344" s="5"/>
      <c r="R2344" s="5"/>
    </row>
    <row r="2345" spans="14:18" ht="13">
      <c r="N2345" s="5"/>
      <c r="O2345" s="5"/>
      <c r="P2345" s="5"/>
      <c r="R2345" s="5"/>
    </row>
    <row r="2346" spans="14:18" ht="13">
      <c r="N2346" s="5"/>
      <c r="O2346" s="5"/>
      <c r="P2346" s="5"/>
      <c r="R2346" s="5"/>
    </row>
    <row r="2347" spans="14:18" ht="13">
      <c r="N2347" s="5"/>
      <c r="O2347" s="5"/>
      <c r="P2347" s="5"/>
      <c r="R2347" s="5"/>
    </row>
    <row r="2348" spans="14:18" ht="13">
      <c r="N2348" s="5"/>
      <c r="O2348" s="5"/>
      <c r="P2348" s="5"/>
      <c r="R2348" s="5"/>
    </row>
    <row r="2349" spans="14:18" ht="13">
      <c r="N2349" s="5"/>
      <c r="O2349" s="5"/>
      <c r="P2349" s="5"/>
      <c r="R2349" s="5"/>
    </row>
    <row r="2350" spans="14:18" ht="13">
      <c r="N2350" s="5"/>
      <c r="O2350" s="5"/>
      <c r="P2350" s="5"/>
      <c r="R2350" s="5"/>
    </row>
    <row r="2351" spans="14:18" ht="13">
      <c r="N2351" s="5"/>
      <c r="O2351" s="5"/>
      <c r="P2351" s="5"/>
      <c r="R2351" s="5"/>
    </row>
    <row r="2352" spans="14:18" ht="13">
      <c r="N2352" s="5"/>
      <c r="O2352" s="5"/>
      <c r="P2352" s="5"/>
      <c r="R2352" s="5"/>
    </row>
    <row r="2353" spans="14:18" ht="13">
      <c r="N2353" s="5"/>
      <c r="O2353" s="5"/>
      <c r="P2353" s="5"/>
      <c r="R2353" s="5"/>
    </row>
    <row r="2354" spans="14:18" ht="13">
      <c r="N2354" s="5"/>
      <c r="O2354" s="5"/>
      <c r="P2354" s="5"/>
      <c r="R2354" s="5"/>
    </row>
    <row r="2355" spans="14:18" ht="13">
      <c r="N2355" s="5"/>
      <c r="O2355" s="5"/>
      <c r="P2355" s="5"/>
      <c r="R2355" s="5"/>
    </row>
    <row r="2356" spans="14:18" ht="13">
      <c r="N2356" s="5"/>
      <c r="O2356" s="5"/>
      <c r="P2356" s="5"/>
      <c r="R2356" s="5"/>
    </row>
    <row r="2357" spans="14:18" ht="13">
      <c r="N2357" s="5"/>
      <c r="O2357" s="5"/>
      <c r="P2357" s="5"/>
      <c r="R2357" s="5"/>
    </row>
    <row r="2358" spans="14:18" ht="13">
      <c r="N2358" s="5"/>
      <c r="O2358" s="5"/>
      <c r="P2358" s="5"/>
      <c r="R2358" s="5"/>
    </row>
    <row r="2359" spans="14:18" ht="13">
      <c r="N2359" s="5"/>
      <c r="O2359" s="5"/>
      <c r="P2359" s="5"/>
      <c r="R2359" s="5"/>
    </row>
    <row r="2360" spans="14:18" ht="13">
      <c r="N2360" s="5"/>
      <c r="O2360" s="5"/>
      <c r="P2360" s="5"/>
      <c r="R2360" s="5"/>
    </row>
    <row r="2361" spans="14:18" ht="13">
      <c r="N2361" s="5"/>
      <c r="O2361" s="5"/>
      <c r="P2361" s="5"/>
      <c r="R2361" s="5"/>
    </row>
    <row r="2362" spans="14:18" ht="13">
      <c r="N2362" s="5"/>
      <c r="O2362" s="5"/>
      <c r="P2362" s="5"/>
      <c r="R2362" s="5"/>
    </row>
    <row r="2363" spans="14:18" ht="13">
      <c r="N2363" s="5"/>
      <c r="O2363" s="5"/>
      <c r="P2363" s="5"/>
      <c r="R2363" s="5"/>
    </row>
    <row r="2364" spans="14:18" ht="13">
      <c r="N2364" s="5"/>
      <c r="O2364" s="5"/>
      <c r="P2364" s="5"/>
      <c r="R2364" s="5"/>
    </row>
    <row r="2365" spans="14:18" ht="13">
      <c r="N2365" s="5"/>
      <c r="O2365" s="5"/>
      <c r="P2365" s="5"/>
      <c r="R2365" s="5"/>
    </row>
    <row r="2366" spans="14:18" ht="13">
      <c r="N2366" s="5"/>
      <c r="O2366" s="5"/>
      <c r="P2366" s="5"/>
      <c r="R2366" s="5"/>
    </row>
    <row r="2367" spans="14:18" ht="13">
      <c r="N2367" s="5"/>
      <c r="O2367" s="5"/>
      <c r="P2367" s="5"/>
      <c r="R2367" s="5"/>
    </row>
    <row r="2368" spans="14:18" ht="13">
      <c r="N2368" s="5"/>
      <c r="O2368" s="5"/>
      <c r="P2368" s="5"/>
      <c r="R2368" s="5"/>
    </row>
    <row r="2369" spans="14:18" ht="13">
      <c r="N2369" s="5"/>
      <c r="O2369" s="5"/>
      <c r="P2369" s="5"/>
      <c r="R2369" s="5"/>
    </row>
    <row r="2370" spans="14:18" ht="13">
      <c r="N2370" s="5"/>
      <c r="O2370" s="5"/>
      <c r="P2370" s="5"/>
      <c r="R2370" s="5"/>
    </row>
    <row r="2371" spans="14:18" ht="13">
      <c r="N2371" s="5"/>
      <c r="O2371" s="5"/>
      <c r="P2371" s="5"/>
      <c r="R2371" s="5"/>
    </row>
    <row r="2372" spans="14:18" ht="13">
      <c r="N2372" s="5"/>
      <c r="O2372" s="5"/>
      <c r="P2372" s="5"/>
      <c r="R2372" s="5"/>
    </row>
    <row r="2373" spans="14:18" ht="13">
      <c r="N2373" s="5"/>
      <c r="O2373" s="5"/>
      <c r="P2373" s="5"/>
      <c r="R2373" s="5"/>
    </row>
    <row r="2374" spans="14:18" ht="13">
      <c r="N2374" s="5"/>
      <c r="O2374" s="5"/>
      <c r="P2374" s="5"/>
      <c r="R2374" s="5"/>
    </row>
    <row r="2375" spans="14:18" ht="13">
      <c r="N2375" s="5"/>
      <c r="O2375" s="5"/>
      <c r="P2375" s="5"/>
      <c r="R2375" s="5"/>
    </row>
    <row r="2376" spans="14:18" ht="13">
      <c r="N2376" s="5"/>
      <c r="O2376" s="5"/>
      <c r="P2376" s="5"/>
      <c r="R2376" s="5"/>
    </row>
    <row r="2377" spans="14:18" ht="13">
      <c r="N2377" s="5"/>
      <c r="O2377" s="5"/>
      <c r="P2377" s="5"/>
      <c r="R2377" s="5"/>
    </row>
    <row r="2378" spans="14:18" ht="13">
      <c r="N2378" s="5"/>
      <c r="O2378" s="5"/>
      <c r="P2378" s="5"/>
      <c r="R2378" s="5"/>
    </row>
    <row r="2379" spans="14:18" ht="13">
      <c r="N2379" s="5"/>
      <c r="O2379" s="5"/>
      <c r="P2379" s="5"/>
      <c r="R2379" s="5"/>
    </row>
    <row r="2380" spans="14:18" ht="13">
      <c r="N2380" s="5"/>
      <c r="O2380" s="5"/>
      <c r="P2380" s="5"/>
      <c r="R2380" s="5"/>
    </row>
    <row r="2381" spans="14:18" ht="13">
      <c r="N2381" s="5"/>
      <c r="O2381" s="5"/>
      <c r="P2381" s="5"/>
      <c r="R2381" s="5"/>
    </row>
    <row r="2382" spans="14:18" ht="13">
      <c r="N2382" s="5"/>
      <c r="O2382" s="5"/>
      <c r="P2382" s="5"/>
      <c r="R2382" s="5"/>
    </row>
    <row r="2383" spans="14:18" ht="13">
      <c r="N2383" s="5"/>
      <c r="O2383" s="5"/>
      <c r="P2383" s="5"/>
      <c r="R2383" s="5"/>
    </row>
    <row r="2384" spans="14:18" ht="13">
      <c r="N2384" s="5"/>
      <c r="O2384" s="5"/>
      <c r="P2384" s="5"/>
      <c r="R2384" s="5"/>
    </row>
    <row r="2385" spans="14:18" ht="13">
      <c r="N2385" s="5"/>
      <c r="O2385" s="5"/>
      <c r="P2385" s="5"/>
      <c r="R2385" s="5"/>
    </row>
    <row r="2386" spans="14:18" ht="13">
      <c r="N2386" s="5"/>
      <c r="O2386" s="5"/>
      <c r="P2386" s="5"/>
      <c r="R2386" s="5"/>
    </row>
    <row r="2387" spans="14:18" ht="13">
      <c r="N2387" s="5"/>
      <c r="O2387" s="5"/>
      <c r="P2387" s="5"/>
      <c r="R2387" s="5"/>
    </row>
    <row r="2388" spans="14:18" ht="13">
      <c r="N2388" s="5"/>
      <c r="O2388" s="5"/>
      <c r="P2388" s="5"/>
      <c r="R2388" s="5"/>
    </row>
    <row r="2389" spans="14:18" ht="13">
      <c r="N2389" s="5"/>
      <c r="O2389" s="5"/>
      <c r="P2389" s="5"/>
      <c r="R2389" s="5"/>
    </row>
    <row r="2390" spans="14:18" ht="13">
      <c r="N2390" s="5"/>
      <c r="O2390" s="5"/>
      <c r="P2390" s="5"/>
      <c r="R2390" s="5"/>
    </row>
    <row r="2391" spans="14:18" ht="13">
      <c r="N2391" s="5"/>
      <c r="O2391" s="5"/>
      <c r="P2391" s="5"/>
      <c r="R2391" s="5"/>
    </row>
    <row r="2392" spans="14:18" ht="13">
      <c r="N2392" s="5"/>
      <c r="O2392" s="5"/>
      <c r="P2392" s="5"/>
      <c r="R2392" s="5"/>
    </row>
    <row r="2393" spans="14:18" ht="13">
      <c r="N2393" s="5"/>
      <c r="O2393" s="5"/>
      <c r="P2393" s="5"/>
      <c r="R2393" s="5"/>
    </row>
    <row r="2394" spans="14:18" ht="13">
      <c r="N2394" s="5"/>
      <c r="O2394" s="5"/>
      <c r="P2394" s="5"/>
      <c r="R2394" s="5"/>
    </row>
    <row r="2395" spans="14:18" ht="13">
      <c r="N2395" s="5"/>
      <c r="O2395" s="5"/>
      <c r="P2395" s="5"/>
      <c r="R2395" s="5"/>
    </row>
    <row r="2396" spans="14:18" ht="13">
      <c r="N2396" s="5"/>
      <c r="O2396" s="5"/>
      <c r="P2396" s="5"/>
      <c r="R2396" s="5"/>
    </row>
    <row r="2397" spans="14:18" ht="13">
      <c r="N2397" s="5"/>
      <c r="O2397" s="5"/>
      <c r="P2397" s="5"/>
      <c r="R2397" s="5"/>
    </row>
    <row r="2398" spans="14:18" ht="13">
      <c r="N2398" s="5"/>
      <c r="O2398" s="5"/>
      <c r="P2398" s="5"/>
      <c r="R2398" s="5"/>
    </row>
    <row r="2399" spans="14:18" ht="13">
      <c r="N2399" s="5"/>
      <c r="O2399" s="5"/>
      <c r="P2399" s="5"/>
      <c r="R2399" s="5"/>
    </row>
    <row r="2400" spans="14:18" ht="13">
      <c r="N2400" s="5"/>
      <c r="O2400" s="5"/>
      <c r="P2400" s="5"/>
      <c r="R2400" s="5"/>
    </row>
    <row r="2401" spans="14:18" ht="13">
      <c r="N2401" s="5"/>
      <c r="O2401" s="5"/>
      <c r="P2401" s="5"/>
      <c r="R2401" s="5"/>
    </row>
    <row r="2402" spans="14:18" ht="13">
      <c r="N2402" s="5"/>
      <c r="O2402" s="5"/>
      <c r="P2402" s="5"/>
      <c r="R2402" s="5"/>
    </row>
    <row r="2403" spans="14:18" ht="13">
      <c r="N2403" s="5"/>
      <c r="O2403" s="5"/>
      <c r="P2403" s="5"/>
      <c r="R2403" s="5"/>
    </row>
    <row r="2404" spans="14:18" ht="13">
      <c r="N2404" s="5"/>
      <c r="O2404" s="5"/>
      <c r="P2404" s="5"/>
      <c r="R2404" s="5"/>
    </row>
    <row r="2405" spans="14:18" ht="13">
      <c r="N2405" s="5"/>
      <c r="O2405" s="5"/>
      <c r="P2405" s="5"/>
      <c r="R2405" s="5"/>
    </row>
    <row r="2406" spans="14:18" ht="13">
      <c r="N2406" s="5"/>
      <c r="O2406" s="5"/>
      <c r="P2406" s="5"/>
      <c r="R2406" s="5"/>
    </row>
    <row r="2407" spans="14:18" ht="13">
      <c r="N2407" s="5"/>
      <c r="O2407" s="5"/>
      <c r="P2407" s="5"/>
      <c r="R2407" s="5"/>
    </row>
    <row r="2408" spans="14:18" ht="13">
      <c r="N2408" s="5"/>
      <c r="O2408" s="5"/>
      <c r="P2408" s="5"/>
      <c r="R2408" s="5"/>
    </row>
    <row r="2409" spans="14:18" ht="13">
      <c r="N2409" s="5"/>
      <c r="O2409" s="5"/>
      <c r="P2409" s="5"/>
      <c r="R2409" s="5"/>
    </row>
    <row r="2410" spans="14:18" ht="13">
      <c r="N2410" s="5"/>
      <c r="O2410" s="5"/>
      <c r="P2410" s="5"/>
      <c r="R2410" s="5"/>
    </row>
    <row r="2411" spans="14:18" ht="13">
      <c r="N2411" s="5"/>
      <c r="O2411" s="5"/>
      <c r="P2411" s="5"/>
      <c r="R2411" s="5"/>
    </row>
    <row r="2412" spans="14:18" ht="13">
      <c r="N2412" s="5"/>
      <c r="O2412" s="5"/>
      <c r="P2412" s="5"/>
      <c r="R2412" s="5"/>
    </row>
    <row r="2413" spans="14:18" ht="13">
      <c r="N2413" s="5"/>
      <c r="O2413" s="5"/>
      <c r="P2413" s="5"/>
      <c r="R2413" s="5"/>
    </row>
    <row r="2414" spans="14:18" ht="13">
      <c r="N2414" s="5"/>
      <c r="O2414" s="5"/>
      <c r="P2414" s="5"/>
      <c r="R2414" s="5"/>
    </row>
    <row r="2415" spans="14:18" ht="13">
      <c r="N2415" s="5"/>
      <c r="O2415" s="5"/>
      <c r="P2415" s="5"/>
      <c r="R2415" s="5"/>
    </row>
    <row r="2416" spans="14:18" ht="13">
      <c r="N2416" s="5"/>
      <c r="O2416" s="5"/>
      <c r="P2416" s="5"/>
      <c r="R2416" s="5"/>
    </row>
    <row r="2417" spans="14:18" ht="13">
      <c r="N2417" s="5"/>
      <c r="O2417" s="5"/>
      <c r="P2417" s="5"/>
      <c r="R2417" s="5"/>
    </row>
    <row r="2418" spans="14:18" ht="13">
      <c r="N2418" s="5"/>
      <c r="O2418" s="5"/>
      <c r="P2418" s="5"/>
      <c r="R2418" s="5"/>
    </row>
    <row r="2419" spans="14:18" ht="13">
      <c r="N2419" s="5"/>
      <c r="O2419" s="5"/>
      <c r="P2419" s="5"/>
      <c r="R2419" s="5"/>
    </row>
    <row r="2420" spans="14:18" ht="13">
      <c r="N2420" s="5"/>
      <c r="O2420" s="5"/>
      <c r="P2420" s="5"/>
      <c r="R2420" s="5"/>
    </row>
    <row r="2421" spans="14:18" ht="13">
      <c r="N2421" s="5"/>
      <c r="O2421" s="5"/>
      <c r="P2421" s="5"/>
      <c r="R2421" s="5"/>
    </row>
    <row r="2422" spans="14:18" ht="13">
      <c r="N2422" s="5"/>
      <c r="O2422" s="5"/>
      <c r="P2422" s="5"/>
      <c r="R2422" s="5"/>
    </row>
    <row r="2423" spans="14:18" ht="13">
      <c r="N2423" s="5"/>
      <c r="O2423" s="5"/>
      <c r="P2423" s="5"/>
      <c r="R2423" s="5"/>
    </row>
    <row r="2424" spans="14:18" ht="13">
      <c r="N2424" s="5"/>
      <c r="O2424" s="5"/>
      <c r="P2424" s="5"/>
      <c r="R2424" s="5"/>
    </row>
    <row r="2425" spans="14:18" ht="13">
      <c r="N2425" s="5"/>
      <c r="O2425" s="5"/>
      <c r="P2425" s="5"/>
      <c r="R2425" s="5"/>
    </row>
    <row r="2426" spans="14:18" ht="13">
      <c r="N2426" s="5"/>
      <c r="O2426" s="5"/>
      <c r="P2426" s="5"/>
      <c r="R2426" s="5"/>
    </row>
    <row r="2427" spans="14:18" ht="13">
      <c r="N2427" s="5"/>
      <c r="O2427" s="5"/>
      <c r="P2427" s="5"/>
      <c r="R2427" s="5"/>
    </row>
    <row r="2428" spans="14:18" ht="13">
      <c r="N2428" s="5"/>
      <c r="O2428" s="5"/>
      <c r="P2428" s="5"/>
      <c r="R2428" s="5"/>
    </row>
    <row r="2429" spans="14:18" ht="13">
      <c r="N2429" s="5"/>
      <c r="O2429" s="5"/>
      <c r="P2429" s="5"/>
      <c r="R2429" s="5"/>
    </row>
    <row r="2430" spans="14:18" ht="13">
      <c r="N2430" s="5"/>
      <c r="O2430" s="5"/>
      <c r="P2430" s="5"/>
      <c r="R2430" s="5"/>
    </row>
    <row r="2431" spans="14:18" ht="13">
      <c r="N2431" s="5"/>
      <c r="O2431" s="5"/>
      <c r="P2431" s="5"/>
      <c r="R2431" s="5"/>
    </row>
    <row r="2432" spans="14:18" ht="13">
      <c r="N2432" s="5"/>
      <c r="O2432" s="5"/>
      <c r="P2432" s="5"/>
      <c r="R2432" s="5"/>
    </row>
    <row r="2433" spans="14:18" ht="13">
      <c r="N2433" s="5"/>
      <c r="O2433" s="5"/>
      <c r="P2433" s="5"/>
      <c r="R2433" s="5"/>
    </row>
    <row r="2434" spans="14:18" ht="13">
      <c r="N2434" s="5"/>
      <c r="O2434" s="5"/>
      <c r="P2434" s="5"/>
      <c r="R2434" s="5"/>
    </row>
    <row r="2435" spans="14:18" ht="13">
      <c r="N2435" s="5"/>
      <c r="O2435" s="5"/>
      <c r="P2435" s="5"/>
      <c r="R2435" s="5"/>
    </row>
    <row r="2436" spans="14:18" ht="13">
      <c r="N2436" s="5"/>
      <c r="O2436" s="5"/>
      <c r="P2436" s="5"/>
      <c r="R2436" s="5"/>
    </row>
    <row r="2437" spans="14:18" ht="13">
      <c r="N2437" s="5"/>
      <c r="O2437" s="5"/>
      <c r="P2437" s="5"/>
      <c r="R2437" s="5"/>
    </row>
    <row r="2438" spans="14:18" ht="13">
      <c r="N2438" s="5"/>
      <c r="O2438" s="5"/>
      <c r="P2438" s="5"/>
      <c r="R2438" s="5"/>
    </row>
    <row r="2439" spans="14:18" ht="13">
      <c r="N2439" s="5"/>
      <c r="O2439" s="5"/>
      <c r="P2439" s="5"/>
      <c r="R2439" s="5"/>
    </row>
    <row r="2440" spans="14:18" ht="13">
      <c r="N2440" s="5"/>
      <c r="O2440" s="5"/>
      <c r="P2440" s="5"/>
      <c r="R2440" s="5"/>
    </row>
    <row r="2441" spans="14:18" ht="13">
      <c r="N2441" s="5"/>
      <c r="O2441" s="5"/>
      <c r="P2441" s="5"/>
      <c r="R2441" s="5"/>
    </row>
    <row r="2442" spans="14:18" ht="13">
      <c r="N2442" s="5"/>
      <c r="O2442" s="5"/>
      <c r="P2442" s="5"/>
      <c r="R2442" s="5"/>
    </row>
    <row r="2443" spans="14:18" ht="13">
      <c r="N2443" s="5"/>
      <c r="O2443" s="5"/>
      <c r="P2443" s="5"/>
      <c r="R2443" s="5"/>
    </row>
    <row r="2444" spans="14:18" ht="13">
      <c r="N2444" s="5"/>
      <c r="O2444" s="5"/>
      <c r="P2444" s="5"/>
      <c r="R2444" s="5"/>
    </row>
    <row r="2445" spans="14:18" ht="13">
      <c r="N2445" s="5"/>
      <c r="O2445" s="5"/>
      <c r="P2445" s="5"/>
      <c r="R2445" s="5"/>
    </row>
    <row r="2446" spans="14:18" ht="13">
      <c r="N2446" s="5"/>
      <c r="O2446" s="5"/>
      <c r="P2446" s="5"/>
      <c r="R2446" s="5"/>
    </row>
    <row r="2447" spans="14:18" ht="13">
      <c r="N2447" s="5"/>
      <c r="O2447" s="5"/>
      <c r="P2447" s="5"/>
      <c r="R2447" s="5"/>
    </row>
    <row r="2448" spans="14:18" ht="13">
      <c r="N2448" s="5"/>
      <c r="O2448" s="5"/>
      <c r="P2448" s="5"/>
      <c r="R2448" s="5"/>
    </row>
    <row r="2449" spans="14:18" ht="13">
      <c r="N2449" s="5"/>
      <c r="O2449" s="5"/>
      <c r="P2449" s="5"/>
      <c r="R2449" s="5"/>
    </row>
    <row r="2450" spans="14:18" ht="13">
      <c r="N2450" s="5"/>
      <c r="O2450" s="5"/>
      <c r="P2450" s="5"/>
      <c r="R2450" s="5"/>
    </row>
    <row r="2451" spans="14:18" ht="13">
      <c r="N2451" s="5"/>
      <c r="O2451" s="5"/>
      <c r="P2451" s="5"/>
      <c r="R2451" s="5"/>
    </row>
    <row r="2452" spans="14:18" ht="13">
      <c r="N2452" s="5"/>
      <c r="O2452" s="5"/>
      <c r="P2452" s="5"/>
      <c r="R2452" s="5"/>
    </row>
    <row r="2453" spans="14:18" ht="13">
      <c r="N2453" s="5"/>
      <c r="O2453" s="5"/>
      <c r="P2453" s="5"/>
      <c r="R2453" s="5"/>
    </row>
    <row r="2454" spans="14:18" ht="13">
      <c r="N2454" s="5"/>
      <c r="O2454" s="5"/>
      <c r="P2454" s="5"/>
      <c r="R2454" s="5"/>
    </row>
    <row r="2455" spans="14:18" ht="13">
      <c r="N2455" s="5"/>
      <c r="O2455" s="5"/>
      <c r="P2455" s="5"/>
      <c r="R2455" s="5"/>
    </row>
    <row r="2456" spans="14:18" ht="13">
      <c r="N2456" s="5"/>
      <c r="O2456" s="5"/>
      <c r="P2456" s="5"/>
      <c r="R2456" s="5"/>
    </row>
    <row r="2457" spans="14:18" ht="13">
      <c r="N2457" s="5"/>
      <c r="O2457" s="5"/>
      <c r="P2457" s="5"/>
      <c r="R2457" s="5"/>
    </row>
    <row r="2458" spans="14:18" ht="13">
      <c r="N2458" s="5"/>
      <c r="O2458" s="5"/>
      <c r="P2458" s="5"/>
      <c r="R2458" s="5"/>
    </row>
    <row r="2459" spans="14:18" ht="13">
      <c r="N2459" s="5"/>
      <c r="O2459" s="5"/>
      <c r="P2459" s="5"/>
      <c r="R2459" s="5"/>
    </row>
    <row r="2460" spans="14:18" ht="13">
      <c r="N2460" s="5"/>
      <c r="O2460" s="5"/>
      <c r="P2460" s="5"/>
      <c r="R2460" s="5"/>
    </row>
    <row r="2461" spans="14:18" ht="13">
      <c r="N2461" s="5"/>
      <c r="O2461" s="5"/>
      <c r="P2461" s="5"/>
      <c r="R2461" s="5"/>
    </row>
    <row r="2462" spans="14:18" ht="13">
      <c r="N2462" s="5"/>
      <c r="O2462" s="5"/>
      <c r="P2462" s="5"/>
      <c r="R2462" s="5"/>
    </row>
    <row r="2463" spans="14:18" ht="13">
      <c r="N2463" s="5"/>
      <c r="O2463" s="5"/>
      <c r="P2463" s="5"/>
      <c r="R2463" s="5"/>
    </row>
    <row r="2464" spans="14:18" ht="13">
      <c r="N2464" s="5"/>
      <c r="O2464" s="5"/>
      <c r="P2464" s="5"/>
      <c r="R2464" s="5"/>
    </row>
    <row r="2465" spans="14:18" ht="13">
      <c r="N2465" s="5"/>
      <c r="O2465" s="5"/>
      <c r="P2465" s="5"/>
      <c r="R2465" s="5"/>
    </row>
    <row r="2466" spans="14:18" ht="13">
      <c r="N2466" s="5"/>
      <c r="O2466" s="5"/>
      <c r="P2466" s="5"/>
      <c r="R2466" s="5"/>
    </row>
    <row r="2467" spans="14:18" ht="13">
      <c r="N2467" s="5"/>
      <c r="O2467" s="5"/>
      <c r="P2467" s="5"/>
      <c r="R2467" s="5"/>
    </row>
    <row r="2468" spans="14:18" ht="13">
      <c r="N2468" s="5"/>
      <c r="O2468" s="5"/>
      <c r="P2468" s="5"/>
      <c r="R2468" s="5"/>
    </row>
    <row r="2469" spans="14:18" ht="13">
      <c r="N2469" s="5"/>
      <c r="O2469" s="5"/>
      <c r="P2469" s="5"/>
      <c r="R2469" s="5"/>
    </row>
    <row r="2470" spans="14:18" ht="13">
      <c r="N2470" s="5"/>
      <c r="O2470" s="5"/>
      <c r="P2470" s="5"/>
      <c r="R2470" s="5"/>
    </row>
    <row r="2471" spans="14:18" ht="13">
      <c r="N2471" s="5"/>
      <c r="O2471" s="5"/>
      <c r="P2471" s="5"/>
      <c r="R2471" s="5"/>
    </row>
    <row r="2472" spans="14:18" ht="13">
      <c r="N2472" s="5"/>
      <c r="O2472" s="5"/>
      <c r="P2472" s="5"/>
      <c r="R2472" s="5"/>
    </row>
    <row r="2473" spans="14:18" ht="13">
      <c r="N2473" s="5"/>
      <c r="O2473" s="5"/>
      <c r="P2473" s="5"/>
      <c r="R2473" s="5"/>
    </row>
    <row r="2474" spans="14:18" ht="13">
      <c r="N2474" s="5"/>
      <c r="O2474" s="5"/>
      <c r="P2474" s="5"/>
      <c r="R2474" s="5"/>
    </row>
    <row r="2475" spans="14:18" ht="13">
      <c r="N2475" s="5"/>
      <c r="O2475" s="5"/>
      <c r="P2475" s="5"/>
      <c r="R2475" s="5"/>
    </row>
    <row r="2476" spans="14:18" ht="13">
      <c r="N2476" s="5"/>
      <c r="O2476" s="5"/>
      <c r="P2476" s="5"/>
      <c r="R2476" s="5"/>
    </row>
    <row r="2477" spans="14:18" ht="13">
      <c r="N2477" s="5"/>
      <c r="O2477" s="5"/>
      <c r="P2477" s="5"/>
      <c r="R2477" s="5"/>
    </row>
    <row r="2478" spans="14:18" ht="13">
      <c r="N2478" s="5"/>
      <c r="O2478" s="5"/>
      <c r="P2478" s="5"/>
      <c r="R2478" s="5"/>
    </row>
    <row r="2479" spans="14:18" ht="13">
      <c r="N2479" s="5"/>
      <c r="O2479" s="5"/>
      <c r="P2479" s="5"/>
      <c r="R2479" s="5"/>
    </row>
    <row r="2480" spans="14:18" ht="13">
      <c r="N2480" s="5"/>
      <c r="O2480" s="5"/>
      <c r="P2480" s="5"/>
      <c r="R2480" s="5"/>
    </row>
    <row r="2481" spans="14:18" ht="13">
      <c r="N2481" s="5"/>
      <c r="O2481" s="5"/>
      <c r="P2481" s="5"/>
      <c r="R2481" s="5"/>
    </row>
    <row r="2482" spans="14:18" ht="13">
      <c r="N2482" s="5"/>
      <c r="O2482" s="5"/>
      <c r="P2482" s="5"/>
      <c r="R2482" s="5"/>
    </row>
    <row r="2483" spans="14:18" ht="13">
      <c r="N2483" s="5"/>
      <c r="O2483" s="5"/>
      <c r="P2483" s="5"/>
      <c r="R2483" s="5"/>
    </row>
    <row r="2484" spans="14:18" ht="13">
      <c r="N2484" s="5"/>
      <c r="O2484" s="5"/>
      <c r="P2484" s="5"/>
      <c r="R2484" s="5"/>
    </row>
    <row r="2485" spans="14:18" ht="13">
      <c r="N2485" s="5"/>
      <c r="O2485" s="5"/>
      <c r="P2485" s="5"/>
      <c r="R2485" s="5"/>
    </row>
    <row r="2486" spans="14:18" ht="13">
      <c r="N2486" s="5"/>
      <c r="O2486" s="5"/>
      <c r="P2486" s="5"/>
      <c r="R2486" s="5"/>
    </row>
    <row r="2487" spans="14:18" ht="13">
      <c r="N2487" s="5"/>
      <c r="O2487" s="5"/>
      <c r="P2487" s="5"/>
      <c r="R2487" s="5"/>
    </row>
    <row r="2488" spans="14:18" ht="13">
      <c r="N2488" s="5"/>
      <c r="O2488" s="5"/>
      <c r="P2488" s="5"/>
      <c r="R2488" s="5"/>
    </row>
    <row r="2489" spans="14:18" ht="13">
      <c r="N2489" s="5"/>
      <c r="O2489" s="5"/>
      <c r="P2489" s="5"/>
      <c r="R2489" s="5"/>
    </row>
    <row r="2490" spans="14:18" ht="13">
      <c r="N2490" s="5"/>
      <c r="O2490" s="5"/>
      <c r="P2490" s="5"/>
      <c r="R2490" s="5"/>
    </row>
    <row r="2491" spans="14:18" ht="13">
      <c r="N2491" s="5"/>
      <c r="O2491" s="5"/>
      <c r="P2491" s="5"/>
      <c r="R2491" s="5"/>
    </row>
    <row r="2492" spans="14:18" ht="13">
      <c r="N2492" s="5"/>
      <c r="O2492" s="5"/>
      <c r="P2492" s="5"/>
      <c r="R2492" s="5"/>
    </row>
    <row r="2493" spans="14:18" ht="13">
      <c r="N2493" s="5"/>
      <c r="O2493" s="5"/>
      <c r="P2493" s="5"/>
      <c r="R2493" s="5"/>
    </row>
    <row r="2494" spans="14:18" ht="13">
      <c r="N2494" s="5"/>
      <c r="O2494" s="5"/>
      <c r="P2494" s="5"/>
      <c r="R2494" s="5"/>
    </row>
    <row r="2495" spans="14:18" ht="13">
      <c r="N2495" s="5"/>
      <c r="O2495" s="5"/>
      <c r="P2495" s="5"/>
      <c r="R2495" s="5"/>
    </row>
    <row r="2496" spans="14:18" ht="13">
      <c r="N2496" s="5"/>
      <c r="O2496" s="5"/>
      <c r="P2496" s="5"/>
      <c r="R2496" s="5"/>
    </row>
    <row r="2497" spans="14:18" ht="13">
      <c r="N2497" s="5"/>
      <c r="O2497" s="5"/>
      <c r="P2497" s="5"/>
      <c r="R2497" s="5"/>
    </row>
    <row r="2498" spans="14:18" ht="13">
      <c r="N2498" s="5"/>
      <c r="O2498" s="5"/>
      <c r="P2498" s="5"/>
      <c r="R2498" s="5"/>
    </row>
    <row r="2499" spans="14:18" ht="13">
      <c r="N2499" s="5"/>
      <c r="O2499" s="5"/>
      <c r="P2499" s="5"/>
      <c r="R2499" s="5"/>
    </row>
    <row r="2500" spans="14:18" ht="13">
      <c r="N2500" s="5"/>
      <c r="O2500" s="5"/>
      <c r="P2500" s="5"/>
      <c r="R2500" s="5"/>
    </row>
    <row r="2501" spans="14:18" ht="13">
      <c r="N2501" s="5"/>
      <c r="O2501" s="5"/>
      <c r="P2501" s="5"/>
      <c r="R2501" s="5"/>
    </row>
    <row r="2502" spans="14:18" ht="13">
      <c r="N2502" s="5"/>
      <c r="O2502" s="5"/>
      <c r="P2502" s="5"/>
      <c r="R2502" s="5"/>
    </row>
    <row r="2503" spans="14:18" ht="13">
      <c r="N2503" s="5"/>
      <c r="O2503" s="5"/>
      <c r="P2503" s="5"/>
      <c r="R2503" s="5"/>
    </row>
    <row r="2504" spans="14:18" ht="13">
      <c r="N2504" s="5"/>
      <c r="O2504" s="5"/>
      <c r="P2504" s="5"/>
      <c r="R2504" s="5"/>
    </row>
    <row r="2505" spans="14:18" ht="13">
      <c r="N2505" s="5"/>
      <c r="O2505" s="5"/>
      <c r="P2505" s="5"/>
      <c r="R2505" s="5"/>
    </row>
    <row r="2506" spans="14:18" ht="13">
      <c r="N2506" s="5"/>
      <c r="O2506" s="5"/>
      <c r="P2506" s="5"/>
      <c r="R2506" s="5"/>
    </row>
    <row r="2507" spans="14:18" ht="13">
      <c r="N2507" s="5"/>
      <c r="O2507" s="5"/>
      <c r="P2507" s="5"/>
      <c r="R2507" s="5"/>
    </row>
    <row r="2508" spans="14:18" ht="13">
      <c r="N2508" s="5"/>
      <c r="O2508" s="5"/>
      <c r="P2508" s="5"/>
      <c r="R2508" s="5"/>
    </row>
    <row r="2509" spans="14:18" ht="13">
      <c r="N2509" s="5"/>
      <c r="O2509" s="5"/>
      <c r="P2509" s="5"/>
      <c r="R2509" s="5"/>
    </row>
    <row r="2510" spans="14:18" ht="13">
      <c r="N2510" s="5"/>
      <c r="O2510" s="5"/>
      <c r="P2510" s="5"/>
      <c r="R2510" s="5"/>
    </row>
    <row r="2511" spans="14:18" ht="13">
      <c r="N2511" s="5"/>
      <c r="O2511" s="5"/>
      <c r="P2511" s="5"/>
      <c r="R2511" s="5"/>
    </row>
    <row r="2512" spans="14:18" ht="13">
      <c r="N2512" s="5"/>
      <c r="O2512" s="5"/>
      <c r="P2512" s="5"/>
      <c r="R2512" s="5"/>
    </row>
    <row r="2513" spans="14:18" ht="13">
      <c r="N2513" s="5"/>
      <c r="O2513" s="5"/>
      <c r="P2513" s="5"/>
      <c r="R2513" s="5"/>
    </row>
    <row r="2514" spans="14:18" ht="13">
      <c r="N2514" s="5"/>
      <c r="O2514" s="5"/>
      <c r="P2514" s="5"/>
      <c r="R2514" s="5"/>
    </row>
    <row r="2515" spans="14:18" ht="13">
      <c r="N2515" s="5"/>
      <c r="O2515" s="5"/>
      <c r="P2515" s="5"/>
      <c r="R2515" s="5"/>
    </row>
    <row r="2516" spans="14:18" ht="13">
      <c r="N2516" s="5"/>
      <c r="O2516" s="5"/>
      <c r="P2516" s="5"/>
      <c r="R2516" s="5"/>
    </row>
    <row r="2517" spans="14:18" ht="13">
      <c r="N2517" s="5"/>
      <c r="O2517" s="5"/>
      <c r="P2517" s="5"/>
      <c r="R2517" s="5"/>
    </row>
    <row r="2518" spans="14:18" ht="13">
      <c r="N2518" s="5"/>
      <c r="O2518" s="5"/>
      <c r="P2518" s="5"/>
      <c r="R2518" s="5"/>
    </row>
    <row r="2519" spans="14:18" ht="13">
      <c r="N2519" s="5"/>
      <c r="O2519" s="5"/>
      <c r="P2519" s="5"/>
      <c r="R2519" s="5"/>
    </row>
    <row r="2520" spans="14:18" ht="13">
      <c r="N2520" s="5"/>
      <c r="O2520" s="5"/>
      <c r="P2520" s="5"/>
      <c r="R2520" s="5"/>
    </row>
    <row r="2521" spans="14:18" ht="13">
      <c r="N2521" s="5"/>
      <c r="O2521" s="5"/>
      <c r="P2521" s="5"/>
      <c r="R2521" s="5"/>
    </row>
    <row r="2522" spans="14:18" ht="13">
      <c r="N2522" s="5"/>
      <c r="O2522" s="5"/>
      <c r="P2522" s="5"/>
      <c r="R2522" s="5"/>
    </row>
    <row r="2523" spans="14:18" ht="13">
      <c r="N2523" s="5"/>
      <c r="O2523" s="5"/>
      <c r="P2523" s="5"/>
      <c r="R2523" s="5"/>
    </row>
    <row r="2524" spans="14:18" ht="13">
      <c r="N2524" s="5"/>
      <c r="O2524" s="5"/>
      <c r="P2524" s="5"/>
      <c r="R2524" s="5"/>
    </row>
    <row r="2525" spans="14:18" ht="13">
      <c r="N2525" s="5"/>
      <c r="O2525" s="5"/>
      <c r="P2525" s="5"/>
      <c r="R2525" s="5"/>
    </row>
    <row r="2526" spans="14:18" ht="13">
      <c r="N2526" s="5"/>
      <c r="O2526" s="5"/>
      <c r="P2526" s="5"/>
      <c r="R2526" s="5"/>
    </row>
    <row r="2527" spans="14:18" ht="13">
      <c r="N2527" s="5"/>
      <c r="O2527" s="5"/>
      <c r="P2527" s="5"/>
      <c r="R2527" s="5"/>
    </row>
    <row r="2528" spans="14:18" ht="13">
      <c r="N2528" s="5"/>
      <c r="O2528" s="5"/>
      <c r="P2528" s="5"/>
      <c r="R2528" s="5"/>
    </row>
    <row r="2529" spans="14:18" ht="13">
      <c r="N2529" s="5"/>
      <c r="O2529" s="5"/>
      <c r="P2529" s="5"/>
      <c r="R2529" s="5"/>
    </row>
    <row r="2530" spans="14:18" ht="13">
      <c r="N2530" s="5"/>
      <c r="O2530" s="5"/>
      <c r="P2530" s="5"/>
      <c r="R2530" s="5"/>
    </row>
    <row r="2531" spans="14:18" ht="13">
      <c r="N2531" s="5"/>
      <c r="O2531" s="5"/>
      <c r="P2531" s="5"/>
      <c r="R2531" s="5"/>
    </row>
    <row r="2532" spans="14:18" ht="13">
      <c r="N2532" s="5"/>
      <c r="O2532" s="5"/>
      <c r="P2532" s="5"/>
      <c r="R2532" s="5"/>
    </row>
    <row r="2533" spans="14:18" ht="13">
      <c r="N2533" s="5"/>
      <c r="O2533" s="5"/>
      <c r="P2533" s="5"/>
      <c r="R2533" s="5"/>
    </row>
    <row r="2534" spans="14:18" ht="13">
      <c r="N2534" s="5"/>
      <c r="O2534" s="5"/>
      <c r="P2534" s="5"/>
      <c r="R2534" s="5"/>
    </row>
    <row r="2535" spans="14:18" ht="13">
      <c r="N2535" s="5"/>
      <c r="O2535" s="5"/>
      <c r="P2535" s="5"/>
      <c r="R2535" s="5"/>
    </row>
    <row r="2536" spans="14:18" ht="13">
      <c r="N2536" s="5"/>
      <c r="O2536" s="5"/>
      <c r="P2536" s="5"/>
      <c r="R2536" s="5"/>
    </row>
    <row r="2537" spans="14:18" ht="13">
      <c r="N2537" s="5"/>
      <c r="O2537" s="5"/>
      <c r="P2537" s="5"/>
      <c r="R2537" s="5"/>
    </row>
    <row r="2538" spans="14:18" ht="13">
      <c r="N2538" s="5"/>
      <c r="O2538" s="5"/>
      <c r="P2538" s="5"/>
      <c r="R2538" s="5"/>
    </row>
    <row r="2539" spans="14:18" ht="13">
      <c r="N2539" s="5"/>
      <c r="O2539" s="5"/>
      <c r="P2539" s="5"/>
      <c r="R2539" s="5"/>
    </row>
    <row r="2540" spans="14:18" ht="13">
      <c r="N2540" s="5"/>
      <c r="O2540" s="5"/>
      <c r="P2540" s="5"/>
      <c r="R2540" s="5"/>
    </row>
    <row r="2541" spans="14:18" ht="13">
      <c r="N2541" s="5"/>
      <c r="O2541" s="5"/>
      <c r="P2541" s="5"/>
      <c r="R2541" s="5"/>
    </row>
    <row r="2542" spans="14:18" ht="13">
      <c r="N2542" s="5"/>
      <c r="O2542" s="5"/>
      <c r="P2542" s="5"/>
      <c r="R2542" s="5"/>
    </row>
    <row r="2543" spans="14:18" ht="13">
      <c r="N2543" s="5"/>
      <c r="O2543" s="5"/>
      <c r="P2543" s="5"/>
      <c r="R2543" s="5"/>
    </row>
    <row r="2544" spans="14:18" ht="13">
      <c r="N2544" s="5"/>
      <c r="O2544" s="5"/>
      <c r="P2544" s="5"/>
      <c r="R2544" s="5"/>
    </row>
    <row r="2545" spans="14:18" ht="13">
      <c r="N2545" s="5"/>
      <c r="O2545" s="5"/>
      <c r="P2545" s="5"/>
      <c r="R2545" s="5"/>
    </row>
    <row r="2546" spans="14:18" ht="13">
      <c r="N2546" s="5"/>
      <c r="O2546" s="5"/>
      <c r="P2546" s="5"/>
      <c r="R2546" s="5"/>
    </row>
    <row r="2547" spans="14:18" ht="13">
      <c r="N2547" s="5"/>
      <c r="O2547" s="5"/>
      <c r="P2547" s="5"/>
      <c r="R2547" s="5"/>
    </row>
    <row r="2548" spans="14:18" ht="13">
      <c r="N2548" s="5"/>
      <c r="O2548" s="5"/>
      <c r="P2548" s="5"/>
      <c r="R2548" s="5"/>
    </row>
    <row r="2549" spans="14:18" ht="13">
      <c r="N2549" s="5"/>
      <c r="O2549" s="5"/>
      <c r="P2549" s="5"/>
      <c r="R2549" s="5"/>
    </row>
    <row r="2550" spans="14:18" ht="13">
      <c r="N2550" s="5"/>
      <c r="O2550" s="5"/>
      <c r="P2550" s="5"/>
      <c r="R2550" s="5"/>
    </row>
    <row r="2551" spans="14:18" ht="13">
      <c r="N2551" s="5"/>
      <c r="O2551" s="5"/>
      <c r="P2551" s="5"/>
      <c r="R2551" s="5"/>
    </row>
    <row r="2552" spans="14:18" ht="13">
      <c r="N2552" s="5"/>
      <c r="O2552" s="5"/>
      <c r="P2552" s="5"/>
      <c r="R2552" s="5"/>
    </row>
    <row r="2553" spans="14:18" ht="13">
      <c r="N2553" s="5"/>
      <c r="O2553" s="5"/>
      <c r="P2553" s="5"/>
      <c r="R2553" s="5"/>
    </row>
    <row r="2554" spans="14:18" ht="13">
      <c r="N2554" s="5"/>
      <c r="O2554" s="5"/>
      <c r="P2554" s="5"/>
      <c r="R2554" s="5"/>
    </row>
    <row r="2555" spans="14:18" ht="13">
      <c r="N2555" s="5"/>
      <c r="O2555" s="5"/>
      <c r="P2555" s="5"/>
      <c r="R2555" s="5"/>
    </row>
    <row r="2556" spans="14:18" ht="13">
      <c r="N2556" s="5"/>
      <c r="O2556" s="5"/>
      <c r="P2556" s="5"/>
      <c r="R2556" s="5"/>
    </row>
    <row r="2557" spans="14:18" ht="13">
      <c r="N2557" s="5"/>
      <c r="O2557" s="5"/>
      <c r="P2557" s="5"/>
      <c r="R2557" s="5"/>
    </row>
    <row r="2558" spans="14:18" ht="13">
      <c r="N2558" s="5"/>
      <c r="O2558" s="5"/>
      <c r="P2558" s="5"/>
      <c r="R2558" s="5"/>
    </row>
    <row r="2559" spans="14:18" ht="13">
      <c r="N2559" s="5"/>
      <c r="O2559" s="5"/>
      <c r="P2559" s="5"/>
      <c r="R2559" s="5"/>
    </row>
    <row r="2560" spans="14:18" ht="13">
      <c r="N2560" s="5"/>
      <c r="O2560" s="5"/>
      <c r="P2560" s="5"/>
      <c r="R2560" s="5"/>
    </row>
    <row r="2561" spans="14:18" ht="13">
      <c r="N2561" s="5"/>
      <c r="O2561" s="5"/>
      <c r="P2561" s="5"/>
      <c r="R2561" s="5"/>
    </row>
    <row r="2562" spans="14:18" ht="13">
      <c r="N2562" s="5"/>
      <c r="O2562" s="5"/>
      <c r="P2562" s="5"/>
      <c r="R2562" s="5"/>
    </row>
    <row r="2563" spans="14:18" ht="13">
      <c r="N2563" s="5"/>
      <c r="O2563" s="5"/>
      <c r="P2563" s="5"/>
      <c r="R2563" s="5"/>
    </row>
    <row r="2564" spans="14:18" ht="13">
      <c r="N2564" s="5"/>
      <c r="O2564" s="5"/>
      <c r="P2564" s="5"/>
      <c r="R2564" s="5"/>
    </row>
    <row r="2565" spans="14:18" ht="13">
      <c r="N2565" s="5"/>
      <c r="O2565" s="5"/>
      <c r="P2565" s="5"/>
      <c r="R2565" s="5"/>
    </row>
    <row r="2566" spans="14:18" ht="13">
      <c r="N2566" s="5"/>
      <c r="O2566" s="5"/>
      <c r="P2566" s="5"/>
      <c r="R2566" s="5"/>
    </row>
    <row r="2567" spans="14:18" ht="13">
      <c r="N2567" s="5"/>
      <c r="O2567" s="5"/>
      <c r="P2567" s="5"/>
      <c r="R2567" s="5"/>
    </row>
    <row r="2568" spans="14:18" ht="13">
      <c r="N2568" s="5"/>
      <c r="O2568" s="5"/>
      <c r="P2568" s="5"/>
      <c r="R2568" s="5"/>
    </row>
    <row r="2569" spans="14:18" ht="13">
      <c r="N2569" s="5"/>
      <c r="O2569" s="5"/>
      <c r="P2569" s="5"/>
      <c r="R2569" s="5"/>
    </row>
    <row r="2570" spans="14:18" ht="13">
      <c r="N2570" s="5"/>
      <c r="O2570" s="5"/>
      <c r="P2570" s="5"/>
      <c r="R2570" s="5"/>
    </row>
    <row r="2571" spans="14:18" ht="13">
      <c r="N2571" s="5"/>
      <c r="O2571" s="5"/>
      <c r="P2571" s="5"/>
      <c r="R2571" s="5"/>
    </row>
    <row r="2572" spans="14:18" ht="13">
      <c r="N2572" s="5"/>
      <c r="O2572" s="5"/>
      <c r="P2572" s="5"/>
      <c r="R2572" s="5"/>
    </row>
    <row r="2573" spans="14:18" ht="13">
      <c r="N2573" s="5"/>
      <c r="O2573" s="5"/>
      <c r="P2573" s="5"/>
      <c r="R2573" s="5"/>
    </row>
    <row r="2574" spans="14:18" ht="13">
      <c r="N2574" s="5"/>
      <c r="O2574" s="5"/>
      <c r="P2574" s="5"/>
      <c r="R2574" s="5"/>
    </row>
    <row r="2575" spans="14:18" ht="13">
      <c r="N2575" s="5"/>
      <c r="O2575" s="5"/>
      <c r="P2575" s="5"/>
      <c r="R2575" s="5"/>
    </row>
    <row r="2576" spans="14:18" ht="13">
      <c r="N2576" s="5"/>
      <c r="O2576" s="5"/>
      <c r="P2576" s="5"/>
      <c r="R2576" s="5"/>
    </row>
    <row r="2577" spans="14:18" ht="13">
      <c r="N2577" s="5"/>
      <c r="O2577" s="5"/>
      <c r="P2577" s="5"/>
      <c r="R2577" s="5"/>
    </row>
    <row r="2578" spans="14:18" ht="13">
      <c r="N2578" s="5"/>
      <c r="O2578" s="5"/>
      <c r="P2578" s="5"/>
      <c r="R2578" s="5"/>
    </row>
    <row r="2579" spans="14:18" ht="13">
      <c r="N2579" s="5"/>
      <c r="O2579" s="5"/>
      <c r="P2579" s="5"/>
      <c r="R2579" s="5"/>
    </row>
    <row r="2580" spans="14:18" ht="13">
      <c r="N2580" s="5"/>
      <c r="O2580" s="5"/>
      <c r="P2580" s="5"/>
      <c r="R2580" s="5"/>
    </row>
    <row r="2581" spans="14:18" ht="13">
      <c r="N2581" s="5"/>
      <c r="O2581" s="5"/>
      <c r="P2581" s="5"/>
      <c r="R2581" s="5"/>
    </row>
    <row r="2582" spans="14:18" ht="13">
      <c r="N2582" s="5"/>
      <c r="O2582" s="5"/>
      <c r="P2582" s="5"/>
      <c r="R2582" s="5"/>
    </row>
    <row r="2583" spans="14:18" ht="13">
      <c r="N2583" s="5"/>
      <c r="O2583" s="5"/>
      <c r="P2583" s="5"/>
      <c r="R2583" s="5"/>
    </row>
    <row r="2584" spans="14:18" ht="13">
      <c r="N2584" s="5"/>
      <c r="O2584" s="5"/>
      <c r="P2584" s="5"/>
      <c r="R2584" s="5"/>
    </row>
    <row r="2585" spans="14:18" ht="13">
      <c r="N2585" s="5"/>
      <c r="O2585" s="5"/>
      <c r="P2585" s="5"/>
      <c r="R2585" s="5"/>
    </row>
    <row r="2586" spans="14:18" ht="13">
      <c r="N2586" s="5"/>
      <c r="O2586" s="5"/>
      <c r="P2586" s="5"/>
      <c r="R2586" s="5"/>
    </row>
    <row r="2587" spans="14:18" ht="13">
      <c r="N2587" s="5"/>
      <c r="O2587" s="5"/>
      <c r="P2587" s="5"/>
      <c r="R2587" s="5"/>
    </row>
    <row r="2588" spans="14:18" ht="13">
      <c r="N2588" s="5"/>
      <c r="O2588" s="5"/>
      <c r="P2588" s="5"/>
      <c r="R2588" s="5"/>
    </row>
    <row r="2589" spans="14:18" ht="13">
      <c r="N2589" s="5"/>
      <c r="O2589" s="5"/>
      <c r="P2589" s="5"/>
      <c r="R2589" s="5"/>
    </row>
    <row r="2590" spans="14:18" ht="13">
      <c r="N2590" s="5"/>
      <c r="O2590" s="5"/>
      <c r="P2590" s="5"/>
      <c r="R2590" s="5"/>
    </row>
    <row r="2591" spans="14:18" ht="13">
      <c r="N2591" s="5"/>
      <c r="O2591" s="5"/>
      <c r="P2591" s="5"/>
      <c r="R2591" s="5"/>
    </row>
    <row r="2592" spans="14:18" ht="13">
      <c r="N2592" s="5"/>
      <c r="O2592" s="5"/>
      <c r="P2592" s="5"/>
      <c r="R2592" s="5"/>
    </row>
    <row r="2593" spans="14:18" ht="13">
      <c r="N2593" s="5"/>
      <c r="O2593" s="5"/>
      <c r="P2593" s="5"/>
      <c r="R2593" s="5"/>
    </row>
    <row r="2594" spans="14:18" ht="13">
      <c r="N2594" s="5"/>
      <c r="O2594" s="5"/>
      <c r="P2594" s="5"/>
      <c r="R2594" s="5"/>
    </row>
    <row r="2595" spans="14:18" ht="13">
      <c r="N2595" s="5"/>
      <c r="O2595" s="5"/>
      <c r="P2595" s="5"/>
      <c r="R2595" s="5"/>
    </row>
    <row r="2596" spans="14:18" ht="13">
      <c r="N2596" s="5"/>
      <c r="O2596" s="5"/>
      <c r="P2596" s="5"/>
      <c r="R2596" s="5"/>
    </row>
    <row r="2597" spans="14:18" ht="13">
      <c r="N2597" s="5"/>
      <c r="O2597" s="5"/>
      <c r="P2597" s="5"/>
      <c r="R2597" s="5"/>
    </row>
    <row r="2598" spans="14:18" ht="13">
      <c r="N2598" s="5"/>
      <c r="O2598" s="5"/>
      <c r="P2598" s="5"/>
      <c r="R2598" s="5"/>
    </row>
    <row r="2599" spans="14:18" ht="13">
      <c r="N2599" s="5"/>
      <c r="O2599" s="5"/>
      <c r="P2599" s="5"/>
      <c r="R2599" s="5"/>
    </row>
    <row r="2600" spans="14:18" ht="13">
      <c r="N2600" s="5"/>
      <c r="O2600" s="5"/>
      <c r="P2600" s="5"/>
      <c r="R2600" s="5"/>
    </row>
    <row r="2601" spans="14:18" ht="13">
      <c r="N2601" s="5"/>
      <c r="O2601" s="5"/>
      <c r="P2601" s="5"/>
      <c r="R2601" s="5"/>
    </row>
    <row r="2602" spans="14:18" ht="13">
      <c r="N2602" s="5"/>
      <c r="O2602" s="5"/>
      <c r="P2602" s="5"/>
      <c r="R2602" s="5"/>
    </row>
    <row r="2603" spans="14:18" ht="13">
      <c r="N2603" s="5"/>
      <c r="O2603" s="5"/>
      <c r="P2603" s="5"/>
      <c r="R2603" s="5"/>
    </row>
    <row r="2604" spans="14:18" ht="13">
      <c r="N2604" s="5"/>
      <c r="O2604" s="5"/>
      <c r="P2604" s="5"/>
      <c r="R2604" s="5"/>
    </row>
    <row r="2605" spans="14:18" ht="13">
      <c r="N2605" s="5"/>
      <c r="O2605" s="5"/>
      <c r="P2605" s="5"/>
      <c r="R2605" s="5"/>
    </row>
    <row r="2606" spans="14:18" ht="13">
      <c r="N2606" s="5"/>
      <c r="O2606" s="5"/>
      <c r="P2606" s="5"/>
      <c r="R2606" s="5"/>
    </row>
    <row r="2607" spans="14:18" ht="13">
      <c r="N2607" s="5"/>
      <c r="O2607" s="5"/>
      <c r="P2607" s="5"/>
      <c r="R2607" s="5"/>
    </row>
    <row r="2608" spans="14:18" ht="13">
      <c r="N2608" s="5"/>
      <c r="O2608" s="5"/>
      <c r="P2608" s="5"/>
      <c r="R2608" s="5"/>
    </row>
    <row r="2609" spans="14:18" ht="13">
      <c r="N2609" s="5"/>
      <c r="O2609" s="5"/>
      <c r="P2609" s="5"/>
      <c r="R2609" s="5"/>
    </row>
    <row r="2610" spans="14:18" ht="13">
      <c r="N2610" s="5"/>
      <c r="O2610" s="5"/>
      <c r="P2610" s="5"/>
      <c r="R2610" s="5"/>
    </row>
    <row r="2611" spans="14:18" ht="13">
      <c r="N2611" s="5"/>
      <c r="O2611" s="5"/>
      <c r="P2611" s="5"/>
      <c r="R2611" s="5"/>
    </row>
    <row r="2612" spans="14:18" ht="13">
      <c r="N2612" s="5"/>
      <c r="O2612" s="5"/>
      <c r="P2612" s="5"/>
      <c r="R2612" s="5"/>
    </row>
    <row r="2613" spans="14:18" ht="13">
      <c r="N2613" s="5"/>
      <c r="O2613" s="5"/>
      <c r="P2613" s="5"/>
      <c r="R2613" s="5"/>
    </row>
    <row r="2614" spans="14:18" ht="13">
      <c r="N2614" s="5"/>
      <c r="O2614" s="5"/>
      <c r="P2614" s="5"/>
      <c r="R2614" s="5"/>
    </row>
    <row r="2615" spans="14:18" ht="13">
      <c r="N2615" s="5"/>
      <c r="O2615" s="5"/>
      <c r="P2615" s="5"/>
      <c r="R2615" s="5"/>
    </row>
    <row r="2616" spans="14:18" ht="13">
      <c r="N2616" s="5"/>
      <c r="O2616" s="5"/>
      <c r="P2616" s="5"/>
      <c r="R2616" s="5"/>
    </row>
    <row r="2617" spans="14:18" ht="13">
      <c r="N2617" s="5"/>
      <c r="O2617" s="5"/>
      <c r="P2617" s="5"/>
      <c r="R2617" s="5"/>
    </row>
    <row r="2618" spans="14:18" ht="13">
      <c r="N2618" s="5"/>
      <c r="O2618" s="5"/>
      <c r="P2618" s="5"/>
      <c r="R2618" s="5"/>
    </row>
    <row r="2619" spans="14:18" ht="13">
      <c r="N2619" s="5"/>
      <c r="O2619" s="5"/>
      <c r="P2619" s="5"/>
      <c r="R2619" s="5"/>
    </row>
    <row r="2620" spans="14:18" ht="13">
      <c r="N2620" s="5"/>
      <c r="O2620" s="5"/>
      <c r="P2620" s="5"/>
      <c r="R2620" s="5"/>
    </row>
    <row r="2621" spans="14:18" ht="13">
      <c r="N2621" s="5"/>
      <c r="O2621" s="5"/>
      <c r="P2621" s="5"/>
      <c r="R2621" s="5"/>
    </row>
    <row r="2622" spans="14:18" ht="13">
      <c r="N2622" s="5"/>
      <c r="O2622" s="5"/>
      <c r="P2622" s="5"/>
      <c r="R2622" s="5"/>
    </row>
    <row r="2623" spans="14:18" ht="13">
      <c r="N2623" s="5"/>
      <c r="O2623" s="5"/>
      <c r="P2623" s="5"/>
      <c r="R2623" s="5"/>
    </row>
    <row r="2624" spans="14:18" ht="13">
      <c r="N2624" s="5"/>
      <c r="O2624" s="5"/>
      <c r="P2624" s="5"/>
      <c r="R2624" s="5"/>
    </row>
    <row r="2625" spans="14:18" ht="13">
      <c r="N2625" s="5"/>
      <c r="O2625" s="5"/>
      <c r="P2625" s="5"/>
      <c r="R2625" s="5"/>
    </row>
    <row r="2626" spans="14:18" ht="13">
      <c r="N2626" s="5"/>
      <c r="O2626" s="5"/>
      <c r="P2626" s="5"/>
      <c r="R2626" s="5"/>
    </row>
    <row r="2627" spans="14:18" ht="13">
      <c r="N2627" s="5"/>
      <c r="O2627" s="5"/>
      <c r="P2627" s="5"/>
      <c r="R2627" s="5"/>
    </row>
    <row r="2628" spans="14:18" ht="13">
      <c r="N2628" s="5"/>
      <c r="O2628" s="5"/>
      <c r="P2628" s="5"/>
      <c r="R2628" s="5"/>
    </row>
    <row r="2629" spans="14:18" ht="13">
      <c r="N2629" s="5"/>
      <c r="O2629" s="5"/>
      <c r="P2629" s="5"/>
      <c r="R2629" s="5"/>
    </row>
    <row r="2630" spans="14:18" ht="13">
      <c r="N2630" s="5"/>
      <c r="O2630" s="5"/>
      <c r="P2630" s="5"/>
      <c r="R2630" s="5"/>
    </row>
    <row r="2631" spans="14:18" ht="13">
      <c r="N2631" s="5"/>
      <c r="O2631" s="5"/>
      <c r="P2631" s="5"/>
      <c r="R2631" s="5"/>
    </row>
    <row r="2632" spans="14:18" ht="13">
      <c r="N2632" s="5"/>
      <c r="O2632" s="5"/>
      <c r="P2632" s="5"/>
      <c r="R2632" s="5"/>
    </row>
    <row r="2633" spans="14:18" ht="13">
      <c r="N2633" s="5"/>
      <c r="O2633" s="5"/>
      <c r="P2633" s="5"/>
      <c r="R2633" s="5"/>
    </row>
    <row r="2634" spans="14:18" ht="13">
      <c r="N2634" s="5"/>
      <c r="O2634" s="5"/>
      <c r="P2634" s="5"/>
      <c r="R2634" s="5"/>
    </row>
  </sheetData>
  <autoFilter ref="A2:Y472" xr:uid="{00000000-0009-0000-0000-000010000000}"/>
  <mergeCells count="40">
    <mergeCell ref="P491:P493"/>
    <mergeCell ref="P348:P350"/>
    <mergeCell ref="P360:P363"/>
    <mergeCell ref="O369:O370"/>
    <mergeCell ref="P369:P370"/>
    <mergeCell ref="P376:P381"/>
    <mergeCell ref="N369:N370"/>
    <mergeCell ref="N466:N467"/>
    <mergeCell ref="O466:O467"/>
    <mergeCell ref="P466:P467"/>
    <mergeCell ref="Q466:Q467"/>
    <mergeCell ref="Q369:Q370"/>
    <mergeCell ref="Q376:Q381"/>
    <mergeCell ref="P305:P306"/>
    <mergeCell ref="P326:P329"/>
    <mergeCell ref="Q326:Q329"/>
    <mergeCell ref="O348:O350"/>
    <mergeCell ref="Q348:Q350"/>
    <mergeCell ref="P172:P175"/>
    <mergeCell ref="Q172:Q175"/>
    <mergeCell ref="N207:N208"/>
    <mergeCell ref="P207:P208"/>
    <mergeCell ref="Q207:Q208"/>
    <mergeCell ref="N39:N41"/>
    <mergeCell ref="O39:O41"/>
    <mergeCell ref="P39:P41"/>
    <mergeCell ref="Q39:Q41"/>
    <mergeCell ref="P120:P121"/>
    <mergeCell ref="Q120:Q121"/>
    <mergeCell ref="N5:N6"/>
    <mergeCell ref="O5:O6"/>
    <mergeCell ref="P5:P6"/>
    <mergeCell ref="Q5:Q6"/>
    <mergeCell ref="Q12:Q13"/>
    <mergeCell ref="N47:N50"/>
    <mergeCell ref="O47:O50"/>
    <mergeCell ref="P47:P50"/>
    <mergeCell ref="Q47:Q50"/>
    <mergeCell ref="P52:P57"/>
    <mergeCell ref="Q52:Q57"/>
  </mergeCells>
  <dataValidations count="9">
    <dataValidation type="list" allowBlank="1" sqref="M212:M238" xr:uid="{00000000-0002-0000-1000-000000000000}">
      <formula1>"Sewa Pinjam,Sewa Beli,Lisensi,Kontrak Pengajaran,Ekskul"</formula1>
    </dataValidation>
    <dataValidation type="list" allowBlank="1" sqref="U3 U5:U6 U8 U12:U110 U112:U136 U138:U188 U190:U205 U207:U211 U213:U228 U230:U247 U252:U256 U258:U315 U317:U430 U432 U434 U436 U438 U440 U442:U485 U487:U489 U491:U495 U497 U499:U500 U502:U503 U506:U509 U511 U513:U516 U518:U523 U527:U530 U540 U544 U546 U548:U551 U553:U556 U559 U563 U565 U567:U578 U580:U587 U591:U594 U604 U608 U610 U612:U616 U622:U625 U627 U629 U634 U636 U641:U642 U644 U646 U648:U651 U653 U660 U664" xr:uid="{00000000-0002-0000-1000-000001000000}">
      <formula1>"Diginusa,Sekolah"</formula1>
    </dataValidation>
    <dataValidation type="list" allowBlank="1" showErrorMessage="1" sqref="K264:K265 K267 K269:K275 K287" xr:uid="{00000000-0002-0000-1000-000002000000}">
      <formula1>"30 Juni 2027,31 Mei 2029,Mei 2027"</formula1>
    </dataValidation>
    <dataValidation type="list" allowBlank="1" sqref="L3 L5:L6 L8 L12:L27 L29:L256 L258:L301 L303:L436 L438 L440 L442:L485 L487:L489 L491:L495 L497 L499:L516 L518:L524 L526:L547 L551 L554:L563 L565:L572 L574:L587 L591:L602 L604 L606 L608 L610 L612:L615 L622:L625 L627 L629 L634 L636 L641:L642 L644 L646 L648:L651 L653 L660 L662" xr:uid="{00000000-0002-0000-1000-000003000000}">
      <formula1>"Retention,Existing,New"</formula1>
    </dataValidation>
    <dataValidation type="list" allowBlank="1" showErrorMessage="1" sqref="K295" xr:uid="{00000000-0002-0000-1000-000004000000}">
      <formula1>"Mei 2027"</formula1>
    </dataValidation>
    <dataValidation type="list" allowBlank="1" showErrorMessage="1" sqref="J264:J265 J267 J269:J275 J285 J287" xr:uid="{00000000-0002-0000-1000-000005000000}">
      <formula1>"1 Agustus 2026,1 Juli 2026,Agustus 2026"</formula1>
    </dataValidation>
    <dataValidation type="list" allowBlank="1" showErrorMessage="1" sqref="K285" xr:uid="{00000000-0002-0000-1000-000006000000}">
      <formula1>"30 Juni 2027"</formula1>
    </dataValidation>
    <dataValidation type="list" allowBlank="1" sqref="M3 M5:M6 M8 M12:M27 M29:M140 M142:M164 M166:M168 M170:M187 M189:M211 M239:M256 M258:M314 M319:M395 M401:M436 M438 M440 M442:M462 M470:M474 M476:M480 M482 M484:M485 M488 M491:M495 M497 M499:M516 M518:M524 M526:M547 M554:M563 M565:M572 M574:M587 M591:M602 M604 M606 M608 M610 M612:M615 M618 M620 M622:M625 M627 M629 M634 M636 M644 M646 M648:M651 M653" xr:uid="{00000000-0002-0000-1000-000007000000}">
      <formula1>"Sewa Pinjam,Sewa Beli,Lisensi,Kontrak Pengajaran,Ekskul,Intra"</formula1>
    </dataValidation>
    <dataValidation type="list" allowBlank="1" showErrorMessage="1" sqref="I264:I265 I267 I269:I275 I285 I287" xr:uid="{00000000-0002-0000-1000-000008000000}">
      <formula1>"1 tahun,3 tahun"</formula1>
    </dataValidation>
  </dataValidations>
  <hyperlinks>
    <hyperlink ref="C27" r:id="rId1" xr:uid="{00000000-0004-0000-1000-000000000000}"/>
    <hyperlink ref="G27" r:id="rId2" xr:uid="{00000000-0004-0000-1000-000001000000}"/>
    <hyperlink ref="F256" r:id="rId3" xr:uid="{00000000-0004-0000-1000-000002000000}"/>
    <hyperlink ref="F299" r:id="rId4" xr:uid="{00000000-0004-0000-1000-000003000000}"/>
    <hyperlink ref="G299" r:id="rId5" xr:uid="{00000000-0004-0000-1000-000004000000}"/>
  </hyperlink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45ED8-9978-BA48-9AE5-C0159693AC16}">
  <dimension ref="A1:F31"/>
  <sheetViews>
    <sheetView tabSelected="1" workbookViewId="0">
      <selection activeCell="B37" sqref="B37"/>
    </sheetView>
  </sheetViews>
  <sheetFormatPr baseColWidth="10" defaultRowHeight="13"/>
  <cols>
    <col min="2" max="2" width="38.5" bestFit="1" customWidth="1"/>
    <col min="4" max="4" width="38.83203125" bestFit="1" customWidth="1"/>
    <col min="6" max="6" width="32.1640625" bestFit="1" customWidth="1"/>
  </cols>
  <sheetData>
    <row r="1" spans="1:6">
      <c r="A1" s="306" t="s">
        <v>3898</v>
      </c>
    </row>
    <row r="4" spans="1:6">
      <c r="D4" s="441" t="s">
        <v>3896</v>
      </c>
    </row>
    <row r="5" spans="1:6">
      <c r="D5" s="441" t="s">
        <v>3897</v>
      </c>
    </row>
    <row r="9" spans="1:6" s="442" customFormat="1">
      <c r="B9" s="441" t="s">
        <v>3852</v>
      </c>
      <c r="D9" s="441" t="s">
        <v>3853</v>
      </c>
      <c r="F9" s="441" t="s">
        <v>3854</v>
      </c>
    </row>
    <row r="10" spans="1:6" s="442" customFormat="1">
      <c r="B10" s="441" t="s">
        <v>3870</v>
      </c>
      <c r="D10" s="441" t="s">
        <v>3871</v>
      </c>
      <c r="F10" s="441" t="s">
        <v>3884</v>
      </c>
    </row>
    <row r="11" spans="1:6">
      <c r="B11" s="439"/>
      <c r="D11" s="439"/>
      <c r="F11" s="439"/>
    </row>
    <row r="12" spans="1:6" ht="15">
      <c r="B12" s="440" t="s">
        <v>3855</v>
      </c>
      <c r="D12" s="58" t="s">
        <v>3872</v>
      </c>
      <c r="F12" s="58" t="s">
        <v>3885</v>
      </c>
    </row>
    <row r="13" spans="1:6" ht="15">
      <c r="B13" s="438" t="s">
        <v>3857</v>
      </c>
      <c r="D13" s="328" t="s">
        <v>3874</v>
      </c>
      <c r="F13" s="328" t="s">
        <v>3886</v>
      </c>
    </row>
    <row r="14" spans="1:6" ht="15">
      <c r="B14" s="43" t="s">
        <v>3858</v>
      </c>
      <c r="D14" s="328" t="s">
        <v>3875</v>
      </c>
      <c r="F14" s="437" t="s">
        <v>3887</v>
      </c>
    </row>
    <row r="15" spans="1:6" ht="15">
      <c r="B15" s="43" t="s">
        <v>3859</v>
      </c>
      <c r="D15" s="328" t="s">
        <v>3873</v>
      </c>
      <c r="F15" s="436" t="s">
        <v>3888</v>
      </c>
    </row>
    <row r="16" spans="1:6" ht="15">
      <c r="B16" s="43" t="s">
        <v>3860</v>
      </c>
      <c r="D16" s="328" t="s">
        <v>3876</v>
      </c>
      <c r="F16" s="436" t="s">
        <v>3895</v>
      </c>
    </row>
    <row r="17" spans="1:6" ht="15">
      <c r="B17" s="43" t="s">
        <v>3861</v>
      </c>
      <c r="D17" s="328" t="s">
        <v>3877</v>
      </c>
      <c r="F17" s="436" t="s">
        <v>3889</v>
      </c>
    </row>
    <row r="18" spans="1:6" ht="15">
      <c r="B18" s="43" t="s">
        <v>3862</v>
      </c>
      <c r="D18" s="328" t="s">
        <v>3878</v>
      </c>
      <c r="F18" s="436" t="s">
        <v>3890</v>
      </c>
    </row>
    <row r="19" spans="1:6" ht="15">
      <c r="B19" s="43" t="s">
        <v>3866</v>
      </c>
      <c r="D19" s="328" t="s">
        <v>3879</v>
      </c>
      <c r="F19" s="436" t="s">
        <v>3891</v>
      </c>
    </row>
    <row r="20" spans="1:6" ht="15">
      <c r="B20" s="43" t="s">
        <v>3863</v>
      </c>
      <c r="D20" s="435" t="s">
        <v>3880</v>
      </c>
      <c r="F20" s="436" t="s">
        <v>3892</v>
      </c>
    </row>
    <row r="21" spans="1:6" ht="15">
      <c r="B21" s="43" t="s">
        <v>3864</v>
      </c>
      <c r="D21" s="436" t="s">
        <v>3881</v>
      </c>
      <c r="F21" s="436" t="s">
        <v>3893</v>
      </c>
    </row>
    <row r="22" spans="1:6" ht="15">
      <c r="B22" s="15" t="s">
        <v>3865</v>
      </c>
      <c r="D22" s="436" t="s">
        <v>3882</v>
      </c>
      <c r="F22" s="436" t="s">
        <v>3894</v>
      </c>
    </row>
    <row r="23" spans="1:6" ht="15">
      <c r="B23" s="15" t="s">
        <v>3867</v>
      </c>
      <c r="D23" s="436" t="s">
        <v>3883</v>
      </c>
    </row>
    <row r="24" spans="1:6" ht="15">
      <c r="B24" s="43" t="s">
        <v>3868</v>
      </c>
    </row>
    <row r="25" spans="1:6" ht="15">
      <c r="B25" s="328" t="s">
        <v>3869</v>
      </c>
    </row>
    <row r="26" spans="1:6" ht="15">
      <c r="B26" s="43" t="s">
        <v>3856</v>
      </c>
    </row>
    <row r="30" spans="1:6">
      <c r="A30" s="306" t="s">
        <v>3899</v>
      </c>
    </row>
    <row r="31" spans="1:6">
      <c r="A31" s="306" t="s">
        <v>3900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AY103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3" max="3" width="25.6640625" customWidth="1"/>
    <col min="4" max="6" width="12.6640625" hidden="1"/>
    <col min="7" max="7" width="25" customWidth="1"/>
    <col min="8" max="9" width="12.6640625" hidden="1"/>
    <col min="11" max="11" width="12.6640625" hidden="1"/>
    <col min="13" max="15" width="12.6640625" hidden="1"/>
    <col min="16" max="16" width="19" hidden="1" customWidth="1"/>
    <col min="17" max="17" width="26" hidden="1" customWidth="1"/>
    <col min="18" max="19" width="12.6640625" hidden="1"/>
    <col min="23" max="31" width="12.6640625" hidden="1"/>
    <col min="33" max="33" width="14.6640625" customWidth="1"/>
    <col min="34" max="34" width="12.6640625" hidden="1"/>
  </cols>
  <sheetData>
    <row r="1" spans="1:51" ht="15.75" customHeight="1">
      <c r="A1" s="330" t="s">
        <v>2669</v>
      </c>
      <c r="B1" s="331" t="s">
        <v>2670</v>
      </c>
      <c r="C1" s="332" t="s">
        <v>2671</v>
      </c>
      <c r="D1" s="331" t="s">
        <v>2672</v>
      </c>
      <c r="E1" s="331" t="s">
        <v>2673</v>
      </c>
      <c r="F1" s="331" t="s">
        <v>2674</v>
      </c>
      <c r="G1" s="332" t="s">
        <v>2675</v>
      </c>
      <c r="H1" s="331" t="s">
        <v>2676</v>
      </c>
      <c r="I1" s="331" t="s">
        <v>2677</v>
      </c>
      <c r="J1" s="332" t="s">
        <v>2678</v>
      </c>
      <c r="K1" s="331" t="s">
        <v>2679</v>
      </c>
      <c r="L1" s="332" t="s">
        <v>2680</v>
      </c>
      <c r="M1" s="331" t="s">
        <v>2681</v>
      </c>
      <c r="N1" s="331" t="s">
        <v>2682</v>
      </c>
      <c r="O1" s="331" t="s">
        <v>2683</v>
      </c>
      <c r="P1" s="331" t="s">
        <v>2684</v>
      </c>
      <c r="Q1" s="331" t="s">
        <v>2685</v>
      </c>
      <c r="R1" s="331" t="s">
        <v>2686</v>
      </c>
      <c r="S1" s="331" t="s">
        <v>2687</v>
      </c>
      <c r="T1" s="332" t="s">
        <v>2688</v>
      </c>
      <c r="U1" s="332" t="s">
        <v>2689</v>
      </c>
      <c r="V1" s="332" t="s">
        <v>2690</v>
      </c>
      <c r="W1" s="331" t="s">
        <v>2691</v>
      </c>
      <c r="X1" s="331" t="s">
        <v>2692</v>
      </c>
      <c r="Y1" s="331" t="s">
        <v>2693</v>
      </c>
      <c r="Z1" s="331" t="s">
        <v>2694</v>
      </c>
      <c r="AA1" s="331" t="s">
        <v>2695</v>
      </c>
      <c r="AB1" s="331" t="s">
        <v>2696</v>
      </c>
      <c r="AC1" s="331" t="s">
        <v>2697</v>
      </c>
      <c r="AD1" s="331" t="s">
        <v>2698</v>
      </c>
      <c r="AE1" s="331" t="s">
        <v>2699</v>
      </c>
      <c r="AF1" s="332" t="s">
        <v>2700</v>
      </c>
      <c r="AG1" s="332" t="s">
        <v>2701</v>
      </c>
      <c r="AH1" s="331" t="s">
        <v>2702</v>
      </c>
      <c r="AI1" s="333"/>
      <c r="AJ1" s="333"/>
      <c r="AK1" s="333"/>
      <c r="AL1" s="333"/>
      <c r="AM1" s="333"/>
      <c r="AN1" s="333"/>
      <c r="AO1" s="333"/>
      <c r="AP1" s="333"/>
      <c r="AQ1" s="333"/>
      <c r="AR1" s="333"/>
      <c r="AS1" s="333"/>
      <c r="AT1" s="333"/>
      <c r="AU1" s="333"/>
      <c r="AV1" s="333"/>
      <c r="AW1" s="333"/>
      <c r="AX1" s="333"/>
      <c r="AY1" s="333"/>
    </row>
    <row r="2" spans="1:51">
      <c r="A2" s="334">
        <v>1</v>
      </c>
      <c r="B2" s="335"/>
      <c r="C2" s="336" t="s">
        <v>2703</v>
      </c>
      <c r="D2" s="335">
        <v>1</v>
      </c>
      <c r="E2" s="337" t="s">
        <v>2704</v>
      </c>
      <c r="F2" s="337">
        <v>2022</v>
      </c>
      <c r="G2" s="338" t="s">
        <v>1698</v>
      </c>
      <c r="H2" s="338" t="s">
        <v>2705</v>
      </c>
      <c r="I2" s="338" t="s">
        <v>2706</v>
      </c>
      <c r="J2" s="338" t="s">
        <v>2707</v>
      </c>
      <c r="K2" s="336" t="s">
        <v>2708</v>
      </c>
      <c r="L2" s="338" t="s">
        <v>2709</v>
      </c>
      <c r="M2" s="338" t="s">
        <v>2710</v>
      </c>
      <c r="N2" s="338" t="s">
        <v>2711</v>
      </c>
      <c r="O2" s="338" t="s">
        <v>2712</v>
      </c>
      <c r="P2" s="338" t="s">
        <v>2713</v>
      </c>
      <c r="Q2" s="336" t="s">
        <v>2703</v>
      </c>
      <c r="R2" s="338" t="s">
        <v>2714</v>
      </c>
      <c r="S2" s="338" t="s">
        <v>2715</v>
      </c>
      <c r="T2" s="338" t="s">
        <v>2715</v>
      </c>
      <c r="U2" s="338" t="s">
        <v>2716</v>
      </c>
      <c r="V2" s="337" t="s">
        <v>2717</v>
      </c>
      <c r="W2" s="338" t="s">
        <v>2718</v>
      </c>
      <c r="X2" s="338" t="s">
        <v>2719</v>
      </c>
      <c r="Y2" s="338" t="s">
        <v>2720</v>
      </c>
      <c r="Z2" s="338" t="s">
        <v>2721</v>
      </c>
      <c r="AA2" s="338" t="s">
        <v>2722</v>
      </c>
      <c r="AB2" s="338" t="s">
        <v>2723</v>
      </c>
      <c r="AC2" s="338" t="s">
        <v>2724</v>
      </c>
      <c r="AD2" s="339"/>
      <c r="AE2" s="340"/>
      <c r="AF2" s="329"/>
      <c r="AG2" s="329"/>
      <c r="AH2" s="340"/>
      <c r="AI2" s="341"/>
      <c r="AJ2" s="341"/>
      <c r="AK2" s="341"/>
      <c r="AL2" s="341"/>
      <c r="AM2" s="341"/>
      <c r="AN2" s="341"/>
      <c r="AO2" s="341"/>
      <c r="AP2" s="341"/>
      <c r="AQ2" s="341"/>
      <c r="AR2" s="341"/>
      <c r="AS2" s="341"/>
      <c r="AT2" s="341"/>
      <c r="AU2" s="341"/>
      <c r="AV2" s="341"/>
      <c r="AW2" s="341"/>
      <c r="AX2" s="341"/>
      <c r="AY2" s="341"/>
    </row>
    <row r="3" spans="1:51">
      <c r="A3" s="334">
        <v>2</v>
      </c>
      <c r="B3" s="335"/>
      <c r="C3" s="336" t="s">
        <v>2725</v>
      </c>
      <c r="D3" s="335">
        <v>2</v>
      </c>
      <c r="E3" s="337" t="s">
        <v>2704</v>
      </c>
      <c r="F3" s="337">
        <v>2022</v>
      </c>
      <c r="G3" s="338" t="s">
        <v>2726</v>
      </c>
      <c r="H3" s="338" t="s">
        <v>2490</v>
      </c>
      <c r="I3" s="342">
        <v>28230</v>
      </c>
      <c r="J3" s="338" t="s">
        <v>2727</v>
      </c>
      <c r="K3" s="336" t="s">
        <v>2728</v>
      </c>
      <c r="L3" s="338" t="s">
        <v>2729</v>
      </c>
      <c r="M3" s="338" t="s">
        <v>2710</v>
      </c>
      <c r="N3" s="338" t="s">
        <v>2711</v>
      </c>
      <c r="O3" s="338" t="s">
        <v>2712</v>
      </c>
      <c r="P3" s="338" t="s">
        <v>2713</v>
      </c>
      <c r="Q3" s="336" t="s">
        <v>2725</v>
      </c>
      <c r="R3" s="338" t="s">
        <v>2730</v>
      </c>
      <c r="S3" s="338" t="s">
        <v>2715</v>
      </c>
      <c r="T3" s="338" t="s">
        <v>2715</v>
      </c>
      <c r="U3" s="338" t="s">
        <v>2716</v>
      </c>
      <c r="V3" s="337" t="s">
        <v>1529</v>
      </c>
      <c r="W3" s="343" t="s">
        <v>2731</v>
      </c>
      <c r="X3" s="338" t="s">
        <v>2732</v>
      </c>
      <c r="Y3" s="338" t="s">
        <v>2733</v>
      </c>
      <c r="Z3" s="338" t="s">
        <v>2734</v>
      </c>
      <c r="AA3" s="344" t="s">
        <v>2735</v>
      </c>
      <c r="AB3" s="338" t="s">
        <v>2736</v>
      </c>
      <c r="AC3" s="338" t="s">
        <v>2737</v>
      </c>
      <c r="AD3" s="339"/>
      <c r="AE3" s="340"/>
      <c r="AF3" s="329"/>
      <c r="AG3" s="329"/>
      <c r="AH3" s="340"/>
      <c r="AI3" s="341"/>
      <c r="AJ3" s="341"/>
      <c r="AK3" s="341"/>
      <c r="AL3" s="341"/>
      <c r="AM3" s="341"/>
      <c r="AN3" s="341"/>
      <c r="AO3" s="341"/>
      <c r="AP3" s="341"/>
      <c r="AQ3" s="341"/>
      <c r="AR3" s="341"/>
      <c r="AS3" s="341"/>
      <c r="AT3" s="341"/>
      <c r="AU3" s="341"/>
      <c r="AV3" s="341"/>
      <c r="AW3" s="341"/>
      <c r="AX3" s="341"/>
      <c r="AY3" s="341"/>
    </row>
    <row r="4" spans="1:51">
      <c r="A4" s="334">
        <v>3</v>
      </c>
      <c r="B4" s="335"/>
      <c r="C4" s="336" t="s">
        <v>2738</v>
      </c>
      <c r="D4" s="335">
        <v>3</v>
      </c>
      <c r="E4" s="337" t="s">
        <v>2704</v>
      </c>
      <c r="F4" s="337">
        <v>2022</v>
      </c>
      <c r="G4" s="338" t="s">
        <v>2739</v>
      </c>
      <c r="H4" s="338" t="s">
        <v>2740</v>
      </c>
      <c r="I4" s="338" t="s">
        <v>2741</v>
      </c>
      <c r="J4" s="338" t="s">
        <v>2742</v>
      </c>
      <c r="K4" s="336" t="s">
        <v>2743</v>
      </c>
      <c r="L4" s="338" t="s">
        <v>2744</v>
      </c>
      <c r="M4" s="338" t="s">
        <v>2710</v>
      </c>
      <c r="N4" s="338" t="s">
        <v>2711</v>
      </c>
      <c r="O4" s="338" t="s">
        <v>2712</v>
      </c>
      <c r="P4" s="338" t="s">
        <v>2713</v>
      </c>
      <c r="Q4" s="336" t="s">
        <v>2738</v>
      </c>
      <c r="R4" s="336" t="s">
        <v>2745</v>
      </c>
      <c r="S4" s="338" t="s">
        <v>2715</v>
      </c>
      <c r="T4" s="338" t="s">
        <v>2715</v>
      </c>
      <c r="U4" s="338" t="s">
        <v>2716</v>
      </c>
      <c r="V4" s="337" t="s">
        <v>1529</v>
      </c>
      <c r="W4" s="338" t="s">
        <v>2746</v>
      </c>
      <c r="X4" s="338" t="s">
        <v>2747</v>
      </c>
      <c r="Y4" s="338" t="s">
        <v>2748</v>
      </c>
      <c r="Z4" s="338" t="s">
        <v>2749</v>
      </c>
      <c r="AA4" s="345" t="s">
        <v>2750</v>
      </c>
      <c r="AB4" s="338" t="s">
        <v>2736</v>
      </c>
      <c r="AC4" s="338" t="s">
        <v>2751</v>
      </c>
      <c r="AD4" s="339"/>
      <c r="AE4" s="340"/>
      <c r="AF4" s="329"/>
      <c r="AG4" s="329"/>
      <c r="AH4" s="340"/>
      <c r="AI4" s="341"/>
      <c r="AJ4" s="341"/>
      <c r="AK4" s="341"/>
      <c r="AL4" s="341"/>
      <c r="AM4" s="341"/>
      <c r="AN4" s="341"/>
      <c r="AO4" s="341"/>
      <c r="AP4" s="341"/>
      <c r="AQ4" s="341"/>
      <c r="AR4" s="341"/>
      <c r="AS4" s="341"/>
      <c r="AT4" s="341"/>
      <c r="AU4" s="341"/>
      <c r="AV4" s="341"/>
      <c r="AW4" s="341"/>
      <c r="AX4" s="341"/>
      <c r="AY4" s="341"/>
    </row>
    <row r="5" spans="1:51">
      <c r="A5" s="334">
        <v>4</v>
      </c>
      <c r="B5" s="335"/>
      <c r="C5" s="336" t="s">
        <v>89</v>
      </c>
      <c r="D5" s="335">
        <v>4</v>
      </c>
      <c r="E5" s="337" t="s">
        <v>2704</v>
      </c>
      <c r="F5" s="337">
        <v>2022</v>
      </c>
      <c r="G5" s="338" t="s">
        <v>2752</v>
      </c>
      <c r="H5" s="338" t="s">
        <v>2753</v>
      </c>
      <c r="I5" s="338" t="s">
        <v>2754</v>
      </c>
      <c r="J5" s="338" t="s">
        <v>2755</v>
      </c>
      <c r="K5" s="336" t="s">
        <v>2493</v>
      </c>
      <c r="L5" s="338" t="s">
        <v>2756</v>
      </c>
      <c r="M5" s="338" t="s">
        <v>2710</v>
      </c>
      <c r="N5" s="338" t="s">
        <v>2711</v>
      </c>
      <c r="O5" s="338" t="s">
        <v>2712</v>
      </c>
      <c r="P5" s="338" t="s">
        <v>2713</v>
      </c>
      <c r="Q5" s="336" t="s">
        <v>89</v>
      </c>
      <c r="R5" s="338" t="s">
        <v>2757</v>
      </c>
      <c r="S5" s="338" t="s">
        <v>2715</v>
      </c>
      <c r="T5" s="338" t="s">
        <v>2715</v>
      </c>
      <c r="U5" s="338" t="s">
        <v>2716</v>
      </c>
      <c r="V5" s="337" t="s">
        <v>2758</v>
      </c>
      <c r="W5" s="338" t="s">
        <v>2759</v>
      </c>
      <c r="X5" s="338" t="s">
        <v>2760</v>
      </c>
      <c r="Y5" s="338" t="s">
        <v>2761</v>
      </c>
      <c r="Z5" s="338" t="s">
        <v>2760</v>
      </c>
      <c r="AA5" s="344" t="s">
        <v>2762</v>
      </c>
      <c r="AB5" s="338" t="s">
        <v>2736</v>
      </c>
      <c r="AC5" s="338" t="s">
        <v>2763</v>
      </c>
      <c r="AD5" s="339"/>
      <c r="AE5" s="340"/>
      <c r="AF5" s="329"/>
      <c r="AG5" s="329"/>
      <c r="AH5" s="340"/>
      <c r="AI5" s="341"/>
      <c r="AJ5" s="341"/>
      <c r="AK5" s="341"/>
      <c r="AL5" s="341"/>
      <c r="AM5" s="341"/>
      <c r="AN5" s="341"/>
      <c r="AO5" s="341"/>
      <c r="AP5" s="341"/>
      <c r="AQ5" s="341"/>
      <c r="AR5" s="341"/>
      <c r="AS5" s="341"/>
      <c r="AT5" s="341"/>
      <c r="AU5" s="341"/>
      <c r="AV5" s="341"/>
      <c r="AW5" s="341"/>
      <c r="AX5" s="341"/>
      <c r="AY5" s="341"/>
    </row>
    <row r="6" spans="1:51">
      <c r="A6" s="334">
        <v>5</v>
      </c>
      <c r="B6" s="335"/>
      <c r="C6" s="336" t="s">
        <v>89</v>
      </c>
      <c r="D6" s="335">
        <v>5</v>
      </c>
      <c r="E6" s="337" t="s">
        <v>2704</v>
      </c>
      <c r="F6" s="337">
        <v>2022</v>
      </c>
      <c r="G6" s="338" t="s">
        <v>2764</v>
      </c>
      <c r="H6" s="338" t="s">
        <v>2765</v>
      </c>
      <c r="I6" s="342">
        <v>29115</v>
      </c>
      <c r="J6" s="338" t="s">
        <v>2766</v>
      </c>
      <c r="K6" s="336" t="s">
        <v>2493</v>
      </c>
      <c r="L6" s="338" t="s">
        <v>2767</v>
      </c>
      <c r="M6" s="338" t="s">
        <v>2710</v>
      </c>
      <c r="N6" s="338" t="s">
        <v>2711</v>
      </c>
      <c r="O6" s="338" t="s">
        <v>2712</v>
      </c>
      <c r="P6" s="338" t="s">
        <v>2713</v>
      </c>
      <c r="Q6" s="336" t="s">
        <v>89</v>
      </c>
      <c r="R6" s="338" t="s">
        <v>2493</v>
      </c>
      <c r="S6" s="338" t="s">
        <v>2715</v>
      </c>
      <c r="T6" s="338" t="s">
        <v>2715</v>
      </c>
      <c r="U6" s="338" t="s">
        <v>2716</v>
      </c>
      <c r="V6" s="337" t="s">
        <v>2758</v>
      </c>
      <c r="W6" s="338" t="s">
        <v>2768</v>
      </c>
      <c r="X6" s="338" t="s">
        <v>2769</v>
      </c>
      <c r="Y6" s="338" t="s">
        <v>2770</v>
      </c>
      <c r="Z6" s="338" t="s">
        <v>2771</v>
      </c>
      <c r="AA6" s="345" t="s">
        <v>2772</v>
      </c>
      <c r="AB6" s="338" t="s">
        <v>2773</v>
      </c>
      <c r="AC6" s="338" t="s">
        <v>2774</v>
      </c>
      <c r="AD6" s="339"/>
      <c r="AE6" s="340"/>
      <c r="AF6" s="329"/>
      <c r="AG6" s="329"/>
      <c r="AH6" s="340"/>
      <c r="AI6" s="341"/>
      <c r="AJ6" s="341"/>
      <c r="AK6" s="341"/>
      <c r="AL6" s="341"/>
      <c r="AM6" s="341"/>
      <c r="AN6" s="341"/>
      <c r="AO6" s="341"/>
      <c r="AP6" s="341"/>
      <c r="AQ6" s="341"/>
      <c r="AR6" s="341"/>
      <c r="AS6" s="341"/>
      <c r="AT6" s="341"/>
      <c r="AU6" s="341"/>
      <c r="AV6" s="341"/>
      <c r="AW6" s="341"/>
      <c r="AX6" s="341"/>
      <c r="AY6" s="341"/>
    </row>
    <row r="7" spans="1:51">
      <c r="A7" s="334">
        <v>6</v>
      </c>
      <c r="B7" s="337"/>
      <c r="C7" s="336" t="s">
        <v>2775</v>
      </c>
      <c r="D7" s="335">
        <v>6</v>
      </c>
      <c r="E7" s="337" t="s">
        <v>2776</v>
      </c>
      <c r="F7" s="337">
        <v>2022</v>
      </c>
      <c r="G7" s="338" t="s">
        <v>2777</v>
      </c>
      <c r="H7" s="338" t="s">
        <v>2778</v>
      </c>
      <c r="I7" s="338" t="s">
        <v>2779</v>
      </c>
      <c r="J7" s="338" t="s">
        <v>2780</v>
      </c>
      <c r="K7" s="338" t="s">
        <v>2491</v>
      </c>
      <c r="L7" s="336">
        <v>81330061255</v>
      </c>
      <c r="M7" s="346" t="s">
        <v>2710</v>
      </c>
      <c r="N7" s="346" t="s">
        <v>2781</v>
      </c>
      <c r="O7" s="346" t="s">
        <v>1803</v>
      </c>
      <c r="P7" s="346" t="s">
        <v>2713</v>
      </c>
      <c r="Q7" s="337" t="s">
        <v>762</v>
      </c>
      <c r="R7" s="337" t="s">
        <v>2782</v>
      </c>
      <c r="S7" s="346" t="s">
        <v>1693</v>
      </c>
      <c r="T7" s="346" t="s">
        <v>1693</v>
      </c>
      <c r="U7" s="346" t="s">
        <v>1228</v>
      </c>
      <c r="V7" s="337" t="s">
        <v>2783</v>
      </c>
      <c r="W7" s="337" t="s">
        <v>2784</v>
      </c>
      <c r="X7" s="338" t="s">
        <v>2785</v>
      </c>
      <c r="Y7" s="337" t="s">
        <v>2786</v>
      </c>
      <c r="Z7" s="336" t="s">
        <v>2785</v>
      </c>
      <c r="AA7" s="347" t="s">
        <v>2787</v>
      </c>
      <c r="AB7" s="338" t="s">
        <v>2736</v>
      </c>
      <c r="AC7" s="336" t="s">
        <v>2788</v>
      </c>
      <c r="AD7" s="336" t="s">
        <v>2789</v>
      </c>
      <c r="AE7" s="348">
        <v>2</v>
      </c>
      <c r="AF7" s="329"/>
      <c r="AG7" s="329"/>
      <c r="AH7" s="340"/>
      <c r="AI7" s="341"/>
      <c r="AJ7" s="341"/>
      <c r="AK7" s="341"/>
      <c r="AL7" s="341"/>
      <c r="AM7" s="341"/>
      <c r="AN7" s="341"/>
      <c r="AO7" s="341"/>
      <c r="AP7" s="341"/>
      <c r="AQ7" s="341"/>
      <c r="AR7" s="341"/>
      <c r="AS7" s="341"/>
      <c r="AT7" s="341"/>
      <c r="AU7" s="341"/>
      <c r="AV7" s="341"/>
      <c r="AW7" s="341"/>
      <c r="AX7" s="341"/>
      <c r="AY7" s="341"/>
    </row>
    <row r="8" spans="1:51">
      <c r="A8" s="334">
        <v>7</v>
      </c>
      <c r="B8" s="337"/>
      <c r="C8" s="336" t="s">
        <v>2790</v>
      </c>
      <c r="D8" s="335">
        <v>7</v>
      </c>
      <c r="E8" s="337" t="s">
        <v>2704</v>
      </c>
      <c r="F8" s="337">
        <v>2022</v>
      </c>
      <c r="G8" s="336" t="s">
        <v>2791</v>
      </c>
      <c r="H8" s="338" t="s">
        <v>2792</v>
      </c>
      <c r="I8" s="338" t="s">
        <v>2793</v>
      </c>
      <c r="J8" s="338" t="s">
        <v>2794</v>
      </c>
      <c r="K8" s="338" t="s">
        <v>2491</v>
      </c>
      <c r="L8" s="336">
        <v>88801428880</v>
      </c>
      <c r="M8" s="338" t="s">
        <v>2710</v>
      </c>
      <c r="N8" s="338" t="s">
        <v>2711</v>
      </c>
      <c r="O8" s="338" t="s">
        <v>2712</v>
      </c>
      <c r="P8" s="338" t="s">
        <v>2713</v>
      </c>
      <c r="Q8" s="349" t="s">
        <v>2795</v>
      </c>
      <c r="R8" s="349" t="s">
        <v>2796</v>
      </c>
      <c r="S8" s="338" t="s">
        <v>2715</v>
      </c>
      <c r="T8" s="338" t="s">
        <v>2715</v>
      </c>
      <c r="U8" s="338" t="s">
        <v>2716</v>
      </c>
      <c r="V8" s="349" t="s">
        <v>2797</v>
      </c>
      <c r="W8" s="349" t="s">
        <v>2798</v>
      </c>
      <c r="X8" s="338" t="s">
        <v>2799</v>
      </c>
      <c r="Y8" s="337" t="s">
        <v>2800</v>
      </c>
      <c r="Z8" s="336" t="s">
        <v>2801</v>
      </c>
      <c r="AA8" s="347" t="s">
        <v>2802</v>
      </c>
      <c r="AB8" s="338" t="s">
        <v>2736</v>
      </c>
      <c r="AC8" s="336" t="s">
        <v>2803</v>
      </c>
      <c r="AD8" s="336" t="s">
        <v>2789</v>
      </c>
      <c r="AE8" s="348">
        <v>1</v>
      </c>
      <c r="AF8" s="329"/>
      <c r="AG8" s="329"/>
      <c r="AH8" s="340"/>
      <c r="AI8" s="341"/>
      <c r="AJ8" s="341"/>
      <c r="AK8" s="341"/>
      <c r="AL8" s="341"/>
      <c r="AM8" s="341"/>
      <c r="AN8" s="341"/>
      <c r="AO8" s="341"/>
      <c r="AP8" s="341"/>
      <c r="AQ8" s="341"/>
      <c r="AR8" s="341"/>
      <c r="AS8" s="341"/>
      <c r="AT8" s="341"/>
      <c r="AU8" s="341"/>
      <c r="AV8" s="341"/>
      <c r="AW8" s="341"/>
      <c r="AX8" s="341"/>
      <c r="AY8" s="341"/>
    </row>
    <row r="9" spans="1:51">
      <c r="A9" s="334">
        <v>8</v>
      </c>
      <c r="B9" s="337"/>
      <c r="C9" s="336" t="s">
        <v>2804</v>
      </c>
      <c r="D9" s="335">
        <v>8</v>
      </c>
      <c r="E9" s="337" t="s">
        <v>2704</v>
      </c>
      <c r="F9" s="337">
        <v>2022</v>
      </c>
      <c r="G9" s="336" t="s">
        <v>2805</v>
      </c>
      <c r="H9" s="338" t="s">
        <v>2491</v>
      </c>
      <c r="I9" s="338" t="s">
        <v>2806</v>
      </c>
      <c r="J9" s="338" t="s">
        <v>2807</v>
      </c>
      <c r="K9" s="338" t="s">
        <v>2491</v>
      </c>
      <c r="L9" s="336">
        <v>81330023731</v>
      </c>
      <c r="M9" s="338" t="s">
        <v>2710</v>
      </c>
      <c r="N9" s="338" t="s">
        <v>2711</v>
      </c>
      <c r="O9" s="338" t="s">
        <v>2712</v>
      </c>
      <c r="P9" s="338" t="s">
        <v>2713</v>
      </c>
      <c r="Q9" s="349" t="s">
        <v>2795</v>
      </c>
      <c r="R9" s="349" t="s">
        <v>2796</v>
      </c>
      <c r="S9" s="338" t="s">
        <v>2715</v>
      </c>
      <c r="T9" s="338" t="s">
        <v>2715</v>
      </c>
      <c r="U9" s="338" t="s">
        <v>2716</v>
      </c>
      <c r="V9" s="349" t="s">
        <v>2797</v>
      </c>
      <c r="W9" s="349" t="s">
        <v>2808</v>
      </c>
      <c r="X9" s="338" t="s">
        <v>2809</v>
      </c>
      <c r="Y9" s="337" t="s">
        <v>2810</v>
      </c>
      <c r="Z9" s="338" t="s">
        <v>2809</v>
      </c>
      <c r="AA9" s="347" t="s">
        <v>2811</v>
      </c>
      <c r="AB9" s="338" t="s">
        <v>2736</v>
      </c>
      <c r="AC9" s="336" t="s">
        <v>2812</v>
      </c>
      <c r="AD9" s="336" t="s">
        <v>2813</v>
      </c>
      <c r="AE9" s="348">
        <v>0</v>
      </c>
      <c r="AF9" s="329"/>
      <c r="AG9" s="329"/>
      <c r="AH9" s="340"/>
      <c r="AI9" s="341"/>
      <c r="AJ9" s="341"/>
      <c r="AK9" s="341"/>
      <c r="AL9" s="341"/>
      <c r="AM9" s="341"/>
      <c r="AN9" s="341"/>
      <c r="AO9" s="341"/>
      <c r="AP9" s="341"/>
      <c r="AQ9" s="341"/>
      <c r="AR9" s="341"/>
      <c r="AS9" s="341"/>
      <c r="AT9" s="341"/>
      <c r="AU9" s="341"/>
      <c r="AV9" s="341"/>
      <c r="AW9" s="341"/>
      <c r="AX9" s="341"/>
      <c r="AY9" s="341"/>
    </row>
    <row r="10" spans="1:51">
      <c r="A10" s="334">
        <v>9</v>
      </c>
      <c r="B10" s="337"/>
      <c r="C10" s="336" t="s">
        <v>2814</v>
      </c>
      <c r="D10" s="335">
        <v>9</v>
      </c>
      <c r="E10" s="337" t="s">
        <v>2704</v>
      </c>
      <c r="F10" s="337">
        <v>2022</v>
      </c>
      <c r="G10" s="336" t="s">
        <v>2815</v>
      </c>
      <c r="H10" s="338" t="s">
        <v>2816</v>
      </c>
      <c r="I10" s="338" t="s">
        <v>2817</v>
      </c>
      <c r="J10" s="338" t="s">
        <v>2818</v>
      </c>
      <c r="K10" s="338" t="s">
        <v>2495</v>
      </c>
      <c r="L10" s="336">
        <v>8563307176</v>
      </c>
      <c r="M10" s="338" t="s">
        <v>2710</v>
      </c>
      <c r="N10" s="338" t="s">
        <v>2711</v>
      </c>
      <c r="O10" s="338" t="s">
        <v>2712</v>
      </c>
      <c r="P10" s="338" t="s">
        <v>2713</v>
      </c>
      <c r="Q10" s="349" t="s">
        <v>2795</v>
      </c>
      <c r="R10" s="349" t="s">
        <v>2796</v>
      </c>
      <c r="S10" s="338" t="s">
        <v>2715</v>
      </c>
      <c r="T10" s="338" t="s">
        <v>2715</v>
      </c>
      <c r="U10" s="338" t="s">
        <v>2716</v>
      </c>
      <c r="V10" s="349" t="s">
        <v>2797</v>
      </c>
      <c r="W10" s="337" t="s">
        <v>2819</v>
      </c>
      <c r="X10" s="338" t="s">
        <v>2818</v>
      </c>
      <c r="Y10" s="337" t="s">
        <v>2820</v>
      </c>
      <c r="Z10" s="338" t="s">
        <v>2821</v>
      </c>
      <c r="AA10" s="347" t="s">
        <v>2822</v>
      </c>
      <c r="AB10" s="338" t="s">
        <v>2736</v>
      </c>
      <c r="AC10" s="336" t="s">
        <v>2823</v>
      </c>
      <c r="AD10" s="336" t="s">
        <v>2789</v>
      </c>
      <c r="AE10" s="348">
        <v>2</v>
      </c>
      <c r="AF10" s="329"/>
      <c r="AG10" s="329"/>
      <c r="AH10" s="340"/>
      <c r="AI10" s="341"/>
      <c r="AJ10" s="341"/>
      <c r="AK10" s="341"/>
      <c r="AL10" s="341"/>
      <c r="AM10" s="341"/>
      <c r="AN10" s="341"/>
      <c r="AO10" s="341"/>
      <c r="AP10" s="341"/>
      <c r="AQ10" s="341"/>
      <c r="AR10" s="341"/>
      <c r="AS10" s="341"/>
      <c r="AT10" s="341"/>
      <c r="AU10" s="341"/>
      <c r="AV10" s="341"/>
      <c r="AW10" s="341"/>
      <c r="AX10" s="341"/>
      <c r="AY10" s="341"/>
    </row>
    <row r="11" spans="1:51">
      <c r="A11" s="334">
        <v>10</v>
      </c>
      <c r="B11" s="337"/>
      <c r="C11" s="336" t="s">
        <v>2814</v>
      </c>
      <c r="D11" s="335">
        <v>10</v>
      </c>
      <c r="E11" s="337" t="s">
        <v>2704</v>
      </c>
      <c r="F11" s="337">
        <v>2022</v>
      </c>
      <c r="G11" s="336" t="s">
        <v>2824</v>
      </c>
      <c r="H11" s="338" t="s">
        <v>2825</v>
      </c>
      <c r="I11" s="338" t="s">
        <v>2826</v>
      </c>
      <c r="J11" s="338" t="s">
        <v>2827</v>
      </c>
      <c r="K11" s="338" t="s">
        <v>2491</v>
      </c>
      <c r="L11" s="336">
        <v>89682719184</v>
      </c>
      <c r="M11" s="338" t="s">
        <v>2710</v>
      </c>
      <c r="N11" s="338" t="s">
        <v>2711</v>
      </c>
      <c r="O11" s="338" t="s">
        <v>2712</v>
      </c>
      <c r="P11" s="338" t="s">
        <v>2713</v>
      </c>
      <c r="Q11" s="349" t="s">
        <v>2795</v>
      </c>
      <c r="R11" s="349" t="s">
        <v>2796</v>
      </c>
      <c r="S11" s="338" t="s">
        <v>2715</v>
      </c>
      <c r="T11" s="338" t="s">
        <v>2715</v>
      </c>
      <c r="U11" s="338" t="s">
        <v>2716</v>
      </c>
      <c r="V11" s="349" t="s">
        <v>2797</v>
      </c>
      <c r="W11" s="337" t="s">
        <v>2828</v>
      </c>
      <c r="X11" s="338" t="s">
        <v>2829</v>
      </c>
      <c r="Y11" s="337" t="s">
        <v>2830</v>
      </c>
      <c r="Z11" s="338" t="s">
        <v>2829</v>
      </c>
      <c r="AA11" s="347" t="s">
        <v>2831</v>
      </c>
      <c r="AB11" s="338" t="s">
        <v>2773</v>
      </c>
      <c r="AC11" s="336" t="s">
        <v>2832</v>
      </c>
      <c r="AD11" s="336" t="s">
        <v>2789</v>
      </c>
      <c r="AE11" s="348">
        <v>3</v>
      </c>
      <c r="AF11" s="329"/>
      <c r="AG11" s="329"/>
      <c r="AH11" s="340"/>
      <c r="AI11" s="341"/>
      <c r="AJ11" s="341"/>
      <c r="AK11" s="341"/>
      <c r="AL11" s="341"/>
      <c r="AM11" s="341"/>
      <c r="AN11" s="341"/>
      <c r="AO11" s="341"/>
      <c r="AP11" s="341"/>
      <c r="AQ11" s="341"/>
      <c r="AR11" s="341"/>
      <c r="AS11" s="341"/>
      <c r="AT11" s="341"/>
      <c r="AU11" s="341"/>
      <c r="AV11" s="341"/>
      <c r="AW11" s="341"/>
      <c r="AX11" s="341"/>
      <c r="AY11" s="341"/>
    </row>
    <row r="12" spans="1:51">
      <c r="A12" s="334">
        <v>11</v>
      </c>
      <c r="B12" s="335"/>
      <c r="C12" s="336" t="s">
        <v>2833</v>
      </c>
      <c r="D12" s="335">
        <v>11</v>
      </c>
      <c r="E12" s="337" t="s">
        <v>2704</v>
      </c>
      <c r="F12" s="337">
        <v>2019</v>
      </c>
      <c r="G12" s="338" t="s">
        <v>2834</v>
      </c>
      <c r="H12" s="338" t="s">
        <v>2490</v>
      </c>
      <c r="I12" s="342">
        <v>30584</v>
      </c>
      <c r="J12" s="338" t="s">
        <v>2835</v>
      </c>
      <c r="K12" s="336" t="s">
        <v>2836</v>
      </c>
      <c r="L12" s="338" t="s">
        <v>2837</v>
      </c>
      <c r="M12" s="338" t="s">
        <v>2710</v>
      </c>
      <c r="N12" s="338" t="s">
        <v>2838</v>
      </c>
      <c r="O12" s="338" t="s">
        <v>2712</v>
      </c>
      <c r="P12" s="338" t="s">
        <v>2839</v>
      </c>
      <c r="Q12" s="336" t="s">
        <v>2833</v>
      </c>
      <c r="R12" s="336" t="s">
        <v>2840</v>
      </c>
      <c r="S12" s="338" t="s">
        <v>2841</v>
      </c>
      <c r="T12" s="338" t="s">
        <v>2841</v>
      </c>
      <c r="U12" s="338" t="s">
        <v>2842</v>
      </c>
      <c r="V12" s="337" t="s">
        <v>2843</v>
      </c>
      <c r="W12" s="338" t="s">
        <v>2844</v>
      </c>
      <c r="X12" s="338" t="s">
        <v>2845</v>
      </c>
      <c r="Y12" s="338" t="s">
        <v>2846</v>
      </c>
      <c r="Z12" s="338" t="s">
        <v>2847</v>
      </c>
      <c r="AA12" s="345" t="s">
        <v>2848</v>
      </c>
      <c r="AB12" s="338" t="s">
        <v>2736</v>
      </c>
      <c r="AC12" s="338" t="s">
        <v>2849</v>
      </c>
      <c r="AD12" s="339"/>
      <c r="AE12" s="340"/>
      <c r="AF12" s="329"/>
      <c r="AG12" s="329"/>
      <c r="AH12" s="340"/>
      <c r="AI12" s="341"/>
      <c r="AJ12" s="341"/>
      <c r="AK12" s="341"/>
      <c r="AL12" s="341"/>
      <c r="AM12" s="341"/>
      <c r="AN12" s="341"/>
      <c r="AO12" s="341"/>
      <c r="AP12" s="341"/>
      <c r="AQ12" s="341"/>
      <c r="AR12" s="341"/>
      <c r="AS12" s="341"/>
      <c r="AT12" s="341"/>
      <c r="AU12" s="341"/>
      <c r="AV12" s="341"/>
      <c r="AW12" s="341"/>
      <c r="AX12" s="341"/>
      <c r="AY12" s="341"/>
    </row>
    <row r="13" spans="1:51">
      <c r="A13" s="350">
        <v>1</v>
      </c>
      <c r="B13" s="338"/>
      <c r="C13" s="338" t="s">
        <v>2614</v>
      </c>
      <c r="D13" s="337">
        <v>1</v>
      </c>
      <c r="E13" s="337" t="s">
        <v>2704</v>
      </c>
      <c r="F13" s="337">
        <v>2023</v>
      </c>
      <c r="G13" s="336" t="s">
        <v>1711</v>
      </c>
      <c r="H13" s="336" t="s">
        <v>2488</v>
      </c>
      <c r="I13" s="342">
        <v>28610</v>
      </c>
      <c r="J13" s="336" t="s">
        <v>2850</v>
      </c>
      <c r="K13" s="336" t="s">
        <v>2851</v>
      </c>
      <c r="L13" s="336" t="s">
        <v>2615</v>
      </c>
      <c r="M13" s="338" t="s">
        <v>2710</v>
      </c>
      <c r="N13" s="338" t="s">
        <v>2852</v>
      </c>
      <c r="O13" s="338" t="s">
        <v>2712</v>
      </c>
      <c r="P13" s="338" t="s">
        <v>2853</v>
      </c>
      <c r="Q13" s="338" t="s">
        <v>2614</v>
      </c>
      <c r="R13" s="336" t="s">
        <v>2854</v>
      </c>
      <c r="S13" s="338" t="s">
        <v>1739</v>
      </c>
      <c r="T13" s="338" t="s">
        <v>1739</v>
      </c>
      <c r="U13" s="338" t="s">
        <v>2855</v>
      </c>
      <c r="V13" s="337" t="s">
        <v>2856</v>
      </c>
      <c r="W13" s="338" t="s">
        <v>2857</v>
      </c>
      <c r="X13" s="336" t="s">
        <v>2858</v>
      </c>
      <c r="Y13" s="336">
        <v>491560421048000</v>
      </c>
      <c r="Z13" s="336" t="s">
        <v>2850</v>
      </c>
      <c r="AA13" s="338" t="s">
        <v>2859</v>
      </c>
      <c r="AB13" s="338" t="s">
        <v>2860</v>
      </c>
      <c r="AC13" s="336"/>
      <c r="AD13" s="336" t="s">
        <v>2861</v>
      </c>
      <c r="AE13" s="338"/>
      <c r="AF13" s="329"/>
      <c r="AG13" s="329"/>
      <c r="AH13" s="338"/>
      <c r="AI13" s="351"/>
      <c r="AJ13" s="351"/>
      <c r="AK13" s="351"/>
      <c r="AL13" s="351"/>
      <c r="AM13" s="351"/>
      <c r="AN13" s="351"/>
      <c r="AO13" s="351"/>
      <c r="AP13" s="351"/>
      <c r="AQ13" s="351"/>
      <c r="AR13" s="351"/>
      <c r="AS13" s="351"/>
      <c r="AT13" s="351"/>
      <c r="AU13" s="351"/>
      <c r="AV13" s="351"/>
      <c r="AW13" s="351"/>
      <c r="AX13" s="351"/>
      <c r="AY13" s="351"/>
    </row>
    <row r="14" spans="1:51">
      <c r="A14" s="350">
        <v>2</v>
      </c>
      <c r="B14" s="338"/>
      <c r="C14" s="338" t="s">
        <v>2616</v>
      </c>
      <c r="D14" s="337">
        <v>2</v>
      </c>
      <c r="E14" s="337" t="s">
        <v>2704</v>
      </c>
      <c r="F14" s="337">
        <v>2023</v>
      </c>
      <c r="G14" s="336" t="s">
        <v>1712</v>
      </c>
      <c r="H14" s="336" t="s">
        <v>2862</v>
      </c>
      <c r="I14" s="338" t="s">
        <v>2863</v>
      </c>
      <c r="J14" s="336" t="s">
        <v>2864</v>
      </c>
      <c r="K14" s="336" t="s">
        <v>2865</v>
      </c>
      <c r="L14" s="336" t="s">
        <v>2866</v>
      </c>
      <c r="M14" s="338" t="s">
        <v>2710</v>
      </c>
      <c r="N14" s="338" t="s">
        <v>2852</v>
      </c>
      <c r="O14" s="338" t="s">
        <v>2712</v>
      </c>
      <c r="P14" s="338" t="s">
        <v>2853</v>
      </c>
      <c r="Q14" s="338" t="s">
        <v>2616</v>
      </c>
      <c r="R14" s="336" t="s">
        <v>2854</v>
      </c>
      <c r="S14" s="338" t="s">
        <v>1739</v>
      </c>
      <c r="T14" s="338" t="s">
        <v>1739</v>
      </c>
      <c r="U14" s="338" t="s">
        <v>2855</v>
      </c>
      <c r="V14" s="337" t="s">
        <v>992</v>
      </c>
      <c r="W14" s="338" t="s">
        <v>2867</v>
      </c>
      <c r="X14" s="336" t="s">
        <v>2868</v>
      </c>
      <c r="Y14" s="336" t="s">
        <v>2869</v>
      </c>
      <c r="Z14" s="336" t="s">
        <v>2870</v>
      </c>
      <c r="AA14" s="352" t="s">
        <v>2871</v>
      </c>
      <c r="AB14" s="338" t="s">
        <v>2736</v>
      </c>
      <c r="AC14" s="336" t="s">
        <v>2872</v>
      </c>
      <c r="AD14" s="336" t="s">
        <v>2861</v>
      </c>
      <c r="AE14" s="338"/>
      <c r="AF14" s="329"/>
      <c r="AG14" s="329"/>
      <c r="AH14" s="338"/>
      <c r="AI14" s="351"/>
      <c r="AJ14" s="351"/>
      <c r="AK14" s="351"/>
      <c r="AL14" s="351"/>
      <c r="AM14" s="351"/>
      <c r="AN14" s="351"/>
      <c r="AO14" s="351"/>
      <c r="AP14" s="351"/>
      <c r="AQ14" s="351"/>
      <c r="AR14" s="351"/>
      <c r="AS14" s="351"/>
      <c r="AT14" s="351"/>
      <c r="AU14" s="351"/>
      <c r="AV14" s="351"/>
      <c r="AW14" s="351"/>
      <c r="AX14" s="351"/>
      <c r="AY14" s="351"/>
    </row>
    <row r="15" spans="1:51">
      <c r="A15" s="350">
        <v>3</v>
      </c>
      <c r="B15" s="338"/>
      <c r="C15" s="338" t="s">
        <v>2873</v>
      </c>
      <c r="D15" s="337">
        <v>3</v>
      </c>
      <c r="E15" s="337" t="s">
        <v>2704</v>
      </c>
      <c r="F15" s="337">
        <v>2023</v>
      </c>
      <c r="G15" s="353" t="s">
        <v>1708</v>
      </c>
      <c r="H15" s="336" t="s">
        <v>2874</v>
      </c>
      <c r="I15" s="338" t="s">
        <v>2875</v>
      </c>
      <c r="J15" s="336" t="s">
        <v>2876</v>
      </c>
      <c r="K15" s="336" t="s">
        <v>2877</v>
      </c>
      <c r="L15" s="336" t="s">
        <v>2631</v>
      </c>
      <c r="M15" s="338" t="s">
        <v>2710</v>
      </c>
      <c r="N15" s="338" t="s">
        <v>2852</v>
      </c>
      <c r="O15" s="338" t="s">
        <v>2712</v>
      </c>
      <c r="P15" s="338" t="s">
        <v>2853</v>
      </c>
      <c r="Q15" s="338" t="s">
        <v>2873</v>
      </c>
      <c r="R15" s="336" t="s">
        <v>2878</v>
      </c>
      <c r="S15" s="338" t="s">
        <v>1739</v>
      </c>
      <c r="T15" s="338" t="s">
        <v>1739</v>
      </c>
      <c r="U15" s="338" t="s">
        <v>2855</v>
      </c>
      <c r="V15" s="337" t="s">
        <v>2856</v>
      </c>
      <c r="W15" s="338" t="s">
        <v>2879</v>
      </c>
      <c r="X15" s="336" t="s">
        <v>2880</v>
      </c>
      <c r="Y15" s="336" t="s">
        <v>249</v>
      </c>
      <c r="Z15" s="336"/>
      <c r="AA15" s="352" t="s">
        <v>2881</v>
      </c>
      <c r="AB15" s="338" t="s">
        <v>2882</v>
      </c>
      <c r="AC15" s="336" t="s">
        <v>2883</v>
      </c>
      <c r="AD15" s="336" t="s">
        <v>2861</v>
      </c>
      <c r="AE15" s="338"/>
      <c r="AF15" s="329"/>
      <c r="AG15" s="329"/>
      <c r="AH15" s="338"/>
      <c r="AI15" s="351"/>
      <c r="AJ15" s="351"/>
      <c r="AK15" s="351"/>
      <c r="AL15" s="351"/>
      <c r="AM15" s="351"/>
      <c r="AN15" s="351"/>
      <c r="AO15" s="351"/>
      <c r="AP15" s="351"/>
      <c r="AQ15" s="351"/>
      <c r="AR15" s="351"/>
      <c r="AS15" s="351"/>
      <c r="AT15" s="351"/>
      <c r="AU15" s="351"/>
      <c r="AV15" s="351"/>
      <c r="AW15" s="351"/>
      <c r="AX15" s="351"/>
      <c r="AY15" s="351"/>
    </row>
    <row r="16" spans="1:51">
      <c r="A16" s="350">
        <v>4</v>
      </c>
      <c r="B16" s="338"/>
      <c r="C16" s="338" t="s">
        <v>2884</v>
      </c>
      <c r="D16" s="337">
        <v>4</v>
      </c>
      <c r="E16" s="337" t="s">
        <v>2704</v>
      </c>
      <c r="F16" s="337">
        <v>2023</v>
      </c>
      <c r="G16" s="336" t="s">
        <v>2597</v>
      </c>
      <c r="H16" s="336" t="s">
        <v>2885</v>
      </c>
      <c r="I16" s="338" t="s">
        <v>2886</v>
      </c>
      <c r="J16" s="336" t="s">
        <v>2887</v>
      </c>
      <c r="K16" s="336" t="s">
        <v>2888</v>
      </c>
      <c r="L16" s="336" t="s">
        <v>2598</v>
      </c>
      <c r="M16" s="338" t="s">
        <v>2710</v>
      </c>
      <c r="N16" s="338" t="s">
        <v>2852</v>
      </c>
      <c r="O16" s="338" t="s">
        <v>2712</v>
      </c>
      <c r="P16" s="338" t="s">
        <v>2853</v>
      </c>
      <c r="Q16" s="338" t="s">
        <v>2884</v>
      </c>
      <c r="R16" s="338" t="s">
        <v>2889</v>
      </c>
      <c r="S16" s="338" t="s">
        <v>1739</v>
      </c>
      <c r="T16" s="338" t="s">
        <v>1739</v>
      </c>
      <c r="U16" s="338" t="s">
        <v>2855</v>
      </c>
      <c r="V16" s="337" t="s">
        <v>2890</v>
      </c>
      <c r="W16" s="338" t="s">
        <v>2891</v>
      </c>
      <c r="X16" s="336"/>
      <c r="Y16" s="336" t="s">
        <v>2892</v>
      </c>
      <c r="Z16" s="336" t="s">
        <v>2893</v>
      </c>
      <c r="AA16" s="352" t="s">
        <v>2894</v>
      </c>
      <c r="AB16" s="338" t="s">
        <v>2895</v>
      </c>
      <c r="AC16" s="336" t="s">
        <v>2896</v>
      </c>
      <c r="AD16" s="336" t="s">
        <v>2897</v>
      </c>
      <c r="AE16" s="338"/>
      <c r="AF16" s="329"/>
      <c r="AG16" s="329"/>
      <c r="AH16" s="338"/>
      <c r="AI16" s="351"/>
      <c r="AJ16" s="351"/>
      <c r="AK16" s="351"/>
      <c r="AL16" s="351"/>
      <c r="AM16" s="351"/>
      <c r="AN16" s="351"/>
      <c r="AO16" s="351"/>
      <c r="AP16" s="351"/>
      <c r="AQ16" s="351"/>
      <c r="AR16" s="351"/>
      <c r="AS16" s="351"/>
      <c r="AT16" s="351"/>
      <c r="AU16" s="351"/>
      <c r="AV16" s="351"/>
      <c r="AW16" s="351"/>
      <c r="AX16" s="351"/>
      <c r="AY16" s="351"/>
    </row>
    <row r="17" spans="1:51">
      <c r="A17" s="350">
        <v>5</v>
      </c>
      <c r="B17" s="338"/>
      <c r="C17" s="338" t="s">
        <v>2884</v>
      </c>
      <c r="D17" s="337">
        <v>5</v>
      </c>
      <c r="E17" s="337" t="s">
        <v>2704</v>
      </c>
      <c r="F17" s="337">
        <v>2023</v>
      </c>
      <c r="G17" s="336" t="s">
        <v>2599</v>
      </c>
      <c r="H17" s="336" t="s">
        <v>2898</v>
      </c>
      <c r="I17" s="338" t="s">
        <v>2899</v>
      </c>
      <c r="J17" s="336" t="s">
        <v>2900</v>
      </c>
      <c r="K17" s="336" t="s">
        <v>2901</v>
      </c>
      <c r="L17" s="336" t="s">
        <v>2600</v>
      </c>
      <c r="M17" s="338" t="s">
        <v>2710</v>
      </c>
      <c r="N17" s="338" t="s">
        <v>2852</v>
      </c>
      <c r="O17" s="338" t="s">
        <v>2712</v>
      </c>
      <c r="P17" s="338" t="s">
        <v>2853</v>
      </c>
      <c r="Q17" s="338" t="s">
        <v>2884</v>
      </c>
      <c r="R17" s="338" t="s">
        <v>2889</v>
      </c>
      <c r="S17" s="338" t="s">
        <v>1739</v>
      </c>
      <c r="T17" s="338" t="s">
        <v>1739</v>
      </c>
      <c r="U17" s="338" t="s">
        <v>2855</v>
      </c>
      <c r="V17" s="337" t="s">
        <v>2902</v>
      </c>
      <c r="W17" s="338" t="s">
        <v>2903</v>
      </c>
      <c r="X17" s="336" t="s">
        <v>2904</v>
      </c>
      <c r="Y17" s="336" t="s">
        <v>2905</v>
      </c>
      <c r="Z17" s="336" t="s">
        <v>2906</v>
      </c>
      <c r="AA17" s="354" t="s">
        <v>2907</v>
      </c>
      <c r="AB17" s="338" t="s">
        <v>2736</v>
      </c>
      <c r="AC17" s="336" t="s">
        <v>2883</v>
      </c>
      <c r="AD17" s="336" t="s">
        <v>2897</v>
      </c>
      <c r="AE17" s="338"/>
      <c r="AF17" s="329"/>
      <c r="AG17" s="329"/>
      <c r="AH17" s="338"/>
      <c r="AI17" s="351"/>
      <c r="AJ17" s="351"/>
      <c r="AK17" s="351"/>
      <c r="AL17" s="351"/>
      <c r="AM17" s="351"/>
      <c r="AN17" s="351"/>
      <c r="AO17" s="351"/>
      <c r="AP17" s="351"/>
      <c r="AQ17" s="351"/>
      <c r="AR17" s="351"/>
      <c r="AS17" s="351"/>
      <c r="AT17" s="351"/>
      <c r="AU17" s="351"/>
      <c r="AV17" s="351"/>
      <c r="AW17" s="351"/>
      <c r="AX17" s="351"/>
      <c r="AY17" s="351"/>
    </row>
    <row r="18" spans="1:51">
      <c r="A18" s="350">
        <v>6</v>
      </c>
      <c r="B18" s="338"/>
      <c r="C18" s="338" t="s">
        <v>2908</v>
      </c>
      <c r="D18" s="337">
        <v>6</v>
      </c>
      <c r="E18" s="337" t="s">
        <v>2704</v>
      </c>
      <c r="F18" s="337">
        <v>2023</v>
      </c>
      <c r="G18" s="336" t="s">
        <v>1709</v>
      </c>
      <c r="H18" s="336" t="s">
        <v>2909</v>
      </c>
      <c r="I18" s="338" t="s">
        <v>2910</v>
      </c>
      <c r="J18" s="336" t="s">
        <v>2911</v>
      </c>
      <c r="K18" s="336" t="s">
        <v>2492</v>
      </c>
      <c r="L18" s="336">
        <v>89667349322</v>
      </c>
      <c r="M18" s="338" t="s">
        <v>2710</v>
      </c>
      <c r="N18" s="338" t="s">
        <v>2852</v>
      </c>
      <c r="O18" s="338" t="s">
        <v>2712</v>
      </c>
      <c r="P18" s="338" t="s">
        <v>2853</v>
      </c>
      <c r="Q18" s="338" t="s">
        <v>2908</v>
      </c>
      <c r="R18" s="336"/>
      <c r="S18" s="338" t="s">
        <v>1739</v>
      </c>
      <c r="T18" s="338" t="s">
        <v>1739</v>
      </c>
      <c r="U18" s="338" t="s">
        <v>2855</v>
      </c>
      <c r="V18" s="355">
        <v>44760</v>
      </c>
      <c r="W18" s="356" t="s">
        <v>2912</v>
      </c>
      <c r="X18" s="336"/>
      <c r="Y18" s="336" t="s">
        <v>249</v>
      </c>
      <c r="Z18" s="336"/>
      <c r="AA18" s="354" t="s">
        <v>2913</v>
      </c>
      <c r="AB18" s="338" t="s">
        <v>2914</v>
      </c>
      <c r="AC18" s="336" t="s">
        <v>2915</v>
      </c>
      <c r="AD18" s="336" t="s">
        <v>2897</v>
      </c>
      <c r="AE18" s="338"/>
      <c r="AF18" s="329"/>
      <c r="AG18" s="329"/>
      <c r="AH18" s="338"/>
      <c r="AI18" s="351"/>
      <c r="AJ18" s="351"/>
      <c r="AK18" s="351"/>
      <c r="AL18" s="351"/>
      <c r="AM18" s="351"/>
      <c r="AN18" s="351"/>
      <c r="AO18" s="351"/>
      <c r="AP18" s="351"/>
      <c r="AQ18" s="351"/>
      <c r="AR18" s="351"/>
      <c r="AS18" s="351"/>
      <c r="AT18" s="351"/>
      <c r="AU18" s="351"/>
      <c r="AV18" s="351"/>
      <c r="AW18" s="351"/>
      <c r="AX18" s="351"/>
      <c r="AY18" s="351"/>
    </row>
    <row r="19" spans="1:51">
      <c r="A19" s="350">
        <v>7</v>
      </c>
      <c r="B19" s="338"/>
      <c r="C19" s="338" t="s">
        <v>91</v>
      </c>
      <c r="D19" s="337">
        <v>7</v>
      </c>
      <c r="E19" s="337" t="s">
        <v>2704</v>
      </c>
      <c r="F19" s="337">
        <v>2023</v>
      </c>
      <c r="G19" s="336" t="s">
        <v>2576</v>
      </c>
      <c r="H19" s="336" t="s">
        <v>2916</v>
      </c>
      <c r="I19" s="338" t="s">
        <v>2917</v>
      </c>
      <c r="J19" s="336" t="s">
        <v>2918</v>
      </c>
      <c r="K19" s="336" t="s">
        <v>2919</v>
      </c>
      <c r="L19" s="336" t="s">
        <v>2577</v>
      </c>
      <c r="M19" s="338" t="s">
        <v>2710</v>
      </c>
      <c r="N19" s="338" t="s">
        <v>2852</v>
      </c>
      <c r="O19" s="338" t="s">
        <v>2712</v>
      </c>
      <c r="P19" s="338" t="s">
        <v>2853</v>
      </c>
      <c r="Q19" s="338" t="s">
        <v>91</v>
      </c>
      <c r="R19" s="338" t="s">
        <v>2920</v>
      </c>
      <c r="S19" s="338" t="s">
        <v>1739</v>
      </c>
      <c r="T19" s="338" t="s">
        <v>1739</v>
      </c>
      <c r="U19" s="338" t="s">
        <v>2855</v>
      </c>
      <c r="V19" s="337" t="s">
        <v>2921</v>
      </c>
      <c r="W19" s="338" t="s">
        <v>2922</v>
      </c>
      <c r="X19" s="336" t="s">
        <v>2923</v>
      </c>
      <c r="Y19" s="336" t="s">
        <v>2924</v>
      </c>
      <c r="Z19" s="336" t="s">
        <v>2925</v>
      </c>
      <c r="AA19" s="338" t="s">
        <v>2926</v>
      </c>
      <c r="AB19" s="338" t="s">
        <v>2736</v>
      </c>
      <c r="AC19" s="336" t="s">
        <v>2927</v>
      </c>
      <c r="AD19" s="336" t="s">
        <v>2861</v>
      </c>
      <c r="AE19" s="338"/>
      <c r="AF19" s="329" t="s">
        <v>2928</v>
      </c>
      <c r="AG19" s="329"/>
      <c r="AH19" s="338"/>
      <c r="AI19" s="351"/>
      <c r="AJ19" s="351"/>
      <c r="AK19" s="351"/>
      <c r="AL19" s="351"/>
      <c r="AM19" s="351"/>
      <c r="AN19" s="351"/>
      <c r="AO19" s="351"/>
      <c r="AP19" s="351"/>
      <c r="AQ19" s="351"/>
      <c r="AR19" s="351"/>
      <c r="AS19" s="351"/>
      <c r="AT19" s="351"/>
      <c r="AU19" s="351"/>
      <c r="AV19" s="351"/>
      <c r="AW19" s="351"/>
      <c r="AX19" s="351"/>
      <c r="AY19" s="351"/>
    </row>
    <row r="20" spans="1:51">
      <c r="A20" s="350">
        <v>8</v>
      </c>
      <c r="B20" s="338"/>
      <c r="C20" s="338" t="s">
        <v>2497</v>
      </c>
      <c r="D20" s="337">
        <v>8</v>
      </c>
      <c r="E20" s="337" t="s">
        <v>2704</v>
      </c>
      <c r="F20" s="337">
        <v>2023</v>
      </c>
      <c r="G20" s="336" t="s">
        <v>1701</v>
      </c>
      <c r="H20" s="336" t="s">
        <v>2488</v>
      </c>
      <c r="I20" s="338" t="s">
        <v>2929</v>
      </c>
      <c r="J20" s="336" t="s">
        <v>2930</v>
      </c>
      <c r="K20" s="336" t="s">
        <v>2865</v>
      </c>
      <c r="L20" s="336" t="s">
        <v>2498</v>
      </c>
      <c r="M20" s="338" t="s">
        <v>2710</v>
      </c>
      <c r="N20" s="338" t="s">
        <v>2852</v>
      </c>
      <c r="O20" s="338" t="s">
        <v>2712</v>
      </c>
      <c r="P20" s="338" t="s">
        <v>2853</v>
      </c>
      <c r="Q20" s="338" t="s">
        <v>2497</v>
      </c>
      <c r="R20" s="338" t="s">
        <v>2931</v>
      </c>
      <c r="S20" s="338" t="s">
        <v>1739</v>
      </c>
      <c r="T20" s="338" t="s">
        <v>1739</v>
      </c>
      <c r="U20" s="338" t="s">
        <v>2855</v>
      </c>
      <c r="V20" s="337"/>
      <c r="W20" s="338" t="s">
        <v>2932</v>
      </c>
      <c r="X20" s="336" t="s">
        <v>2933</v>
      </c>
      <c r="Y20" s="336"/>
      <c r="Z20" s="336"/>
      <c r="AA20" s="338" t="s">
        <v>2934</v>
      </c>
      <c r="AB20" s="338" t="s">
        <v>2736</v>
      </c>
      <c r="AC20" s="336" t="s">
        <v>2935</v>
      </c>
      <c r="AD20" s="336" t="s">
        <v>2897</v>
      </c>
      <c r="AE20" s="338"/>
      <c r="AF20" s="329"/>
      <c r="AG20" s="329"/>
      <c r="AH20" s="338"/>
      <c r="AI20" s="351"/>
      <c r="AJ20" s="351"/>
      <c r="AK20" s="351"/>
      <c r="AL20" s="351"/>
      <c r="AM20" s="351"/>
      <c r="AN20" s="351"/>
      <c r="AO20" s="351"/>
      <c r="AP20" s="351"/>
      <c r="AQ20" s="351"/>
      <c r="AR20" s="351"/>
      <c r="AS20" s="351"/>
      <c r="AT20" s="351"/>
      <c r="AU20" s="351"/>
      <c r="AV20" s="351"/>
      <c r="AW20" s="351"/>
      <c r="AX20" s="351"/>
      <c r="AY20" s="351"/>
    </row>
    <row r="21" spans="1:51">
      <c r="A21" s="350">
        <v>9</v>
      </c>
      <c r="B21" s="338"/>
      <c r="C21" s="338" t="s">
        <v>2936</v>
      </c>
      <c r="D21" s="337">
        <v>9</v>
      </c>
      <c r="E21" s="337" t="s">
        <v>2704</v>
      </c>
      <c r="F21" s="337">
        <v>2023</v>
      </c>
      <c r="G21" s="336" t="s">
        <v>2499</v>
      </c>
      <c r="H21" s="336" t="s">
        <v>2488</v>
      </c>
      <c r="I21" s="338" t="s">
        <v>2937</v>
      </c>
      <c r="J21" s="336" t="s">
        <v>2938</v>
      </c>
      <c r="K21" s="336" t="s">
        <v>2488</v>
      </c>
      <c r="L21" s="336">
        <v>81282086416</v>
      </c>
      <c r="M21" s="338" t="s">
        <v>2710</v>
      </c>
      <c r="N21" s="338" t="s">
        <v>2852</v>
      </c>
      <c r="O21" s="338" t="s">
        <v>2712</v>
      </c>
      <c r="P21" s="338" t="s">
        <v>2853</v>
      </c>
      <c r="Q21" s="338" t="s">
        <v>2936</v>
      </c>
      <c r="R21" s="338"/>
      <c r="S21" s="338" t="s">
        <v>1739</v>
      </c>
      <c r="T21" s="338" t="s">
        <v>1739</v>
      </c>
      <c r="U21" s="338" t="s">
        <v>2855</v>
      </c>
      <c r="V21" s="355">
        <v>44760</v>
      </c>
      <c r="W21" s="338" t="s">
        <v>2939</v>
      </c>
      <c r="X21" s="336" t="s">
        <v>2938</v>
      </c>
      <c r="Y21" s="336" t="s">
        <v>2940</v>
      </c>
      <c r="Z21" s="336" t="s">
        <v>2941</v>
      </c>
      <c r="AA21" s="354" t="s">
        <v>2942</v>
      </c>
      <c r="AB21" s="338" t="s">
        <v>2943</v>
      </c>
      <c r="AC21" s="336" t="s">
        <v>2944</v>
      </c>
      <c r="AD21" s="336" t="s">
        <v>2945</v>
      </c>
      <c r="AE21" s="338"/>
      <c r="AF21" s="329"/>
      <c r="AG21" s="329"/>
      <c r="AH21" s="338"/>
      <c r="AI21" s="351"/>
      <c r="AJ21" s="351"/>
      <c r="AK21" s="351"/>
      <c r="AL21" s="351"/>
      <c r="AM21" s="351"/>
      <c r="AN21" s="351"/>
      <c r="AO21" s="351"/>
      <c r="AP21" s="351"/>
      <c r="AQ21" s="351"/>
      <c r="AR21" s="351"/>
      <c r="AS21" s="351"/>
      <c r="AT21" s="351"/>
      <c r="AU21" s="351"/>
      <c r="AV21" s="351"/>
      <c r="AW21" s="351"/>
      <c r="AX21" s="351"/>
      <c r="AY21" s="351"/>
    </row>
    <row r="22" spans="1:51">
      <c r="A22" s="350">
        <v>10</v>
      </c>
      <c r="B22" s="338"/>
      <c r="C22" s="338" t="s">
        <v>2946</v>
      </c>
      <c r="D22" s="337">
        <v>10</v>
      </c>
      <c r="E22" s="337" t="s">
        <v>2704</v>
      </c>
      <c r="F22" s="337">
        <v>2023</v>
      </c>
      <c r="G22" s="336" t="s">
        <v>2500</v>
      </c>
      <c r="H22" s="336" t="s">
        <v>2947</v>
      </c>
      <c r="I22" s="338">
        <v>33548</v>
      </c>
      <c r="J22" s="336" t="s">
        <v>2948</v>
      </c>
      <c r="K22" s="336" t="s">
        <v>2947</v>
      </c>
      <c r="L22" s="336">
        <v>82334455273</v>
      </c>
      <c r="M22" s="338" t="s">
        <v>2710</v>
      </c>
      <c r="N22" s="338" t="s">
        <v>2852</v>
      </c>
      <c r="O22" s="338" t="s">
        <v>2712</v>
      </c>
      <c r="P22" s="338" t="s">
        <v>2853</v>
      </c>
      <c r="Q22" s="338" t="s">
        <v>2946</v>
      </c>
      <c r="R22" s="338" t="s">
        <v>2931</v>
      </c>
      <c r="S22" s="338" t="s">
        <v>1739</v>
      </c>
      <c r="T22" s="338" t="s">
        <v>1739</v>
      </c>
      <c r="U22" s="338" t="s">
        <v>2855</v>
      </c>
      <c r="V22" s="355">
        <v>44760</v>
      </c>
      <c r="W22" s="338" t="s">
        <v>2949</v>
      </c>
      <c r="X22" s="336" t="s">
        <v>2950</v>
      </c>
      <c r="Y22" s="336">
        <v>957671365513000</v>
      </c>
      <c r="Z22" s="336" t="s">
        <v>2950</v>
      </c>
      <c r="AA22" s="354" t="s">
        <v>2951</v>
      </c>
      <c r="AB22" s="338" t="s">
        <v>2952</v>
      </c>
      <c r="AC22" s="336" t="s">
        <v>2953</v>
      </c>
      <c r="AD22" s="336"/>
      <c r="AE22" s="338"/>
      <c r="AF22" s="329" t="s">
        <v>2928</v>
      </c>
      <c r="AG22" s="329"/>
      <c r="AH22" s="338"/>
      <c r="AI22" s="351"/>
      <c r="AJ22" s="351"/>
      <c r="AK22" s="351"/>
      <c r="AL22" s="351"/>
      <c r="AM22" s="351"/>
      <c r="AN22" s="351"/>
      <c r="AO22" s="351"/>
      <c r="AP22" s="351"/>
      <c r="AQ22" s="351"/>
      <c r="AR22" s="351"/>
      <c r="AS22" s="351"/>
      <c r="AT22" s="351"/>
      <c r="AU22" s="351"/>
      <c r="AV22" s="351"/>
      <c r="AW22" s="351"/>
      <c r="AX22" s="351"/>
      <c r="AY22" s="351"/>
    </row>
    <row r="23" spans="1:51">
      <c r="A23" s="350">
        <v>11</v>
      </c>
      <c r="B23" s="338"/>
      <c r="C23" s="338" t="s">
        <v>2954</v>
      </c>
      <c r="D23" s="337">
        <v>11</v>
      </c>
      <c r="E23" s="337" t="s">
        <v>2704</v>
      </c>
      <c r="F23" s="337">
        <v>2023</v>
      </c>
      <c r="G23" s="336" t="s">
        <v>2501</v>
      </c>
      <c r="H23" s="336" t="s">
        <v>2492</v>
      </c>
      <c r="I23" s="338" t="s">
        <v>2955</v>
      </c>
      <c r="J23" s="336" t="s">
        <v>2956</v>
      </c>
      <c r="K23" s="336" t="s">
        <v>2957</v>
      </c>
      <c r="L23" s="336" t="s">
        <v>2502</v>
      </c>
      <c r="M23" s="338" t="s">
        <v>2710</v>
      </c>
      <c r="N23" s="338" t="s">
        <v>2852</v>
      </c>
      <c r="O23" s="338" t="s">
        <v>2712</v>
      </c>
      <c r="P23" s="338" t="s">
        <v>2853</v>
      </c>
      <c r="Q23" s="338" t="s">
        <v>2954</v>
      </c>
      <c r="R23" s="338"/>
      <c r="S23" s="338" t="s">
        <v>1739</v>
      </c>
      <c r="T23" s="338" t="s">
        <v>1739</v>
      </c>
      <c r="U23" s="338" t="s">
        <v>2855</v>
      </c>
      <c r="V23" s="355">
        <v>44760</v>
      </c>
      <c r="W23" s="338" t="s">
        <v>2958</v>
      </c>
      <c r="X23" s="336" t="s">
        <v>2959</v>
      </c>
      <c r="Y23" s="336" t="s">
        <v>2960</v>
      </c>
      <c r="Z23" s="336" t="s">
        <v>2959</v>
      </c>
      <c r="AA23" s="354" t="s">
        <v>2961</v>
      </c>
      <c r="AB23" s="338" t="s">
        <v>2962</v>
      </c>
      <c r="AC23" s="336" t="s">
        <v>2963</v>
      </c>
      <c r="AD23" s="336"/>
      <c r="AE23" s="338"/>
      <c r="AF23" s="329"/>
      <c r="AG23" s="329"/>
      <c r="AH23" s="338"/>
      <c r="AI23" s="351"/>
      <c r="AJ23" s="351"/>
      <c r="AK23" s="351"/>
      <c r="AL23" s="351"/>
      <c r="AM23" s="351"/>
      <c r="AN23" s="351"/>
      <c r="AO23" s="351"/>
      <c r="AP23" s="351"/>
      <c r="AQ23" s="351"/>
      <c r="AR23" s="351"/>
      <c r="AS23" s="351"/>
      <c r="AT23" s="351"/>
      <c r="AU23" s="351"/>
      <c r="AV23" s="351"/>
      <c r="AW23" s="351"/>
      <c r="AX23" s="351"/>
      <c r="AY23" s="351"/>
    </row>
    <row r="24" spans="1:51">
      <c r="A24" s="350">
        <v>12</v>
      </c>
      <c r="B24" s="338"/>
      <c r="C24" s="338" t="s">
        <v>91</v>
      </c>
      <c r="D24" s="337">
        <v>12</v>
      </c>
      <c r="E24" s="337" t="s">
        <v>2704</v>
      </c>
      <c r="F24" s="337">
        <v>2023</v>
      </c>
      <c r="G24" s="336" t="s">
        <v>2578</v>
      </c>
      <c r="H24" s="336" t="s">
        <v>2488</v>
      </c>
      <c r="I24" s="342">
        <v>30623</v>
      </c>
      <c r="J24" s="336" t="s">
        <v>2964</v>
      </c>
      <c r="K24" s="336" t="s">
        <v>2865</v>
      </c>
      <c r="L24" s="336" t="s">
        <v>2579</v>
      </c>
      <c r="M24" s="338" t="s">
        <v>2710</v>
      </c>
      <c r="N24" s="338" t="s">
        <v>2852</v>
      </c>
      <c r="O24" s="338" t="s">
        <v>2712</v>
      </c>
      <c r="P24" s="338" t="s">
        <v>2853</v>
      </c>
      <c r="Q24" s="338" t="s">
        <v>91</v>
      </c>
      <c r="R24" s="338" t="s">
        <v>2920</v>
      </c>
      <c r="S24" s="338" t="s">
        <v>1739</v>
      </c>
      <c r="T24" s="338" t="s">
        <v>1739</v>
      </c>
      <c r="U24" s="338" t="s">
        <v>2855</v>
      </c>
      <c r="V24" s="337" t="s">
        <v>1247</v>
      </c>
      <c r="W24" s="338" t="s">
        <v>2965</v>
      </c>
      <c r="X24" s="336" t="s">
        <v>2964</v>
      </c>
      <c r="Y24" s="336" t="s">
        <v>2966</v>
      </c>
      <c r="Z24" s="336" t="s">
        <v>2967</v>
      </c>
      <c r="AA24" s="354" t="s">
        <v>2968</v>
      </c>
      <c r="AB24" s="338" t="s">
        <v>2952</v>
      </c>
      <c r="AC24" s="336" t="s">
        <v>2969</v>
      </c>
      <c r="AD24" s="336" t="s">
        <v>2897</v>
      </c>
      <c r="AE24" s="338"/>
      <c r="AF24" s="329" t="s">
        <v>2928</v>
      </c>
      <c r="AG24" s="329"/>
      <c r="AH24" s="348">
        <v>1</v>
      </c>
      <c r="AI24" s="351"/>
      <c r="AJ24" s="351"/>
      <c r="AK24" s="351"/>
      <c r="AL24" s="351"/>
      <c r="AM24" s="351"/>
      <c r="AN24" s="351"/>
      <c r="AO24" s="351"/>
      <c r="AP24" s="351"/>
      <c r="AQ24" s="351"/>
      <c r="AR24" s="351"/>
      <c r="AS24" s="351"/>
      <c r="AT24" s="351"/>
      <c r="AU24" s="351"/>
      <c r="AV24" s="351"/>
      <c r="AW24" s="351"/>
      <c r="AX24" s="351"/>
      <c r="AY24" s="351"/>
    </row>
    <row r="25" spans="1:51">
      <c r="A25" s="350">
        <v>13</v>
      </c>
      <c r="B25" s="338"/>
      <c r="C25" s="338" t="s">
        <v>2970</v>
      </c>
      <c r="D25" s="337">
        <v>13</v>
      </c>
      <c r="E25" s="337" t="s">
        <v>2704</v>
      </c>
      <c r="F25" s="337">
        <v>2023</v>
      </c>
      <c r="G25" s="336" t="s">
        <v>2585</v>
      </c>
      <c r="H25" s="336" t="s">
        <v>2971</v>
      </c>
      <c r="I25" s="342">
        <v>34454</v>
      </c>
      <c r="J25" s="336" t="s">
        <v>2972</v>
      </c>
      <c r="K25" s="336" t="s">
        <v>2973</v>
      </c>
      <c r="L25" s="336" t="s">
        <v>2974</v>
      </c>
      <c r="M25" s="338" t="s">
        <v>2710</v>
      </c>
      <c r="N25" s="338" t="s">
        <v>2852</v>
      </c>
      <c r="O25" s="338" t="s">
        <v>2712</v>
      </c>
      <c r="P25" s="338" t="s">
        <v>2853</v>
      </c>
      <c r="Q25" s="338" t="s">
        <v>2970</v>
      </c>
      <c r="R25" s="338" t="s">
        <v>2975</v>
      </c>
      <c r="S25" s="338" t="s">
        <v>1739</v>
      </c>
      <c r="T25" s="338" t="s">
        <v>1739</v>
      </c>
      <c r="U25" s="338" t="s">
        <v>2855</v>
      </c>
      <c r="V25" s="337" t="s">
        <v>2758</v>
      </c>
      <c r="W25" s="338" t="s">
        <v>2976</v>
      </c>
      <c r="X25" s="336" t="s">
        <v>2977</v>
      </c>
      <c r="Y25" s="336" t="s">
        <v>2978</v>
      </c>
      <c r="Z25" s="336" t="s">
        <v>2979</v>
      </c>
      <c r="AA25" s="352" t="s">
        <v>2980</v>
      </c>
      <c r="AB25" s="338" t="s">
        <v>2981</v>
      </c>
      <c r="AC25" s="336"/>
      <c r="AD25" s="336" t="s">
        <v>2897</v>
      </c>
      <c r="AE25" s="357">
        <v>44400</v>
      </c>
      <c r="AF25" s="329"/>
      <c r="AG25" s="329"/>
      <c r="AH25" s="338"/>
      <c r="AI25" s="351"/>
      <c r="AJ25" s="351"/>
      <c r="AK25" s="351"/>
      <c r="AL25" s="351"/>
      <c r="AM25" s="351"/>
      <c r="AN25" s="351"/>
      <c r="AO25" s="351"/>
      <c r="AP25" s="351"/>
      <c r="AQ25" s="351"/>
      <c r="AR25" s="351"/>
      <c r="AS25" s="351"/>
      <c r="AT25" s="351"/>
      <c r="AU25" s="351"/>
      <c r="AV25" s="351"/>
      <c r="AW25" s="351"/>
      <c r="AX25" s="351"/>
      <c r="AY25" s="351"/>
    </row>
    <row r="26" spans="1:51">
      <c r="A26" s="350">
        <v>14</v>
      </c>
      <c r="B26" s="338"/>
      <c r="C26" s="338" t="s">
        <v>2586</v>
      </c>
      <c r="D26" s="337">
        <v>14</v>
      </c>
      <c r="E26" s="337" t="s">
        <v>2704</v>
      </c>
      <c r="F26" s="337">
        <v>2023</v>
      </c>
      <c r="G26" s="336" t="s">
        <v>2587</v>
      </c>
      <c r="H26" s="336" t="s">
        <v>2971</v>
      </c>
      <c r="I26" s="338" t="s">
        <v>2982</v>
      </c>
      <c r="J26" s="336" t="s">
        <v>2983</v>
      </c>
      <c r="K26" s="336" t="s">
        <v>2971</v>
      </c>
      <c r="L26" s="336" t="s">
        <v>2588</v>
      </c>
      <c r="M26" s="338" t="s">
        <v>2710</v>
      </c>
      <c r="N26" s="338" t="s">
        <v>2852</v>
      </c>
      <c r="O26" s="338" t="s">
        <v>2712</v>
      </c>
      <c r="P26" s="338" t="s">
        <v>2853</v>
      </c>
      <c r="Q26" s="338" t="s">
        <v>2586</v>
      </c>
      <c r="R26" s="338" t="s">
        <v>2975</v>
      </c>
      <c r="S26" s="338" t="s">
        <v>1739</v>
      </c>
      <c r="T26" s="338" t="s">
        <v>1739</v>
      </c>
      <c r="U26" s="338" t="s">
        <v>2855</v>
      </c>
      <c r="V26" s="337" t="s">
        <v>2984</v>
      </c>
      <c r="W26" s="338" t="s">
        <v>2985</v>
      </c>
      <c r="X26" s="336" t="s">
        <v>2983</v>
      </c>
      <c r="Y26" s="336"/>
      <c r="Z26" s="336"/>
      <c r="AA26" s="358" t="s">
        <v>2986</v>
      </c>
      <c r="AB26" s="338" t="s">
        <v>2987</v>
      </c>
      <c r="AC26" s="336" t="s">
        <v>2988</v>
      </c>
      <c r="AD26" s="336" t="s">
        <v>2861</v>
      </c>
      <c r="AE26" s="338"/>
      <c r="AF26" s="329"/>
      <c r="AG26" s="329"/>
      <c r="AH26" s="338"/>
      <c r="AI26" s="351"/>
      <c r="AJ26" s="351"/>
      <c r="AK26" s="351"/>
      <c r="AL26" s="351"/>
      <c r="AM26" s="351"/>
      <c r="AN26" s="351"/>
      <c r="AO26" s="351"/>
      <c r="AP26" s="351"/>
      <c r="AQ26" s="351"/>
      <c r="AR26" s="351"/>
      <c r="AS26" s="351"/>
      <c r="AT26" s="351"/>
      <c r="AU26" s="351"/>
      <c r="AV26" s="351"/>
      <c r="AW26" s="351"/>
      <c r="AX26" s="351"/>
      <c r="AY26" s="351"/>
    </row>
    <row r="27" spans="1:51">
      <c r="A27" s="350">
        <v>15</v>
      </c>
      <c r="B27" s="338"/>
      <c r="C27" s="338" t="s">
        <v>2989</v>
      </c>
      <c r="D27" s="337">
        <v>15</v>
      </c>
      <c r="E27" s="337" t="s">
        <v>2704</v>
      </c>
      <c r="F27" s="337">
        <v>2023</v>
      </c>
      <c r="G27" s="336" t="s">
        <v>2589</v>
      </c>
      <c r="H27" s="336" t="s">
        <v>2990</v>
      </c>
      <c r="I27" s="338" t="s">
        <v>2991</v>
      </c>
      <c r="J27" s="336" t="s">
        <v>2992</v>
      </c>
      <c r="K27" s="336" t="s">
        <v>2993</v>
      </c>
      <c r="L27" s="336" t="s">
        <v>2590</v>
      </c>
      <c r="M27" s="338" t="s">
        <v>2710</v>
      </c>
      <c r="N27" s="338" t="s">
        <v>2852</v>
      </c>
      <c r="O27" s="338" t="s">
        <v>2712</v>
      </c>
      <c r="P27" s="338" t="s">
        <v>2853</v>
      </c>
      <c r="Q27" s="338" t="s">
        <v>2989</v>
      </c>
      <c r="R27" s="338" t="s">
        <v>2994</v>
      </c>
      <c r="S27" s="338" t="s">
        <v>1739</v>
      </c>
      <c r="T27" s="338" t="s">
        <v>1739</v>
      </c>
      <c r="U27" s="338" t="s">
        <v>2855</v>
      </c>
      <c r="V27" s="337" t="s">
        <v>2890</v>
      </c>
      <c r="W27" s="338" t="s">
        <v>2995</v>
      </c>
      <c r="X27" s="336" t="s">
        <v>2993</v>
      </c>
      <c r="Y27" s="336" t="s">
        <v>249</v>
      </c>
      <c r="Z27" s="336" t="s">
        <v>249</v>
      </c>
      <c r="AA27" s="354" t="s">
        <v>2996</v>
      </c>
      <c r="AB27" s="338" t="s">
        <v>2736</v>
      </c>
      <c r="AC27" s="336" t="s">
        <v>2997</v>
      </c>
      <c r="AD27" s="336" t="s">
        <v>2861</v>
      </c>
      <c r="AE27" s="357">
        <v>44400</v>
      </c>
      <c r="AF27" s="329" t="s">
        <v>2928</v>
      </c>
      <c r="AG27" s="329"/>
      <c r="AH27" s="338"/>
      <c r="AI27" s="351"/>
      <c r="AJ27" s="351"/>
      <c r="AK27" s="351"/>
      <c r="AL27" s="351"/>
      <c r="AM27" s="351"/>
      <c r="AN27" s="351"/>
      <c r="AO27" s="351"/>
      <c r="AP27" s="351"/>
      <c r="AQ27" s="351"/>
      <c r="AR27" s="351"/>
      <c r="AS27" s="351"/>
      <c r="AT27" s="351"/>
      <c r="AU27" s="351"/>
      <c r="AV27" s="351"/>
      <c r="AW27" s="351"/>
      <c r="AX27" s="351"/>
      <c r="AY27" s="351"/>
    </row>
    <row r="28" spans="1:51">
      <c r="A28" s="350">
        <v>16</v>
      </c>
      <c r="B28" s="336"/>
      <c r="C28" s="336" t="s">
        <v>391</v>
      </c>
      <c r="D28" s="337">
        <v>16</v>
      </c>
      <c r="E28" s="337" t="s">
        <v>2704</v>
      </c>
      <c r="F28" s="337">
        <v>2023</v>
      </c>
      <c r="G28" s="336" t="s">
        <v>2591</v>
      </c>
      <c r="H28" s="336" t="s">
        <v>2998</v>
      </c>
      <c r="I28" s="338" t="s">
        <v>2999</v>
      </c>
      <c r="J28" s="336" t="s">
        <v>3000</v>
      </c>
      <c r="K28" s="336" t="s">
        <v>3001</v>
      </c>
      <c r="L28" s="336" t="s">
        <v>2592</v>
      </c>
      <c r="M28" s="338" t="s">
        <v>2710</v>
      </c>
      <c r="N28" s="338" t="s">
        <v>2852</v>
      </c>
      <c r="O28" s="338" t="s">
        <v>2712</v>
      </c>
      <c r="P28" s="338" t="s">
        <v>2853</v>
      </c>
      <c r="Q28" s="338" t="s">
        <v>391</v>
      </c>
      <c r="R28" s="336" t="s">
        <v>2825</v>
      </c>
      <c r="S28" s="338" t="s">
        <v>1739</v>
      </c>
      <c r="T28" s="338" t="s">
        <v>1739</v>
      </c>
      <c r="U28" s="338" t="s">
        <v>2855</v>
      </c>
      <c r="V28" s="337" t="s">
        <v>1247</v>
      </c>
      <c r="W28" s="336" t="s">
        <v>3002</v>
      </c>
      <c r="X28" s="336" t="s">
        <v>3000</v>
      </c>
      <c r="Y28" s="336" t="s">
        <v>249</v>
      </c>
      <c r="Z28" s="336" t="s">
        <v>249</v>
      </c>
      <c r="AA28" s="352" t="s">
        <v>3003</v>
      </c>
      <c r="AB28" s="338" t="s">
        <v>2736</v>
      </c>
      <c r="AC28" s="336" t="s">
        <v>3004</v>
      </c>
      <c r="AD28" s="336" t="s">
        <v>2945</v>
      </c>
      <c r="AE28" s="338"/>
      <c r="AF28" s="329" t="s">
        <v>2928</v>
      </c>
      <c r="AG28" s="329" t="s">
        <v>2813</v>
      </c>
      <c r="AH28" s="348">
        <v>0</v>
      </c>
      <c r="AI28" s="359"/>
      <c r="AJ28" s="359"/>
      <c r="AK28" s="359"/>
      <c r="AL28" s="359"/>
      <c r="AM28" s="359"/>
      <c r="AN28" s="359"/>
      <c r="AO28" s="359"/>
      <c r="AP28" s="359"/>
      <c r="AQ28" s="359"/>
      <c r="AR28" s="359"/>
      <c r="AS28" s="359"/>
      <c r="AT28" s="359"/>
      <c r="AU28" s="359"/>
      <c r="AV28" s="359"/>
      <c r="AW28" s="359"/>
      <c r="AX28" s="359"/>
      <c r="AY28" s="359"/>
    </row>
    <row r="29" spans="1:51">
      <c r="A29" s="350">
        <v>17</v>
      </c>
      <c r="B29" s="360"/>
      <c r="C29" s="360" t="s">
        <v>3005</v>
      </c>
      <c r="D29" s="337">
        <v>17</v>
      </c>
      <c r="E29" s="337" t="s">
        <v>2704</v>
      </c>
      <c r="F29" s="337">
        <v>2023</v>
      </c>
      <c r="G29" s="353" t="s">
        <v>3006</v>
      </c>
      <c r="H29" s="361"/>
      <c r="I29" s="360"/>
      <c r="J29" s="361"/>
      <c r="K29" s="361"/>
      <c r="L29" s="361"/>
      <c r="M29" s="360"/>
      <c r="N29" s="338" t="s">
        <v>2852</v>
      </c>
      <c r="O29" s="360"/>
      <c r="P29" s="338" t="s">
        <v>2853</v>
      </c>
      <c r="Q29" s="338" t="s">
        <v>3005</v>
      </c>
      <c r="R29" s="360"/>
      <c r="S29" s="360"/>
      <c r="T29" s="360"/>
      <c r="U29" s="360"/>
      <c r="V29" s="362"/>
      <c r="W29" s="360"/>
      <c r="X29" s="361"/>
      <c r="Y29" s="361"/>
      <c r="Z29" s="361"/>
      <c r="AA29" s="363"/>
      <c r="AB29" s="360"/>
      <c r="AC29" s="361"/>
      <c r="AD29" s="361"/>
      <c r="AE29" s="360"/>
      <c r="AF29" s="329"/>
      <c r="AG29" s="329"/>
      <c r="AH29" s="360"/>
      <c r="AI29" s="364"/>
      <c r="AJ29" s="364"/>
      <c r="AK29" s="364"/>
      <c r="AL29" s="364"/>
      <c r="AM29" s="364"/>
      <c r="AN29" s="364"/>
      <c r="AO29" s="364"/>
      <c r="AP29" s="364"/>
      <c r="AQ29" s="364"/>
      <c r="AR29" s="364"/>
      <c r="AS29" s="364"/>
      <c r="AT29" s="364"/>
      <c r="AU29" s="364"/>
      <c r="AV29" s="364"/>
      <c r="AW29" s="364"/>
      <c r="AX29" s="364"/>
      <c r="AY29" s="364"/>
    </row>
    <row r="30" spans="1:51">
      <c r="A30" s="350">
        <v>18</v>
      </c>
      <c r="B30" s="338"/>
      <c r="C30" s="338" t="s">
        <v>385</v>
      </c>
      <c r="D30" s="337">
        <v>18</v>
      </c>
      <c r="E30" s="337" t="s">
        <v>2704</v>
      </c>
      <c r="F30" s="337">
        <v>2023</v>
      </c>
      <c r="G30" s="336" t="s">
        <v>2593</v>
      </c>
      <c r="H30" s="336" t="s">
        <v>3007</v>
      </c>
      <c r="I30" s="338" t="s">
        <v>3008</v>
      </c>
      <c r="J30" s="336" t="s">
        <v>3009</v>
      </c>
      <c r="K30" s="336" t="s">
        <v>3010</v>
      </c>
      <c r="L30" s="336">
        <v>83844600001</v>
      </c>
      <c r="M30" s="337" t="s">
        <v>2710</v>
      </c>
      <c r="N30" s="338" t="s">
        <v>2852</v>
      </c>
      <c r="O30" s="337" t="s">
        <v>1803</v>
      </c>
      <c r="P30" s="338" t="s">
        <v>2853</v>
      </c>
      <c r="Q30" s="338" t="s">
        <v>385</v>
      </c>
      <c r="R30" s="338"/>
      <c r="S30" s="338" t="s">
        <v>1739</v>
      </c>
      <c r="T30" s="338" t="s">
        <v>1739</v>
      </c>
      <c r="U30" s="338" t="s">
        <v>2855</v>
      </c>
      <c r="V30" s="337" t="s">
        <v>1693</v>
      </c>
      <c r="W30" s="337" t="s">
        <v>3011</v>
      </c>
      <c r="X30" s="336" t="s">
        <v>3012</v>
      </c>
      <c r="Y30" s="336" t="s">
        <v>3013</v>
      </c>
      <c r="Z30" s="336" t="s">
        <v>3014</v>
      </c>
      <c r="AA30" s="354" t="s">
        <v>3015</v>
      </c>
      <c r="AB30" s="338" t="s">
        <v>3016</v>
      </c>
      <c r="AC30" s="336" t="s">
        <v>3017</v>
      </c>
      <c r="AD30" s="336"/>
      <c r="AE30" s="338"/>
      <c r="AF30" s="329"/>
      <c r="AG30" s="329"/>
      <c r="AH30" s="338"/>
      <c r="AI30" s="351"/>
      <c r="AJ30" s="351"/>
      <c r="AK30" s="351"/>
      <c r="AL30" s="351"/>
      <c r="AM30" s="351"/>
      <c r="AN30" s="351"/>
      <c r="AO30" s="351"/>
      <c r="AP30" s="351"/>
      <c r="AQ30" s="351"/>
      <c r="AR30" s="351"/>
      <c r="AS30" s="351"/>
      <c r="AT30" s="351"/>
      <c r="AU30" s="351"/>
      <c r="AV30" s="351"/>
      <c r="AW30" s="351"/>
      <c r="AX30" s="351"/>
      <c r="AY30" s="351"/>
    </row>
    <row r="31" spans="1:51">
      <c r="A31" s="350">
        <v>19</v>
      </c>
      <c r="B31" s="360"/>
      <c r="C31" s="360" t="s">
        <v>3018</v>
      </c>
      <c r="D31" s="337">
        <v>19</v>
      </c>
      <c r="E31" s="337" t="s">
        <v>2704</v>
      </c>
      <c r="F31" s="337">
        <v>2023</v>
      </c>
      <c r="G31" s="353" t="s">
        <v>3019</v>
      </c>
      <c r="H31" s="361"/>
      <c r="I31" s="360"/>
      <c r="J31" s="361"/>
      <c r="K31" s="361"/>
      <c r="L31" s="361"/>
      <c r="M31" s="360"/>
      <c r="N31" s="338" t="s">
        <v>2852</v>
      </c>
      <c r="O31" s="360"/>
      <c r="P31" s="338" t="s">
        <v>2853</v>
      </c>
      <c r="Q31" s="338" t="s">
        <v>3018</v>
      </c>
      <c r="R31" s="361"/>
      <c r="S31" s="360"/>
      <c r="T31" s="360"/>
      <c r="U31" s="360"/>
      <c r="V31" s="362"/>
      <c r="W31" s="360"/>
      <c r="X31" s="361"/>
      <c r="Y31" s="361"/>
      <c r="Z31" s="361"/>
      <c r="AA31" s="363"/>
      <c r="AB31" s="360"/>
      <c r="AC31" s="361"/>
      <c r="AD31" s="361"/>
      <c r="AE31" s="360"/>
      <c r="AF31" s="329"/>
      <c r="AG31" s="329"/>
      <c r="AH31" s="360"/>
      <c r="AI31" s="364"/>
      <c r="AJ31" s="364"/>
      <c r="AK31" s="364"/>
      <c r="AL31" s="364"/>
      <c r="AM31" s="364"/>
      <c r="AN31" s="364"/>
      <c r="AO31" s="364"/>
      <c r="AP31" s="364"/>
      <c r="AQ31" s="364"/>
      <c r="AR31" s="364"/>
      <c r="AS31" s="364"/>
      <c r="AT31" s="364"/>
      <c r="AU31" s="364"/>
      <c r="AV31" s="364"/>
      <c r="AW31" s="364"/>
      <c r="AX31" s="364"/>
      <c r="AY31" s="364"/>
    </row>
    <row r="32" spans="1:51">
      <c r="A32" s="350">
        <v>20</v>
      </c>
      <c r="B32" s="338"/>
      <c r="C32" s="336" t="s">
        <v>2503</v>
      </c>
      <c r="D32" s="337">
        <v>20</v>
      </c>
      <c r="E32" s="337" t="s">
        <v>2704</v>
      </c>
      <c r="F32" s="337">
        <v>2023</v>
      </c>
      <c r="G32" s="336" t="s">
        <v>3020</v>
      </c>
      <c r="H32" s="336" t="s">
        <v>2490</v>
      </c>
      <c r="I32" s="338">
        <v>30370</v>
      </c>
      <c r="J32" s="336" t="s">
        <v>3021</v>
      </c>
      <c r="K32" s="336" t="s">
        <v>3022</v>
      </c>
      <c r="L32" s="336" t="s">
        <v>2504</v>
      </c>
      <c r="M32" s="338" t="s">
        <v>2710</v>
      </c>
      <c r="N32" s="338" t="s">
        <v>2852</v>
      </c>
      <c r="O32" s="338" t="s">
        <v>2712</v>
      </c>
      <c r="P32" s="338" t="s">
        <v>2853</v>
      </c>
      <c r="Q32" s="338" t="s">
        <v>2503</v>
      </c>
      <c r="R32" s="336" t="s">
        <v>3023</v>
      </c>
      <c r="S32" s="338" t="s">
        <v>1739</v>
      </c>
      <c r="T32" s="338" t="s">
        <v>1739</v>
      </c>
      <c r="U32" s="338" t="s">
        <v>2855</v>
      </c>
      <c r="V32" s="337" t="s">
        <v>3024</v>
      </c>
      <c r="W32" s="338" t="s">
        <v>3025</v>
      </c>
      <c r="X32" s="336" t="s">
        <v>3026</v>
      </c>
      <c r="Y32" s="336" t="s">
        <v>3027</v>
      </c>
      <c r="Z32" s="336" t="s">
        <v>3026</v>
      </c>
      <c r="AA32" s="338" t="s">
        <v>3028</v>
      </c>
      <c r="AB32" s="338" t="s">
        <v>2773</v>
      </c>
      <c r="AC32" s="336" t="s">
        <v>3029</v>
      </c>
      <c r="AD32" s="336" t="s">
        <v>2861</v>
      </c>
      <c r="AE32" s="338"/>
      <c r="AF32" s="329"/>
      <c r="AG32" s="329"/>
      <c r="AH32" s="338"/>
      <c r="AI32" s="351"/>
      <c r="AJ32" s="351"/>
      <c r="AK32" s="351"/>
      <c r="AL32" s="351"/>
      <c r="AM32" s="351"/>
      <c r="AN32" s="351"/>
      <c r="AO32" s="351"/>
      <c r="AP32" s="351"/>
      <c r="AQ32" s="351"/>
      <c r="AR32" s="351"/>
      <c r="AS32" s="351"/>
      <c r="AT32" s="351"/>
      <c r="AU32" s="351"/>
      <c r="AV32" s="351"/>
      <c r="AW32" s="351"/>
      <c r="AX32" s="351"/>
      <c r="AY32" s="351"/>
    </row>
    <row r="33" spans="1:51">
      <c r="A33" s="350">
        <v>21</v>
      </c>
      <c r="B33" s="338"/>
      <c r="C33" s="336" t="s">
        <v>494</v>
      </c>
      <c r="D33" s="337">
        <v>21</v>
      </c>
      <c r="E33" s="337" t="s">
        <v>2704</v>
      </c>
      <c r="F33" s="337">
        <v>2023</v>
      </c>
      <c r="G33" s="336" t="s">
        <v>3030</v>
      </c>
      <c r="H33" s="336" t="s">
        <v>2488</v>
      </c>
      <c r="I33" s="338" t="s">
        <v>3031</v>
      </c>
      <c r="J33" s="336" t="s">
        <v>3032</v>
      </c>
      <c r="K33" s="336" t="s">
        <v>3033</v>
      </c>
      <c r="L33" s="336" t="s">
        <v>2632</v>
      </c>
      <c r="M33" s="338" t="s">
        <v>2710</v>
      </c>
      <c r="N33" s="338" t="s">
        <v>2852</v>
      </c>
      <c r="O33" s="338" t="s">
        <v>2712</v>
      </c>
      <c r="P33" s="338" t="s">
        <v>2853</v>
      </c>
      <c r="Q33" s="338" t="s">
        <v>494</v>
      </c>
      <c r="R33" s="338" t="s">
        <v>3034</v>
      </c>
      <c r="S33" s="338" t="s">
        <v>1739</v>
      </c>
      <c r="T33" s="338" t="s">
        <v>1739</v>
      </c>
      <c r="U33" s="338" t="s">
        <v>2855</v>
      </c>
      <c r="V33" s="337" t="s">
        <v>1247</v>
      </c>
      <c r="W33" s="338" t="s">
        <v>3035</v>
      </c>
      <c r="X33" s="336" t="s">
        <v>3036</v>
      </c>
      <c r="Y33" s="336" t="s">
        <v>3037</v>
      </c>
      <c r="Z33" s="336" t="s">
        <v>3038</v>
      </c>
      <c r="AA33" s="338" t="s">
        <v>3039</v>
      </c>
      <c r="AB33" s="338" t="s">
        <v>3040</v>
      </c>
      <c r="AC33" s="336" t="s">
        <v>3041</v>
      </c>
      <c r="AD33" s="336" t="s">
        <v>2861</v>
      </c>
      <c r="AE33" s="338"/>
      <c r="AF33" s="329"/>
      <c r="AG33" s="329"/>
      <c r="AH33" s="338"/>
      <c r="AI33" s="351"/>
      <c r="AJ33" s="351"/>
      <c r="AK33" s="351"/>
      <c r="AL33" s="351"/>
      <c r="AM33" s="351"/>
      <c r="AN33" s="351"/>
      <c r="AO33" s="351"/>
      <c r="AP33" s="351"/>
      <c r="AQ33" s="351"/>
      <c r="AR33" s="351"/>
      <c r="AS33" s="351"/>
      <c r="AT33" s="351"/>
      <c r="AU33" s="351"/>
      <c r="AV33" s="351"/>
      <c r="AW33" s="351"/>
      <c r="AX33" s="351"/>
      <c r="AY33" s="351"/>
    </row>
    <row r="34" spans="1:51">
      <c r="A34" s="350">
        <v>22</v>
      </c>
      <c r="B34" s="338"/>
      <c r="C34" s="336" t="s">
        <v>2738</v>
      </c>
      <c r="D34" s="337">
        <v>22</v>
      </c>
      <c r="E34" s="337" t="s">
        <v>2704</v>
      </c>
      <c r="F34" s="337">
        <v>2023</v>
      </c>
      <c r="G34" s="353" t="s">
        <v>3042</v>
      </c>
      <c r="H34" s="336" t="s">
        <v>2488</v>
      </c>
      <c r="I34" s="338" t="s">
        <v>3043</v>
      </c>
      <c r="J34" s="336" t="s">
        <v>3044</v>
      </c>
      <c r="K34" s="336" t="s">
        <v>3045</v>
      </c>
      <c r="L34" s="336" t="s">
        <v>3046</v>
      </c>
      <c r="M34" s="338" t="s">
        <v>2710</v>
      </c>
      <c r="N34" s="338" t="s">
        <v>2852</v>
      </c>
      <c r="O34" s="338" t="s">
        <v>2712</v>
      </c>
      <c r="P34" s="338" t="s">
        <v>2853</v>
      </c>
      <c r="Q34" s="338" t="s">
        <v>2738</v>
      </c>
      <c r="R34" s="336" t="s">
        <v>2745</v>
      </c>
      <c r="S34" s="338" t="s">
        <v>1739</v>
      </c>
      <c r="T34" s="338" t="s">
        <v>1739</v>
      </c>
      <c r="U34" s="338" t="s">
        <v>2855</v>
      </c>
      <c r="V34" s="337" t="s">
        <v>3047</v>
      </c>
      <c r="W34" s="336" t="s">
        <v>3048</v>
      </c>
      <c r="X34" s="336" t="s">
        <v>3049</v>
      </c>
      <c r="Y34" s="336" t="s">
        <v>3050</v>
      </c>
      <c r="Z34" s="336" t="s">
        <v>3049</v>
      </c>
      <c r="AA34" s="354" t="s">
        <v>3051</v>
      </c>
      <c r="AB34" s="338" t="s">
        <v>2773</v>
      </c>
      <c r="AC34" s="336" t="s">
        <v>3052</v>
      </c>
      <c r="AD34" s="336" t="s">
        <v>2897</v>
      </c>
      <c r="AE34" s="338"/>
      <c r="AF34" s="329"/>
      <c r="AG34" s="329"/>
      <c r="AH34" s="338"/>
      <c r="AI34" s="351"/>
      <c r="AJ34" s="351"/>
      <c r="AK34" s="351"/>
      <c r="AL34" s="351"/>
      <c r="AM34" s="351"/>
      <c r="AN34" s="351"/>
      <c r="AO34" s="351"/>
      <c r="AP34" s="351"/>
      <c r="AQ34" s="351"/>
      <c r="AR34" s="351"/>
      <c r="AS34" s="351"/>
      <c r="AT34" s="351"/>
      <c r="AU34" s="351"/>
      <c r="AV34" s="351"/>
      <c r="AW34" s="351"/>
      <c r="AX34" s="351"/>
      <c r="AY34" s="351"/>
    </row>
    <row r="35" spans="1:51">
      <c r="A35" s="350">
        <v>23</v>
      </c>
      <c r="B35" s="338"/>
      <c r="C35" s="336" t="s">
        <v>2738</v>
      </c>
      <c r="D35" s="337">
        <v>23</v>
      </c>
      <c r="E35" s="337" t="s">
        <v>2704</v>
      </c>
      <c r="F35" s="337">
        <v>2023</v>
      </c>
      <c r="G35" s="336" t="s">
        <v>2633</v>
      </c>
      <c r="H35" s="336" t="s">
        <v>3053</v>
      </c>
      <c r="I35" s="342">
        <v>32028</v>
      </c>
      <c r="J35" s="336" t="s">
        <v>3054</v>
      </c>
      <c r="K35" s="336" t="s">
        <v>2492</v>
      </c>
      <c r="L35" s="336" t="s">
        <v>2634</v>
      </c>
      <c r="M35" s="338" t="s">
        <v>2710</v>
      </c>
      <c r="N35" s="338" t="s">
        <v>2852</v>
      </c>
      <c r="O35" s="338" t="s">
        <v>2712</v>
      </c>
      <c r="P35" s="338" t="s">
        <v>2853</v>
      </c>
      <c r="Q35" s="338" t="s">
        <v>2738</v>
      </c>
      <c r="R35" s="336" t="s">
        <v>2745</v>
      </c>
      <c r="S35" s="338" t="s">
        <v>1739</v>
      </c>
      <c r="T35" s="338" t="s">
        <v>1739</v>
      </c>
      <c r="U35" s="338" t="s">
        <v>2855</v>
      </c>
      <c r="V35" s="337" t="s">
        <v>3047</v>
      </c>
      <c r="W35" s="338" t="s">
        <v>3055</v>
      </c>
      <c r="X35" s="336" t="s">
        <v>3056</v>
      </c>
      <c r="Y35" s="336" t="s">
        <v>3057</v>
      </c>
      <c r="Z35" s="336" t="s">
        <v>3056</v>
      </c>
      <c r="AA35" s="352" t="s">
        <v>3058</v>
      </c>
      <c r="AB35" s="338" t="s">
        <v>2736</v>
      </c>
      <c r="AC35" s="336" t="s">
        <v>3059</v>
      </c>
      <c r="AD35" s="336" t="s">
        <v>2897</v>
      </c>
      <c r="AE35" s="338"/>
      <c r="AF35" s="329"/>
      <c r="AG35" s="329"/>
      <c r="AH35" s="338"/>
      <c r="AI35" s="351"/>
      <c r="AJ35" s="351"/>
      <c r="AK35" s="351"/>
      <c r="AL35" s="351"/>
      <c r="AM35" s="351"/>
      <c r="AN35" s="351"/>
      <c r="AO35" s="351"/>
      <c r="AP35" s="351"/>
      <c r="AQ35" s="351"/>
      <c r="AR35" s="351"/>
      <c r="AS35" s="351"/>
      <c r="AT35" s="351"/>
      <c r="AU35" s="351"/>
      <c r="AV35" s="351"/>
      <c r="AW35" s="351"/>
      <c r="AX35" s="351"/>
      <c r="AY35" s="351"/>
    </row>
    <row r="36" spans="1:51">
      <c r="A36" s="350">
        <v>24</v>
      </c>
      <c r="B36" s="338"/>
      <c r="C36" s="336" t="s">
        <v>3060</v>
      </c>
      <c r="D36" s="337">
        <v>24</v>
      </c>
      <c r="E36" s="337" t="s">
        <v>2704</v>
      </c>
      <c r="F36" s="337">
        <v>2023</v>
      </c>
      <c r="G36" s="336" t="s">
        <v>2635</v>
      </c>
      <c r="H36" s="336" t="s">
        <v>2488</v>
      </c>
      <c r="I36" s="342">
        <v>27728</v>
      </c>
      <c r="J36" s="336" t="s">
        <v>3061</v>
      </c>
      <c r="K36" s="336" t="s">
        <v>3062</v>
      </c>
      <c r="L36" s="336" t="s">
        <v>3063</v>
      </c>
      <c r="M36" s="338" t="s">
        <v>2710</v>
      </c>
      <c r="N36" s="338" t="s">
        <v>2852</v>
      </c>
      <c r="O36" s="338" t="s">
        <v>2712</v>
      </c>
      <c r="P36" s="338" t="s">
        <v>2853</v>
      </c>
      <c r="Q36" s="338" t="s">
        <v>3060</v>
      </c>
      <c r="R36" s="336" t="s">
        <v>2745</v>
      </c>
      <c r="S36" s="338" t="s">
        <v>1739</v>
      </c>
      <c r="T36" s="338" t="s">
        <v>1739</v>
      </c>
      <c r="U36" s="338" t="s">
        <v>2855</v>
      </c>
      <c r="V36" s="337"/>
      <c r="W36" s="338" t="s">
        <v>3064</v>
      </c>
      <c r="X36" s="336" t="s">
        <v>3065</v>
      </c>
      <c r="Y36" s="336" t="s">
        <v>3066</v>
      </c>
      <c r="Z36" s="336" t="s">
        <v>3067</v>
      </c>
      <c r="AA36" s="338" t="s">
        <v>3068</v>
      </c>
      <c r="AB36" s="338" t="s">
        <v>2736</v>
      </c>
      <c r="AC36" s="336" t="s">
        <v>3069</v>
      </c>
      <c r="AD36" s="336" t="s">
        <v>2897</v>
      </c>
      <c r="AE36" s="338"/>
      <c r="AF36" s="329"/>
      <c r="AG36" s="329"/>
      <c r="AH36" s="338"/>
      <c r="AI36" s="351"/>
      <c r="AJ36" s="351"/>
      <c r="AK36" s="351"/>
      <c r="AL36" s="351"/>
      <c r="AM36" s="351"/>
      <c r="AN36" s="351"/>
      <c r="AO36" s="351"/>
      <c r="AP36" s="351"/>
      <c r="AQ36" s="351"/>
      <c r="AR36" s="351"/>
      <c r="AS36" s="351"/>
      <c r="AT36" s="351"/>
      <c r="AU36" s="351"/>
      <c r="AV36" s="351"/>
      <c r="AW36" s="351"/>
      <c r="AX36" s="351"/>
      <c r="AY36" s="351"/>
    </row>
    <row r="37" spans="1:51">
      <c r="A37" s="350">
        <v>25</v>
      </c>
      <c r="B37" s="338"/>
      <c r="C37" s="338" t="s">
        <v>32</v>
      </c>
      <c r="D37" s="337">
        <v>25</v>
      </c>
      <c r="E37" s="337" t="s">
        <v>2704</v>
      </c>
      <c r="F37" s="337">
        <v>2023</v>
      </c>
      <c r="G37" s="336" t="s">
        <v>2628</v>
      </c>
      <c r="H37" s="336" t="s">
        <v>2488</v>
      </c>
      <c r="I37" s="338" t="s">
        <v>3070</v>
      </c>
      <c r="J37" s="336" t="s">
        <v>3071</v>
      </c>
      <c r="K37" s="336" t="s">
        <v>3072</v>
      </c>
      <c r="L37" s="336" t="s">
        <v>2629</v>
      </c>
      <c r="M37" s="338" t="s">
        <v>2710</v>
      </c>
      <c r="N37" s="338" t="s">
        <v>2852</v>
      </c>
      <c r="O37" s="338" t="s">
        <v>2712</v>
      </c>
      <c r="P37" s="338" t="s">
        <v>2853</v>
      </c>
      <c r="Q37" s="338" t="s">
        <v>32</v>
      </c>
      <c r="R37" s="338" t="s">
        <v>3073</v>
      </c>
      <c r="S37" s="338" t="s">
        <v>1739</v>
      </c>
      <c r="T37" s="338" t="s">
        <v>1739</v>
      </c>
      <c r="U37" s="338" t="s">
        <v>2855</v>
      </c>
      <c r="V37" s="337" t="s">
        <v>2856</v>
      </c>
      <c r="W37" s="338" t="s">
        <v>3074</v>
      </c>
      <c r="X37" s="336" t="s">
        <v>3075</v>
      </c>
      <c r="Y37" s="336" t="s">
        <v>3076</v>
      </c>
      <c r="Z37" s="336" t="s">
        <v>3075</v>
      </c>
      <c r="AA37" s="338" t="s">
        <v>3077</v>
      </c>
      <c r="AB37" s="338" t="s">
        <v>2773</v>
      </c>
      <c r="AC37" s="336" t="s">
        <v>3078</v>
      </c>
      <c r="AD37" s="336" t="s">
        <v>2897</v>
      </c>
      <c r="AE37" s="338"/>
      <c r="AF37" s="329"/>
      <c r="AG37" s="329"/>
      <c r="AH37" s="338"/>
      <c r="AI37" s="351"/>
      <c r="AJ37" s="351"/>
      <c r="AK37" s="351"/>
      <c r="AL37" s="351"/>
      <c r="AM37" s="351"/>
      <c r="AN37" s="351"/>
      <c r="AO37" s="351"/>
      <c r="AP37" s="351"/>
      <c r="AQ37" s="351"/>
      <c r="AR37" s="351"/>
      <c r="AS37" s="351"/>
      <c r="AT37" s="351"/>
      <c r="AU37" s="351"/>
      <c r="AV37" s="351"/>
      <c r="AW37" s="351"/>
      <c r="AX37" s="351"/>
      <c r="AY37" s="351"/>
    </row>
    <row r="38" spans="1:51">
      <c r="A38" s="350">
        <v>26</v>
      </c>
      <c r="B38" s="338"/>
      <c r="C38" s="338" t="s">
        <v>89</v>
      </c>
      <c r="D38" s="337">
        <v>26</v>
      </c>
      <c r="E38" s="337" t="s">
        <v>2704</v>
      </c>
      <c r="F38" s="337">
        <v>2023</v>
      </c>
      <c r="G38" s="336" t="s">
        <v>2617</v>
      </c>
      <c r="H38" s="336" t="s">
        <v>3079</v>
      </c>
      <c r="I38" s="338">
        <v>34819</v>
      </c>
      <c r="J38" s="336" t="s">
        <v>3080</v>
      </c>
      <c r="K38" s="336" t="s">
        <v>3081</v>
      </c>
      <c r="L38" s="336" t="s">
        <v>2618</v>
      </c>
      <c r="M38" s="338" t="s">
        <v>2710</v>
      </c>
      <c r="N38" s="338" t="s">
        <v>2852</v>
      </c>
      <c r="O38" s="338" t="s">
        <v>2712</v>
      </c>
      <c r="P38" s="338" t="s">
        <v>2853</v>
      </c>
      <c r="Q38" s="338" t="s">
        <v>89</v>
      </c>
      <c r="R38" s="338" t="s">
        <v>3082</v>
      </c>
      <c r="S38" s="338" t="s">
        <v>1739</v>
      </c>
      <c r="T38" s="338" t="s">
        <v>1739</v>
      </c>
      <c r="U38" s="338" t="s">
        <v>2855</v>
      </c>
      <c r="V38" s="365">
        <v>44670</v>
      </c>
      <c r="W38" s="338" t="s">
        <v>3083</v>
      </c>
      <c r="X38" s="336" t="s">
        <v>3084</v>
      </c>
      <c r="Y38" s="336"/>
      <c r="Z38" s="336"/>
      <c r="AA38" s="338" t="s">
        <v>3085</v>
      </c>
      <c r="AB38" s="338" t="s">
        <v>2736</v>
      </c>
      <c r="AC38" s="336" t="s">
        <v>3086</v>
      </c>
      <c r="AD38" s="336"/>
      <c r="AE38" s="338"/>
      <c r="AF38" s="329"/>
      <c r="AG38" s="329"/>
      <c r="AH38" s="338"/>
      <c r="AI38" s="351"/>
      <c r="AJ38" s="351"/>
      <c r="AK38" s="351"/>
      <c r="AL38" s="351"/>
      <c r="AM38" s="351"/>
      <c r="AN38" s="351"/>
      <c r="AO38" s="351"/>
      <c r="AP38" s="351"/>
      <c r="AQ38" s="351"/>
      <c r="AR38" s="351"/>
      <c r="AS38" s="351"/>
      <c r="AT38" s="351"/>
      <c r="AU38" s="351"/>
      <c r="AV38" s="351"/>
      <c r="AW38" s="351"/>
      <c r="AX38" s="351"/>
      <c r="AY38" s="351"/>
    </row>
    <row r="39" spans="1:51">
      <c r="A39" s="350">
        <v>27</v>
      </c>
      <c r="B39" s="338"/>
      <c r="C39" s="338" t="s">
        <v>89</v>
      </c>
      <c r="D39" s="337">
        <v>27</v>
      </c>
      <c r="E39" s="337" t="s">
        <v>2704</v>
      </c>
      <c r="F39" s="337">
        <v>2023</v>
      </c>
      <c r="G39" s="336" t="s">
        <v>2619</v>
      </c>
      <c r="H39" s="336" t="s">
        <v>3087</v>
      </c>
      <c r="I39" s="342">
        <v>29160</v>
      </c>
      <c r="J39" s="336" t="s">
        <v>3088</v>
      </c>
      <c r="K39" s="336" t="s">
        <v>2493</v>
      </c>
      <c r="L39" s="336" t="s">
        <v>2620</v>
      </c>
      <c r="M39" s="338" t="s">
        <v>2710</v>
      </c>
      <c r="N39" s="338" t="s">
        <v>2852</v>
      </c>
      <c r="O39" s="338" t="s">
        <v>2712</v>
      </c>
      <c r="P39" s="338" t="s">
        <v>2853</v>
      </c>
      <c r="Q39" s="338" t="s">
        <v>89</v>
      </c>
      <c r="R39" s="338" t="s">
        <v>3082</v>
      </c>
      <c r="S39" s="338" t="s">
        <v>1739</v>
      </c>
      <c r="T39" s="338" t="s">
        <v>1739</v>
      </c>
      <c r="U39" s="338" t="s">
        <v>2855</v>
      </c>
      <c r="V39" s="337" t="s">
        <v>3089</v>
      </c>
      <c r="W39" s="338" t="s">
        <v>3090</v>
      </c>
      <c r="X39" s="336" t="s">
        <v>3088</v>
      </c>
      <c r="Y39" s="336" t="s">
        <v>3091</v>
      </c>
      <c r="Z39" s="336" t="s">
        <v>3092</v>
      </c>
      <c r="AA39" s="354" t="s">
        <v>3093</v>
      </c>
      <c r="AB39" s="338" t="s">
        <v>2773</v>
      </c>
      <c r="AC39" s="336" t="s">
        <v>3094</v>
      </c>
      <c r="AD39" s="336" t="s">
        <v>2897</v>
      </c>
      <c r="AE39" s="338"/>
      <c r="AF39" s="329"/>
      <c r="AG39" s="329"/>
      <c r="AH39" s="338"/>
      <c r="AI39" s="351"/>
      <c r="AJ39" s="351"/>
      <c r="AK39" s="351"/>
      <c r="AL39" s="351"/>
      <c r="AM39" s="351"/>
      <c r="AN39" s="351"/>
      <c r="AO39" s="351"/>
      <c r="AP39" s="351"/>
      <c r="AQ39" s="351"/>
      <c r="AR39" s="351"/>
      <c r="AS39" s="351"/>
      <c r="AT39" s="351"/>
      <c r="AU39" s="351"/>
      <c r="AV39" s="351"/>
      <c r="AW39" s="351"/>
      <c r="AX39" s="351"/>
      <c r="AY39" s="351"/>
    </row>
    <row r="40" spans="1:51">
      <c r="A40" s="350">
        <v>28</v>
      </c>
      <c r="B40" s="338"/>
      <c r="C40" s="353" t="s">
        <v>2594</v>
      </c>
      <c r="D40" s="337">
        <v>28</v>
      </c>
      <c r="E40" s="337" t="s">
        <v>2704</v>
      </c>
      <c r="F40" s="337">
        <v>2023</v>
      </c>
      <c r="G40" s="336" t="s">
        <v>2630</v>
      </c>
      <c r="H40" s="336" t="s">
        <v>2836</v>
      </c>
      <c r="I40" s="338">
        <v>36269</v>
      </c>
      <c r="J40" s="336" t="s">
        <v>3095</v>
      </c>
      <c r="K40" s="336" t="s">
        <v>2836</v>
      </c>
      <c r="L40" s="336">
        <v>85718784574</v>
      </c>
      <c r="M40" s="338" t="s">
        <v>2710</v>
      </c>
      <c r="N40" s="338" t="s">
        <v>2852</v>
      </c>
      <c r="O40" s="338" t="s">
        <v>2712</v>
      </c>
      <c r="P40" s="338" t="s">
        <v>2853</v>
      </c>
      <c r="Q40" s="338" t="s">
        <v>2594</v>
      </c>
      <c r="R40" s="338"/>
      <c r="S40" s="338" t="s">
        <v>1739</v>
      </c>
      <c r="T40" s="338" t="s">
        <v>1739</v>
      </c>
      <c r="U40" s="338" t="s">
        <v>2855</v>
      </c>
      <c r="V40" s="337" t="s">
        <v>2715</v>
      </c>
      <c r="W40" s="338" t="s">
        <v>3096</v>
      </c>
      <c r="X40" s="336" t="s">
        <v>3097</v>
      </c>
      <c r="Y40" s="336" t="s">
        <v>3098</v>
      </c>
      <c r="Z40" s="336" t="s">
        <v>3097</v>
      </c>
      <c r="AA40" s="354" t="s">
        <v>3099</v>
      </c>
      <c r="AB40" s="338" t="s">
        <v>2952</v>
      </c>
      <c r="AC40" s="336" t="s">
        <v>3100</v>
      </c>
      <c r="AD40" s="336"/>
      <c r="AE40" s="338"/>
      <c r="AF40" s="329"/>
      <c r="AG40" s="329"/>
      <c r="AH40" s="338"/>
      <c r="AI40" s="351"/>
      <c r="AJ40" s="351"/>
      <c r="AK40" s="351"/>
      <c r="AL40" s="351"/>
      <c r="AM40" s="351"/>
      <c r="AN40" s="351"/>
      <c r="AO40" s="351"/>
      <c r="AP40" s="351"/>
      <c r="AQ40" s="351"/>
      <c r="AR40" s="351"/>
      <c r="AS40" s="351"/>
      <c r="AT40" s="351"/>
      <c r="AU40" s="351"/>
      <c r="AV40" s="351"/>
      <c r="AW40" s="351"/>
      <c r="AX40" s="351"/>
      <c r="AY40" s="351"/>
    </row>
    <row r="41" spans="1:51">
      <c r="A41" s="350">
        <v>29</v>
      </c>
      <c r="B41" s="338"/>
      <c r="C41" s="338" t="s">
        <v>3101</v>
      </c>
      <c r="D41" s="337">
        <v>29</v>
      </c>
      <c r="E41" s="337" t="s">
        <v>2704</v>
      </c>
      <c r="F41" s="337">
        <v>2023</v>
      </c>
      <c r="G41" s="336" t="s">
        <v>3102</v>
      </c>
      <c r="H41" s="336" t="s">
        <v>2491</v>
      </c>
      <c r="I41" s="342">
        <v>29837</v>
      </c>
      <c r="J41" s="336" t="s">
        <v>3103</v>
      </c>
      <c r="K41" s="336" t="s">
        <v>3104</v>
      </c>
      <c r="L41" s="336" t="s">
        <v>3105</v>
      </c>
      <c r="M41" s="338" t="s">
        <v>2710</v>
      </c>
      <c r="N41" s="338" t="s">
        <v>2852</v>
      </c>
      <c r="O41" s="338" t="s">
        <v>2712</v>
      </c>
      <c r="P41" s="338" t="s">
        <v>2853</v>
      </c>
      <c r="Q41" s="338" t="s">
        <v>3101</v>
      </c>
      <c r="R41" s="338" t="s">
        <v>3106</v>
      </c>
      <c r="S41" s="338" t="s">
        <v>1739</v>
      </c>
      <c r="T41" s="338" t="s">
        <v>1739</v>
      </c>
      <c r="U41" s="338" t="s">
        <v>2855</v>
      </c>
      <c r="V41" s="337" t="s">
        <v>2717</v>
      </c>
      <c r="W41" s="337" t="s">
        <v>3107</v>
      </c>
      <c r="X41" s="336" t="s">
        <v>3108</v>
      </c>
      <c r="Y41" s="336" t="s">
        <v>3109</v>
      </c>
      <c r="Z41" s="336" t="s">
        <v>3108</v>
      </c>
      <c r="AA41" s="338" t="s">
        <v>3110</v>
      </c>
      <c r="AB41" s="338" t="s">
        <v>3111</v>
      </c>
      <c r="AC41" s="336" t="s">
        <v>3112</v>
      </c>
      <c r="AD41" s="336" t="s">
        <v>2861</v>
      </c>
      <c r="AE41" s="338"/>
      <c r="AF41" s="329"/>
      <c r="AG41" s="329"/>
      <c r="AH41" s="338"/>
      <c r="AI41" s="351"/>
      <c r="AJ41" s="351"/>
      <c r="AK41" s="351"/>
      <c r="AL41" s="351"/>
      <c r="AM41" s="351"/>
      <c r="AN41" s="351"/>
      <c r="AO41" s="351"/>
      <c r="AP41" s="351"/>
      <c r="AQ41" s="351"/>
      <c r="AR41" s="351"/>
      <c r="AS41" s="351"/>
      <c r="AT41" s="351"/>
      <c r="AU41" s="351"/>
      <c r="AV41" s="351"/>
      <c r="AW41" s="351"/>
      <c r="AX41" s="351"/>
      <c r="AY41" s="351"/>
    </row>
    <row r="42" spans="1:51">
      <c r="A42" s="350">
        <v>30</v>
      </c>
      <c r="B42" s="338"/>
      <c r="C42" s="338" t="s">
        <v>53</v>
      </c>
      <c r="D42" s="337">
        <v>30</v>
      </c>
      <c r="E42" s="337" t="s">
        <v>2704</v>
      </c>
      <c r="F42" s="337">
        <v>2023</v>
      </c>
      <c r="G42" s="336" t="s">
        <v>1696</v>
      </c>
      <c r="H42" s="336" t="s">
        <v>2488</v>
      </c>
      <c r="I42" s="338" t="s">
        <v>3113</v>
      </c>
      <c r="J42" s="336" t="s">
        <v>3114</v>
      </c>
      <c r="K42" s="336" t="s">
        <v>2851</v>
      </c>
      <c r="L42" s="336" t="s">
        <v>2595</v>
      </c>
      <c r="M42" s="338" t="s">
        <v>2710</v>
      </c>
      <c r="N42" s="338" t="s">
        <v>2852</v>
      </c>
      <c r="O42" s="338" t="s">
        <v>2712</v>
      </c>
      <c r="P42" s="338" t="s">
        <v>2853</v>
      </c>
      <c r="Q42" s="338" t="s">
        <v>53</v>
      </c>
      <c r="R42" s="338" t="s">
        <v>3115</v>
      </c>
      <c r="S42" s="338" t="s">
        <v>1739</v>
      </c>
      <c r="T42" s="338" t="s">
        <v>1739</v>
      </c>
      <c r="U42" s="338" t="s">
        <v>2855</v>
      </c>
      <c r="V42" s="337" t="s">
        <v>2717</v>
      </c>
      <c r="W42" s="338" t="s">
        <v>3116</v>
      </c>
      <c r="X42" s="336" t="s">
        <v>3114</v>
      </c>
      <c r="Y42" s="336"/>
      <c r="Z42" s="336"/>
      <c r="AA42" s="352" t="s">
        <v>3117</v>
      </c>
      <c r="AB42" s="338" t="s">
        <v>3118</v>
      </c>
      <c r="AC42" s="336" t="s">
        <v>3119</v>
      </c>
      <c r="AD42" s="336" t="s">
        <v>2897</v>
      </c>
      <c r="AE42" s="338"/>
      <c r="AF42" s="329"/>
      <c r="AG42" s="329"/>
      <c r="AH42" s="338"/>
      <c r="AI42" s="351"/>
      <c r="AJ42" s="351"/>
      <c r="AK42" s="351"/>
      <c r="AL42" s="351"/>
      <c r="AM42" s="351"/>
      <c r="AN42" s="351"/>
      <c r="AO42" s="351"/>
      <c r="AP42" s="351"/>
      <c r="AQ42" s="351"/>
      <c r="AR42" s="351"/>
      <c r="AS42" s="351"/>
      <c r="AT42" s="351"/>
      <c r="AU42" s="351"/>
      <c r="AV42" s="351"/>
      <c r="AW42" s="351"/>
      <c r="AX42" s="351"/>
      <c r="AY42" s="351"/>
    </row>
    <row r="43" spans="1:51">
      <c r="A43" s="350">
        <v>31</v>
      </c>
      <c r="B43" s="338"/>
      <c r="C43" s="338" t="s">
        <v>2646</v>
      </c>
      <c r="D43" s="337">
        <v>31</v>
      </c>
      <c r="E43" s="337" t="s">
        <v>2704</v>
      </c>
      <c r="F43" s="337">
        <v>2023</v>
      </c>
      <c r="G43" s="336" t="s">
        <v>3120</v>
      </c>
      <c r="H43" s="336" t="s">
        <v>2705</v>
      </c>
      <c r="I43" s="338" t="s">
        <v>3121</v>
      </c>
      <c r="J43" s="336" t="s">
        <v>3122</v>
      </c>
      <c r="K43" s="336" t="s">
        <v>3123</v>
      </c>
      <c r="L43" s="336" t="s">
        <v>2647</v>
      </c>
      <c r="M43" s="338" t="s">
        <v>2710</v>
      </c>
      <c r="N43" s="338" t="s">
        <v>2852</v>
      </c>
      <c r="O43" s="338" t="s">
        <v>2712</v>
      </c>
      <c r="P43" s="338" t="s">
        <v>2853</v>
      </c>
      <c r="Q43" s="338" t="s">
        <v>2646</v>
      </c>
      <c r="R43" s="336" t="s">
        <v>3124</v>
      </c>
      <c r="S43" s="338" t="s">
        <v>1739</v>
      </c>
      <c r="T43" s="338" t="s">
        <v>1739</v>
      </c>
      <c r="U43" s="338" t="s">
        <v>2855</v>
      </c>
      <c r="V43" s="337" t="s">
        <v>2717</v>
      </c>
      <c r="W43" s="338" t="s">
        <v>3125</v>
      </c>
      <c r="X43" s="336" t="s">
        <v>3126</v>
      </c>
      <c r="Y43" s="336" t="s">
        <v>3127</v>
      </c>
      <c r="Z43" s="336" t="s">
        <v>3128</v>
      </c>
      <c r="AA43" s="338" t="s">
        <v>3129</v>
      </c>
      <c r="AB43" s="338" t="s">
        <v>2723</v>
      </c>
      <c r="AC43" s="336" t="s">
        <v>3130</v>
      </c>
      <c r="AD43" s="336" t="s">
        <v>2897</v>
      </c>
      <c r="AE43" s="338"/>
      <c r="AF43" s="329"/>
      <c r="AG43" s="329"/>
      <c r="AH43" s="338"/>
      <c r="AI43" s="351"/>
      <c r="AJ43" s="351"/>
      <c r="AK43" s="351"/>
      <c r="AL43" s="351"/>
      <c r="AM43" s="351"/>
      <c r="AN43" s="351"/>
      <c r="AO43" s="351"/>
      <c r="AP43" s="351"/>
      <c r="AQ43" s="351"/>
      <c r="AR43" s="351"/>
      <c r="AS43" s="351"/>
      <c r="AT43" s="351"/>
      <c r="AU43" s="351"/>
      <c r="AV43" s="351"/>
      <c r="AW43" s="351"/>
      <c r="AX43" s="351"/>
      <c r="AY43" s="351"/>
    </row>
    <row r="44" spans="1:51">
      <c r="A44" s="350">
        <v>32</v>
      </c>
      <c r="B44" s="338"/>
      <c r="C44" s="338" t="s">
        <v>2646</v>
      </c>
      <c r="D44" s="337">
        <v>32</v>
      </c>
      <c r="E44" s="337" t="s">
        <v>2704</v>
      </c>
      <c r="F44" s="337">
        <v>2023</v>
      </c>
      <c r="G44" s="336" t="s">
        <v>2648</v>
      </c>
      <c r="H44" s="336" t="s">
        <v>3131</v>
      </c>
      <c r="I44" s="338" t="s">
        <v>3132</v>
      </c>
      <c r="J44" s="336" t="s">
        <v>3133</v>
      </c>
      <c r="K44" s="336" t="s">
        <v>3134</v>
      </c>
      <c r="L44" s="336" t="s">
        <v>2649</v>
      </c>
      <c r="M44" s="338" t="s">
        <v>2710</v>
      </c>
      <c r="N44" s="338" t="s">
        <v>2852</v>
      </c>
      <c r="O44" s="338" t="s">
        <v>2712</v>
      </c>
      <c r="P44" s="338" t="s">
        <v>2853</v>
      </c>
      <c r="Q44" s="338" t="s">
        <v>2646</v>
      </c>
      <c r="R44" s="336" t="s">
        <v>3124</v>
      </c>
      <c r="S44" s="338" t="s">
        <v>1739</v>
      </c>
      <c r="T44" s="338" t="s">
        <v>1739</v>
      </c>
      <c r="U44" s="338" t="s">
        <v>2855</v>
      </c>
      <c r="V44" s="337" t="s">
        <v>2717</v>
      </c>
      <c r="W44" s="338" t="s">
        <v>3135</v>
      </c>
      <c r="X44" s="336" t="s">
        <v>3136</v>
      </c>
      <c r="Y44" s="336" t="s">
        <v>3137</v>
      </c>
      <c r="Z44" s="336" t="s">
        <v>3136</v>
      </c>
      <c r="AA44" s="338" t="s">
        <v>3138</v>
      </c>
      <c r="AB44" s="338" t="s">
        <v>2773</v>
      </c>
      <c r="AC44" s="336" t="s">
        <v>3139</v>
      </c>
      <c r="AD44" s="336" t="s">
        <v>2897</v>
      </c>
      <c r="AE44" s="338"/>
      <c r="AF44" s="329"/>
      <c r="AG44" s="329"/>
      <c r="AH44" s="338"/>
      <c r="AI44" s="351"/>
      <c r="AJ44" s="351"/>
      <c r="AK44" s="351"/>
      <c r="AL44" s="351"/>
      <c r="AM44" s="351"/>
      <c r="AN44" s="351"/>
      <c r="AO44" s="351"/>
      <c r="AP44" s="351"/>
      <c r="AQ44" s="351"/>
      <c r="AR44" s="351"/>
      <c r="AS44" s="351"/>
      <c r="AT44" s="351"/>
      <c r="AU44" s="351"/>
      <c r="AV44" s="351"/>
      <c r="AW44" s="351"/>
      <c r="AX44" s="351"/>
      <c r="AY44" s="351"/>
    </row>
    <row r="45" spans="1:51">
      <c r="A45" s="350">
        <v>33</v>
      </c>
      <c r="B45" s="338"/>
      <c r="C45" s="338" t="s">
        <v>2646</v>
      </c>
      <c r="D45" s="337">
        <v>33</v>
      </c>
      <c r="E45" s="337" t="s">
        <v>2704</v>
      </c>
      <c r="F45" s="337">
        <v>2023</v>
      </c>
      <c r="G45" s="336" t="s">
        <v>2650</v>
      </c>
      <c r="H45" s="336" t="s">
        <v>2488</v>
      </c>
      <c r="I45" s="338" t="s">
        <v>3140</v>
      </c>
      <c r="J45" s="336" t="s">
        <v>3141</v>
      </c>
      <c r="K45" s="336" t="s">
        <v>3142</v>
      </c>
      <c r="L45" s="336" t="s">
        <v>2651</v>
      </c>
      <c r="M45" s="338" t="s">
        <v>2710</v>
      </c>
      <c r="N45" s="338" t="s">
        <v>2852</v>
      </c>
      <c r="O45" s="338" t="s">
        <v>2712</v>
      </c>
      <c r="P45" s="338" t="s">
        <v>2853</v>
      </c>
      <c r="Q45" s="338" t="s">
        <v>2646</v>
      </c>
      <c r="R45" s="338" t="s">
        <v>3143</v>
      </c>
      <c r="S45" s="338" t="s">
        <v>1739</v>
      </c>
      <c r="T45" s="338" t="s">
        <v>1739</v>
      </c>
      <c r="U45" s="338" t="s">
        <v>2855</v>
      </c>
      <c r="V45" s="337" t="s">
        <v>2984</v>
      </c>
      <c r="W45" s="338" t="s">
        <v>3144</v>
      </c>
      <c r="X45" s="336" t="s">
        <v>3145</v>
      </c>
      <c r="Y45" s="336" t="s">
        <v>3146</v>
      </c>
      <c r="Z45" s="336" t="s">
        <v>3147</v>
      </c>
      <c r="AA45" s="338" t="s">
        <v>3148</v>
      </c>
      <c r="AB45" s="338" t="s">
        <v>3149</v>
      </c>
      <c r="AC45" s="336" t="s">
        <v>3150</v>
      </c>
      <c r="AD45" s="336"/>
      <c r="AE45" s="338"/>
      <c r="AF45" s="329"/>
      <c r="AG45" s="329"/>
      <c r="AH45" s="338"/>
      <c r="AI45" s="351"/>
      <c r="AJ45" s="351"/>
      <c r="AK45" s="351"/>
      <c r="AL45" s="351"/>
      <c r="AM45" s="351"/>
      <c r="AN45" s="351"/>
      <c r="AO45" s="351"/>
      <c r="AP45" s="351"/>
      <c r="AQ45" s="351"/>
      <c r="AR45" s="351"/>
      <c r="AS45" s="351"/>
      <c r="AT45" s="351"/>
      <c r="AU45" s="351"/>
      <c r="AV45" s="351"/>
      <c r="AW45" s="351"/>
      <c r="AX45" s="351"/>
      <c r="AY45" s="351"/>
    </row>
    <row r="46" spans="1:51">
      <c r="A46" s="350">
        <v>34</v>
      </c>
      <c r="B46" s="338"/>
      <c r="C46" s="338" t="s">
        <v>2646</v>
      </c>
      <c r="D46" s="337">
        <v>34</v>
      </c>
      <c r="E46" s="337" t="s">
        <v>2704</v>
      </c>
      <c r="F46" s="337">
        <v>2023</v>
      </c>
      <c r="G46" s="336" t="s">
        <v>2652</v>
      </c>
      <c r="H46" s="336" t="s">
        <v>3151</v>
      </c>
      <c r="I46" s="338" t="s">
        <v>3152</v>
      </c>
      <c r="J46" s="336" t="s">
        <v>3153</v>
      </c>
      <c r="K46" s="336" t="s">
        <v>2494</v>
      </c>
      <c r="L46" s="336" t="s">
        <v>2653</v>
      </c>
      <c r="M46" s="338" t="s">
        <v>2710</v>
      </c>
      <c r="N46" s="338" t="s">
        <v>2852</v>
      </c>
      <c r="O46" s="338" t="s">
        <v>2712</v>
      </c>
      <c r="P46" s="338" t="s">
        <v>2853</v>
      </c>
      <c r="Q46" s="338" t="s">
        <v>2646</v>
      </c>
      <c r="R46" s="338" t="s">
        <v>3143</v>
      </c>
      <c r="S46" s="338" t="s">
        <v>1739</v>
      </c>
      <c r="T46" s="338" t="s">
        <v>1739</v>
      </c>
      <c r="U46" s="338" t="s">
        <v>2855</v>
      </c>
      <c r="V46" s="337" t="s">
        <v>3154</v>
      </c>
      <c r="W46" s="338" t="s">
        <v>3155</v>
      </c>
      <c r="X46" s="336" t="s">
        <v>3156</v>
      </c>
      <c r="Y46" s="336" t="s">
        <v>3157</v>
      </c>
      <c r="Z46" s="336" t="s">
        <v>3158</v>
      </c>
      <c r="AA46" s="338" t="s">
        <v>3159</v>
      </c>
      <c r="AB46" s="338" t="s">
        <v>2736</v>
      </c>
      <c r="AC46" s="336" t="s">
        <v>3160</v>
      </c>
      <c r="AD46" s="336"/>
      <c r="AE46" s="338"/>
      <c r="AF46" s="329"/>
      <c r="AG46" s="329"/>
      <c r="AH46" s="338"/>
      <c r="AI46" s="351"/>
      <c r="AJ46" s="351"/>
      <c r="AK46" s="351"/>
      <c r="AL46" s="351"/>
      <c r="AM46" s="351"/>
      <c r="AN46" s="351"/>
      <c r="AO46" s="351"/>
      <c r="AP46" s="351"/>
      <c r="AQ46" s="351"/>
      <c r="AR46" s="351"/>
      <c r="AS46" s="351"/>
      <c r="AT46" s="351"/>
      <c r="AU46" s="351"/>
      <c r="AV46" s="351"/>
      <c r="AW46" s="351"/>
      <c r="AX46" s="351"/>
      <c r="AY46" s="351"/>
    </row>
    <row r="47" spans="1:51">
      <c r="A47" s="350">
        <v>35</v>
      </c>
      <c r="B47" s="338"/>
      <c r="C47" s="338" t="s">
        <v>2654</v>
      </c>
      <c r="D47" s="337">
        <v>35</v>
      </c>
      <c r="E47" s="337" t="s">
        <v>2704</v>
      </c>
      <c r="F47" s="337">
        <v>2023</v>
      </c>
      <c r="G47" s="336" t="s">
        <v>2655</v>
      </c>
      <c r="H47" s="336" t="s">
        <v>3161</v>
      </c>
      <c r="I47" s="338" t="s">
        <v>3162</v>
      </c>
      <c r="J47" s="336" t="s">
        <v>3163</v>
      </c>
      <c r="K47" s="336" t="s">
        <v>2494</v>
      </c>
      <c r="L47" s="336" t="s">
        <v>2656</v>
      </c>
      <c r="M47" s="338" t="s">
        <v>2710</v>
      </c>
      <c r="N47" s="338" t="s">
        <v>2852</v>
      </c>
      <c r="O47" s="338" t="s">
        <v>2712</v>
      </c>
      <c r="P47" s="338" t="s">
        <v>2853</v>
      </c>
      <c r="Q47" s="338" t="s">
        <v>2654</v>
      </c>
      <c r="R47" s="336" t="s">
        <v>3124</v>
      </c>
      <c r="S47" s="338" t="s">
        <v>1739</v>
      </c>
      <c r="T47" s="338" t="s">
        <v>1739</v>
      </c>
      <c r="U47" s="338" t="s">
        <v>2855</v>
      </c>
      <c r="V47" s="337" t="s">
        <v>2717</v>
      </c>
      <c r="W47" s="338" t="s">
        <v>3164</v>
      </c>
      <c r="X47" s="336" t="s">
        <v>3165</v>
      </c>
      <c r="Y47" s="336" t="s">
        <v>3166</v>
      </c>
      <c r="Z47" s="336" t="s">
        <v>3167</v>
      </c>
      <c r="AA47" s="338" t="s">
        <v>3168</v>
      </c>
      <c r="AB47" s="338" t="s">
        <v>2736</v>
      </c>
      <c r="AC47" s="336" t="s">
        <v>3169</v>
      </c>
      <c r="AD47" s="336" t="s">
        <v>2861</v>
      </c>
      <c r="AE47" s="338"/>
      <c r="AF47" s="329"/>
      <c r="AG47" s="329"/>
      <c r="AH47" s="338"/>
      <c r="AI47" s="351"/>
      <c r="AJ47" s="351"/>
      <c r="AK47" s="351"/>
      <c r="AL47" s="351"/>
      <c r="AM47" s="351"/>
      <c r="AN47" s="351"/>
      <c r="AO47" s="351"/>
      <c r="AP47" s="351"/>
      <c r="AQ47" s="351"/>
      <c r="AR47" s="351"/>
      <c r="AS47" s="351"/>
      <c r="AT47" s="351"/>
      <c r="AU47" s="351"/>
      <c r="AV47" s="351"/>
      <c r="AW47" s="351"/>
      <c r="AX47" s="351"/>
      <c r="AY47" s="351"/>
    </row>
    <row r="48" spans="1:51">
      <c r="A48" s="350">
        <v>36</v>
      </c>
      <c r="B48" s="338"/>
      <c r="C48" s="338" t="s">
        <v>2654</v>
      </c>
      <c r="D48" s="337">
        <v>36</v>
      </c>
      <c r="E48" s="337" t="s">
        <v>2704</v>
      </c>
      <c r="F48" s="337">
        <v>2023</v>
      </c>
      <c r="G48" s="336" t="s">
        <v>2657</v>
      </c>
      <c r="H48" s="336" t="s">
        <v>2488</v>
      </c>
      <c r="I48" s="338" t="s">
        <v>3170</v>
      </c>
      <c r="J48" s="336" t="s">
        <v>3171</v>
      </c>
      <c r="K48" s="336" t="s">
        <v>3172</v>
      </c>
      <c r="L48" s="336" t="s">
        <v>2658</v>
      </c>
      <c r="M48" s="338" t="s">
        <v>2710</v>
      </c>
      <c r="N48" s="338" t="s">
        <v>2852</v>
      </c>
      <c r="O48" s="338" t="s">
        <v>2712</v>
      </c>
      <c r="P48" s="338" t="s">
        <v>2853</v>
      </c>
      <c r="Q48" s="338" t="s">
        <v>2654</v>
      </c>
      <c r="R48" s="336" t="s">
        <v>3124</v>
      </c>
      <c r="S48" s="338" t="s">
        <v>1739</v>
      </c>
      <c r="T48" s="338" t="s">
        <v>1739</v>
      </c>
      <c r="U48" s="338" t="s">
        <v>2855</v>
      </c>
      <c r="V48" s="337" t="s">
        <v>2717</v>
      </c>
      <c r="W48" s="338" t="s">
        <v>3173</v>
      </c>
      <c r="X48" s="336" t="s">
        <v>3174</v>
      </c>
      <c r="Y48" s="336" t="s">
        <v>3175</v>
      </c>
      <c r="Z48" s="336" t="s">
        <v>3176</v>
      </c>
      <c r="AA48" s="338" t="s">
        <v>3177</v>
      </c>
      <c r="AB48" s="338" t="s">
        <v>2736</v>
      </c>
      <c r="AC48" s="336" t="s">
        <v>3178</v>
      </c>
      <c r="AD48" s="336" t="s">
        <v>2897</v>
      </c>
      <c r="AE48" s="338"/>
      <c r="AF48" s="329"/>
      <c r="AG48" s="329"/>
      <c r="AH48" s="338"/>
      <c r="AI48" s="351"/>
      <c r="AJ48" s="351"/>
      <c r="AK48" s="351"/>
      <c r="AL48" s="351"/>
      <c r="AM48" s="351"/>
      <c r="AN48" s="351"/>
      <c r="AO48" s="351"/>
      <c r="AP48" s="351"/>
      <c r="AQ48" s="351"/>
      <c r="AR48" s="351"/>
      <c r="AS48" s="351"/>
      <c r="AT48" s="351"/>
      <c r="AU48" s="351"/>
      <c r="AV48" s="351"/>
      <c r="AW48" s="351"/>
      <c r="AX48" s="351"/>
      <c r="AY48" s="351"/>
    </row>
    <row r="49" spans="1:51" ht="15">
      <c r="A49" s="350">
        <v>37</v>
      </c>
      <c r="B49" s="338"/>
      <c r="C49" s="338" t="s">
        <v>2654</v>
      </c>
      <c r="D49" s="337">
        <v>37</v>
      </c>
      <c r="E49" s="337" t="s">
        <v>2704</v>
      </c>
      <c r="F49" s="337">
        <v>2023</v>
      </c>
      <c r="G49" s="336" t="s">
        <v>1706</v>
      </c>
      <c r="H49" s="336" t="s">
        <v>2494</v>
      </c>
      <c r="I49" s="338" t="s">
        <v>3179</v>
      </c>
      <c r="J49" s="336" t="s">
        <v>3180</v>
      </c>
      <c r="K49" s="336" t="s">
        <v>3181</v>
      </c>
      <c r="L49" s="336" t="s">
        <v>2659</v>
      </c>
      <c r="M49" s="338" t="s">
        <v>2710</v>
      </c>
      <c r="N49" s="338" t="s">
        <v>2852</v>
      </c>
      <c r="O49" s="338" t="s">
        <v>2712</v>
      </c>
      <c r="P49" s="338" t="s">
        <v>2853</v>
      </c>
      <c r="Q49" s="338" t="s">
        <v>2654</v>
      </c>
      <c r="R49" s="336" t="s">
        <v>3124</v>
      </c>
      <c r="S49" s="338" t="s">
        <v>1739</v>
      </c>
      <c r="T49" s="338" t="s">
        <v>1739</v>
      </c>
      <c r="U49" s="338" t="s">
        <v>2855</v>
      </c>
      <c r="V49" s="337" t="s">
        <v>2717</v>
      </c>
      <c r="W49" s="338" t="s">
        <v>3182</v>
      </c>
      <c r="X49" s="336" t="s">
        <v>3183</v>
      </c>
      <c r="Y49" s="336" t="s">
        <v>3184</v>
      </c>
      <c r="Z49" s="336" t="s">
        <v>3183</v>
      </c>
      <c r="AA49" s="338" t="s">
        <v>3185</v>
      </c>
      <c r="AB49" s="338" t="s">
        <v>3186</v>
      </c>
      <c r="AC49" s="336" t="s">
        <v>3187</v>
      </c>
      <c r="AD49" s="336" t="s">
        <v>2861</v>
      </c>
      <c r="AE49" s="338"/>
      <c r="AF49" s="329"/>
      <c r="AG49" s="329"/>
      <c r="AH49" s="338"/>
      <c r="AI49" s="351"/>
      <c r="AJ49" s="351"/>
      <c r="AK49" s="351"/>
      <c r="AL49" s="351"/>
      <c r="AM49" s="351"/>
      <c r="AN49" s="351"/>
      <c r="AO49" s="351"/>
      <c r="AP49" s="351"/>
      <c r="AQ49" s="351"/>
      <c r="AR49" s="351"/>
      <c r="AS49" s="351"/>
      <c r="AT49" s="351"/>
      <c r="AU49" s="351"/>
      <c r="AV49" s="351"/>
      <c r="AW49" s="351"/>
      <c r="AX49" s="351"/>
      <c r="AY49" s="351"/>
    </row>
    <row r="50" spans="1:51" ht="15">
      <c r="A50" s="350">
        <v>38</v>
      </c>
      <c r="B50" s="338"/>
      <c r="C50" s="338" t="s">
        <v>2654</v>
      </c>
      <c r="D50" s="337">
        <v>38</v>
      </c>
      <c r="E50" s="337" t="s">
        <v>2704</v>
      </c>
      <c r="F50" s="337">
        <v>2023</v>
      </c>
      <c r="G50" s="336" t="s">
        <v>2660</v>
      </c>
      <c r="H50" s="336" t="s">
        <v>2488</v>
      </c>
      <c r="I50" s="342">
        <v>33503</v>
      </c>
      <c r="J50" s="336" t="s">
        <v>3188</v>
      </c>
      <c r="K50" s="336" t="s">
        <v>3189</v>
      </c>
      <c r="L50" s="336" t="s">
        <v>2661</v>
      </c>
      <c r="M50" s="338" t="s">
        <v>2710</v>
      </c>
      <c r="N50" s="338" t="s">
        <v>2852</v>
      </c>
      <c r="O50" s="338" t="s">
        <v>2712</v>
      </c>
      <c r="P50" s="338" t="s">
        <v>2853</v>
      </c>
      <c r="Q50" s="338" t="s">
        <v>2654</v>
      </c>
      <c r="R50" s="336" t="s">
        <v>3124</v>
      </c>
      <c r="S50" s="338" t="s">
        <v>1739</v>
      </c>
      <c r="T50" s="338" t="s">
        <v>1739</v>
      </c>
      <c r="U50" s="338" t="s">
        <v>2855</v>
      </c>
      <c r="V50" s="337" t="s">
        <v>2717</v>
      </c>
      <c r="W50" s="338" t="s">
        <v>3190</v>
      </c>
      <c r="X50" s="336" t="s">
        <v>3191</v>
      </c>
      <c r="Y50" s="336" t="s">
        <v>3192</v>
      </c>
      <c r="Z50" s="336" t="s">
        <v>3191</v>
      </c>
      <c r="AA50" s="352" t="s">
        <v>3193</v>
      </c>
      <c r="AB50" s="338" t="s">
        <v>3194</v>
      </c>
      <c r="AC50" s="336" t="s">
        <v>3195</v>
      </c>
      <c r="AD50" s="336" t="s">
        <v>2897</v>
      </c>
      <c r="AE50" s="338"/>
      <c r="AF50" s="329"/>
      <c r="AG50" s="329"/>
      <c r="AH50" s="338"/>
      <c r="AI50" s="351"/>
      <c r="AJ50" s="351"/>
      <c r="AK50" s="351"/>
      <c r="AL50" s="351"/>
      <c r="AM50" s="351"/>
      <c r="AN50" s="351"/>
      <c r="AO50" s="351"/>
      <c r="AP50" s="351"/>
      <c r="AQ50" s="351"/>
      <c r="AR50" s="351"/>
      <c r="AS50" s="351"/>
      <c r="AT50" s="351"/>
      <c r="AU50" s="351"/>
      <c r="AV50" s="351"/>
      <c r="AW50" s="351"/>
      <c r="AX50" s="351"/>
      <c r="AY50" s="351"/>
    </row>
    <row r="51" spans="1:51" ht="15">
      <c r="A51" s="350">
        <v>39</v>
      </c>
      <c r="B51" s="338"/>
      <c r="C51" s="338" t="s">
        <v>3196</v>
      </c>
      <c r="D51" s="337">
        <v>39</v>
      </c>
      <c r="E51" s="337" t="s">
        <v>2704</v>
      </c>
      <c r="F51" s="337">
        <v>2023</v>
      </c>
      <c r="G51" s="336" t="s">
        <v>2662</v>
      </c>
      <c r="H51" s="336" t="s">
        <v>2488</v>
      </c>
      <c r="I51" s="342">
        <v>31889</v>
      </c>
      <c r="J51" s="336" t="s">
        <v>3197</v>
      </c>
      <c r="K51" s="336" t="s">
        <v>3198</v>
      </c>
      <c r="L51" s="336" t="s">
        <v>2663</v>
      </c>
      <c r="M51" s="338" t="s">
        <v>2710</v>
      </c>
      <c r="N51" s="338" t="s">
        <v>2852</v>
      </c>
      <c r="O51" s="338" t="s">
        <v>2712</v>
      </c>
      <c r="P51" s="338" t="s">
        <v>2853</v>
      </c>
      <c r="Q51" s="338" t="s">
        <v>3196</v>
      </c>
      <c r="R51" s="336" t="s">
        <v>2297</v>
      </c>
      <c r="S51" s="338" t="s">
        <v>1739</v>
      </c>
      <c r="T51" s="338" t="s">
        <v>1739</v>
      </c>
      <c r="U51" s="338" t="s">
        <v>2855</v>
      </c>
      <c r="V51" s="337" t="s">
        <v>3199</v>
      </c>
      <c r="W51" s="338" t="s">
        <v>3200</v>
      </c>
      <c r="X51" s="336" t="s">
        <v>3201</v>
      </c>
      <c r="Y51" s="336" t="s">
        <v>3202</v>
      </c>
      <c r="Z51" s="336" t="s">
        <v>3203</v>
      </c>
      <c r="AA51" s="338" t="s">
        <v>3204</v>
      </c>
      <c r="AB51" s="338" t="s">
        <v>2773</v>
      </c>
      <c r="AC51" s="336" t="s">
        <v>3205</v>
      </c>
      <c r="AD51" s="336" t="s">
        <v>2897</v>
      </c>
      <c r="AE51" s="338"/>
      <c r="AF51" s="329"/>
      <c r="AG51" s="329"/>
      <c r="AH51" s="338"/>
      <c r="AI51" s="351"/>
      <c r="AJ51" s="351"/>
      <c r="AK51" s="351"/>
      <c r="AL51" s="351"/>
      <c r="AM51" s="351"/>
      <c r="AN51" s="351"/>
      <c r="AO51" s="351"/>
      <c r="AP51" s="351"/>
      <c r="AQ51" s="351"/>
      <c r="AR51" s="351"/>
      <c r="AS51" s="351"/>
      <c r="AT51" s="351"/>
      <c r="AU51" s="351"/>
      <c r="AV51" s="351"/>
      <c r="AW51" s="351"/>
      <c r="AX51" s="351"/>
      <c r="AY51" s="351"/>
    </row>
    <row r="52" spans="1:51" ht="15">
      <c r="A52" s="350">
        <v>40</v>
      </c>
      <c r="B52" s="338"/>
      <c r="C52" s="338" t="s">
        <v>3196</v>
      </c>
      <c r="D52" s="337">
        <v>40</v>
      </c>
      <c r="E52" s="337" t="s">
        <v>2704</v>
      </c>
      <c r="F52" s="337">
        <v>2023</v>
      </c>
      <c r="G52" s="336" t="s">
        <v>2664</v>
      </c>
      <c r="H52" s="336" t="s">
        <v>3206</v>
      </c>
      <c r="I52" s="338" t="s">
        <v>3207</v>
      </c>
      <c r="J52" s="336" t="s">
        <v>3208</v>
      </c>
      <c r="K52" s="336" t="s">
        <v>3209</v>
      </c>
      <c r="L52" s="336" t="s">
        <v>2665</v>
      </c>
      <c r="M52" s="338" t="s">
        <v>2710</v>
      </c>
      <c r="N52" s="338" t="s">
        <v>2852</v>
      </c>
      <c r="O52" s="338" t="s">
        <v>2712</v>
      </c>
      <c r="P52" s="338" t="s">
        <v>2853</v>
      </c>
      <c r="Q52" s="338" t="s">
        <v>3196</v>
      </c>
      <c r="R52" s="336" t="s">
        <v>2297</v>
      </c>
      <c r="S52" s="338" t="s">
        <v>1739</v>
      </c>
      <c r="T52" s="338" t="s">
        <v>1739</v>
      </c>
      <c r="U52" s="338" t="s">
        <v>2855</v>
      </c>
      <c r="V52" s="337" t="s">
        <v>3199</v>
      </c>
      <c r="W52" s="338">
        <v>3174052507710010</v>
      </c>
      <c r="X52" s="336" t="s">
        <v>3210</v>
      </c>
      <c r="Y52" s="336" t="s">
        <v>3211</v>
      </c>
      <c r="Z52" s="336" t="s">
        <v>3212</v>
      </c>
      <c r="AA52" s="354" t="s">
        <v>3213</v>
      </c>
      <c r="AB52" s="338" t="s">
        <v>3214</v>
      </c>
      <c r="AC52" s="336" t="s">
        <v>3215</v>
      </c>
      <c r="AD52" s="336" t="s">
        <v>2861</v>
      </c>
      <c r="AE52" s="338"/>
      <c r="AF52" s="329"/>
      <c r="AG52" s="329"/>
      <c r="AH52" s="338"/>
      <c r="AI52" s="351"/>
      <c r="AJ52" s="351"/>
      <c r="AK52" s="351"/>
      <c r="AL52" s="351"/>
      <c r="AM52" s="351"/>
      <c r="AN52" s="351"/>
      <c r="AO52" s="351"/>
      <c r="AP52" s="351"/>
      <c r="AQ52" s="351"/>
      <c r="AR52" s="351"/>
      <c r="AS52" s="351"/>
      <c r="AT52" s="351"/>
      <c r="AU52" s="351"/>
      <c r="AV52" s="351"/>
      <c r="AW52" s="351"/>
      <c r="AX52" s="351"/>
      <c r="AY52" s="351"/>
    </row>
    <row r="53" spans="1:51" ht="15">
      <c r="A53" s="350">
        <v>41</v>
      </c>
      <c r="B53" s="366"/>
      <c r="C53" s="353" t="s">
        <v>2527</v>
      </c>
      <c r="D53" s="337">
        <v>41</v>
      </c>
      <c r="E53" s="337" t="s">
        <v>2704</v>
      </c>
      <c r="F53" s="337">
        <v>2023</v>
      </c>
      <c r="G53" s="353" t="s">
        <v>3216</v>
      </c>
      <c r="H53" s="353" t="s">
        <v>3010</v>
      </c>
      <c r="I53" s="366" t="s">
        <v>3217</v>
      </c>
      <c r="J53" s="353" t="s">
        <v>3218</v>
      </c>
      <c r="K53" s="353" t="s">
        <v>2888</v>
      </c>
      <c r="L53" s="353">
        <v>88225835292</v>
      </c>
      <c r="M53" s="367" t="s">
        <v>2710</v>
      </c>
      <c r="N53" s="338" t="s">
        <v>2852</v>
      </c>
      <c r="O53" s="367" t="s">
        <v>1803</v>
      </c>
      <c r="P53" s="338" t="s">
        <v>2853</v>
      </c>
      <c r="Q53" s="338" t="s">
        <v>2527</v>
      </c>
      <c r="R53" s="366"/>
      <c r="S53" s="366" t="s">
        <v>1739</v>
      </c>
      <c r="T53" s="366" t="s">
        <v>1739</v>
      </c>
      <c r="U53" s="366" t="s">
        <v>2855</v>
      </c>
      <c r="V53" s="367" t="s">
        <v>1693</v>
      </c>
      <c r="W53" s="366" t="s">
        <v>3219</v>
      </c>
      <c r="X53" s="353" t="s">
        <v>3220</v>
      </c>
      <c r="Y53" s="353" t="s">
        <v>3221</v>
      </c>
      <c r="Z53" s="353" t="s">
        <v>3222</v>
      </c>
      <c r="AA53" s="352" t="s">
        <v>3223</v>
      </c>
      <c r="AB53" s="366" t="s">
        <v>2736</v>
      </c>
      <c r="AC53" s="353" t="s">
        <v>3224</v>
      </c>
      <c r="AD53" s="353"/>
      <c r="AE53" s="366"/>
      <c r="AF53" s="329"/>
      <c r="AG53" s="329"/>
      <c r="AH53" s="366"/>
      <c r="AI53" s="368"/>
      <c r="AJ53" s="368"/>
      <c r="AK53" s="368"/>
      <c r="AL53" s="368"/>
      <c r="AM53" s="368"/>
      <c r="AN53" s="368"/>
      <c r="AO53" s="368"/>
      <c r="AP53" s="368"/>
      <c r="AQ53" s="368"/>
      <c r="AR53" s="368"/>
      <c r="AS53" s="368"/>
      <c r="AT53" s="368"/>
      <c r="AU53" s="368"/>
      <c r="AV53" s="368"/>
      <c r="AW53" s="368"/>
      <c r="AX53" s="368"/>
      <c r="AY53" s="368"/>
    </row>
    <row r="54" spans="1:51" ht="15">
      <c r="A54" s="350">
        <v>42</v>
      </c>
      <c r="B54" s="338"/>
      <c r="C54" s="338" t="s">
        <v>3225</v>
      </c>
      <c r="D54" s="337">
        <v>42</v>
      </c>
      <c r="E54" s="337" t="s">
        <v>2704</v>
      </c>
      <c r="F54" s="337">
        <v>2023</v>
      </c>
      <c r="G54" s="336" t="s">
        <v>2666</v>
      </c>
      <c r="H54" s="336" t="s">
        <v>2490</v>
      </c>
      <c r="I54" s="338" t="s">
        <v>3226</v>
      </c>
      <c r="J54" s="336" t="s">
        <v>3227</v>
      </c>
      <c r="K54" s="336" t="s">
        <v>3228</v>
      </c>
      <c r="L54" s="336" t="s">
        <v>2667</v>
      </c>
      <c r="M54" s="338" t="s">
        <v>2710</v>
      </c>
      <c r="N54" s="338" t="s">
        <v>2852</v>
      </c>
      <c r="O54" s="338" t="s">
        <v>2712</v>
      </c>
      <c r="P54" s="338" t="s">
        <v>2853</v>
      </c>
      <c r="Q54" s="338" t="s">
        <v>3225</v>
      </c>
      <c r="R54" s="338" t="s">
        <v>3229</v>
      </c>
      <c r="S54" s="338" t="s">
        <v>1739</v>
      </c>
      <c r="T54" s="338" t="s">
        <v>1739</v>
      </c>
      <c r="U54" s="338" t="s">
        <v>2855</v>
      </c>
      <c r="V54" s="337" t="s">
        <v>1247</v>
      </c>
      <c r="W54" s="338" t="s">
        <v>3230</v>
      </c>
      <c r="X54" s="336" t="s">
        <v>3228</v>
      </c>
      <c r="Y54" s="336" t="s">
        <v>249</v>
      </c>
      <c r="Z54" s="336" t="s">
        <v>249</v>
      </c>
      <c r="AA54" s="354" t="s">
        <v>3231</v>
      </c>
      <c r="AB54" s="338" t="s">
        <v>2736</v>
      </c>
      <c r="AC54" s="336"/>
      <c r="AD54" s="336" t="s">
        <v>2897</v>
      </c>
      <c r="AE54" s="357">
        <v>44400</v>
      </c>
      <c r="AF54" s="329"/>
      <c r="AG54" s="329"/>
      <c r="AH54" s="338"/>
      <c r="AI54" s="351"/>
      <c r="AJ54" s="351"/>
      <c r="AK54" s="351"/>
      <c r="AL54" s="351"/>
      <c r="AM54" s="351"/>
      <c r="AN54" s="351"/>
      <c r="AO54" s="351"/>
      <c r="AP54" s="351"/>
      <c r="AQ54" s="351"/>
      <c r="AR54" s="351"/>
      <c r="AS54" s="351"/>
      <c r="AT54" s="351"/>
      <c r="AU54" s="351"/>
      <c r="AV54" s="351"/>
      <c r="AW54" s="351"/>
      <c r="AX54" s="351"/>
      <c r="AY54" s="351"/>
    </row>
    <row r="55" spans="1:51" ht="15">
      <c r="A55" s="350">
        <v>43</v>
      </c>
      <c r="B55" s="338"/>
      <c r="C55" s="338" t="s">
        <v>3232</v>
      </c>
      <c r="D55" s="337">
        <v>43</v>
      </c>
      <c r="E55" s="337" t="s">
        <v>2704</v>
      </c>
      <c r="F55" s="337">
        <v>2023</v>
      </c>
      <c r="G55" s="336" t="s">
        <v>3233</v>
      </c>
      <c r="H55" s="336" t="s">
        <v>2753</v>
      </c>
      <c r="I55" s="338" t="s">
        <v>3234</v>
      </c>
      <c r="J55" s="336" t="s">
        <v>3235</v>
      </c>
      <c r="K55" s="336" t="s">
        <v>3236</v>
      </c>
      <c r="L55" s="336" t="s">
        <v>2668</v>
      </c>
      <c r="M55" s="338" t="s">
        <v>2710</v>
      </c>
      <c r="N55" s="338" t="s">
        <v>2852</v>
      </c>
      <c r="O55" s="338" t="s">
        <v>2712</v>
      </c>
      <c r="P55" s="338" t="s">
        <v>2853</v>
      </c>
      <c r="Q55" s="338" t="s">
        <v>3232</v>
      </c>
      <c r="R55" s="338" t="s">
        <v>3229</v>
      </c>
      <c r="S55" s="338" t="s">
        <v>1739</v>
      </c>
      <c r="T55" s="338" t="s">
        <v>1739</v>
      </c>
      <c r="U55" s="338" t="s">
        <v>2855</v>
      </c>
      <c r="V55" s="337" t="s">
        <v>1247</v>
      </c>
      <c r="W55" s="338" t="s">
        <v>3237</v>
      </c>
      <c r="X55" s="336" t="s">
        <v>3235</v>
      </c>
      <c r="Y55" s="336" t="s">
        <v>3238</v>
      </c>
      <c r="Z55" s="336" t="s">
        <v>3235</v>
      </c>
      <c r="AA55" s="354" t="s">
        <v>3239</v>
      </c>
      <c r="AB55" s="338" t="s">
        <v>2736</v>
      </c>
      <c r="AC55" s="336"/>
      <c r="AD55" s="336" t="s">
        <v>2861</v>
      </c>
      <c r="AE55" s="357">
        <v>44400</v>
      </c>
      <c r="AF55" s="329"/>
      <c r="AG55" s="329"/>
      <c r="AH55" s="338"/>
      <c r="AI55" s="351"/>
      <c r="AJ55" s="351"/>
      <c r="AK55" s="351"/>
      <c r="AL55" s="351"/>
      <c r="AM55" s="351"/>
      <c r="AN55" s="351"/>
      <c r="AO55" s="351"/>
      <c r="AP55" s="351"/>
      <c r="AQ55" s="351"/>
      <c r="AR55" s="351"/>
      <c r="AS55" s="351"/>
      <c r="AT55" s="351"/>
      <c r="AU55" s="351"/>
      <c r="AV55" s="351"/>
      <c r="AW55" s="351"/>
      <c r="AX55" s="351"/>
      <c r="AY55" s="351"/>
    </row>
    <row r="56" spans="1:51" ht="15">
      <c r="A56" s="350">
        <v>44</v>
      </c>
      <c r="B56" s="338"/>
      <c r="C56" s="338" t="s">
        <v>3240</v>
      </c>
      <c r="D56" s="337">
        <v>44</v>
      </c>
      <c r="E56" s="337" t="s">
        <v>2704</v>
      </c>
      <c r="F56" s="337">
        <v>2023</v>
      </c>
      <c r="G56" s="336" t="s">
        <v>1695</v>
      </c>
      <c r="H56" s="336" t="s">
        <v>2494</v>
      </c>
      <c r="I56" s="338" t="s">
        <v>3241</v>
      </c>
      <c r="J56" s="336" t="s">
        <v>3242</v>
      </c>
      <c r="K56" s="336" t="s">
        <v>3243</v>
      </c>
      <c r="L56" s="336" t="s">
        <v>2596</v>
      </c>
      <c r="M56" s="338" t="s">
        <v>2710</v>
      </c>
      <c r="N56" s="338" t="s">
        <v>2852</v>
      </c>
      <c r="O56" s="338" t="s">
        <v>2712</v>
      </c>
      <c r="P56" s="338" t="s">
        <v>2853</v>
      </c>
      <c r="Q56" s="338" t="s">
        <v>3240</v>
      </c>
      <c r="R56" s="338" t="s">
        <v>3244</v>
      </c>
      <c r="S56" s="338" t="s">
        <v>1739</v>
      </c>
      <c r="T56" s="338" t="s">
        <v>1739</v>
      </c>
      <c r="U56" s="338" t="s">
        <v>2855</v>
      </c>
      <c r="V56" s="337" t="s">
        <v>3245</v>
      </c>
      <c r="W56" s="338" t="s">
        <v>3246</v>
      </c>
      <c r="X56" s="336" t="s">
        <v>3247</v>
      </c>
      <c r="Y56" s="336" t="s">
        <v>3248</v>
      </c>
      <c r="Z56" s="336" t="s">
        <v>3247</v>
      </c>
      <c r="AA56" s="354" t="s">
        <v>3249</v>
      </c>
      <c r="AB56" s="338" t="s">
        <v>2736</v>
      </c>
      <c r="AC56" s="336" t="s">
        <v>3250</v>
      </c>
      <c r="AD56" s="336" t="s">
        <v>2897</v>
      </c>
      <c r="AE56" s="357">
        <v>44400</v>
      </c>
      <c r="AF56" s="329" t="s">
        <v>2928</v>
      </c>
      <c r="AG56" s="329"/>
      <c r="AH56" s="338"/>
      <c r="AI56" s="351"/>
      <c r="AJ56" s="351"/>
      <c r="AK56" s="351"/>
      <c r="AL56" s="351"/>
      <c r="AM56" s="351"/>
      <c r="AN56" s="351"/>
      <c r="AO56" s="351"/>
      <c r="AP56" s="351"/>
      <c r="AQ56" s="351"/>
      <c r="AR56" s="351"/>
      <c r="AS56" s="351"/>
      <c r="AT56" s="351"/>
      <c r="AU56" s="351"/>
      <c r="AV56" s="351"/>
      <c r="AW56" s="351"/>
      <c r="AX56" s="351"/>
      <c r="AY56" s="351"/>
    </row>
    <row r="57" spans="1:51" ht="15">
      <c r="A57" s="350">
        <v>45</v>
      </c>
      <c r="B57" s="338"/>
      <c r="C57" s="338" t="s">
        <v>2610</v>
      </c>
      <c r="D57" s="337">
        <v>45</v>
      </c>
      <c r="E57" s="337" t="s">
        <v>2704</v>
      </c>
      <c r="F57" s="337">
        <v>2023</v>
      </c>
      <c r="G57" s="336" t="s">
        <v>3251</v>
      </c>
      <c r="H57" s="336" t="s">
        <v>2488</v>
      </c>
      <c r="I57" s="338" t="s">
        <v>3252</v>
      </c>
      <c r="J57" s="336" t="s">
        <v>3253</v>
      </c>
      <c r="K57" s="336" t="s">
        <v>3254</v>
      </c>
      <c r="L57" s="336" t="s">
        <v>2611</v>
      </c>
      <c r="M57" s="338" t="s">
        <v>2710</v>
      </c>
      <c r="N57" s="338" t="s">
        <v>2852</v>
      </c>
      <c r="O57" s="338" t="s">
        <v>2712</v>
      </c>
      <c r="P57" s="338" t="s">
        <v>2853</v>
      </c>
      <c r="Q57" s="338" t="s">
        <v>2610</v>
      </c>
      <c r="R57" s="338" t="s">
        <v>3255</v>
      </c>
      <c r="S57" s="338" t="s">
        <v>1739</v>
      </c>
      <c r="T57" s="338" t="s">
        <v>1739</v>
      </c>
      <c r="U57" s="338" t="s">
        <v>2855</v>
      </c>
      <c r="V57" s="337" t="s">
        <v>2717</v>
      </c>
      <c r="W57" s="338" t="s">
        <v>3256</v>
      </c>
      <c r="X57" s="336" t="s">
        <v>3257</v>
      </c>
      <c r="Y57" s="336" t="s">
        <v>3258</v>
      </c>
      <c r="Z57" s="336" t="s">
        <v>3257</v>
      </c>
      <c r="AA57" s="352" t="s">
        <v>3259</v>
      </c>
      <c r="AB57" s="338" t="s">
        <v>2773</v>
      </c>
      <c r="AC57" s="336" t="s">
        <v>3260</v>
      </c>
      <c r="AD57" s="336" t="s">
        <v>2897</v>
      </c>
      <c r="AE57" s="338"/>
      <c r="AF57" s="329"/>
      <c r="AG57" s="329"/>
      <c r="AH57" s="338"/>
      <c r="AI57" s="351"/>
      <c r="AJ57" s="351"/>
      <c r="AK57" s="351"/>
      <c r="AL57" s="351"/>
      <c r="AM57" s="351"/>
      <c r="AN57" s="351"/>
      <c r="AO57" s="351"/>
      <c r="AP57" s="351"/>
      <c r="AQ57" s="351"/>
      <c r="AR57" s="351"/>
      <c r="AS57" s="351"/>
      <c r="AT57" s="351"/>
      <c r="AU57" s="351"/>
      <c r="AV57" s="351"/>
      <c r="AW57" s="351"/>
      <c r="AX57" s="351"/>
      <c r="AY57" s="351"/>
    </row>
    <row r="58" spans="1:51" ht="15">
      <c r="A58" s="350">
        <v>46</v>
      </c>
      <c r="B58" s="338"/>
      <c r="C58" s="338" t="s">
        <v>2610</v>
      </c>
      <c r="D58" s="337">
        <v>46</v>
      </c>
      <c r="E58" s="337" t="s">
        <v>2704</v>
      </c>
      <c r="F58" s="337">
        <v>2023</v>
      </c>
      <c r="G58" s="336" t="s">
        <v>2612</v>
      </c>
      <c r="H58" s="336" t="s">
        <v>2488</v>
      </c>
      <c r="I58" s="338" t="s">
        <v>3261</v>
      </c>
      <c r="J58" s="336" t="s">
        <v>3262</v>
      </c>
      <c r="K58" s="336" t="s">
        <v>3263</v>
      </c>
      <c r="L58" s="336" t="s">
        <v>2613</v>
      </c>
      <c r="M58" s="338" t="s">
        <v>2710</v>
      </c>
      <c r="N58" s="338" t="s">
        <v>2852</v>
      </c>
      <c r="O58" s="338" t="s">
        <v>2712</v>
      </c>
      <c r="P58" s="338" t="s">
        <v>2853</v>
      </c>
      <c r="Q58" s="338" t="s">
        <v>2610</v>
      </c>
      <c r="R58" s="338" t="s">
        <v>3255</v>
      </c>
      <c r="S58" s="338" t="s">
        <v>1739</v>
      </c>
      <c r="T58" s="338" t="s">
        <v>1739</v>
      </c>
      <c r="U58" s="338" t="s">
        <v>2855</v>
      </c>
      <c r="V58" s="337" t="s">
        <v>3264</v>
      </c>
      <c r="W58" s="337" t="s">
        <v>3265</v>
      </c>
      <c r="X58" s="336" t="s">
        <v>3266</v>
      </c>
      <c r="Y58" s="336" t="s">
        <v>3267</v>
      </c>
      <c r="Z58" s="336"/>
      <c r="AA58" s="338" t="s">
        <v>3268</v>
      </c>
      <c r="AB58" s="338" t="s">
        <v>2736</v>
      </c>
      <c r="AC58" s="336"/>
      <c r="AD58" s="336"/>
      <c r="AE58" s="338"/>
      <c r="AF58" s="329"/>
      <c r="AG58" s="329"/>
      <c r="AH58" s="338"/>
      <c r="AI58" s="351"/>
      <c r="AJ58" s="351"/>
      <c r="AK58" s="351"/>
      <c r="AL58" s="351"/>
      <c r="AM58" s="351"/>
      <c r="AN58" s="351"/>
      <c r="AO58" s="351"/>
      <c r="AP58" s="351"/>
      <c r="AQ58" s="351"/>
      <c r="AR58" s="351"/>
      <c r="AS58" s="351"/>
      <c r="AT58" s="351"/>
      <c r="AU58" s="351"/>
      <c r="AV58" s="351"/>
      <c r="AW58" s="351"/>
      <c r="AX58" s="351"/>
      <c r="AY58" s="351"/>
    </row>
    <row r="59" spans="1:51" ht="15">
      <c r="A59" s="350">
        <v>47</v>
      </c>
      <c r="B59" s="338"/>
      <c r="C59" s="338" t="s">
        <v>64</v>
      </c>
      <c r="D59" s="337">
        <v>47</v>
      </c>
      <c r="E59" s="337" t="s">
        <v>2704</v>
      </c>
      <c r="F59" s="337">
        <v>2023</v>
      </c>
      <c r="G59" s="336" t="s">
        <v>2505</v>
      </c>
      <c r="H59" s="336" t="s">
        <v>3269</v>
      </c>
      <c r="I59" s="338" t="s">
        <v>3270</v>
      </c>
      <c r="J59" s="336" t="s">
        <v>3271</v>
      </c>
      <c r="K59" s="336" t="s">
        <v>2836</v>
      </c>
      <c r="L59" s="336" t="s">
        <v>2506</v>
      </c>
      <c r="M59" s="338" t="s">
        <v>2710</v>
      </c>
      <c r="N59" s="338" t="s">
        <v>2852</v>
      </c>
      <c r="O59" s="338" t="s">
        <v>2712</v>
      </c>
      <c r="P59" s="338" t="s">
        <v>2853</v>
      </c>
      <c r="Q59" s="338" t="s">
        <v>64</v>
      </c>
      <c r="R59" s="336" t="s">
        <v>3272</v>
      </c>
      <c r="S59" s="338" t="s">
        <v>1739</v>
      </c>
      <c r="T59" s="338" t="s">
        <v>1739</v>
      </c>
      <c r="U59" s="338" t="s">
        <v>2855</v>
      </c>
      <c r="V59" s="337" t="s">
        <v>3273</v>
      </c>
      <c r="W59" s="338" t="s">
        <v>3274</v>
      </c>
      <c r="X59" s="336" t="s">
        <v>3275</v>
      </c>
      <c r="Y59" s="336" t="s">
        <v>3276</v>
      </c>
      <c r="Z59" s="336" t="s">
        <v>3277</v>
      </c>
      <c r="AA59" s="338" t="s">
        <v>3278</v>
      </c>
      <c r="AB59" s="338" t="s">
        <v>2736</v>
      </c>
      <c r="AC59" s="336" t="s">
        <v>3279</v>
      </c>
      <c r="AD59" s="336" t="s">
        <v>2897</v>
      </c>
      <c r="AE59" s="338"/>
      <c r="AF59" s="329"/>
      <c r="AG59" s="329"/>
      <c r="AH59" s="338"/>
      <c r="AI59" s="351"/>
      <c r="AJ59" s="351"/>
      <c r="AK59" s="351"/>
      <c r="AL59" s="351"/>
      <c r="AM59" s="351"/>
      <c r="AN59" s="351"/>
      <c r="AO59" s="351"/>
      <c r="AP59" s="351"/>
      <c r="AQ59" s="351"/>
      <c r="AR59" s="351"/>
      <c r="AS59" s="351"/>
      <c r="AT59" s="351"/>
      <c r="AU59" s="351"/>
      <c r="AV59" s="351"/>
      <c r="AW59" s="351"/>
      <c r="AX59" s="351"/>
      <c r="AY59" s="351"/>
    </row>
    <row r="60" spans="1:51" ht="15">
      <c r="A60" s="350">
        <v>48</v>
      </c>
      <c r="B60" s="338"/>
      <c r="C60" s="338" t="s">
        <v>64</v>
      </c>
      <c r="D60" s="337">
        <v>48</v>
      </c>
      <c r="E60" s="337" t="s">
        <v>2704</v>
      </c>
      <c r="F60" s="337">
        <v>2023</v>
      </c>
      <c r="G60" s="336" t="s">
        <v>2507</v>
      </c>
      <c r="H60" s="336" t="s">
        <v>3280</v>
      </c>
      <c r="I60" s="338" t="s">
        <v>3281</v>
      </c>
      <c r="J60" s="336" t="s">
        <v>3282</v>
      </c>
      <c r="K60" s="336" t="s">
        <v>3283</v>
      </c>
      <c r="L60" s="336">
        <v>87894664316</v>
      </c>
      <c r="M60" s="338" t="s">
        <v>2710</v>
      </c>
      <c r="N60" s="338" t="s">
        <v>2852</v>
      </c>
      <c r="O60" s="338" t="s">
        <v>2712</v>
      </c>
      <c r="P60" s="338" t="s">
        <v>2853</v>
      </c>
      <c r="Q60" s="338" t="s">
        <v>64</v>
      </c>
      <c r="R60" s="336" t="s">
        <v>3272</v>
      </c>
      <c r="S60" s="338" t="s">
        <v>1739</v>
      </c>
      <c r="T60" s="338" t="s">
        <v>1739</v>
      </c>
      <c r="U60" s="338" t="s">
        <v>2855</v>
      </c>
      <c r="V60" s="355">
        <v>44760</v>
      </c>
      <c r="W60" s="338" t="s">
        <v>3284</v>
      </c>
      <c r="X60" s="336" t="s">
        <v>3285</v>
      </c>
      <c r="Y60" s="336" t="s">
        <v>249</v>
      </c>
      <c r="Z60" s="336" t="s">
        <v>249</v>
      </c>
      <c r="AA60" s="354" t="s">
        <v>3286</v>
      </c>
      <c r="AB60" s="338" t="s">
        <v>3287</v>
      </c>
      <c r="AC60" s="336" t="s">
        <v>3288</v>
      </c>
      <c r="AD60" s="336" t="s">
        <v>2897</v>
      </c>
      <c r="AE60" s="338"/>
      <c r="AF60" s="329" t="s">
        <v>2928</v>
      </c>
      <c r="AG60" s="329"/>
      <c r="AH60" s="338"/>
      <c r="AI60" s="351"/>
      <c r="AJ60" s="351"/>
      <c r="AK60" s="351"/>
      <c r="AL60" s="351"/>
      <c r="AM60" s="351"/>
      <c r="AN60" s="351"/>
      <c r="AO60" s="351"/>
      <c r="AP60" s="351"/>
      <c r="AQ60" s="351"/>
      <c r="AR60" s="351"/>
      <c r="AS60" s="351"/>
      <c r="AT60" s="351"/>
      <c r="AU60" s="351"/>
      <c r="AV60" s="351"/>
      <c r="AW60" s="351"/>
      <c r="AX60" s="351"/>
      <c r="AY60" s="351"/>
    </row>
    <row r="61" spans="1:51" ht="15">
      <c r="A61" s="350">
        <v>49</v>
      </c>
      <c r="B61" s="338"/>
      <c r="C61" s="338" t="s">
        <v>161</v>
      </c>
      <c r="D61" s="337">
        <v>49</v>
      </c>
      <c r="E61" s="337" t="s">
        <v>2704</v>
      </c>
      <c r="F61" s="337">
        <v>2023</v>
      </c>
      <c r="G61" s="336" t="s">
        <v>2508</v>
      </c>
      <c r="H61" s="336" t="s">
        <v>2494</v>
      </c>
      <c r="I61" s="369">
        <v>34579</v>
      </c>
      <c r="J61" s="336" t="s">
        <v>3289</v>
      </c>
      <c r="K61" s="336" t="s">
        <v>3290</v>
      </c>
      <c r="L61" s="336" t="s">
        <v>2509</v>
      </c>
      <c r="M61" s="338" t="s">
        <v>2710</v>
      </c>
      <c r="N61" s="338" t="s">
        <v>2852</v>
      </c>
      <c r="O61" s="338" t="s">
        <v>2712</v>
      </c>
      <c r="P61" s="338" t="s">
        <v>2853</v>
      </c>
      <c r="Q61" s="338" t="s">
        <v>161</v>
      </c>
      <c r="R61" s="338" t="s">
        <v>3291</v>
      </c>
      <c r="S61" s="338" t="s">
        <v>1739</v>
      </c>
      <c r="T61" s="338" t="s">
        <v>1739</v>
      </c>
      <c r="U61" s="338" t="s">
        <v>2855</v>
      </c>
      <c r="V61" s="337" t="s">
        <v>992</v>
      </c>
      <c r="W61" s="338" t="s">
        <v>3292</v>
      </c>
      <c r="X61" s="336" t="s">
        <v>3293</v>
      </c>
      <c r="Y61" s="336" t="s">
        <v>3294</v>
      </c>
      <c r="Z61" s="336" t="s">
        <v>3295</v>
      </c>
      <c r="AA61" s="352" t="s">
        <v>3296</v>
      </c>
      <c r="AB61" s="338" t="s">
        <v>3297</v>
      </c>
      <c r="AC61" s="336" t="s">
        <v>3298</v>
      </c>
      <c r="AD61" s="336" t="s">
        <v>2897</v>
      </c>
      <c r="AE61" s="338"/>
      <c r="AF61" s="329"/>
      <c r="AG61" s="329"/>
      <c r="AH61" s="338"/>
      <c r="AI61" s="351"/>
      <c r="AJ61" s="351"/>
      <c r="AK61" s="351"/>
      <c r="AL61" s="351"/>
      <c r="AM61" s="351"/>
      <c r="AN61" s="351"/>
      <c r="AO61" s="351"/>
      <c r="AP61" s="351"/>
      <c r="AQ61" s="351"/>
      <c r="AR61" s="351"/>
      <c r="AS61" s="351"/>
      <c r="AT61" s="351"/>
      <c r="AU61" s="351"/>
      <c r="AV61" s="351"/>
      <c r="AW61" s="351"/>
      <c r="AX61" s="351"/>
      <c r="AY61" s="351"/>
    </row>
    <row r="62" spans="1:51" ht="15">
      <c r="A62" s="350">
        <v>50</v>
      </c>
      <c r="B62" s="338"/>
      <c r="C62" s="338" t="s">
        <v>3299</v>
      </c>
      <c r="D62" s="337">
        <v>50</v>
      </c>
      <c r="E62" s="337" t="s">
        <v>2704</v>
      </c>
      <c r="F62" s="337">
        <v>2023</v>
      </c>
      <c r="G62" s="336" t="s">
        <v>2580</v>
      </c>
      <c r="H62" s="336" t="s">
        <v>2492</v>
      </c>
      <c r="I62" s="338" t="s">
        <v>3300</v>
      </c>
      <c r="J62" s="336" t="s">
        <v>3301</v>
      </c>
      <c r="K62" s="336" t="s">
        <v>3302</v>
      </c>
      <c r="L62" s="336" t="s">
        <v>2581</v>
      </c>
      <c r="M62" s="338" t="s">
        <v>2710</v>
      </c>
      <c r="N62" s="338" t="s">
        <v>2852</v>
      </c>
      <c r="O62" s="338" t="s">
        <v>2712</v>
      </c>
      <c r="P62" s="338" t="s">
        <v>2853</v>
      </c>
      <c r="Q62" s="338" t="s">
        <v>3299</v>
      </c>
      <c r="R62" s="336" t="s">
        <v>3303</v>
      </c>
      <c r="S62" s="338" t="s">
        <v>1739</v>
      </c>
      <c r="T62" s="338" t="s">
        <v>1739</v>
      </c>
      <c r="U62" s="338" t="s">
        <v>2855</v>
      </c>
      <c r="V62" s="337" t="s">
        <v>3273</v>
      </c>
      <c r="W62" s="338" t="s">
        <v>3304</v>
      </c>
      <c r="X62" s="336" t="s">
        <v>3301</v>
      </c>
      <c r="Y62" s="336" t="s">
        <v>249</v>
      </c>
      <c r="Z62" s="336" t="s">
        <v>249</v>
      </c>
      <c r="AA62" s="354" t="s">
        <v>3305</v>
      </c>
      <c r="AB62" s="338" t="s">
        <v>3306</v>
      </c>
      <c r="AC62" s="336"/>
      <c r="AD62" s="336" t="s">
        <v>2897</v>
      </c>
      <c r="AE62" s="357">
        <v>44400</v>
      </c>
      <c r="AF62" s="329"/>
      <c r="AG62" s="329"/>
      <c r="AH62" s="338"/>
      <c r="AI62" s="351"/>
      <c r="AJ62" s="351"/>
      <c r="AK62" s="351"/>
      <c r="AL62" s="351"/>
      <c r="AM62" s="351"/>
      <c r="AN62" s="351"/>
      <c r="AO62" s="351"/>
      <c r="AP62" s="351"/>
      <c r="AQ62" s="351"/>
      <c r="AR62" s="351"/>
      <c r="AS62" s="351"/>
      <c r="AT62" s="351"/>
      <c r="AU62" s="351"/>
      <c r="AV62" s="351"/>
      <c r="AW62" s="351"/>
      <c r="AX62" s="351"/>
      <c r="AY62" s="351"/>
    </row>
    <row r="63" spans="1:51" ht="15">
      <c r="A63" s="350">
        <v>51</v>
      </c>
      <c r="B63" s="338"/>
      <c r="C63" s="338" t="s">
        <v>112</v>
      </c>
      <c r="D63" s="337">
        <v>51</v>
      </c>
      <c r="E63" s="337" t="s">
        <v>2704</v>
      </c>
      <c r="F63" s="337">
        <v>2023</v>
      </c>
      <c r="G63" s="336" t="s">
        <v>2510</v>
      </c>
      <c r="H63" s="336" t="s">
        <v>2488</v>
      </c>
      <c r="I63" s="342">
        <v>33491</v>
      </c>
      <c r="J63" s="336" t="s">
        <v>3307</v>
      </c>
      <c r="K63" s="336" t="s">
        <v>3308</v>
      </c>
      <c r="L63" s="336" t="s">
        <v>2511</v>
      </c>
      <c r="M63" s="338" t="s">
        <v>2710</v>
      </c>
      <c r="N63" s="338" t="s">
        <v>2852</v>
      </c>
      <c r="O63" s="338" t="s">
        <v>2712</v>
      </c>
      <c r="P63" s="338" t="s">
        <v>2853</v>
      </c>
      <c r="Q63" s="338" t="s">
        <v>112</v>
      </c>
      <c r="R63" s="338" t="s">
        <v>3309</v>
      </c>
      <c r="S63" s="338" t="s">
        <v>1739</v>
      </c>
      <c r="T63" s="338" t="s">
        <v>1739</v>
      </c>
      <c r="U63" s="338" t="s">
        <v>2855</v>
      </c>
      <c r="V63" s="337" t="s">
        <v>3273</v>
      </c>
      <c r="W63" s="338" t="s">
        <v>3310</v>
      </c>
      <c r="X63" s="336" t="s">
        <v>3311</v>
      </c>
      <c r="Y63" s="336" t="s">
        <v>3312</v>
      </c>
      <c r="Z63" s="336" t="s">
        <v>3313</v>
      </c>
      <c r="AA63" s="352" t="s">
        <v>3314</v>
      </c>
      <c r="AB63" s="338" t="s">
        <v>3315</v>
      </c>
      <c r="AC63" s="336" t="s">
        <v>3316</v>
      </c>
      <c r="AD63" s="336" t="s">
        <v>2861</v>
      </c>
      <c r="AE63" s="338"/>
      <c r="AF63" s="329"/>
      <c r="AG63" s="329"/>
      <c r="AH63" s="338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  <c r="AS63" s="351"/>
      <c r="AT63" s="351"/>
      <c r="AU63" s="351"/>
      <c r="AV63" s="351"/>
      <c r="AW63" s="351"/>
      <c r="AX63" s="351"/>
      <c r="AY63" s="351"/>
    </row>
    <row r="64" spans="1:51" ht="15">
      <c r="A64" s="350">
        <v>52</v>
      </c>
      <c r="B64" s="338"/>
      <c r="C64" s="338" t="s">
        <v>2512</v>
      </c>
      <c r="D64" s="337">
        <v>52</v>
      </c>
      <c r="E64" s="337" t="s">
        <v>2704</v>
      </c>
      <c r="F64" s="337">
        <v>2023</v>
      </c>
      <c r="G64" s="336" t="s">
        <v>2513</v>
      </c>
      <c r="H64" s="336" t="s">
        <v>3317</v>
      </c>
      <c r="I64" s="342">
        <v>32391</v>
      </c>
      <c r="J64" s="336" t="s">
        <v>3318</v>
      </c>
      <c r="K64" s="336" t="s">
        <v>3319</v>
      </c>
      <c r="L64" s="336" t="s">
        <v>2514</v>
      </c>
      <c r="M64" s="338" t="s">
        <v>2710</v>
      </c>
      <c r="N64" s="338" t="s">
        <v>2852</v>
      </c>
      <c r="O64" s="338" t="s">
        <v>2712</v>
      </c>
      <c r="P64" s="338" t="s">
        <v>2853</v>
      </c>
      <c r="Q64" s="338" t="s">
        <v>2512</v>
      </c>
      <c r="R64" s="336" t="s">
        <v>3320</v>
      </c>
      <c r="S64" s="338" t="s">
        <v>1739</v>
      </c>
      <c r="T64" s="338" t="s">
        <v>1739</v>
      </c>
      <c r="U64" s="338" t="s">
        <v>2855</v>
      </c>
      <c r="V64" s="337" t="s">
        <v>3273</v>
      </c>
      <c r="W64" s="338" t="s">
        <v>3321</v>
      </c>
      <c r="X64" s="336" t="s">
        <v>3322</v>
      </c>
      <c r="Y64" s="336" t="s">
        <v>3323</v>
      </c>
      <c r="Z64" s="336" t="s">
        <v>3322</v>
      </c>
      <c r="AA64" s="354" t="s">
        <v>3324</v>
      </c>
      <c r="AB64" s="338" t="s">
        <v>2773</v>
      </c>
      <c r="AC64" s="336" t="s">
        <v>3325</v>
      </c>
      <c r="AD64" s="336" t="s">
        <v>2897</v>
      </c>
      <c r="AE64" s="338"/>
      <c r="AF64" s="329"/>
      <c r="AG64" s="329"/>
      <c r="AH64" s="338"/>
      <c r="AI64" s="351"/>
      <c r="AJ64" s="351"/>
      <c r="AK64" s="351"/>
      <c r="AL64" s="351"/>
      <c r="AM64" s="351"/>
      <c r="AN64" s="351"/>
      <c r="AO64" s="351"/>
      <c r="AP64" s="351"/>
      <c r="AQ64" s="351"/>
      <c r="AR64" s="351"/>
      <c r="AS64" s="351"/>
      <c r="AT64" s="351"/>
      <c r="AU64" s="351"/>
      <c r="AV64" s="351"/>
      <c r="AW64" s="351"/>
      <c r="AX64" s="351"/>
      <c r="AY64" s="351"/>
    </row>
    <row r="65" spans="1:51" ht="15">
      <c r="A65" s="350">
        <v>53</v>
      </c>
      <c r="B65" s="338"/>
      <c r="C65" s="338"/>
      <c r="D65" s="337">
        <v>53</v>
      </c>
      <c r="E65" s="337" t="s">
        <v>2704</v>
      </c>
      <c r="F65" s="337">
        <v>2023</v>
      </c>
      <c r="G65" s="353" t="s">
        <v>2516</v>
      </c>
      <c r="H65" s="336"/>
      <c r="I65" s="338"/>
      <c r="J65" s="336"/>
      <c r="K65" s="336"/>
      <c r="L65" s="336"/>
      <c r="M65" s="338"/>
      <c r="N65" s="338" t="s">
        <v>2852</v>
      </c>
      <c r="O65" s="338"/>
      <c r="P65" s="338" t="s">
        <v>2853</v>
      </c>
      <c r="Q65" s="348">
        <v>0</v>
      </c>
      <c r="R65" s="336"/>
      <c r="S65" s="338"/>
      <c r="T65" s="338"/>
      <c r="U65" s="338"/>
      <c r="V65" s="337"/>
      <c r="W65" s="338"/>
      <c r="X65" s="336"/>
      <c r="Y65" s="336"/>
      <c r="Z65" s="336"/>
      <c r="AA65" s="370"/>
      <c r="AB65" s="338"/>
      <c r="AC65" s="336"/>
      <c r="AD65" s="336"/>
      <c r="AE65" s="338"/>
      <c r="AF65" s="329"/>
      <c r="AG65" s="329"/>
      <c r="AH65" s="338"/>
      <c r="AI65" s="351"/>
      <c r="AJ65" s="351"/>
      <c r="AK65" s="351"/>
      <c r="AL65" s="351"/>
      <c r="AM65" s="351"/>
      <c r="AN65" s="351"/>
      <c r="AO65" s="351"/>
      <c r="AP65" s="351"/>
      <c r="AQ65" s="351"/>
      <c r="AR65" s="351"/>
      <c r="AS65" s="351"/>
      <c r="AT65" s="351"/>
      <c r="AU65" s="351"/>
      <c r="AV65" s="351"/>
      <c r="AW65" s="351"/>
      <c r="AX65" s="351"/>
      <c r="AY65" s="351"/>
    </row>
    <row r="66" spans="1:51" ht="15">
      <c r="A66" s="350">
        <v>54</v>
      </c>
      <c r="B66" s="360"/>
      <c r="C66" s="360" t="s">
        <v>2515</v>
      </c>
      <c r="D66" s="337">
        <v>54</v>
      </c>
      <c r="E66" s="337" t="s">
        <v>2704</v>
      </c>
      <c r="F66" s="337">
        <v>2023</v>
      </c>
      <c r="G66" s="361" t="s">
        <v>2517</v>
      </c>
      <c r="H66" s="361" t="s">
        <v>3326</v>
      </c>
      <c r="I66" s="360" t="s">
        <v>3327</v>
      </c>
      <c r="J66" s="361" t="s">
        <v>3328</v>
      </c>
      <c r="K66" s="361" t="s">
        <v>3329</v>
      </c>
      <c r="L66" s="361">
        <v>81381006037</v>
      </c>
      <c r="M66" s="360" t="s">
        <v>2710</v>
      </c>
      <c r="N66" s="338" t="s">
        <v>2852</v>
      </c>
      <c r="O66" s="360" t="s">
        <v>2712</v>
      </c>
      <c r="P66" s="338" t="s">
        <v>2853</v>
      </c>
      <c r="Q66" s="338" t="s">
        <v>2515</v>
      </c>
      <c r="R66" s="360"/>
      <c r="S66" s="360" t="s">
        <v>1739</v>
      </c>
      <c r="T66" s="360" t="s">
        <v>1739</v>
      </c>
      <c r="U66" s="360" t="s">
        <v>2855</v>
      </c>
      <c r="V66" s="371">
        <v>44760</v>
      </c>
      <c r="W66" s="360" t="s">
        <v>3330</v>
      </c>
      <c r="X66" s="361" t="s">
        <v>3331</v>
      </c>
      <c r="Y66" s="361" t="s">
        <v>3332</v>
      </c>
      <c r="Z66" s="361" t="s">
        <v>3331</v>
      </c>
      <c r="AA66" s="372" t="s">
        <v>3333</v>
      </c>
      <c r="AB66" s="360" t="s">
        <v>3334</v>
      </c>
      <c r="AC66" s="361" t="s">
        <v>3335</v>
      </c>
      <c r="AD66" s="361" t="s">
        <v>2897</v>
      </c>
      <c r="AE66" s="360"/>
      <c r="AF66" s="329"/>
      <c r="AG66" s="329"/>
      <c r="AH66" s="360"/>
      <c r="AI66" s="364"/>
      <c r="AJ66" s="364"/>
      <c r="AK66" s="364"/>
      <c r="AL66" s="364"/>
      <c r="AM66" s="364"/>
      <c r="AN66" s="364"/>
      <c r="AO66" s="364"/>
      <c r="AP66" s="364"/>
      <c r="AQ66" s="364"/>
      <c r="AR66" s="364"/>
      <c r="AS66" s="364"/>
      <c r="AT66" s="364"/>
      <c r="AU66" s="364"/>
      <c r="AV66" s="364"/>
      <c r="AW66" s="364"/>
      <c r="AX66" s="364"/>
      <c r="AY66" s="364"/>
    </row>
    <row r="67" spans="1:51" ht="15">
      <c r="A67" s="350">
        <v>55</v>
      </c>
      <c r="B67" s="338"/>
      <c r="C67" s="338" t="s">
        <v>2518</v>
      </c>
      <c r="D67" s="337">
        <v>55</v>
      </c>
      <c r="E67" s="337" t="s">
        <v>2704</v>
      </c>
      <c r="F67" s="337">
        <v>2023</v>
      </c>
      <c r="G67" s="336" t="s">
        <v>2519</v>
      </c>
      <c r="H67" s="336" t="s">
        <v>3336</v>
      </c>
      <c r="I67" s="342">
        <v>30280</v>
      </c>
      <c r="J67" s="336" t="s">
        <v>3337</v>
      </c>
      <c r="K67" s="336" t="s">
        <v>3338</v>
      </c>
      <c r="L67" s="336" t="s">
        <v>2520</v>
      </c>
      <c r="M67" s="338" t="s">
        <v>2710</v>
      </c>
      <c r="N67" s="338" t="s">
        <v>2852</v>
      </c>
      <c r="O67" s="338" t="s">
        <v>2712</v>
      </c>
      <c r="P67" s="338" t="s">
        <v>2853</v>
      </c>
      <c r="Q67" s="338" t="s">
        <v>2518</v>
      </c>
      <c r="R67" s="338" t="s">
        <v>3339</v>
      </c>
      <c r="S67" s="338" t="s">
        <v>1739</v>
      </c>
      <c r="T67" s="338" t="s">
        <v>1739</v>
      </c>
      <c r="U67" s="338" t="s">
        <v>2855</v>
      </c>
      <c r="V67" s="337" t="s">
        <v>3273</v>
      </c>
      <c r="W67" s="338" t="s">
        <v>3340</v>
      </c>
      <c r="X67" s="336" t="s">
        <v>3337</v>
      </c>
      <c r="Y67" s="336" t="s">
        <v>3341</v>
      </c>
      <c r="Z67" s="336" t="s">
        <v>3342</v>
      </c>
      <c r="AA67" s="338" t="s">
        <v>3343</v>
      </c>
      <c r="AB67" s="338" t="s">
        <v>3344</v>
      </c>
      <c r="AC67" s="336" t="s">
        <v>3345</v>
      </c>
      <c r="AD67" s="336" t="s">
        <v>2861</v>
      </c>
      <c r="AE67" s="338"/>
      <c r="AF67" s="329"/>
      <c r="AG67" s="329"/>
      <c r="AH67" s="338"/>
      <c r="AI67" s="351"/>
      <c r="AJ67" s="351"/>
      <c r="AK67" s="351"/>
      <c r="AL67" s="351"/>
      <c r="AM67" s="351"/>
      <c r="AN67" s="351"/>
      <c r="AO67" s="351"/>
      <c r="AP67" s="351"/>
      <c r="AQ67" s="351"/>
      <c r="AR67" s="351"/>
      <c r="AS67" s="351"/>
      <c r="AT67" s="351"/>
      <c r="AU67" s="351"/>
      <c r="AV67" s="351"/>
      <c r="AW67" s="351"/>
      <c r="AX67" s="351"/>
      <c r="AY67" s="351"/>
    </row>
    <row r="68" spans="1:51" ht="15">
      <c r="A68" s="350">
        <v>56</v>
      </c>
      <c r="B68" s="338"/>
      <c r="C68" s="338" t="s">
        <v>2518</v>
      </c>
      <c r="D68" s="337">
        <v>56</v>
      </c>
      <c r="E68" s="337" t="s">
        <v>2704</v>
      </c>
      <c r="F68" s="337">
        <v>2023</v>
      </c>
      <c r="G68" s="336" t="s">
        <v>2521</v>
      </c>
      <c r="H68" s="336" t="s">
        <v>2909</v>
      </c>
      <c r="I68" s="369">
        <v>30413</v>
      </c>
      <c r="J68" s="336" t="s">
        <v>3346</v>
      </c>
      <c r="K68" s="336" t="s">
        <v>3347</v>
      </c>
      <c r="L68" s="336">
        <v>87771775979</v>
      </c>
      <c r="M68" s="338" t="s">
        <v>2710</v>
      </c>
      <c r="N68" s="338" t="s">
        <v>2852</v>
      </c>
      <c r="O68" s="338" t="s">
        <v>2712</v>
      </c>
      <c r="P68" s="338" t="s">
        <v>2853</v>
      </c>
      <c r="Q68" s="338" t="s">
        <v>2518</v>
      </c>
      <c r="R68" s="338" t="s">
        <v>3339</v>
      </c>
      <c r="S68" s="338" t="s">
        <v>1739</v>
      </c>
      <c r="T68" s="338" t="s">
        <v>1739</v>
      </c>
      <c r="U68" s="338" t="s">
        <v>2855</v>
      </c>
      <c r="V68" s="337" t="s">
        <v>3273</v>
      </c>
      <c r="W68" s="338" t="s">
        <v>3348</v>
      </c>
      <c r="X68" s="373" t="s">
        <v>3346</v>
      </c>
      <c r="Y68" s="336" t="s">
        <v>3349</v>
      </c>
      <c r="Z68" s="336" t="s">
        <v>3350</v>
      </c>
      <c r="AA68" s="338" t="s">
        <v>3351</v>
      </c>
      <c r="AB68" s="338" t="s">
        <v>3352</v>
      </c>
      <c r="AC68" s="336" t="s">
        <v>3353</v>
      </c>
      <c r="AD68" s="336" t="s">
        <v>2897</v>
      </c>
      <c r="AE68" s="338"/>
      <c r="AF68" s="329"/>
      <c r="AG68" s="329"/>
      <c r="AH68" s="338"/>
      <c r="AI68" s="351"/>
      <c r="AJ68" s="351"/>
      <c r="AK68" s="351"/>
      <c r="AL68" s="351"/>
      <c r="AM68" s="351"/>
      <c r="AN68" s="351"/>
      <c r="AO68" s="351"/>
      <c r="AP68" s="351"/>
      <c r="AQ68" s="351"/>
      <c r="AR68" s="351"/>
      <c r="AS68" s="351"/>
      <c r="AT68" s="351"/>
      <c r="AU68" s="351"/>
      <c r="AV68" s="351"/>
      <c r="AW68" s="351"/>
      <c r="AX68" s="351"/>
      <c r="AY68" s="351"/>
    </row>
    <row r="69" spans="1:51" ht="15">
      <c r="A69" s="350">
        <v>57</v>
      </c>
      <c r="B69" s="338"/>
      <c r="C69" s="338" t="s">
        <v>2522</v>
      </c>
      <c r="D69" s="337">
        <v>57</v>
      </c>
      <c r="E69" s="337" t="s">
        <v>2704</v>
      </c>
      <c r="F69" s="337">
        <v>2023</v>
      </c>
      <c r="G69" s="336" t="s">
        <v>2523</v>
      </c>
      <c r="H69" s="336" t="s">
        <v>3317</v>
      </c>
      <c r="I69" s="338" t="s">
        <v>3354</v>
      </c>
      <c r="J69" s="336" t="s">
        <v>3355</v>
      </c>
      <c r="K69" s="336" t="s">
        <v>3356</v>
      </c>
      <c r="L69" s="336" t="s">
        <v>2524</v>
      </c>
      <c r="M69" s="338" t="s">
        <v>2710</v>
      </c>
      <c r="N69" s="338" t="s">
        <v>2852</v>
      </c>
      <c r="O69" s="338" t="s">
        <v>2712</v>
      </c>
      <c r="P69" s="338" t="s">
        <v>2853</v>
      </c>
      <c r="Q69" s="338" t="s">
        <v>2522</v>
      </c>
      <c r="R69" s="338" t="s">
        <v>3357</v>
      </c>
      <c r="S69" s="338" t="s">
        <v>1739</v>
      </c>
      <c r="T69" s="338" t="s">
        <v>1739</v>
      </c>
      <c r="U69" s="338" t="s">
        <v>2855</v>
      </c>
      <c r="V69" s="337" t="s">
        <v>3273</v>
      </c>
      <c r="W69" s="338" t="s">
        <v>3358</v>
      </c>
      <c r="X69" s="336" t="s">
        <v>3359</v>
      </c>
      <c r="Y69" s="336" t="s">
        <v>3360</v>
      </c>
      <c r="Z69" s="336" t="s">
        <v>3359</v>
      </c>
      <c r="AA69" s="338" t="s">
        <v>3361</v>
      </c>
      <c r="AB69" s="338" t="s">
        <v>2773</v>
      </c>
      <c r="AC69" s="336" t="s">
        <v>3362</v>
      </c>
      <c r="AD69" s="336" t="s">
        <v>2861</v>
      </c>
      <c r="AE69" s="338"/>
      <c r="AF69" s="329"/>
      <c r="AG69" s="329"/>
      <c r="AH69" s="338"/>
      <c r="AI69" s="351"/>
      <c r="AJ69" s="351"/>
      <c r="AK69" s="351"/>
      <c r="AL69" s="351"/>
      <c r="AM69" s="351"/>
      <c r="AN69" s="351"/>
      <c r="AO69" s="351"/>
      <c r="AP69" s="351"/>
      <c r="AQ69" s="351"/>
      <c r="AR69" s="351"/>
      <c r="AS69" s="351"/>
      <c r="AT69" s="351"/>
      <c r="AU69" s="351"/>
      <c r="AV69" s="351"/>
      <c r="AW69" s="351"/>
      <c r="AX69" s="351"/>
      <c r="AY69" s="351"/>
    </row>
    <row r="70" spans="1:51" ht="15">
      <c r="A70" s="350">
        <v>58</v>
      </c>
      <c r="B70" s="338" t="s">
        <v>3363</v>
      </c>
      <c r="C70" s="338" t="s">
        <v>2525</v>
      </c>
      <c r="D70" s="337">
        <v>58</v>
      </c>
      <c r="E70" s="337" t="s">
        <v>2704</v>
      </c>
      <c r="F70" s="337">
        <v>2023</v>
      </c>
      <c r="G70" s="336" t="s">
        <v>2526</v>
      </c>
      <c r="H70" s="336" t="s">
        <v>3364</v>
      </c>
      <c r="I70" s="338" t="s">
        <v>3365</v>
      </c>
      <c r="J70" s="336" t="s">
        <v>3366</v>
      </c>
      <c r="K70" s="336" t="s">
        <v>3364</v>
      </c>
      <c r="L70" s="336">
        <v>85720911109</v>
      </c>
      <c r="M70" s="337" t="s">
        <v>2710</v>
      </c>
      <c r="N70" s="338" t="s">
        <v>2852</v>
      </c>
      <c r="O70" s="337" t="s">
        <v>1803</v>
      </c>
      <c r="P70" s="338" t="s">
        <v>2853</v>
      </c>
      <c r="Q70" s="338" t="s">
        <v>2525</v>
      </c>
      <c r="R70" s="338"/>
      <c r="S70" s="338" t="s">
        <v>1739</v>
      </c>
      <c r="T70" s="338" t="s">
        <v>1739</v>
      </c>
      <c r="U70" s="338" t="s">
        <v>2855</v>
      </c>
      <c r="V70" s="337" t="s">
        <v>1693</v>
      </c>
      <c r="W70" s="337" t="s">
        <v>3367</v>
      </c>
      <c r="X70" s="336" t="s">
        <v>3366</v>
      </c>
      <c r="Y70" s="336" t="s">
        <v>3368</v>
      </c>
      <c r="Z70" s="336" t="s">
        <v>3366</v>
      </c>
      <c r="AA70" s="354" t="s">
        <v>3369</v>
      </c>
      <c r="AB70" s="338" t="s">
        <v>3370</v>
      </c>
      <c r="AC70" s="336" t="s">
        <v>3371</v>
      </c>
      <c r="AD70" s="336"/>
      <c r="AE70" s="338"/>
      <c r="AF70" s="329"/>
      <c r="AG70" s="329"/>
      <c r="AH70" s="338"/>
      <c r="AI70" s="351"/>
      <c r="AJ70" s="351"/>
      <c r="AK70" s="351"/>
      <c r="AL70" s="351"/>
      <c r="AM70" s="351"/>
      <c r="AN70" s="351"/>
      <c r="AO70" s="351"/>
      <c r="AP70" s="351"/>
      <c r="AQ70" s="351"/>
      <c r="AR70" s="351"/>
      <c r="AS70" s="351"/>
      <c r="AT70" s="351"/>
      <c r="AU70" s="351"/>
      <c r="AV70" s="351"/>
      <c r="AW70" s="351"/>
      <c r="AX70" s="351"/>
      <c r="AY70" s="351"/>
    </row>
    <row r="71" spans="1:51" ht="15">
      <c r="A71" s="350">
        <v>59</v>
      </c>
      <c r="B71" s="338"/>
      <c r="C71" s="338" t="s">
        <v>3372</v>
      </c>
      <c r="D71" s="337">
        <v>59</v>
      </c>
      <c r="E71" s="337" t="s">
        <v>2704</v>
      </c>
      <c r="F71" s="337">
        <v>2023</v>
      </c>
      <c r="G71" s="336" t="s">
        <v>3373</v>
      </c>
      <c r="H71" s="336" t="s">
        <v>3374</v>
      </c>
      <c r="I71" s="338" t="s">
        <v>3375</v>
      </c>
      <c r="J71" s="336" t="s">
        <v>3376</v>
      </c>
      <c r="K71" s="336" t="s">
        <v>3377</v>
      </c>
      <c r="L71" s="336" t="s">
        <v>2534</v>
      </c>
      <c r="M71" s="338" t="s">
        <v>2710</v>
      </c>
      <c r="N71" s="338" t="s">
        <v>2852</v>
      </c>
      <c r="O71" s="338" t="s">
        <v>2712</v>
      </c>
      <c r="P71" s="338" t="s">
        <v>2853</v>
      </c>
      <c r="Q71" s="338" t="s">
        <v>3372</v>
      </c>
      <c r="R71" s="338" t="s">
        <v>3378</v>
      </c>
      <c r="S71" s="338" t="s">
        <v>1739</v>
      </c>
      <c r="T71" s="338" t="s">
        <v>1739</v>
      </c>
      <c r="U71" s="338" t="s">
        <v>2855</v>
      </c>
      <c r="V71" s="337" t="s">
        <v>3379</v>
      </c>
      <c r="W71" s="338" t="s">
        <v>3380</v>
      </c>
      <c r="X71" s="336" t="s">
        <v>3381</v>
      </c>
      <c r="Y71" s="336" t="s">
        <v>3382</v>
      </c>
      <c r="Z71" s="336" t="s">
        <v>3383</v>
      </c>
      <c r="AA71" s="338" t="s">
        <v>3384</v>
      </c>
      <c r="AB71" s="338" t="s">
        <v>2773</v>
      </c>
      <c r="AC71" s="336" t="s">
        <v>3385</v>
      </c>
      <c r="AD71" s="336" t="s">
        <v>2861</v>
      </c>
      <c r="AE71" s="338"/>
      <c r="AF71" s="329"/>
      <c r="AG71" s="329"/>
      <c r="AH71" s="338"/>
      <c r="AI71" s="351"/>
      <c r="AJ71" s="351"/>
      <c r="AK71" s="351"/>
      <c r="AL71" s="351"/>
      <c r="AM71" s="351"/>
      <c r="AN71" s="351"/>
      <c r="AO71" s="351"/>
      <c r="AP71" s="351"/>
      <c r="AQ71" s="351"/>
      <c r="AR71" s="351"/>
      <c r="AS71" s="351"/>
      <c r="AT71" s="351"/>
      <c r="AU71" s="351"/>
      <c r="AV71" s="351"/>
      <c r="AW71" s="351"/>
      <c r="AX71" s="351"/>
      <c r="AY71" s="351"/>
    </row>
    <row r="72" spans="1:51" ht="15">
      <c r="A72" s="350">
        <v>60</v>
      </c>
      <c r="B72" s="338"/>
      <c r="C72" s="338" t="s">
        <v>3372</v>
      </c>
      <c r="D72" s="337">
        <v>60</v>
      </c>
      <c r="E72" s="337" t="s">
        <v>2704</v>
      </c>
      <c r="F72" s="337">
        <v>2023</v>
      </c>
      <c r="G72" s="336" t="s">
        <v>3386</v>
      </c>
      <c r="H72" s="336" t="s">
        <v>3387</v>
      </c>
      <c r="I72" s="338" t="s">
        <v>3388</v>
      </c>
      <c r="J72" s="336" t="s">
        <v>3389</v>
      </c>
      <c r="K72" s="336" t="s">
        <v>3377</v>
      </c>
      <c r="L72" s="336" t="s">
        <v>2535</v>
      </c>
      <c r="M72" s="338" t="s">
        <v>2710</v>
      </c>
      <c r="N72" s="338" t="s">
        <v>2852</v>
      </c>
      <c r="O72" s="338" t="s">
        <v>2712</v>
      </c>
      <c r="P72" s="338" t="s">
        <v>2853</v>
      </c>
      <c r="Q72" s="338" t="s">
        <v>3372</v>
      </c>
      <c r="R72" s="338" t="s">
        <v>3378</v>
      </c>
      <c r="S72" s="338" t="s">
        <v>1739</v>
      </c>
      <c r="T72" s="338" t="s">
        <v>1739</v>
      </c>
      <c r="U72" s="338" t="s">
        <v>2855</v>
      </c>
      <c r="V72" s="337" t="s">
        <v>3379</v>
      </c>
      <c r="W72" s="338" t="s">
        <v>3390</v>
      </c>
      <c r="X72" s="336" t="s">
        <v>3391</v>
      </c>
      <c r="Y72" s="336" t="s">
        <v>3392</v>
      </c>
      <c r="Z72" s="336" t="s">
        <v>3393</v>
      </c>
      <c r="AA72" s="338" t="s">
        <v>3394</v>
      </c>
      <c r="AB72" s="338" t="s">
        <v>2736</v>
      </c>
      <c r="AC72" s="336" t="s">
        <v>3395</v>
      </c>
      <c r="AD72" s="336" t="s">
        <v>2897</v>
      </c>
      <c r="AE72" s="338"/>
      <c r="AF72" s="329"/>
      <c r="AG72" s="329"/>
      <c r="AH72" s="338"/>
      <c r="AI72" s="351"/>
      <c r="AJ72" s="351"/>
      <c r="AK72" s="351"/>
      <c r="AL72" s="351"/>
      <c r="AM72" s="351"/>
      <c r="AN72" s="351"/>
      <c r="AO72" s="351"/>
      <c r="AP72" s="351"/>
      <c r="AQ72" s="351"/>
      <c r="AR72" s="351"/>
      <c r="AS72" s="351"/>
      <c r="AT72" s="351"/>
      <c r="AU72" s="351"/>
      <c r="AV72" s="351"/>
      <c r="AW72" s="351"/>
      <c r="AX72" s="351"/>
      <c r="AY72" s="351"/>
    </row>
    <row r="73" spans="1:51" ht="15">
      <c r="A73" s="350">
        <v>61</v>
      </c>
      <c r="B73" s="338"/>
      <c r="C73" s="338" t="s">
        <v>3372</v>
      </c>
      <c r="D73" s="337">
        <v>61</v>
      </c>
      <c r="E73" s="337" t="s">
        <v>2704</v>
      </c>
      <c r="F73" s="337">
        <v>2023</v>
      </c>
      <c r="G73" s="336" t="s">
        <v>2536</v>
      </c>
      <c r="H73" s="336" t="s">
        <v>3396</v>
      </c>
      <c r="I73" s="338" t="s">
        <v>3397</v>
      </c>
      <c r="J73" s="336" t="s">
        <v>3398</v>
      </c>
      <c r="K73" s="336" t="s">
        <v>3399</v>
      </c>
      <c r="L73" s="336" t="s">
        <v>2537</v>
      </c>
      <c r="M73" s="338" t="s">
        <v>2710</v>
      </c>
      <c r="N73" s="338" t="s">
        <v>2852</v>
      </c>
      <c r="O73" s="338" t="s">
        <v>2712</v>
      </c>
      <c r="P73" s="338" t="s">
        <v>2853</v>
      </c>
      <c r="Q73" s="338" t="s">
        <v>3372</v>
      </c>
      <c r="R73" s="338" t="s">
        <v>3378</v>
      </c>
      <c r="S73" s="338" t="s">
        <v>1739</v>
      </c>
      <c r="T73" s="338" t="s">
        <v>1739</v>
      </c>
      <c r="U73" s="338" t="s">
        <v>2855</v>
      </c>
      <c r="V73" s="337" t="s">
        <v>3379</v>
      </c>
      <c r="W73" s="338" t="s">
        <v>3400</v>
      </c>
      <c r="X73" s="336" t="s">
        <v>3401</v>
      </c>
      <c r="Y73" s="336" t="s">
        <v>3402</v>
      </c>
      <c r="Z73" s="336" t="s">
        <v>3403</v>
      </c>
      <c r="AA73" s="352" t="s">
        <v>3404</v>
      </c>
      <c r="AB73" s="338" t="s">
        <v>3405</v>
      </c>
      <c r="AC73" s="336" t="s">
        <v>3406</v>
      </c>
      <c r="AD73" s="336" t="s">
        <v>2897</v>
      </c>
      <c r="AE73" s="338"/>
      <c r="AF73" s="329"/>
      <c r="AG73" s="329"/>
      <c r="AH73" s="338"/>
      <c r="AI73" s="351"/>
      <c r="AJ73" s="351"/>
      <c r="AK73" s="351"/>
      <c r="AL73" s="351"/>
      <c r="AM73" s="351"/>
      <c r="AN73" s="351"/>
      <c r="AO73" s="351"/>
      <c r="AP73" s="351"/>
      <c r="AQ73" s="351"/>
      <c r="AR73" s="351"/>
      <c r="AS73" s="351"/>
      <c r="AT73" s="351"/>
      <c r="AU73" s="351"/>
      <c r="AV73" s="351"/>
      <c r="AW73" s="351"/>
      <c r="AX73" s="351"/>
      <c r="AY73" s="351"/>
    </row>
    <row r="74" spans="1:51" ht="15">
      <c r="A74" s="350">
        <v>62</v>
      </c>
      <c r="B74" s="338" t="s">
        <v>3363</v>
      </c>
      <c r="C74" s="338" t="s">
        <v>3372</v>
      </c>
      <c r="D74" s="337">
        <v>62</v>
      </c>
      <c r="E74" s="337" t="s">
        <v>2704</v>
      </c>
      <c r="F74" s="337">
        <v>2023</v>
      </c>
      <c r="G74" s="336" t="s">
        <v>2538</v>
      </c>
      <c r="H74" s="336" t="s">
        <v>3377</v>
      </c>
      <c r="I74" s="338" t="s">
        <v>3407</v>
      </c>
      <c r="J74" s="336" t="s">
        <v>3408</v>
      </c>
      <c r="K74" s="336" t="s">
        <v>3377</v>
      </c>
      <c r="L74" s="336" t="s">
        <v>3409</v>
      </c>
      <c r="M74" s="338" t="s">
        <v>2710</v>
      </c>
      <c r="N74" s="338" t="s">
        <v>2852</v>
      </c>
      <c r="O74" s="338" t="s">
        <v>2712</v>
      </c>
      <c r="P74" s="338" t="s">
        <v>2853</v>
      </c>
      <c r="Q74" s="338" t="s">
        <v>3372</v>
      </c>
      <c r="R74" s="338"/>
      <c r="S74" s="338" t="s">
        <v>1739</v>
      </c>
      <c r="T74" s="338" t="s">
        <v>1739</v>
      </c>
      <c r="U74" s="338" t="s">
        <v>2855</v>
      </c>
      <c r="V74" s="355">
        <v>44760</v>
      </c>
      <c r="W74" s="338" t="s">
        <v>3410</v>
      </c>
      <c r="X74" s="336"/>
      <c r="Y74" s="336" t="s">
        <v>3411</v>
      </c>
      <c r="Z74" s="336" t="s">
        <v>3408</v>
      </c>
      <c r="AA74" s="354" t="s">
        <v>3412</v>
      </c>
      <c r="AB74" s="338" t="s">
        <v>2952</v>
      </c>
      <c r="AC74" s="336" t="s">
        <v>3413</v>
      </c>
      <c r="AD74" s="336"/>
      <c r="AE74" s="338"/>
      <c r="AF74" s="329"/>
      <c r="AG74" s="329"/>
      <c r="AH74" s="338"/>
      <c r="AI74" s="351"/>
      <c r="AJ74" s="351"/>
      <c r="AK74" s="351"/>
      <c r="AL74" s="351"/>
      <c r="AM74" s="351"/>
      <c r="AN74" s="351"/>
      <c r="AO74" s="351"/>
      <c r="AP74" s="351"/>
      <c r="AQ74" s="351"/>
      <c r="AR74" s="351"/>
      <c r="AS74" s="351"/>
      <c r="AT74" s="351"/>
      <c r="AU74" s="351"/>
      <c r="AV74" s="351"/>
      <c r="AW74" s="351"/>
      <c r="AX74" s="351"/>
      <c r="AY74" s="351"/>
    </row>
    <row r="75" spans="1:51" ht="15">
      <c r="A75" s="350">
        <v>63</v>
      </c>
      <c r="B75" s="338"/>
      <c r="C75" s="338" t="s">
        <v>3414</v>
      </c>
      <c r="D75" s="337">
        <v>63</v>
      </c>
      <c r="E75" s="337" t="s">
        <v>2704</v>
      </c>
      <c r="F75" s="337">
        <v>2023</v>
      </c>
      <c r="G75" s="336" t="s">
        <v>2539</v>
      </c>
      <c r="H75" s="336" t="s">
        <v>3415</v>
      </c>
      <c r="I75" s="338" t="s">
        <v>3416</v>
      </c>
      <c r="J75" s="336" t="s">
        <v>3417</v>
      </c>
      <c r="K75" s="336" t="s">
        <v>3418</v>
      </c>
      <c r="L75" s="336" t="s">
        <v>2540</v>
      </c>
      <c r="M75" s="338" t="s">
        <v>2710</v>
      </c>
      <c r="N75" s="338" t="s">
        <v>2852</v>
      </c>
      <c r="O75" s="338" t="s">
        <v>2712</v>
      </c>
      <c r="P75" s="338" t="s">
        <v>2853</v>
      </c>
      <c r="Q75" s="338" t="s">
        <v>3414</v>
      </c>
      <c r="R75" s="336" t="s">
        <v>3419</v>
      </c>
      <c r="S75" s="338" t="s">
        <v>1739</v>
      </c>
      <c r="T75" s="338" t="s">
        <v>1739</v>
      </c>
      <c r="U75" s="338" t="s">
        <v>2855</v>
      </c>
      <c r="V75" s="337" t="s">
        <v>3379</v>
      </c>
      <c r="W75" s="338" t="s">
        <v>3420</v>
      </c>
      <c r="X75" s="336" t="s">
        <v>3421</v>
      </c>
      <c r="Y75" s="336"/>
      <c r="Z75" s="336"/>
      <c r="AA75" s="338" t="s">
        <v>3422</v>
      </c>
      <c r="AB75" s="338" t="s">
        <v>3423</v>
      </c>
      <c r="AC75" s="336" t="s">
        <v>3424</v>
      </c>
      <c r="AD75" s="336" t="s">
        <v>2897</v>
      </c>
      <c r="AE75" s="338"/>
      <c r="AF75" s="329"/>
      <c r="AG75" s="329"/>
      <c r="AH75" s="338"/>
      <c r="AI75" s="351"/>
      <c r="AJ75" s="351"/>
      <c r="AK75" s="351"/>
      <c r="AL75" s="351"/>
      <c r="AM75" s="351"/>
      <c r="AN75" s="351"/>
      <c r="AO75" s="351"/>
      <c r="AP75" s="351"/>
      <c r="AQ75" s="351"/>
      <c r="AR75" s="351"/>
      <c r="AS75" s="351"/>
      <c r="AT75" s="351"/>
      <c r="AU75" s="351"/>
      <c r="AV75" s="351"/>
      <c r="AW75" s="351"/>
      <c r="AX75" s="351"/>
      <c r="AY75" s="351"/>
    </row>
    <row r="76" spans="1:51" ht="15">
      <c r="A76" s="350">
        <v>64</v>
      </c>
      <c r="B76" s="338"/>
      <c r="C76" s="338" t="s">
        <v>3414</v>
      </c>
      <c r="D76" s="337">
        <v>64</v>
      </c>
      <c r="E76" s="337" t="s">
        <v>2704</v>
      </c>
      <c r="F76" s="337">
        <v>2023</v>
      </c>
      <c r="G76" s="336" t="s">
        <v>2541</v>
      </c>
      <c r="H76" s="336" t="s">
        <v>3425</v>
      </c>
      <c r="I76" s="338" t="s">
        <v>3426</v>
      </c>
      <c r="J76" s="336" t="s">
        <v>3427</v>
      </c>
      <c r="K76" s="336" t="s">
        <v>3377</v>
      </c>
      <c r="L76" s="336" t="s">
        <v>2542</v>
      </c>
      <c r="M76" s="338" t="s">
        <v>2710</v>
      </c>
      <c r="N76" s="338" t="s">
        <v>2852</v>
      </c>
      <c r="O76" s="338" t="s">
        <v>2712</v>
      </c>
      <c r="P76" s="338" t="s">
        <v>2853</v>
      </c>
      <c r="Q76" s="338" t="s">
        <v>3414</v>
      </c>
      <c r="R76" s="336" t="s">
        <v>3419</v>
      </c>
      <c r="S76" s="338" t="s">
        <v>1739</v>
      </c>
      <c r="T76" s="338" t="s">
        <v>1739</v>
      </c>
      <c r="U76" s="338" t="s">
        <v>2855</v>
      </c>
      <c r="V76" s="337" t="s">
        <v>3379</v>
      </c>
      <c r="W76" s="338" t="s">
        <v>3428</v>
      </c>
      <c r="X76" s="336" t="s">
        <v>3427</v>
      </c>
      <c r="Y76" s="336" t="s">
        <v>249</v>
      </c>
      <c r="Z76" s="336" t="s">
        <v>249</v>
      </c>
      <c r="AA76" s="352" t="s">
        <v>3429</v>
      </c>
      <c r="AB76" s="338" t="s">
        <v>3430</v>
      </c>
      <c r="AC76" s="336" t="s">
        <v>3431</v>
      </c>
      <c r="AD76" s="336" t="s">
        <v>2897</v>
      </c>
      <c r="AE76" s="338"/>
      <c r="AF76" s="329"/>
      <c r="AG76" s="329"/>
      <c r="AH76" s="338"/>
      <c r="AI76" s="351"/>
      <c r="AJ76" s="351"/>
      <c r="AK76" s="351"/>
      <c r="AL76" s="351"/>
      <c r="AM76" s="351"/>
      <c r="AN76" s="351"/>
      <c r="AO76" s="351"/>
      <c r="AP76" s="351"/>
      <c r="AQ76" s="351"/>
      <c r="AR76" s="351"/>
      <c r="AS76" s="351"/>
      <c r="AT76" s="351"/>
      <c r="AU76" s="351"/>
      <c r="AV76" s="351"/>
      <c r="AW76" s="351"/>
      <c r="AX76" s="351"/>
      <c r="AY76" s="351"/>
    </row>
    <row r="77" spans="1:51" ht="15">
      <c r="A77" s="350">
        <v>65</v>
      </c>
      <c r="B77" s="338"/>
      <c r="C77" s="338" t="s">
        <v>3432</v>
      </c>
      <c r="D77" s="337">
        <v>65</v>
      </c>
      <c r="E77" s="337" t="s">
        <v>2704</v>
      </c>
      <c r="F77" s="337">
        <v>2023</v>
      </c>
      <c r="G77" s="336" t="s">
        <v>2543</v>
      </c>
      <c r="H77" s="336" t="s">
        <v>3433</v>
      </c>
      <c r="I77" s="338" t="s">
        <v>3434</v>
      </c>
      <c r="J77" s="336" t="s">
        <v>3435</v>
      </c>
      <c r="K77" s="336" t="s">
        <v>3436</v>
      </c>
      <c r="L77" s="336" t="s">
        <v>2544</v>
      </c>
      <c r="M77" s="338" t="s">
        <v>2710</v>
      </c>
      <c r="N77" s="338" t="s">
        <v>2852</v>
      </c>
      <c r="O77" s="338" t="s">
        <v>2712</v>
      </c>
      <c r="P77" s="338" t="s">
        <v>2853</v>
      </c>
      <c r="Q77" s="338" t="s">
        <v>3432</v>
      </c>
      <c r="R77" s="336" t="s">
        <v>3437</v>
      </c>
      <c r="S77" s="338" t="s">
        <v>1739</v>
      </c>
      <c r="T77" s="338" t="s">
        <v>1739</v>
      </c>
      <c r="U77" s="338" t="s">
        <v>2855</v>
      </c>
      <c r="V77" s="337" t="s">
        <v>3379</v>
      </c>
      <c r="W77" s="338" t="s">
        <v>3438</v>
      </c>
      <c r="X77" s="336" t="s">
        <v>3439</v>
      </c>
      <c r="Y77" s="336" t="s">
        <v>3440</v>
      </c>
      <c r="Z77" s="336" t="s">
        <v>3439</v>
      </c>
      <c r="AA77" s="338" t="s">
        <v>3441</v>
      </c>
      <c r="AB77" s="338" t="s">
        <v>3442</v>
      </c>
      <c r="AC77" s="336" t="s">
        <v>3443</v>
      </c>
      <c r="AD77" s="336" t="s">
        <v>2897</v>
      </c>
      <c r="AE77" s="338"/>
      <c r="AF77" s="329"/>
      <c r="AG77" s="329"/>
      <c r="AH77" s="338"/>
      <c r="AI77" s="351"/>
      <c r="AJ77" s="351"/>
      <c r="AK77" s="351"/>
      <c r="AL77" s="351"/>
      <c r="AM77" s="351"/>
      <c r="AN77" s="351"/>
      <c r="AO77" s="351"/>
      <c r="AP77" s="351"/>
      <c r="AQ77" s="351"/>
      <c r="AR77" s="351"/>
      <c r="AS77" s="351"/>
      <c r="AT77" s="351"/>
      <c r="AU77" s="351"/>
      <c r="AV77" s="351"/>
      <c r="AW77" s="351"/>
      <c r="AX77" s="351"/>
      <c r="AY77" s="351"/>
    </row>
    <row r="78" spans="1:51" ht="15">
      <c r="A78" s="350">
        <v>66</v>
      </c>
      <c r="B78" s="360"/>
      <c r="C78" s="360" t="s">
        <v>3444</v>
      </c>
      <c r="D78" s="337">
        <v>66</v>
      </c>
      <c r="E78" s="337" t="s">
        <v>2704</v>
      </c>
      <c r="F78" s="337">
        <v>2023</v>
      </c>
      <c r="G78" s="336" t="s">
        <v>2545</v>
      </c>
      <c r="H78" s="361" t="s">
        <v>3445</v>
      </c>
      <c r="I78" s="338" t="s">
        <v>3446</v>
      </c>
      <c r="J78" s="336" t="s">
        <v>3447</v>
      </c>
      <c r="K78" s="361" t="s">
        <v>3448</v>
      </c>
      <c r="L78" s="361">
        <v>81325291723</v>
      </c>
      <c r="M78" s="338" t="s">
        <v>2710</v>
      </c>
      <c r="N78" s="338" t="s">
        <v>2852</v>
      </c>
      <c r="O78" s="338" t="s">
        <v>2712</v>
      </c>
      <c r="P78" s="338" t="s">
        <v>2853</v>
      </c>
      <c r="Q78" s="338" t="s">
        <v>3444</v>
      </c>
      <c r="R78" s="361" t="s">
        <v>2387</v>
      </c>
      <c r="S78" s="338" t="s">
        <v>1739</v>
      </c>
      <c r="T78" s="338" t="s">
        <v>1739</v>
      </c>
      <c r="U78" s="338" t="s">
        <v>2855</v>
      </c>
      <c r="V78" s="362" t="s">
        <v>3379</v>
      </c>
      <c r="W78" s="360" t="s">
        <v>3449</v>
      </c>
      <c r="X78" s="336" t="s">
        <v>3450</v>
      </c>
      <c r="Y78" s="336" t="s">
        <v>249</v>
      </c>
      <c r="Z78" s="336" t="s">
        <v>249</v>
      </c>
      <c r="AA78" s="354" t="s">
        <v>3451</v>
      </c>
      <c r="AB78" s="360" t="s">
        <v>3452</v>
      </c>
      <c r="AC78" s="361" t="s">
        <v>3453</v>
      </c>
      <c r="AD78" s="361"/>
      <c r="AE78" s="360"/>
      <c r="AF78" s="329"/>
      <c r="AG78" s="329"/>
      <c r="AH78" s="360"/>
      <c r="AI78" s="364"/>
      <c r="AJ78" s="364"/>
      <c r="AK78" s="364"/>
      <c r="AL78" s="364"/>
      <c r="AM78" s="364"/>
      <c r="AN78" s="364"/>
      <c r="AO78" s="364"/>
      <c r="AP78" s="364"/>
      <c r="AQ78" s="364"/>
      <c r="AR78" s="364"/>
      <c r="AS78" s="364"/>
      <c r="AT78" s="364"/>
      <c r="AU78" s="364"/>
      <c r="AV78" s="364"/>
      <c r="AW78" s="364"/>
      <c r="AX78" s="364"/>
      <c r="AY78" s="364"/>
    </row>
    <row r="79" spans="1:51" ht="15">
      <c r="A79" s="350">
        <v>67</v>
      </c>
      <c r="B79" s="338"/>
      <c r="C79" s="338" t="s">
        <v>3454</v>
      </c>
      <c r="D79" s="337">
        <v>67</v>
      </c>
      <c r="E79" s="337" t="s">
        <v>2704</v>
      </c>
      <c r="F79" s="337">
        <v>2023</v>
      </c>
      <c r="G79" s="336" t="s">
        <v>3455</v>
      </c>
      <c r="H79" s="336" t="s">
        <v>3456</v>
      </c>
      <c r="I79" s="342">
        <v>34087</v>
      </c>
      <c r="J79" s="336" t="s">
        <v>3457</v>
      </c>
      <c r="K79" s="336" t="s">
        <v>3458</v>
      </c>
      <c r="L79" s="336" t="s">
        <v>2546</v>
      </c>
      <c r="M79" s="338" t="s">
        <v>2710</v>
      </c>
      <c r="N79" s="338" t="s">
        <v>2852</v>
      </c>
      <c r="O79" s="338" t="s">
        <v>2712</v>
      </c>
      <c r="P79" s="338" t="s">
        <v>2853</v>
      </c>
      <c r="Q79" s="338" t="s">
        <v>3454</v>
      </c>
      <c r="R79" s="336" t="s">
        <v>3459</v>
      </c>
      <c r="S79" s="338" t="s">
        <v>1739</v>
      </c>
      <c r="T79" s="338" t="s">
        <v>1739</v>
      </c>
      <c r="U79" s="338" t="s">
        <v>2855</v>
      </c>
      <c r="V79" s="337" t="s">
        <v>3379</v>
      </c>
      <c r="W79" s="338" t="s">
        <v>3460</v>
      </c>
      <c r="X79" s="336" t="s">
        <v>3461</v>
      </c>
      <c r="Y79" s="336" t="s">
        <v>249</v>
      </c>
      <c r="Z79" s="336"/>
      <c r="AA79" s="352" t="s">
        <v>3462</v>
      </c>
      <c r="AB79" s="338" t="s">
        <v>2736</v>
      </c>
      <c r="AC79" s="336" t="s">
        <v>3463</v>
      </c>
      <c r="AD79" s="336" t="s">
        <v>2861</v>
      </c>
      <c r="AE79" s="338"/>
      <c r="AF79" s="329"/>
      <c r="AG79" s="329"/>
      <c r="AH79" s="338"/>
      <c r="AI79" s="351"/>
      <c r="AJ79" s="351"/>
      <c r="AK79" s="351"/>
      <c r="AL79" s="351"/>
      <c r="AM79" s="351"/>
      <c r="AN79" s="351"/>
      <c r="AO79" s="351"/>
      <c r="AP79" s="351"/>
      <c r="AQ79" s="351"/>
      <c r="AR79" s="351"/>
      <c r="AS79" s="351"/>
      <c r="AT79" s="351"/>
      <c r="AU79" s="351"/>
      <c r="AV79" s="351"/>
      <c r="AW79" s="351"/>
      <c r="AX79" s="351"/>
      <c r="AY79" s="351"/>
    </row>
    <row r="80" spans="1:51" ht="15">
      <c r="A80" s="350">
        <v>68</v>
      </c>
      <c r="B80" s="366" t="s">
        <v>3363</v>
      </c>
      <c r="C80" s="366" t="s">
        <v>2608</v>
      </c>
      <c r="D80" s="337">
        <v>68</v>
      </c>
      <c r="E80" s="337" t="s">
        <v>2704</v>
      </c>
      <c r="F80" s="337">
        <v>2023</v>
      </c>
      <c r="G80" s="353" t="s">
        <v>2609</v>
      </c>
      <c r="H80" s="353" t="s">
        <v>3464</v>
      </c>
      <c r="I80" s="366" t="s">
        <v>3465</v>
      </c>
      <c r="J80" s="353" t="s">
        <v>3466</v>
      </c>
      <c r="K80" s="353" t="s">
        <v>2488</v>
      </c>
      <c r="L80" s="353">
        <v>81319474103</v>
      </c>
      <c r="M80" s="367" t="s">
        <v>2710</v>
      </c>
      <c r="N80" s="338" t="s">
        <v>2852</v>
      </c>
      <c r="O80" s="367" t="s">
        <v>2712</v>
      </c>
      <c r="P80" s="338" t="s">
        <v>2853</v>
      </c>
      <c r="Q80" s="338" t="s">
        <v>2608</v>
      </c>
      <c r="R80" s="366"/>
      <c r="S80" s="366" t="s">
        <v>1739</v>
      </c>
      <c r="T80" s="366" t="s">
        <v>1739</v>
      </c>
      <c r="U80" s="366" t="s">
        <v>2855</v>
      </c>
      <c r="V80" s="367" t="s">
        <v>3467</v>
      </c>
      <c r="W80" s="367" t="s">
        <v>3468</v>
      </c>
      <c r="X80" s="353" t="s">
        <v>3466</v>
      </c>
      <c r="Y80" s="353" t="s">
        <v>3469</v>
      </c>
      <c r="Z80" s="353" t="s">
        <v>3470</v>
      </c>
      <c r="AA80" s="352" t="s">
        <v>3471</v>
      </c>
      <c r="AB80" s="366" t="s">
        <v>2773</v>
      </c>
      <c r="AC80" s="353" t="s">
        <v>3472</v>
      </c>
      <c r="AD80" s="353"/>
      <c r="AE80" s="366"/>
      <c r="AF80" s="329"/>
      <c r="AG80" s="329"/>
      <c r="AH80" s="366"/>
      <c r="AI80" s="368"/>
      <c r="AJ80" s="368"/>
      <c r="AK80" s="368"/>
      <c r="AL80" s="368"/>
      <c r="AM80" s="368"/>
      <c r="AN80" s="368"/>
      <c r="AO80" s="368"/>
      <c r="AP80" s="368"/>
      <c r="AQ80" s="368"/>
      <c r="AR80" s="368"/>
      <c r="AS80" s="368"/>
      <c r="AT80" s="368"/>
      <c r="AU80" s="368"/>
      <c r="AV80" s="368"/>
      <c r="AW80" s="368"/>
      <c r="AX80" s="368"/>
      <c r="AY80" s="368"/>
    </row>
    <row r="81" spans="1:51" ht="15">
      <c r="A81" s="350">
        <v>69</v>
      </c>
      <c r="B81" s="338"/>
      <c r="C81" s="338" t="s">
        <v>3473</v>
      </c>
      <c r="D81" s="337">
        <v>69</v>
      </c>
      <c r="E81" s="337" t="s">
        <v>2704</v>
      </c>
      <c r="F81" s="337">
        <v>2023</v>
      </c>
      <c r="G81" s="336" t="s">
        <v>2566</v>
      </c>
      <c r="H81" s="336" t="s">
        <v>2488</v>
      </c>
      <c r="I81" s="338" t="s">
        <v>3474</v>
      </c>
      <c r="J81" s="336" t="s">
        <v>3475</v>
      </c>
      <c r="K81" s="336" t="s">
        <v>3476</v>
      </c>
      <c r="L81" s="336" t="s">
        <v>2567</v>
      </c>
      <c r="M81" s="338" t="s">
        <v>2710</v>
      </c>
      <c r="N81" s="338" t="s">
        <v>2852</v>
      </c>
      <c r="O81" s="338" t="s">
        <v>2712</v>
      </c>
      <c r="P81" s="338" t="s">
        <v>2853</v>
      </c>
      <c r="Q81" s="338" t="s">
        <v>3473</v>
      </c>
      <c r="R81" s="336" t="s">
        <v>3477</v>
      </c>
      <c r="S81" s="338" t="s">
        <v>1739</v>
      </c>
      <c r="T81" s="338" t="s">
        <v>1739</v>
      </c>
      <c r="U81" s="338" t="s">
        <v>2855</v>
      </c>
      <c r="V81" s="337" t="s">
        <v>1247</v>
      </c>
      <c r="W81" s="338" t="s">
        <v>3478</v>
      </c>
      <c r="X81" s="336" t="s">
        <v>3479</v>
      </c>
      <c r="Y81" s="336" t="s">
        <v>3480</v>
      </c>
      <c r="Z81" s="336" t="s">
        <v>3481</v>
      </c>
      <c r="AA81" s="352" t="s">
        <v>3482</v>
      </c>
      <c r="AB81" s="338" t="s">
        <v>3483</v>
      </c>
      <c r="AC81" s="336" t="s">
        <v>3484</v>
      </c>
      <c r="AD81" s="336" t="s">
        <v>2861</v>
      </c>
      <c r="AE81" s="338"/>
      <c r="AF81" s="329"/>
      <c r="AG81" s="329"/>
      <c r="AH81" s="338"/>
      <c r="AI81" s="351"/>
      <c r="AJ81" s="351"/>
      <c r="AK81" s="351"/>
      <c r="AL81" s="351"/>
      <c r="AM81" s="351"/>
      <c r="AN81" s="351"/>
      <c r="AO81" s="351"/>
      <c r="AP81" s="351"/>
      <c r="AQ81" s="351"/>
      <c r="AR81" s="351"/>
      <c r="AS81" s="351"/>
      <c r="AT81" s="351"/>
      <c r="AU81" s="351"/>
      <c r="AV81" s="351"/>
      <c r="AW81" s="351"/>
      <c r="AX81" s="351"/>
      <c r="AY81" s="351"/>
    </row>
    <row r="82" spans="1:51" ht="15">
      <c r="A82" s="350">
        <v>70</v>
      </c>
      <c r="B82" s="338"/>
      <c r="C82" s="336" t="s">
        <v>3485</v>
      </c>
      <c r="D82" s="337">
        <v>70</v>
      </c>
      <c r="E82" s="337" t="s">
        <v>2704</v>
      </c>
      <c r="F82" s="337">
        <v>2023</v>
      </c>
      <c r="G82" s="336" t="s">
        <v>3486</v>
      </c>
      <c r="H82" s="336" t="s">
        <v>2488</v>
      </c>
      <c r="I82" s="338" t="s">
        <v>3487</v>
      </c>
      <c r="J82" s="336" t="s">
        <v>3488</v>
      </c>
      <c r="K82" s="336" t="s">
        <v>2492</v>
      </c>
      <c r="L82" s="336" t="s">
        <v>3489</v>
      </c>
      <c r="M82" s="338" t="s">
        <v>2710</v>
      </c>
      <c r="N82" s="338" t="s">
        <v>2852</v>
      </c>
      <c r="O82" s="338" t="s">
        <v>2712</v>
      </c>
      <c r="P82" s="338" t="s">
        <v>2853</v>
      </c>
      <c r="Q82" s="338" t="s">
        <v>3485</v>
      </c>
      <c r="R82" s="336" t="s">
        <v>3490</v>
      </c>
      <c r="S82" s="338" t="s">
        <v>1739</v>
      </c>
      <c r="T82" s="338" t="s">
        <v>1739</v>
      </c>
      <c r="U82" s="338" t="s">
        <v>2855</v>
      </c>
      <c r="V82" s="337" t="s">
        <v>2717</v>
      </c>
      <c r="W82" s="338" t="s">
        <v>3491</v>
      </c>
      <c r="X82" s="336" t="s">
        <v>3488</v>
      </c>
      <c r="Y82" s="336" t="s">
        <v>3492</v>
      </c>
      <c r="Z82" s="336" t="s">
        <v>3493</v>
      </c>
      <c r="AA82" s="352" t="s">
        <v>3494</v>
      </c>
      <c r="AB82" s="338" t="s">
        <v>2773</v>
      </c>
      <c r="AC82" s="336" t="s">
        <v>3495</v>
      </c>
      <c r="AD82" s="336" t="s">
        <v>2861</v>
      </c>
      <c r="AE82" s="338"/>
      <c r="AF82" s="329"/>
      <c r="AG82" s="329"/>
      <c r="AH82" s="338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  <c r="AS82" s="351"/>
      <c r="AT82" s="351"/>
      <c r="AU82" s="351"/>
      <c r="AV82" s="351"/>
      <c r="AW82" s="351"/>
      <c r="AX82" s="351"/>
      <c r="AY82" s="351"/>
    </row>
    <row r="83" spans="1:51" ht="15">
      <c r="A83" s="350">
        <v>71</v>
      </c>
      <c r="B83" s="338"/>
      <c r="C83" s="338" t="s">
        <v>3496</v>
      </c>
      <c r="D83" s="337">
        <v>71</v>
      </c>
      <c r="E83" s="337" t="s">
        <v>2704</v>
      </c>
      <c r="F83" s="337">
        <v>2023</v>
      </c>
      <c r="G83" s="336" t="s">
        <v>2569</v>
      </c>
      <c r="H83" s="336" t="s">
        <v>2836</v>
      </c>
      <c r="I83" s="338">
        <v>35315</v>
      </c>
      <c r="J83" s="336" t="s">
        <v>3497</v>
      </c>
      <c r="K83" s="336" t="s">
        <v>2836</v>
      </c>
      <c r="L83" s="336">
        <v>81387244011</v>
      </c>
      <c r="M83" s="338" t="s">
        <v>2710</v>
      </c>
      <c r="N83" s="338" t="s">
        <v>2852</v>
      </c>
      <c r="O83" s="338" t="s">
        <v>2712</v>
      </c>
      <c r="P83" s="338" t="s">
        <v>2853</v>
      </c>
      <c r="Q83" s="338" t="s">
        <v>3496</v>
      </c>
      <c r="R83" s="338"/>
      <c r="S83" s="338" t="s">
        <v>1739</v>
      </c>
      <c r="T83" s="338" t="s">
        <v>1739</v>
      </c>
      <c r="U83" s="338" t="s">
        <v>2855</v>
      </c>
      <c r="V83" s="337" t="s">
        <v>3498</v>
      </c>
      <c r="W83" s="338" t="s">
        <v>3499</v>
      </c>
      <c r="X83" s="336" t="s">
        <v>3497</v>
      </c>
      <c r="Y83" s="336" t="s">
        <v>3500</v>
      </c>
      <c r="Z83" s="336" t="s">
        <v>3501</v>
      </c>
      <c r="AA83" s="354" t="s">
        <v>3502</v>
      </c>
      <c r="AB83" s="338" t="s">
        <v>2736</v>
      </c>
      <c r="AC83" s="336" t="s">
        <v>3503</v>
      </c>
      <c r="AD83" s="336"/>
      <c r="AE83" s="338"/>
      <c r="AF83" s="329" t="s">
        <v>2928</v>
      </c>
      <c r="AG83" s="329"/>
      <c r="AH83" s="338"/>
      <c r="AI83" s="351"/>
      <c r="AJ83" s="351"/>
      <c r="AK83" s="351"/>
      <c r="AL83" s="351"/>
      <c r="AM83" s="351"/>
      <c r="AN83" s="351"/>
      <c r="AO83" s="351"/>
      <c r="AP83" s="351"/>
      <c r="AQ83" s="351"/>
      <c r="AR83" s="351"/>
      <c r="AS83" s="351"/>
      <c r="AT83" s="351"/>
      <c r="AU83" s="351"/>
      <c r="AV83" s="351"/>
      <c r="AW83" s="351"/>
      <c r="AX83" s="351"/>
      <c r="AY83" s="351"/>
    </row>
    <row r="84" spans="1:51" ht="15">
      <c r="A84" s="350">
        <v>72</v>
      </c>
      <c r="B84" s="338"/>
      <c r="C84" s="338" t="s">
        <v>3504</v>
      </c>
      <c r="D84" s="337">
        <v>72</v>
      </c>
      <c r="E84" s="337" t="s">
        <v>2704</v>
      </c>
      <c r="F84" s="337">
        <v>2023</v>
      </c>
      <c r="G84" s="336" t="s">
        <v>2530</v>
      </c>
      <c r="H84" s="336" t="s">
        <v>2488</v>
      </c>
      <c r="I84" s="342">
        <v>32106</v>
      </c>
      <c r="J84" s="336" t="s">
        <v>3505</v>
      </c>
      <c r="K84" s="336" t="s">
        <v>2490</v>
      </c>
      <c r="L84" s="336" t="s">
        <v>2531</v>
      </c>
      <c r="M84" s="338" t="s">
        <v>2710</v>
      </c>
      <c r="N84" s="338" t="s">
        <v>2852</v>
      </c>
      <c r="O84" s="338" t="s">
        <v>2712</v>
      </c>
      <c r="P84" s="338" t="s">
        <v>2853</v>
      </c>
      <c r="Q84" s="338" t="s">
        <v>3504</v>
      </c>
      <c r="R84" s="336" t="s">
        <v>3506</v>
      </c>
      <c r="S84" s="338" t="s">
        <v>1739</v>
      </c>
      <c r="T84" s="338" t="s">
        <v>1739</v>
      </c>
      <c r="U84" s="338" t="s">
        <v>2855</v>
      </c>
      <c r="V84" s="337" t="s">
        <v>3507</v>
      </c>
      <c r="W84" s="338" t="s">
        <v>3508</v>
      </c>
      <c r="X84" s="336" t="s">
        <v>3509</v>
      </c>
      <c r="Y84" s="336" t="s">
        <v>3510</v>
      </c>
      <c r="Z84" s="336" t="s">
        <v>3509</v>
      </c>
      <c r="AA84" s="338" t="s">
        <v>3511</v>
      </c>
      <c r="AB84" s="338" t="s">
        <v>3512</v>
      </c>
      <c r="AC84" s="336" t="s">
        <v>3513</v>
      </c>
      <c r="AD84" s="336" t="s">
        <v>2897</v>
      </c>
      <c r="AE84" s="338"/>
      <c r="AF84" s="329"/>
      <c r="AG84" s="329"/>
      <c r="AH84" s="338"/>
      <c r="AI84" s="351"/>
      <c r="AJ84" s="351"/>
      <c r="AK84" s="351"/>
      <c r="AL84" s="351"/>
      <c r="AM84" s="351"/>
      <c r="AN84" s="351"/>
      <c r="AO84" s="351"/>
      <c r="AP84" s="351"/>
      <c r="AQ84" s="351"/>
      <c r="AR84" s="351"/>
      <c r="AS84" s="351"/>
      <c r="AT84" s="351"/>
      <c r="AU84" s="351"/>
      <c r="AV84" s="351"/>
      <c r="AW84" s="351"/>
      <c r="AX84" s="351"/>
      <c r="AY84" s="351"/>
    </row>
    <row r="85" spans="1:51" ht="15">
      <c r="A85" s="350">
        <v>73</v>
      </c>
      <c r="B85" s="338" t="s">
        <v>3363</v>
      </c>
      <c r="C85" s="338" t="s">
        <v>308</v>
      </c>
      <c r="D85" s="337">
        <v>73</v>
      </c>
      <c r="E85" s="337" t="s">
        <v>2704</v>
      </c>
      <c r="F85" s="337">
        <v>2023</v>
      </c>
      <c r="G85" s="336" t="s">
        <v>2532</v>
      </c>
      <c r="H85" s="336" t="s">
        <v>2488</v>
      </c>
      <c r="I85" s="342">
        <v>36121</v>
      </c>
      <c r="J85" s="336" t="s">
        <v>3514</v>
      </c>
      <c r="K85" s="336" t="s">
        <v>2490</v>
      </c>
      <c r="L85" s="336">
        <v>81519975710</v>
      </c>
      <c r="M85" s="337" t="s">
        <v>2710</v>
      </c>
      <c r="N85" s="338" t="s">
        <v>2852</v>
      </c>
      <c r="O85" s="337" t="s">
        <v>1803</v>
      </c>
      <c r="P85" s="338" t="s">
        <v>2853</v>
      </c>
      <c r="Q85" s="338" t="s">
        <v>308</v>
      </c>
      <c r="R85" s="338"/>
      <c r="S85" s="338" t="s">
        <v>1739</v>
      </c>
      <c r="T85" s="338" t="s">
        <v>1739</v>
      </c>
      <c r="U85" s="338" t="s">
        <v>2855</v>
      </c>
      <c r="V85" s="337" t="s">
        <v>1693</v>
      </c>
      <c r="W85" s="337" t="s">
        <v>3515</v>
      </c>
      <c r="X85" s="336" t="s">
        <v>3514</v>
      </c>
      <c r="Y85" s="336" t="s">
        <v>249</v>
      </c>
      <c r="Z85" s="336" t="s">
        <v>249</v>
      </c>
      <c r="AA85" s="354" t="s">
        <v>3516</v>
      </c>
      <c r="AB85" s="338" t="s">
        <v>2736</v>
      </c>
      <c r="AC85" s="336" t="s">
        <v>3517</v>
      </c>
      <c r="AD85" s="336"/>
      <c r="AE85" s="338"/>
      <c r="AF85" s="329" t="s">
        <v>2928</v>
      </c>
      <c r="AG85" s="329"/>
      <c r="AH85" s="338"/>
      <c r="AI85" s="351"/>
      <c r="AJ85" s="351"/>
      <c r="AK85" s="351"/>
      <c r="AL85" s="351"/>
      <c r="AM85" s="351"/>
      <c r="AN85" s="351"/>
      <c r="AO85" s="351"/>
      <c r="AP85" s="351"/>
      <c r="AQ85" s="351"/>
      <c r="AR85" s="351"/>
      <c r="AS85" s="351"/>
      <c r="AT85" s="351"/>
      <c r="AU85" s="351"/>
      <c r="AV85" s="351"/>
      <c r="AW85" s="351"/>
      <c r="AX85" s="351"/>
      <c r="AY85" s="351"/>
    </row>
    <row r="86" spans="1:51" ht="15">
      <c r="A86" s="350">
        <v>74</v>
      </c>
      <c r="B86" s="338" t="s">
        <v>3363</v>
      </c>
      <c r="C86" s="338" t="s">
        <v>2</v>
      </c>
      <c r="D86" s="337">
        <v>74</v>
      </c>
      <c r="E86" s="337" t="s">
        <v>2704</v>
      </c>
      <c r="F86" s="337">
        <v>2023</v>
      </c>
      <c r="G86" s="336" t="s">
        <v>2533</v>
      </c>
      <c r="H86" s="336" t="s">
        <v>3518</v>
      </c>
      <c r="I86" s="338" t="s">
        <v>3519</v>
      </c>
      <c r="J86" s="336" t="s">
        <v>3520</v>
      </c>
      <c r="K86" s="336" t="s">
        <v>3377</v>
      </c>
      <c r="L86" s="336">
        <v>82167157295</v>
      </c>
      <c r="M86" s="338" t="s">
        <v>2710</v>
      </c>
      <c r="N86" s="338" t="s">
        <v>2852</v>
      </c>
      <c r="O86" s="338" t="s">
        <v>2712</v>
      </c>
      <c r="P86" s="338" t="s">
        <v>2853</v>
      </c>
      <c r="Q86" s="338" t="s">
        <v>2</v>
      </c>
      <c r="R86" s="338"/>
      <c r="S86" s="338" t="s">
        <v>1739</v>
      </c>
      <c r="T86" s="338" t="s">
        <v>1739</v>
      </c>
      <c r="U86" s="338" t="s">
        <v>2855</v>
      </c>
      <c r="V86" s="355">
        <v>44760</v>
      </c>
      <c r="W86" s="338" t="s">
        <v>3521</v>
      </c>
      <c r="X86" s="336" t="s">
        <v>3522</v>
      </c>
      <c r="Y86" s="353" t="s">
        <v>3523</v>
      </c>
      <c r="Z86" s="336" t="s">
        <v>3522</v>
      </c>
      <c r="AA86" s="338" t="s">
        <v>3524</v>
      </c>
      <c r="AB86" s="338" t="s">
        <v>3525</v>
      </c>
      <c r="AC86" s="336" t="s">
        <v>3526</v>
      </c>
      <c r="AD86" s="336"/>
      <c r="AE86" s="338"/>
      <c r="AF86" s="329" t="s">
        <v>2928</v>
      </c>
      <c r="AG86" s="329"/>
      <c r="AH86" s="338"/>
      <c r="AI86" s="351"/>
      <c r="AJ86" s="351"/>
      <c r="AK86" s="351"/>
      <c r="AL86" s="351"/>
      <c r="AM86" s="351"/>
      <c r="AN86" s="351"/>
      <c r="AO86" s="351"/>
      <c r="AP86" s="351"/>
      <c r="AQ86" s="351"/>
      <c r="AR86" s="351"/>
      <c r="AS86" s="351"/>
      <c r="AT86" s="351"/>
      <c r="AU86" s="351"/>
      <c r="AV86" s="351"/>
      <c r="AW86" s="351"/>
      <c r="AX86" s="351"/>
      <c r="AY86" s="351"/>
    </row>
    <row r="87" spans="1:51" ht="15">
      <c r="A87" s="350">
        <v>75</v>
      </c>
      <c r="B87" s="338"/>
      <c r="C87" s="338" t="s">
        <v>1753</v>
      </c>
      <c r="D87" s="337">
        <v>75</v>
      </c>
      <c r="E87" s="337" t="s">
        <v>2704</v>
      </c>
      <c r="F87" s="337">
        <v>2023</v>
      </c>
      <c r="G87" s="336" t="s">
        <v>2601</v>
      </c>
      <c r="H87" s="336" t="s">
        <v>3464</v>
      </c>
      <c r="I87" s="338" t="s">
        <v>3527</v>
      </c>
      <c r="J87" s="336" t="s">
        <v>3528</v>
      </c>
      <c r="K87" s="336" t="s">
        <v>3529</v>
      </c>
      <c r="L87" s="336" t="s">
        <v>2602</v>
      </c>
      <c r="M87" s="338" t="s">
        <v>2710</v>
      </c>
      <c r="N87" s="338" t="s">
        <v>2852</v>
      </c>
      <c r="O87" s="338" t="s">
        <v>2712</v>
      </c>
      <c r="P87" s="338" t="s">
        <v>2853</v>
      </c>
      <c r="Q87" s="338" t="s">
        <v>1753</v>
      </c>
      <c r="R87" s="338"/>
      <c r="S87" s="338" t="s">
        <v>1739</v>
      </c>
      <c r="T87" s="338" t="s">
        <v>1739</v>
      </c>
      <c r="U87" s="338" t="s">
        <v>2855</v>
      </c>
      <c r="V87" s="337" t="s">
        <v>992</v>
      </c>
      <c r="W87" s="336" t="s">
        <v>3530</v>
      </c>
      <c r="X87" s="336" t="s">
        <v>3531</v>
      </c>
      <c r="Y87" s="336" t="s">
        <v>3532</v>
      </c>
      <c r="Z87" s="336" t="s">
        <v>3533</v>
      </c>
      <c r="AA87" s="352" t="s">
        <v>3534</v>
      </c>
      <c r="AB87" s="338" t="s">
        <v>3535</v>
      </c>
      <c r="AC87" s="336" t="s">
        <v>3536</v>
      </c>
      <c r="AD87" s="336" t="s">
        <v>2861</v>
      </c>
      <c r="AE87" s="338"/>
      <c r="AF87" s="329"/>
      <c r="AG87" s="329"/>
      <c r="AH87" s="338"/>
      <c r="AI87" s="351"/>
      <c r="AJ87" s="351"/>
      <c r="AK87" s="351"/>
      <c r="AL87" s="351"/>
      <c r="AM87" s="351"/>
      <c r="AN87" s="351"/>
      <c r="AO87" s="351"/>
      <c r="AP87" s="351"/>
      <c r="AQ87" s="351"/>
      <c r="AR87" s="351"/>
      <c r="AS87" s="351"/>
      <c r="AT87" s="351"/>
      <c r="AU87" s="351"/>
      <c r="AV87" s="351"/>
      <c r="AW87" s="351"/>
      <c r="AX87" s="351"/>
      <c r="AY87" s="351"/>
    </row>
    <row r="88" spans="1:51" ht="15">
      <c r="A88" s="350">
        <v>76</v>
      </c>
      <c r="B88" s="338"/>
      <c r="C88" s="338"/>
      <c r="D88" s="337">
        <v>76</v>
      </c>
      <c r="E88" s="337" t="s">
        <v>2704</v>
      </c>
      <c r="F88" s="337">
        <v>2023</v>
      </c>
      <c r="G88" s="336" t="s">
        <v>3537</v>
      </c>
      <c r="H88" s="336"/>
      <c r="I88" s="338"/>
      <c r="J88" s="336"/>
      <c r="K88" s="336"/>
      <c r="L88" s="336"/>
      <c r="M88" s="338"/>
      <c r="N88" s="338" t="s">
        <v>2852</v>
      </c>
      <c r="O88" s="338"/>
      <c r="P88" s="338" t="s">
        <v>2853</v>
      </c>
      <c r="Q88" s="348">
        <v>0</v>
      </c>
      <c r="R88" s="338"/>
      <c r="S88" s="338"/>
      <c r="T88" s="338"/>
      <c r="U88" s="338"/>
      <c r="V88" s="337"/>
      <c r="W88" s="336"/>
      <c r="X88" s="336"/>
      <c r="Y88" s="336"/>
      <c r="Z88" s="336"/>
      <c r="AA88" s="374"/>
      <c r="AB88" s="338"/>
      <c r="AC88" s="336"/>
      <c r="AD88" s="336"/>
      <c r="AE88" s="338"/>
      <c r="AF88" s="329"/>
      <c r="AG88" s="329"/>
      <c r="AH88" s="338"/>
      <c r="AI88" s="351"/>
      <c r="AJ88" s="351"/>
      <c r="AK88" s="351"/>
      <c r="AL88" s="351"/>
      <c r="AM88" s="351"/>
      <c r="AN88" s="351"/>
      <c r="AO88" s="351"/>
      <c r="AP88" s="351"/>
      <c r="AQ88" s="351"/>
      <c r="AR88" s="351"/>
      <c r="AS88" s="351"/>
      <c r="AT88" s="351"/>
      <c r="AU88" s="351"/>
      <c r="AV88" s="351"/>
      <c r="AW88" s="351"/>
      <c r="AX88" s="351"/>
      <c r="AY88" s="351"/>
    </row>
    <row r="89" spans="1:51" ht="15">
      <c r="A89" s="350">
        <v>77</v>
      </c>
      <c r="B89" s="338"/>
      <c r="C89" s="338"/>
      <c r="D89" s="337">
        <v>77</v>
      </c>
      <c r="E89" s="337" t="s">
        <v>2704</v>
      </c>
      <c r="F89" s="337">
        <v>2023</v>
      </c>
      <c r="G89" s="336" t="s">
        <v>3538</v>
      </c>
      <c r="H89" s="336"/>
      <c r="I89" s="338"/>
      <c r="J89" s="336"/>
      <c r="K89" s="336"/>
      <c r="L89" s="336"/>
      <c r="M89" s="338"/>
      <c r="N89" s="338" t="s">
        <v>2852</v>
      </c>
      <c r="O89" s="338"/>
      <c r="P89" s="338" t="s">
        <v>2853</v>
      </c>
      <c r="Q89" s="348">
        <v>0</v>
      </c>
      <c r="R89" s="338"/>
      <c r="S89" s="338"/>
      <c r="T89" s="338"/>
      <c r="U89" s="338"/>
      <c r="V89" s="337"/>
      <c r="W89" s="336"/>
      <c r="X89" s="336"/>
      <c r="Y89" s="336"/>
      <c r="Z89" s="336"/>
      <c r="AA89" s="374"/>
      <c r="AB89" s="338"/>
      <c r="AC89" s="336"/>
      <c r="AD89" s="336"/>
      <c r="AE89" s="338"/>
      <c r="AF89" s="329"/>
      <c r="AG89" s="329"/>
      <c r="AH89" s="338"/>
      <c r="AI89" s="351"/>
      <c r="AJ89" s="351"/>
      <c r="AK89" s="351"/>
      <c r="AL89" s="351"/>
      <c r="AM89" s="351"/>
      <c r="AN89" s="351"/>
      <c r="AO89" s="351"/>
      <c r="AP89" s="351"/>
      <c r="AQ89" s="351"/>
      <c r="AR89" s="351"/>
      <c r="AS89" s="351"/>
      <c r="AT89" s="351"/>
      <c r="AU89" s="351"/>
      <c r="AV89" s="351"/>
      <c r="AW89" s="351"/>
      <c r="AX89" s="351"/>
      <c r="AY89" s="351"/>
    </row>
    <row r="90" spans="1:51" ht="15">
      <c r="A90" s="350">
        <v>78</v>
      </c>
      <c r="B90" s="338"/>
      <c r="C90" s="338" t="s">
        <v>1754</v>
      </c>
      <c r="D90" s="337">
        <v>78</v>
      </c>
      <c r="E90" s="337" t="s">
        <v>2704</v>
      </c>
      <c r="F90" s="337">
        <v>2023</v>
      </c>
      <c r="G90" s="336" t="s">
        <v>2603</v>
      </c>
      <c r="H90" s="336" t="s">
        <v>3539</v>
      </c>
      <c r="I90" s="338" t="s">
        <v>3540</v>
      </c>
      <c r="J90" s="336" t="s">
        <v>3541</v>
      </c>
      <c r="K90" s="336" t="s">
        <v>3542</v>
      </c>
      <c r="L90" s="336" t="s">
        <v>2604</v>
      </c>
      <c r="M90" s="338" t="s">
        <v>2710</v>
      </c>
      <c r="N90" s="338" t="s">
        <v>2852</v>
      </c>
      <c r="O90" s="338" t="s">
        <v>2712</v>
      </c>
      <c r="P90" s="338" t="s">
        <v>2853</v>
      </c>
      <c r="Q90" s="338" t="s">
        <v>1754</v>
      </c>
      <c r="R90" s="338"/>
      <c r="S90" s="338" t="s">
        <v>1739</v>
      </c>
      <c r="T90" s="338" t="s">
        <v>1739</v>
      </c>
      <c r="U90" s="338" t="s">
        <v>2855</v>
      </c>
      <c r="V90" s="337" t="s">
        <v>992</v>
      </c>
      <c r="W90" s="338" t="s">
        <v>3543</v>
      </c>
      <c r="X90" s="336" t="s">
        <v>3544</v>
      </c>
      <c r="Y90" s="336" t="s">
        <v>3545</v>
      </c>
      <c r="Z90" s="336" t="s">
        <v>3546</v>
      </c>
      <c r="AA90" s="338" t="s">
        <v>3547</v>
      </c>
      <c r="AB90" s="338" t="s">
        <v>2952</v>
      </c>
      <c r="AC90" s="336" t="s">
        <v>3548</v>
      </c>
      <c r="AD90" s="336" t="s">
        <v>2861</v>
      </c>
      <c r="AE90" s="338"/>
      <c r="AF90" s="329"/>
      <c r="AG90" s="329"/>
      <c r="AH90" s="338"/>
      <c r="AI90" s="351"/>
      <c r="AJ90" s="351"/>
      <c r="AK90" s="351"/>
      <c r="AL90" s="351"/>
      <c r="AM90" s="351"/>
      <c r="AN90" s="351"/>
      <c r="AO90" s="351"/>
      <c r="AP90" s="351"/>
      <c r="AQ90" s="351"/>
      <c r="AR90" s="351"/>
      <c r="AS90" s="351"/>
      <c r="AT90" s="351"/>
      <c r="AU90" s="351"/>
      <c r="AV90" s="351"/>
      <c r="AW90" s="351"/>
      <c r="AX90" s="351"/>
      <c r="AY90" s="351"/>
    </row>
    <row r="91" spans="1:51" ht="15">
      <c r="A91" s="350">
        <v>79</v>
      </c>
      <c r="B91" s="338"/>
      <c r="C91" s="338" t="s">
        <v>1754</v>
      </c>
      <c r="D91" s="337">
        <v>79</v>
      </c>
      <c r="E91" s="337" t="s">
        <v>2704</v>
      </c>
      <c r="F91" s="337">
        <v>2023</v>
      </c>
      <c r="G91" s="336" t="s">
        <v>2605</v>
      </c>
      <c r="H91" s="336" t="s">
        <v>3549</v>
      </c>
      <c r="I91" s="342">
        <v>35378</v>
      </c>
      <c r="J91" s="336" t="s">
        <v>3550</v>
      </c>
      <c r="K91" s="336" t="s">
        <v>3551</v>
      </c>
      <c r="L91" s="336" t="s">
        <v>2606</v>
      </c>
      <c r="M91" s="338" t="s">
        <v>2710</v>
      </c>
      <c r="N91" s="338" t="s">
        <v>2852</v>
      </c>
      <c r="O91" s="338" t="s">
        <v>2712</v>
      </c>
      <c r="P91" s="338" t="s">
        <v>2853</v>
      </c>
      <c r="Q91" s="338" t="s">
        <v>1754</v>
      </c>
      <c r="R91" s="338"/>
      <c r="S91" s="338" t="s">
        <v>1739</v>
      </c>
      <c r="T91" s="338" t="s">
        <v>1739</v>
      </c>
      <c r="U91" s="338" t="s">
        <v>2855</v>
      </c>
      <c r="V91" s="337" t="s">
        <v>992</v>
      </c>
      <c r="W91" s="338" t="s">
        <v>3552</v>
      </c>
      <c r="X91" s="336" t="s">
        <v>3553</v>
      </c>
      <c r="Y91" s="336" t="s">
        <v>249</v>
      </c>
      <c r="Z91" s="336"/>
      <c r="AA91" s="338" t="s">
        <v>3554</v>
      </c>
      <c r="AB91" s="338" t="s">
        <v>3555</v>
      </c>
      <c r="AC91" s="336" t="s">
        <v>3556</v>
      </c>
      <c r="AD91" s="336" t="s">
        <v>2861</v>
      </c>
      <c r="AE91" s="338"/>
      <c r="AF91" s="329"/>
      <c r="AG91" s="329"/>
      <c r="AH91" s="338"/>
      <c r="AI91" s="351"/>
      <c r="AJ91" s="351"/>
      <c r="AK91" s="351"/>
      <c r="AL91" s="351"/>
      <c r="AM91" s="351"/>
      <c r="AN91" s="351"/>
      <c r="AO91" s="351"/>
      <c r="AP91" s="351"/>
      <c r="AQ91" s="351"/>
      <c r="AR91" s="351"/>
      <c r="AS91" s="351"/>
      <c r="AT91" s="351"/>
      <c r="AU91" s="351"/>
      <c r="AV91" s="351"/>
      <c r="AW91" s="351"/>
      <c r="AX91" s="351"/>
      <c r="AY91" s="351"/>
    </row>
    <row r="92" spans="1:51" ht="15">
      <c r="A92" s="350">
        <v>80</v>
      </c>
      <c r="B92" s="338"/>
      <c r="C92" s="338" t="s">
        <v>3557</v>
      </c>
      <c r="D92" s="337">
        <v>80</v>
      </c>
      <c r="E92" s="337" t="s">
        <v>2704</v>
      </c>
      <c r="F92" s="337">
        <v>2023</v>
      </c>
      <c r="G92" s="336" t="s">
        <v>2607</v>
      </c>
      <c r="H92" s="336" t="s">
        <v>3280</v>
      </c>
      <c r="I92" s="338" t="s">
        <v>3558</v>
      </c>
      <c r="J92" s="336" t="s">
        <v>3559</v>
      </c>
      <c r="K92" s="336" t="s">
        <v>3560</v>
      </c>
      <c r="L92" s="336">
        <v>82285874670</v>
      </c>
      <c r="M92" s="338" t="s">
        <v>2710</v>
      </c>
      <c r="N92" s="338" t="s">
        <v>2852</v>
      </c>
      <c r="O92" s="338" t="s">
        <v>2712</v>
      </c>
      <c r="P92" s="338" t="s">
        <v>2853</v>
      </c>
      <c r="Q92" s="338" t="s">
        <v>3557</v>
      </c>
      <c r="R92" s="338"/>
      <c r="S92" s="338" t="s">
        <v>1739</v>
      </c>
      <c r="T92" s="338" t="s">
        <v>1739</v>
      </c>
      <c r="U92" s="338" t="s">
        <v>2855</v>
      </c>
      <c r="V92" s="355">
        <v>44760</v>
      </c>
      <c r="W92" s="338" t="s">
        <v>3561</v>
      </c>
      <c r="X92" s="336" t="s">
        <v>3562</v>
      </c>
      <c r="Y92" s="336" t="s">
        <v>3563</v>
      </c>
      <c r="Z92" s="336" t="s">
        <v>3562</v>
      </c>
      <c r="AA92" s="338" t="s">
        <v>3564</v>
      </c>
      <c r="AB92" s="338" t="s">
        <v>3555</v>
      </c>
      <c r="AC92" s="336" t="s">
        <v>3565</v>
      </c>
      <c r="AD92" s="336" t="s">
        <v>2945</v>
      </c>
      <c r="AE92" s="338"/>
      <c r="AF92" s="329"/>
      <c r="AG92" s="329"/>
      <c r="AH92" s="338"/>
      <c r="AI92" s="351"/>
      <c r="AJ92" s="351"/>
      <c r="AK92" s="351"/>
      <c r="AL92" s="351"/>
      <c r="AM92" s="351"/>
      <c r="AN92" s="351"/>
      <c r="AO92" s="351"/>
      <c r="AP92" s="351"/>
      <c r="AQ92" s="351"/>
      <c r="AR92" s="351"/>
      <c r="AS92" s="351"/>
      <c r="AT92" s="351"/>
      <c r="AU92" s="351"/>
      <c r="AV92" s="351"/>
      <c r="AW92" s="351"/>
      <c r="AX92" s="351"/>
      <c r="AY92" s="351"/>
    </row>
    <row r="93" spans="1:51" ht="15">
      <c r="A93" s="350">
        <v>81</v>
      </c>
      <c r="B93" s="338"/>
      <c r="C93" s="338" t="s">
        <v>3473</v>
      </c>
      <c r="D93" s="337">
        <v>81</v>
      </c>
      <c r="E93" s="337" t="s">
        <v>2704</v>
      </c>
      <c r="F93" s="337">
        <v>2023</v>
      </c>
      <c r="G93" s="336" t="s">
        <v>2570</v>
      </c>
      <c r="H93" s="336" t="s">
        <v>2488</v>
      </c>
      <c r="I93" s="342">
        <v>33190</v>
      </c>
      <c r="J93" s="336" t="s">
        <v>3566</v>
      </c>
      <c r="K93" s="336" t="s">
        <v>3567</v>
      </c>
      <c r="L93" s="336" t="s">
        <v>2571</v>
      </c>
      <c r="M93" s="338" t="s">
        <v>2710</v>
      </c>
      <c r="N93" s="338" t="s">
        <v>2852</v>
      </c>
      <c r="O93" s="338" t="s">
        <v>2712</v>
      </c>
      <c r="P93" s="338" t="s">
        <v>2853</v>
      </c>
      <c r="Q93" s="338" t="s">
        <v>3473</v>
      </c>
      <c r="R93" s="338" t="s">
        <v>3477</v>
      </c>
      <c r="S93" s="338" t="s">
        <v>1739</v>
      </c>
      <c r="T93" s="338" t="s">
        <v>1739</v>
      </c>
      <c r="U93" s="338" t="s">
        <v>2855</v>
      </c>
      <c r="V93" s="337" t="s">
        <v>1247</v>
      </c>
      <c r="W93" s="336" t="s">
        <v>3568</v>
      </c>
      <c r="X93" s="336" t="s">
        <v>3569</v>
      </c>
      <c r="Y93" s="336" t="s">
        <v>3570</v>
      </c>
      <c r="Z93" s="336"/>
      <c r="AA93" s="375" t="s">
        <v>3571</v>
      </c>
      <c r="AB93" s="338"/>
      <c r="AC93" s="336"/>
      <c r="AD93" s="336" t="s">
        <v>2861</v>
      </c>
      <c r="AE93" s="338"/>
      <c r="AF93" s="329"/>
      <c r="AG93" s="329"/>
      <c r="AH93" s="338"/>
      <c r="AI93" s="351"/>
      <c r="AJ93" s="351"/>
      <c r="AK93" s="351"/>
      <c r="AL93" s="351"/>
      <c r="AM93" s="351"/>
      <c r="AN93" s="351"/>
      <c r="AO93" s="351"/>
      <c r="AP93" s="351"/>
      <c r="AQ93" s="351"/>
      <c r="AR93" s="351"/>
      <c r="AS93" s="351"/>
      <c r="AT93" s="351"/>
      <c r="AU93" s="351"/>
      <c r="AV93" s="351"/>
      <c r="AW93" s="351"/>
      <c r="AX93" s="351"/>
      <c r="AY93" s="351"/>
    </row>
    <row r="94" spans="1:51" ht="15">
      <c r="A94" s="350">
        <v>82</v>
      </c>
      <c r="B94" s="338"/>
      <c r="C94" s="338" t="s">
        <v>2572</v>
      </c>
      <c r="D94" s="337">
        <v>82</v>
      </c>
      <c r="E94" s="337" t="s">
        <v>2704</v>
      </c>
      <c r="F94" s="337">
        <v>2023</v>
      </c>
      <c r="G94" s="336" t="s">
        <v>2573</v>
      </c>
      <c r="H94" s="336" t="s">
        <v>2488</v>
      </c>
      <c r="I94" s="338" t="s">
        <v>3572</v>
      </c>
      <c r="J94" s="336" t="s">
        <v>3573</v>
      </c>
      <c r="K94" s="336" t="s">
        <v>3574</v>
      </c>
      <c r="L94" s="336" t="s">
        <v>2574</v>
      </c>
      <c r="M94" s="338" t="s">
        <v>2710</v>
      </c>
      <c r="N94" s="338" t="s">
        <v>2852</v>
      </c>
      <c r="O94" s="338" t="s">
        <v>2712</v>
      </c>
      <c r="P94" s="338" t="s">
        <v>2853</v>
      </c>
      <c r="Q94" s="338" t="s">
        <v>2572</v>
      </c>
      <c r="R94" s="338" t="s">
        <v>3477</v>
      </c>
      <c r="S94" s="338" t="s">
        <v>1739</v>
      </c>
      <c r="T94" s="338" t="s">
        <v>1739</v>
      </c>
      <c r="U94" s="338" t="s">
        <v>2855</v>
      </c>
      <c r="V94" s="337" t="s">
        <v>1247</v>
      </c>
      <c r="W94" s="338" t="s">
        <v>3575</v>
      </c>
      <c r="X94" s="336" t="s">
        <v>3573</v>
      </c>
      <c r="Y94" s="336" t="s">
        <v>249</v>
      </c>
      <c r="Z94" s="336" t="s">
        <v>249</v>
      </c>
      <c r="AA94" s="352" t="s">
        <v>3576</v>
      </c>
      <c r="AB94" s="338" t="s">
        <v>3577</v>
      </c>
      <c r="AC94" s="336" t="s">
        <v>3578</v>
      </c>
      <c r="AD94" s="336" t="s">
        <v>2897</v>
      </c>
      <c r="AE94" s="338"/>
      <c r="AF94" s="329"/>
      <c r="AG94" s="329"/>
      <c r="AH94" s="338"/>
      <c r="AI94" s="351"/>
      <c r="AJ94" s="351"/>
      <c r="AK94" s="351"/>
      <c r="AL94" s="351"/>
      <c r="AM94" s="351"/>
      <c r="AN94" s="351"/>
      <c r="AO94" s="351"/>
      <c r="AP94" s="351"/>
      <c r="AQ94" s="351"/>
      <c r="AR94" s="351"/>
      <c r="AS94" s="351"/>
      <c r="AT94" s="351"/>
      <c r="AU94" s="351"/>
      <c r="AV94" s="351"/>
      <c r="AW94" s="351"/>
      <c r="AX94" s="351"/>
      <c r="AY94" s="351"/>
    </row>
    <row r="95" spans="1:51" ht="15">
      <c r="A95" s="350">
        <v>83</v>
      </c>
      <c r="B95" s="338"/>
      <c r="C95" s="338" t="s">
        <v>2568</v>
      </c>
      <c r="D95" s="337">
        <v>83</v>
      </c>
      <c r="E95" s="337" t="s">
        <v>2704</v>
      </c>
      <c r="F95" s="337">
        <v>2023</v>
      </c>
      <c r="G95" s="336" t="s">
        <v>3579</v>
      </c>
      <c r="H95" s="336" t="s">
        <v>2488</v>
      </c>
      <c r="I95" s="338" t="s">
        <v>3580</v>
      </c>
      <c r="J95" s="336" t="s">
        <v>3581</v>
      </c>
      <c r="K95" s="336" t="s">
        <v>3072</v>
      </c>
      <c r="L95" s="336" t="s">
        <v>2575</v>
      </c>
      <c r="M95" s="338" t="s">
        <v>2710</v>
      </c>
      <c r="N95" s="338" t="s">
        <v>2852</v>
      </c>
      <c r="O95" s="338" t="s">
        <v>2712</v>
      </c>
      <c r="P95" s="338" t="s">
        <v>2853</v>
      </c>
      <c r="Q95" s="338" t="s">
        <v>2568</v>
      </c>
      <c r="R95" s="338"/>
      <c r="S95" s="338" t="s">
        <v>1739</v>
      </c>
      <c r="T95" s="338" t="s">
        <v>1739</v>
      </c>
      <c r="U95" s="338" t="s">
        <v>2855</v>
      </c>
      <c r="V95" s="376">
        <v>44652</v>
      </c>
      <c r="W95" s="338" t="s">
        <v>3582</v>
      </c>
      <c r="X95" s="336" t="s">
        <v>3583</v>
      </c>
      <c r="Y95" s="336" t="s">
        <v>3584</v>
      </c>
      <c r="Z95" s="336" t="s">
        <v>3581</v>
      </c>
      <c r="AA95" s="354" t="s">
        <v>3585</v>
      </c>
      <c r="AB95" s="338" t="s">
        <v>2736</v>
      </c>
      <c r="AC95" s="336" t="s">
        <v>3586</v>
      </c>
      <c r="AD95" s="336"/>
      <c r="AE95" s="338"/>
      <c r="AF95" s="329"/>
      <c r="AG95" s="329"/>
      <c r="AH95" s="338"/>
      <c r="AI95" s="351"/>
      <c r="AJ95" s="351"/>
      <c r="AK95" s="351"/>
      <c r="AL95" s="351"/>
      <c r="AM95" s="351"/>
      <c r="AN95" s="351"/>
      <c r="AO95" s="351"/>
      <c r="AP95" s="351"/>
      <c r="AQ95" s="351"/>
      <c r="AR95" s="351"/>
      <c r="AS95" s="351"/>
      <c r="AT95" s="351"/>
      <c r="AU95" s="351"/>
      <c r="AV95" s="351"/>
      <c r="AW95" s="351"/>
      <c r="AX95" s="351"/>
      <c r="AY95" s="351"/>
    </row>
    <row r="96" spans="1:51" ht="15">
      <c r="A96" s="350">
        <v>84</v>
      </c>
      <c r="B96" s="338"/>
      <c r="C96" s="338" t="s">
        <v>492</v>
      </c>
      <c r="D96" s="337">
        <v>84</v>
      </c>
      <c r="E96" s="337" t="s">
        <v>2704</v>
      </c>
      <c r="F96" s="337">
        <v>2023</v>
      </c>
      <c r="G96" s="336" t="s">
        <v>1705</v>
      </c>
      <c r="H96" s="336" t="s">
        <v>3587</v>
      </c>
      <c r="I96" s="338" t="s">
        <v>3588</v>
      </c>
      <c r="J96" s="336" t="s">
        <v>3589</v>
      </c>
      <c r="K96" s="336" t="s">
        <v>2865</v>
      </c>
      <c r="L96" s="336" t="s">
        <v>2636</v>
      </c>
      <c r="M96" s="338" t="s">
        <v>2710</v>
      </c>
      <c r="N96" s="338" t="s">
        <v>2852</v>
      </c>
      <c r="O96" s="338" t="s">
        <v>2712</v>
      </c>
      <c r="P96" s="338" t="s">
        <v>2853</v>
      </c>
      <c r="Q96" s="338" t="s">
        <v>492</v>
      </c>
      <c r="R96" s="336" t="s">
        <v>3590</v>
      </c>
      <c r="S96" s="338" t="s">
        <v>1739</v>
      </c>
      <c r="T96" s="338" t="s">
        <v>1739</v>
      </c>
      <c r="U96" s="338" t="s">
        <v>2855</v>
      </c>
      <c r="V96" s="355">
        <v>43213</v>
      </c>
      <c r="W96" s="338" t="s">
        <v>3591</v>
      </c>
      <c r="X96" s="336" t="s">
        <v>3592</v>
      </c>
      <c r="Y96" s="336" t="s">
        <v>3593</v>
      </c>
      <c r="Z96" s="336" t="s">
        <v>3592</v>
      </c>
      <c r="AA96" s="352" t="s">
        <v>3594</v>
      </c>
      <c r="AB96" s="338" t="s">
        <v>2773</v>
      </c>
      <c r="AC96" s="336" t="s">
        <v>3595</v>
      </c>
      <c r="AD96" s="336" t="s">
        <v>2897</v>
      </c>
      <c r="AE96" s="338"/>
      <c r="AF96" s="329"/>
      <c r="AG96" s="329" t="s">
        <v>2789</v>
      </c>
      <c r="AH96" s="348">
        <v>1</v>
      </c>
      <c r="AI96" s="359"/>
      <c r="AJ96" s="359"/>
      <c r="AK96" s="359"/>
      <c r="AL96" s="359"/>
      <c r="AM96" s="359"/>
      <c r="AN96" s="359"/>
      <c r="AO96" s="359"/>
      <c r="AP96" s="359"/>
      <c r="AQ96" s="359"/>
      <c r="AR96" s="359"/>
      <c r="AS96" s="359"/>
      <c r="AT96" s="359"/>
      <c r="AU96" s="359"/>
      <c r="AV96" s="359"/>
      <c r="AW96" s="359"/>
      <c r="AX96" s="359"/>
      <c r="AY96" s="359"/>
    </row>
    <row r="97" spans="1:51" ht="15">
      <c r="A97" s="350">
        <v>85</v>
      </c>
      <c r="B97" s="336" t="s">
        <v>3363</v>
      </c>
      <c r="C97" s="338" t="s">
        <v>15</v>
      </c>
      <c r="D97" s="337">
        <v>85</v>
      </c>
      <c r="E97" s="337" t="s">
        <v>2704</v>
      </c>
      <c r="F97" s="337">
        <v>2023</v>
      </c>
      <c r="G97" s="336" t="s">
        <v>2637</v>
      </c>
      <c r="H97" s="336" t="s">
        <v>3464</v>
      </c>
      <c r="I97" s="338" t="s">
        <v>3596</v>
      </c>
      <c r="J97" s="336" t="s">
        <v>3597</v>
      </c>
      <c r="K97" s="336" t="s">
        <v>2490</v>
      </c>
      <c r="L97" s="336">
        <v>85694198978</v>
      </c>
      <c r="M97" s="337" t="s">
        <v>2710</v>
      </c>
      <c r="N97" s="338" t="s">
        <v>2852</v>
      </c>
      <c r="O97" s="337" t="s">
        <v>1803</v>
      </c>
      <c r="P97" s="338" t="s">
        <v>2853</v>
      </c>
      <c r="Q97" s="338" t="s">
        <v>15</v>
      </c>
      <c r="R97" s="338"/>
      <c r="S97" s="338" t="s">
        <v>1739</v>
      </c>
      <c r="T97" s="338" t="s">
        <v>1739</v>
      </c>
      <c r="U97" s="338" t="s">
        <v>2855</v>
      </c>
      <c r="V97" s="337" t="s">
        <v>1693</v>
      </c>
      <c r="W97" s="337" t="s">
        <v>3598</v>
      </c>
      <c r="X97" s="336" t="s">
        <v>3599</v>
      </c>
      <c r="Y97" s="336" t="s">
        <v>3600</v>
      </c>
      <c r="Z97" s="336" t="s">
        <v>3599</v>
      </c>
      <c r="AA97" s="338" t="s">
        <v>3601</v>
      </c>
      <c r="AB97" s="338" t="s">
        <v>3602</v>
      </c>
      <c r="AC97" s="336" t="s">
        <v>3603</v>
      </c>
      <c r="AD97" s="336"/>
      <c r="AE97" s="338"/>
      <c r="AF97" s="329"/>
      <c r="AG97" s="329"/>
      <c r="AH97" s="338"/>
      <c r="AI97" s="351"/>
      <c r="AJ97" s="351"/>
      <c r="AK97" s="351"/>
      <c r="AL97" s="351"/>
      <c r="AM97" s="351"/>
      <c r="AN97" s="351"/>
      <c r="AO97" s="351"/>
      <c r="AP97" s="351"/>
      <c r="AQ97" s="359"/>
      <c r="AR97" s="359"/>
      <c r="AS97" s="359"/>
      <c r="AT97" s="359"/>
      <c r="AU97" s="359"/>
      <c r="AV97" s="359"/>
      <c r="AW97" s="359"/>
      <c r="AX97" s="359"/>
      <c r="AY97" s="359"/>
    </row>
    <row r="98" spans="1:51" ht="15">
      <c r="A98" s="350">
        <v>86</v>
      </c>
      <c r="B98" s="336"/>
      <c r="C98" s="336" t="s">
        <v>494</v>
      </c>
      <c r="D98" s="337">
        <v>86</v>
      </c>
      <c r="E98" s="337" t="s">
        <v>2704</v>
      </c>
      <c r="F98" s="337">
        <v>2023</v>
      </c>
      <c r="G98" s="336" t="s">
        <v>1699</v>
      </c>
      <c r="H98" s="336" t="s">
        <v>3604</v>
      </c>
      <c r="I98" s="338" t="s">
        <v>3605</v>
      </c>
      <c r="J98" s="336" t="s">
        <v>3606</v>
      </c>
      <c r="K98" s="336" t="s">
        <v>2865</v>
      </c>
      <c r="L98" s="336" t="s">
        <v>2638</v>
      </c>
      <c r="M98" s="338" t="s">
        <v>2710</v>
      </c>
      <c r="N98" s="338" t="s">
        <v>2852</v>
      </c>
      <c r="O98" s="338" t="s">
        <v>2712</v>
      </c>
      <c r="P98" s="338" t="s">
        <v>2853</v>
      </c>
      <c r="Q98" s="338" t="s">
        <v>494</v>
      </c>
      <c r="R98" s="338" t="s">
        <v>3034</v>
      </c>
      <c r="S98" s="338" t="s">
        <v>1739</v>
      </c>
      <c r="T98" s="338" t="s">
        <v>1739</v>
      </c>
      <c r="U98" s="338" t="s">
        <v>2855</v>
      </c>
      <c r="V98" s="337" t="s">
        <v>1693</v>
      </c>
      <c r="W98" s="338" t="s">
        <v>3607</v>
      </c>
      <c r="X98" s="336" t="s">
        <v>3608</v>
      </c>
      <c r="Y98" s="336"/>
      <c r="Z98" s="336"/>
      <c r="AA98" s="352" t="s">
        <v>3609</v>
      </c>
      <c r="AB98" s="338" t="s">
        <v>3610</v>
      </c>
      <c r="AC98" s="336" t="s">
        <v>3611</v>
      </c>
      <c r="AD98" s="336" t="s">
        <v>2897</v>
      </c>
      <c r="AE98" s="342">
        <v>43200</v>
      </c>
      <c r="AF98" s="329"/>
      <c r="AG98" s="329" t="s">
        <v>2813</v>
      </c>
      <c r="AH98" s="348">
        <v>0</v>
      </c>
      <c r="AI98" s="359"/>
      <c r="AJ98" s="359"/>
      <c r="AK98" s="359"/>
      <c r="AL98" s="359"/>
      <c r="AM98" s="359"/>
      <c r="AN98" s="359"/>
      <c r="AO98" s="359"/>
      <c r="AP98" s="359"/>
      <c r="AQ98" s="359"/>
      <c r="AR98" s="359"/>
      <c r="AS98" s="359"/>
      <c r="AT98" s="359"/>
      <c r="AU98" s="359"/>
      <c r="AV98" s="359"/>
      <c r="AW98" s="359"/>
      <c r="AX98" s="359"/>
      <c r="AY98" s="359"/>
    </row>
    <row r="99" spans="1:51" ht="15">
      <c r="A99" s="350">
        <v>87</v>
      </c>
      <c r="B99" s="338"/>
      <c r="C99" s="338"/>
      <c r="D99" s="337">
        <v>87</v>
      </c>
      <c r="E99" s="337" t="s">
        <v>2704</v>
      </c>
      <c r="F99" s="337">
        <v>2023</v>
      </c>
      <c r="G99" s="336" t="s">
        <v>2639</v>
      </c>
      <c r="H99" s="336"/>
      <c r="I99" s="338"/>
      <c r="J99" s="336"/>
      <c r="K99" s="336"/>
      <c r="L99" s="336"/>
      <c r="M99" s="338"/>
      <c r="N99" s="338" t="s">
        <v>2852</v>
      </c>
      <c r="O99" s="338"/>
      <c r="P99" s="338" t="s">
        <v>2853</v>
      </c>
      <c r="Q99" s="348">
        <v>0</v>
      </c>
      <c r="R99" s="338"/>
      <c r="S99" s="338"/>
      <c r="T99" s="338"/>
      <c r="U99" s="338"/>
      <c r="V99" s="337"/>
      <c r="W99" s="338"/>
      <c r="X99" s="336"/>
      <c r="Y99" s="353"/>
      <c r="Z99" s="336"/>
      <c r="AA99" s="338"/>
      <c r="AB99" s="338"/>
      <c r="AC99" s="336"/>
      <c r="AD99" s="336"/>
      <c r="AE99" s="338"/>
      <c r="AF99" s="329" t="s">
        <v>2928</v>
      </c>
      <c r="AG99" s="329"/>
      <c r="AH99" s="338"/>
      <c r="AI99" s="351"/>
      <c r="AJ99" s="351"/>
      <c r="AK99" s="351"/>
      <c r="AL99" s="351"/>
      <c r="AM99" s="351"/>
      <c r="AN99" s="351"/>
      <c r="AO99" s="351"/>
      <c r="AP99" s="351"/>
      <c r="AQ99" s="351"/>
      <c r="AR99" s="351"/>
      <c r="AS99" s="351"/>
      <c r="AT99" s="351"/>
      <c r="AU99" s="351"/>
      <c r="AV99" s="351"/>
      <c r="AW99" s="351"/>
      <c r="AX99" s="351"/>
      <c r="AY99" s="351"/>
    </row>
    <row r="100" spans="1:51" ht="15">
      <c r="A100" s="350">
        <v>88</v>
      </c>
      <c r="B100" s="338"/>
      <c r="C100" s="338" t="s">
        <v>2621</v>
      </c>
      <c r="D100" s="337">
        <v>88</v>
      </c>
      <c r="E100" s="337" t="s">
        <v>2704</v>
      </c>
      <c r="F100" s="337">
        <v>2023</v>
      </c>
      <c r="G100" s="336" t="s">
        <v>2622</v>
      </c>
      <c r="H100" s="336" t="s">
        <v>3377</v>
      </c>
      <c r="I100" s="338">
        <v>34731</v>
      </c>
      <c r="J100" s="336" t="s">
        <v>3612</v>
      </c>
      <c r="K100" s="336" t="s">
        <v>3377</v>
      </c>
      <c r="L100" s="336">
        <v>81262636428</v>
      </c>
      <c r="M100" s="338" t="s">
        <v>2710</v>
      </c>
      <c r="N100" s="338" t="s">
        <v>2852</v>
      </c>
      <c r="O100" s="338" t="s">
        <v>2712</v>
      </c>
      <c r="P100" s="338" t="s">
        <v>2853</v>
      </c>
      <c r="Q100" s="338" t="s">
        <v>2621</v>
      </c>
      <c r="R100" s="338"/>
      <c r="S100" s="338" t="s">
        <v>1739</v>
      </c>
      <c r="T100" s="338" t="s">
        <v>1739</v>
      </c>
      <c r="U100" s="338" t="s">
        <v>2855</v>
      </c>
      <c r="V100" s="337" t="s">
        <v>2715</v>
      </c>
      <c r="W100" s="338">
        <v>127103410295001</v>
      </c>
      <c r="X100" s="336" t="s">
        <v>3613</v>
      </c>
      <c r="Y100" s="361" t="s">
        <v>249</v>
      </c>
      <c r="Z100" s="361" t="s">
        <v>249</v>
      </c>
      <c r="AA100" s="354" t="s">
        <v>3614</v>
      </c>
      <c r="AB100" s="338" t="s">
        <v>3615</v>
      </c>
      <c r="AC100" s="336" t="s">
        <v>3616</v>
      </c>
      <c r="AD100" s="336"/>
      <c r="AE100" s="338"/>
      <c r="AF100" s="329"/>
      <c r="AG100" s="329"/>
      <c r="AH100" s="338"/>
      <c r="AI100" s="351"/>
      <c r="AJ100" s="351"/>
      <c r="AK100" s="351"/>
      <c r="AL100" s="351"/>
      <c r="AM100" s="351"/>
      <c r="AN100" s="351"/>
      <c r="AO100" s="351"/>
      <c r="AP100" s="351"/>
      <c r="AQ100" s="351"/>
      <c r="AR100" s="351"/>
      <c r="AS100" s="351"/>
      <c r="AT100" s="351"/>
      <c r="AU100" s="351"/>
      <c r="AV100" s="351"/>
      <c r="AW100" s="351"/>
      <c r="AX100" s="351"/>
      <c r="AY100" s="351"/>
    </row>
    <row r="101" spans="1:51" ht="15">
      <c r="A101" s="350">
        <v>89</v>
      </c>
      <c r="B101" s="338"/>
      <c r="C101" s="338" t="s">
        <v>2621</v>
      </c>
      <c r="D101" s="337">
        <v>89</v>
      </c>
      <c r="E101" s="337" t="s">
        <v>2704</v>
      </c>
      <c r="F101" s="337">
        <v>2023</v>
      </c>
      <c r="G101" s="336" t="s">
        <v>2624</v>
      </c>
      <c r="H101" s="336" t="s">
        <v>2488</v>
      </c>
      <c r="I101" s="338">
        <v>33548</v>
      </c>
      <c r="J101" s="336" t="s">
        <v>3617</v>
      </c>
      <c r="K101" s="336" t="s">
        <v>2865</v>
      </c>
      <c r="L101" s="336">
        <v>83808561939</v>
      </c>
      <c r="M101" s="338" t="s">
        <v>2710</v>
      </c>
      <c r="N101" s="338" t="s">
        <v>2852</v>
      </c>
      <c r="O101" s="338" t="s">
        <v>2712</v>
      </c>
      <c r="P101" s="338" t="s">
        <v>2853</v>
      </c>
      <c r="Q101" s="338" t="s">
        <v>2621</v>
      </c>
      <c r="R101" s="338"/>
      <c r="S101" s="338" t="s">
        <v>1739</v>
      </c>
      <c r="T101" s="338" t="s">
        <v>1739</v>
      </c>
      <c r="U101" s="338" t="s">
        <v>2855</v>
      </c>
      <c r="V101" s="337" t="s">
        <v>2715</v>
      </c>
      <c r="W101" s="338" t="s">
        <v>3618</v>
      </c>
      <c r="X101" s="336" t="s">
        <v>3619</v>
      </c>
      <c r="Y101" s="361" t="s">
        <v>249</v>
      </c>
      <c r="Z101" s="361" t="s">
        <v>249</v>
      </c>
      <c r="AA101" s="338" t="s">
        <v>3620</v>
      </c>
      <c r="AB101" s="338" t="s">
        <v>2736</v>
      </c>
      <c r="AC101" s="336" t="s">
        <v>2872</v>
      </c>
      <c r="AD101" s="336"/>
      <c r="AE101" s="338"/>
      <c r="AF101" s="329"/>
      <c r="AG101" s="329"/>
      <c r="AH101" s="338"/>
      <c r="AI101" s="351"/>
      <c r="AJ101" s="351"/>
      <c r="AK101" s="351"/>
      <c r="AL101" s="351"/>
      <c r="AM101" s="351"/>
      <c r="AN101" s="351"/>
      <c r="AO101" s="351"/>
      <c r="AP101" s="351"/>
      <c r="AQ101" s="351"/>
      <c r="AR101" s="351"/>
      <c r="AS101" s="351"/>
      <c r="AT101" s="351"/>
      <c r="AU101" s="351"/>
      <c r="AV101" s="351"/>
      <c r="AW101" s="351"/>
      <c r="AX101" s="351"/>
      <c r="AY101" s="351"/>
    </row>
    <row r="102" spans="1:51" ht="15">
      <c r="A102" s="350">
        <v>90</v>
      </c>
      <c r="B102" s="338"/>
      <c r="C102" s="338" t="s">
        <v>2621</v>
      </c>
      <c r="D102" s="337">
        <v>90</v>
      </c>
      <c r="E102" s="337" t="s">
        <v>2704</v>
      </c>
      <c r="F102" s="337">
        <v>2023</v>
      </c>
      <c r="G102" s="336" t="s">
        <v>2625</v>
      </c>
      <c r="H102" s="336" t="s">
        <v>3377</v>
      </c>
      <c r="I102" s="342">
        <v>36269</v>
      </c>
      <c r="J102" s="336" t="s">
        <v>3621</v>
      </c>
      <c r="K102" s="336" t="s">
        <v>3377</v>
      </c>
      <c r="L102" s="336">
        <v>83801575492</v>
      </c>
      <c r="M102" s="337" t="s">
        <v>2710</v>
      </c>
      <c r="N102" s="338" t="s">
        <v>2852</v>
      </c>
      <c r="O102" s="337" t="s">
        <v>1803</v>
      </c>
      <c r="P102" s="338" t="s">
        <v>2853</v>
      </c>
      <c r="Q102" s="338" t="s">
        <v>2621</v>
      </c>
      <c r="R102" s="338"/>
      <c r="S102" s="338" t="s">
        <v>1739</v>
      </c>
      <c r="T102" s="338" t="s">
        <v>1739</v>
      </c>
      <c r="U102" s="338" t="s">
        <v>2855</v>
      </c>
      <c r="V102" s="337" t="s">
        <v>1693</v>
      </c>
      <c r="W102" s="337" t="s">
        <v>3622</v>
      </c>
      <c r="X102" s="336" t="s">
        <v>3623</v>
      </c>
      <c r="Y102" s="336" t="s">
        <v>249</v>
      </c>
      <c r="Z102" s="336" t="s">
        <v>249</v>
      </c>
      <c r="AA102" s="354" t="s">
        <v>3624</v>
      </c>
      <c r="AB102" s="338" t="s">
        <v>2736</v>
      </c>
      <c r="AC102" s="336" t="s">
        <v>3625</v>
      </c>
      <c r="AD102" s="336"/>
      <c r="AE102" s="338"/>
      <c r="AF102" s="329" t="s">
        <v>2928</v>
      </c>
      <c r="AG102" s="329"/>
      <c r="AH102" s="338"/>
      <c r="AI102" s="351"/>
      <c r="AJ102" s="351"/>
      <c r="AK102" s="351"/>
      <c r="AL102" s="351"/>
      <c r="AM102" s="351"/>
      <c r="AN102" s="351"/>
      <c r="AO102" s="351"/>
      <c r="AP102" s="351"/>
      <c r="AQ102" s="351"/>
      <c r="AR102" s="351"/>
      <c r="AS102" s="351"/>
      <c r="AT102" s="351"/>
      <c r="AU102" s="351"/>
      <c r="AV102" s="351"/>
      <c r="AW102" s="351"/>
      <c r="AX102" s="351"/>
      <c r="AY102" s="351"/>
    </row>
    <row r="103" spans="1:51" ht="15">
      <c r="A103" s="350">
        <v>91</v>
      </c>
      <c r="B103" s="338"/>
      <c r="C103" s="338" t="s">
        <v>2626</v>
      </c>
      <c r="D103" s="337">
        <v>91</v>
      </c>
      <c r="E103" s="337" t="s">
        <v>2704</v>
      </c>
      <c r="F103" s="337">
        <v>2023</v>
      </c>
      <c r="G103" s="336" t="s">
        <v>2623</v>
      </c>
      <c r="H103" s="336" t="s">
        <v>2488</v>
      </c>
      <c r="I103" s="342">
        <v>34644</v>
      </c>
      <c r="J103" s="336" t="s">
        <v>3626</v>
      </c>
      <c r="K103" s="336" t="s">
        <v>2888</v>
      </c>
      <c r="L103" s="336">
        <v>81314157121</v>
      </c>
      <c r="M103" s="337" t="s">
        <v>2710</v>
      </c>
      <c r="N103" s="338" t="s">
        <v>2852</v>
      </c>
      <c r="O103" s="337" t="s">
        <v>1803</v>
      </c>
      <c r="P103" s="338" t="s">
        <v>2853</v>
      </c>
      <c r="Q103" s="338" t="s">
        <v>2626</v>
      </c>
      <c r="R103" s="338"/>
      <c r="S103" s="338" t="s">
        <v>1739</v>
      </c>
      <c r="T103" s="338" t="s">
        <v>1739</v>
      </c>
      <c r="U103" s="338" t="s">
        <v>2855</v>
      </c>
      <c r="V103" s="337" t="s">
        <v>1693</v>
      </c>
      <c r="W103" s="337" t="s">
        <v>3627</v>
      </c>
      <c r="X103" s="336" t="s">
        <v>3628</v>
      </c>
      <c r="Y103" s="336" t="s">
        <v>3629</v>
      </c>
      <c r="Z103" s="336" t="s">
        <v>3628</v>
      </c>
      <c r="AA103" s="338" t="s">
        <v>3630</v>
      </c>
      <c r="AB103" s="338" t="s">
        <v>3016</v>
      </c>
      <c r="AC103" s="336" t="s">
        <v>3631</v>
      </c>
      <c r="AD103" s="336"/>
      <c r="AE103" s="338"/>
      <c r="AF103" s="329"/>
      <c r="AG103" s="329"/>
      <c r="AH103" s="338"/>
      <c r="AI103" s="351"/>
      <c r="AJ103" s="351"/>
      <c r="AK103" s="351"/>
      <c r="AL103" s="351"/>
      <c r="AM103" s="351"/>
      <c r="AN103" s="351"/>
      <c r="AO103" s="351"/>
      <c r="AP103" s="351"/>
      <c r="AQ103" s="351"/>
      <c r="AR103" s="351"/>
      <c r="AS103" s="351"/>
      <c r="AT103" s="351"/>
      <c r="AU103" s="351"/>
      <c r="AV103" s="351"/>
      <c r="AW103" s="351"/>
      <c r="AX103" s="351"/>
      <c r="AY103" s="351"/>
    </row>
    <row r="104" spans="1:51" ht="15">
      <c r="A104" s="350">
        <v>92</v>
      </c>
      <c r="B104" s="338"/>
      <c r="C104" s="338" t="s">
        <v>3632</v>
      </c>
      <c r="D104" s="337">
        <v>92</v>
      </c>
      <c r="E104" s="337" t="s">
        <v>2704</v>
      </c>
      <c r="F104" s="337">
        <v>2023</v>
      </c>
      <c r="G104" s="336" t="s">
        <v>2627</v>
      </c>
      <c r="H104" s="336" t="s">
        <v>3633</v>
      </c>
      <c r="I104" s="338" t="s">
        <v>3634</v>
      </c>
      <c r="J104" s="336" t="s">
        <v>3635</v>
      </c>
      <c r="K104" s="336" t="s">
        <v>3636</v>
      </c>
      <c r="L104" s="336">
        <v>81367790446</v>
      </c>
      <c r="M104" s="337" t="s">
        <v>2710</v>
      </c>
      <c r="N104" s="338" t="s">
        <v>2852</v>
      </c>
      <c r="O104" s="337" t="s">
        <v>1803</v>
      </c>
      <c r="P104" s="338" t="s">
        <v>2853</v>
      </c>
      <c r="Q104" s="338" t="s">
        <v>3632</v>
      </c>
      <c r="R104" s="338"/>
      <c r="S104" s="338" t="s">
        <v>1739</v>
      </c>
      <c r="T104" s="338" t="s">
        <v>1739</v>
      </c>
      <c r="U104" s="338" t="s">
        <v>2855</v>
      </c>
      <c r="V104" s="337" t="s">
        <v>1693</v>
      </c>
      <c r="W104" s="337" t="s">
        <v>3637</v>
      </c>
      <c r="X104" s="336" t="s">
        <v>3638</v>
      </c>
      <c r="Y104" s="336" t="s">
        <v>3639</v>
      </c>
      <c r="Z104" s="336" t="s">
        <v>3640</v>
      </c>
      <c r="AA104" s="354" t="s">
        <v>3641</v>
      </c>
      <c r="AB104" s="338" t="s">
        <v>2736</v>
      </c>
      <c r="AC104" s="336" t="s">
        <v>3642</v>
      </c>
      <c r="AD104" s="336"/>
      <c r="AE104" s="338"/>
      <c r="AF104" s="329"/>
      <c r="AG104" s="329"/>
      <c r="AH104" s="338"/>
      <c r="AI104" s="351"/>
      <c r="AJ104" s="351"/>
      <c r="AK104" s="351"/>
      <c r="AL104" s="351"/>
      <c r="AM104" s="351"/>
      <c r="AN104" s="351"/>
      <c r="AO104" s="351"/>
      <c r="AP104" s="351"/>
      <c r="AQ104" s="351"/>
      <c r="AR104" s="351"/>
      <c r="AS104" s="351"/>
      <c r="AT104" s="351"/>
      <c r="AU104" s="351"/>
      <c r="AV104" s="351"/>
      <c r="AW104" s="351"/>
      <c r="AX104" s="351"/>
      <c r="AY104" s="351"/>
    </row>
    <row r="105" spans="1:51" ht="15">
      <c r="A105" s="350">
        <v>93</v>
      </c>
      <c r="B105" s="338"/>
      <c r="C105" s="338" t="s">
        <v>2527</v>
      </c>
      <c r="D105" s="337">
        <v>93</v>
      </c>
      <c r="E105" s="337" t="s">
        <v>2704</v>
      </c>
      <c r="F105" s="337">
        <v>2023</v>
      </c>
      <c r="G105" s="336" t="s">
        <v>2528</v>
      </c>
      <c r="H105" s="336" t="s">
        <v>3643</v>
      </c>
      <c r="I105" s="338" t="s">
        <v>3644</v>
      </c>
      <c r="J105" s="336" t="s">
        <v>3645</v>
      </c>
      <c r="K105" s="336" t="s">
        <v>3646</v>
      </c>
      <c r="L105" s="336" t="s">
        <v>2529</v>
      </c>
      <c r="M105" s="338" t="s">
        <v>2710</v>
      </c>
      <c r="N105" s="338" t="s">
        <v>2852</v>
      </c>
      <c r="O105" s="338" t="s">
        <v>2712</v>
      </c>
      <c r="P105" s="338" t="s">
        <v>2853</v>
      </c>
      <c r="Q105" s="338" t="s">
        <v>2527</v>
      </c>
      <c r="R105" s="336" t="s">
        <v>3647</v>
      </c>
      <c r="S105" s="338" t="s">
        <v>1739</v>
      </c>
      <c r="T105" s="338" t="s">
        <v>1739</v>
      </c>
      <c r="U105" s="338" t="s">
        <v>2855</v>
      </c>
      <c r="V105" s="337" t="s">
        <v>1247</v>
      </c>
      <c r="W105" s="338" t="s">
        <v>3648</v>
      </c>
      <c r="X105" s="336" t="s">
        <v>3649</v>
      </c>
      <c r="Y105" s="336" t="s">
        <v>3650</v>
      </c>
      <c r="Z105" s="336" t="s">
        <v>3651</v>
      </c>
      <c r="AA105" s="338" t="s">
        <v>3652</v>
      </c>
      <c r="AB105" s="338" t="s">
        <v>3602</v>
      </c>
      <c r="AC105" s="336" t="s">
        <v>3653</v>
      </c>
      <c r="AD105" s="336" t="s">
        <v>2897</v>
      </c>
      <c r="AE105" s="338" t="s">
        <v>1735</v>
      </c>
      <c r="AF105" s="329"/>
      <c r="AG105" s="329"/>
      <c r="AH105" s="338"/>
      <c r="AI105" s="351"/>
      <c r="AJ105" s="351"/>
      <c r="AK105" s="351"/>
      <c r="AL105" s="351"/>
      <c r="AM105" s="351"/>
      <c r="AN105" s="351"/>
      <c r="AO105" s="351"/>
      <c r="AP105" s="351"/>
      <c r="AQ105" s="351"/>
      <c r="AR105" s="351"/>
      <c r="AS105" s="351"/>
      <c r="AT105" s="351"/>
      <c r="AU105" s="351"/>
      <c r="AV105" s="351"/>
      <c r="AW105" s="351"/>
      <c r="AX105" s="351"/>
      <c r="AY105" s="351"/>
    </row>
    <row r="106" spans="1:51" ht="15">
      <c r="A106" s="350">
        <v>94</v>
      </c>
      <c r="B106" s="338"/>
      <c r="C106" s="338" t="s">
        <v>74</v>
      </c>
      <c r="D106" s="337">
        <v>94</v>
      </c>
      <c r="E106" s="337" t="s">
        <v>2704</v>
      </c>
      <c r="F106" s="337">
        <v>2023</v>
      </c>
      <c r="G106" s="336" t="s">
        <v>2583</v>
      </c>
      <c r="H106" s="336" t="s">
        <v>2488</v>
      </c>
      <c r="I106" s="342">
        <v>32475</v>
      </c>
      <c r="J106" s="336" t="s">
        <v>3654</v>
      </c>
      <c r="K106" s="336" t="s">
        <v>2492</v>
      </c>
      <c r="L106" s="336">
        <v>81290536246</v>
      </c>
      <c r="M106" s="337" t="s">
        <v>2710</v>
      </c>
      <c r="N106" s="338" t="s">
        <v>2852</v>
      </c>
      <c r="O106" s="337" t="s">
        <v>1803</v>
      </c>
      <c r="P106" s="338" t="s">
        <v>2853</v>
      </c>
      <c r="Q106" s="338" t="s">
        <v>74</v>
      </c>
      <c r="R106" s="338"/>
      <c r="S106" s="338" t="s">
        <v>1739</v>
      </c>
      <c r="T106" s="338" t="s">
        <v>1739</v>
      </c>
      <c r="U106" s="338" t="s">
        <v>2855</v>
      </c>
      <c r="V106" s="337" t="s">
        <v>1693</v>
      </c>
      <c r="W106" s="337" t="s">
        <v>3655</v>
      </c>
      <c r="X106" s="336" t="s">
        <v>3654</v>
      </c>
      <c r="Y106" s="336" t="s">
        <v>249</v>
      </c>
      <c r="Z106" s="336" t="s">
        <v>249</v>
      </c>
      <c r="AA106" s="354" t="s">
        <v>3656</v>
      </c>
      <c r="AB106" s="338" t="s">
        <v>3657</v>
      </c>
      <c r="AC106" s="336" t="s">
        <v>3100</v>
      </c>
      <c r="AD106" s="336"/>
      <c r="AE106" s="338"/>
      <c r="AF106" s="329"/>
      <c r="AG106" s="329"/>
      <c r="AH106" s="338"/>
      <c r="AI106" s="351"/>
      <c r="AJ106" s="351"/>
      <c r="AK106" s="351"/>
      <c r="AL106" s="351"/>
      <c r="AM106" s="351"/>
      <c r="AN106" s="351"/>
      <c r="AO106" s="351"/>
      <c r="AP106" s="351"/>
      <c r="AQ106" s="351"/>
      <c r="AR106" s="351"/>
      <c r="AS106" s="351"/>
      <c r="AT106" s="351"/>
      <c r="AU106" s="351"/>
      <c r="AV106" s="351"/>
      <c r="AW106" s="351"/>
      <c r="AX106" s="351"/>
      <c r="AY106" s="351"/>
    </row>
    <row r="107" spans="1:51" ht="15">
      <c r="A107" s="350">
        <v>95</v>
      </c>
      <c r="B107" s="338"/>
      <c r="C107" s="338" t="s">
        <v>74</v>
      </c>
      <c r="D107" s="337">
        <v>95</v>
      </c>
      <c r="E107" s="337" t="s">
        <v>2704</v>
      </c>
      <c r="F107" s="337">
        <v>2023</v>
      </c>
      <c r="G107" s="336" t="s">
        <v>2584</v>
      </c>
      <c r="H107" s="336" t="s">
        <v>2488</v>
      </c>
      <c r="I107" s="338" t="s">
        <v>3658</v>
      </c>
      <c r="J107" s="336" t="s">
        <v>3659</v>
      </c>
      <c r="K107" s="336" t="s">
        <v>2888</v>
      </c>
      <c r="L107" s="336">
        <v>82126221637</v>
      </c>
      <c r="M107" s="337" t="s">
        <v>2710</v>
      </c>
      <c r="N107" s="338" t="s">
        <v>2852</v>
      </c>
      <c r="O107" s="337" t="s">
        <v>1803</v>
      </c>
      <c r="P107" s="338" t="s">
        <v>2853</v>
      </c>
      <c r="Q107" s="338" t="s">
        <v>74</v>
      </c>
      <c r="R107" s="338"/>
      <c r="S107" s="338" t="s">
        <v>1739</v>
      </c>
      <c r="T107" s="338" t="s">
        <v>1739</v>
      </c>
      <c r="U107" s="338" t="s">
        <v>2855</v>
      </c>
      <c r="V107" s="337" t="s">
        <v>1693</v>
      </c>
      <c r="W107" s="337" t="s">
        <v>3660</v>
      </c>
      <c r="X107" s="336" t="s">
        <v>3661</v>
      </c>
      <c r="Y107" s="336" t="s">
        <v>249</v>
      </c>
      <c r="Z107" s="336" t="s">
        <v>249</v>
      </c>
      <c r="AA107" s="354" t="s">
        <v>3662</v>
      </c>
      <c r="AB107" s="338" t="s">
        <v>3663</v>
      </c>
      <c r="AC107" s="336" t="s">
        <v>3100</v>
      </c>
      <c r="AD107" s="336"/>
      <c r="AE107" s="338"/>
      <c r="AF107" s="329"/>
      <c r="AG107" s="329"/>
      <c r="AH107" s="338"/>
      <c r="AI107" s="351"/>
      <c r="AJ107" s="351"/>
      <c r="AK107" s="351"/>
      <c r="AL107" s="351"/>
      <c r="AM107" s="351"/>
      <c r="AN107" s="351"/>
      <c r="AO107" s="351"/>
      <c r="AP107" s="351"/>
      <c r="AQ107" s="351"/>
      <c r="AR107" s="351"/>
      <c r="AS107" s="351"/>
      <c r="AT107" s="351"/>
      <c r="AU107" s="351"/>
      <c r="AV107" s="351"/>
      <c r="AW107" s="351"/>
      <c r="AX107" s="351"/>
      <c r="AY107" s="351"/>
    </row>
    <row r="108" spans="1:51" ht="15">
      <c r="A108" s="350">
        <v>96</v>
      </c>
      <c r="B108" s="338"/>
      <c r="C108" s="338" t="s">
        <v>1763</v>
      </c>
      <c r="D108" s="337">
        <v>96</v>
      </c>
      <c r="E108" s="337" t="s">
        <v>2704</v>
      </c>
      <c r="F108" s="337">
        <v>2023</v>
      </c>
      <c r="G108" s="336" t="s">
        <v>2640</v>
      </c>
      <c r="H108" s="336" t="s">
        <v>2490</v>
      </c>
      <c r="I108" s="342">
        <v>29319</v>
      </c>
      <c r="J108" s="336" t="s">
        <v>3664</v>
      </c>
      <c r="K108" s="336" t="s">
        <v>3665</v>
      </c>
      <c r="L108" s="336">
        <v>81388911968</v>
      </c>
      <c r="M108" s="337" t="s">
        <v>2710</v>
      </c>
      <c r="N108" s="338" t="s">
        <v>2852</v>
      </c>
      <c r="O108" s="337" t="s">
        <v>1803</v>
      </c>
      <c r="P108" s="338" t="s">
        <v>2853</v>
      </c>
      <c r="Q108" s="338" t="s">
        <v>1763</v>
      </c>
      <c r="R108" s="338"/>
      <c r="S108" s="338" t="s">
        <v>1739</v>
      </c>
      <c r="T108" s="338" t="s">
        <v>1739</v>
      </c>
      <c r="U108" s="338" t="s">
        <v>2855</v>
      </c>
      <c r="V108" s="337" t="s">
        <v>1693</v>
      </c>
      <c r="W108" s="337" t="s">
        <v>3666</v>
      </c>
      <c r="X108" s="336" t="s">
        <v>3667</v>
      </c>
      <c r="Y108" s="336" t="s">
        <v>3668</v>
      </c>
      <c r="Z108" s="336" t="s">
        <v>3669</v>
      </c>
      <c r="AA108" s="354" t="s">
        <v>3670</v>
      </c>
      <c r="AB108" s="338" t="s">
        <v>3671</v>
      </c>
      <c r="AC108" s="336" t="s">
        <v>3672</v>
      </c>
      <c r="AD108" s="336"/>
      <c r="AE108" s="338"/>
      <c r="AF108" s="329"/>
      <c r="AG108" s="329"/>
      <c r="AH108" s="338"/>
      <c r="AI108" s="351"/>
      <c r="AJ108" s="351"/>
      <c r="AK108" s="351"/>
      <c r="AL108" s="351"/>
      <c r="AM108" s="351"/>
      <c r="AN108" s="351"/>
      <c r="AO108" s="351"/>
      <c r="AP108" s="351"/>
      <c r="AQ108" s="351"/>
      <c r="AR108" s="351"/>
      <c r="AS108" s="351"/>
      <c r="AT108" s="351"/>
      <c r="AU108" s="351"/>
      <c r="AV108" s="351"/>
      <c r="AW108" s="351"/>
      <c r="AX108" s="351"/>
      <c r="AY108" s="351"/>
    </row>
    <row r="109" spans="1:51" ht="15">
      <c r="A109" s="350">
        <v>97</v>
      </c>
      <c r="B109" s="338"/>
      <c r="C109" s="338" t="s">
        <v>1763</v>
      </c>
      <c r="D109" s="337">
        <v>97</v>
      </c>
      <c r="E109" s="337" t="s">
        <v>2704</v>
      </c>
      <c r="F109" s="337">
        <v>2023</v>
      </c>
      <c r="G109" s="336" t="s">
        <v>2641</v>
      </c>
      <c r="H109" s="336" t="s">
        <v>3665</v>
      </c>
      <c r="I109" s="338" t="s">
        <v>3673</v>
      </c>
      <c r="J109" s="336" t="s">
        <v>3674</v>
      </c>
      <c r="K109" s="336" t="s">
        <v>3675</v>
      </c>
      <c r="L109" s="336">
        <v>81329937156</v>
      </c>
      <c r="M109" s="337" t="s">
        <v>2710</v>
      </c>
      <c r="N109" s="338" t="s">
        <v>2852</v>
      </c>
      <c r="O109" s="337" t="s">
        <v>1803</v>
      </c>
      <c r="P109" s="338" t="s">
        <v>2853</v>
      </c>
      <c r="Q109" s="338" t="s">
        <v>1763</v>
      </c>
      <c r="R109" s="338"/>
      <c r="S109" s="338" t="s">
        <v>1739</v>
      </c>
      <c r="T109" s="338" t="s">
        <v>1739</v>
      </c>
      <c r="U109" s="338" t="s">
        <v>2855</v>
      </c>
      <c r="V109" s="337" t="s">
        <v>1693</v>
      </c>
      <c r="W109" s="337" t="s">
        <v>3676</v>
      </c>
      <c r="X109" s="336" t="s">
        <v>3674</v>
      </c>
      <c r="Y109" s="336" t="s">
        <v>3677</v>
      </c>
      <c r="Z109" s="336" t="s">
        <v>3678</v>
      </c>
      <c r="AA109" s="354" t="s">
        <v>3679</v>
      </c>
      <c r="AB109" s="338" t="s">
        <v>3680</v>
      </c>
      <c r="AC109" s="336" t="s">
        <v>2963</v>
      </c>
      <c r="AD109" s="336"/>
      <c r="AE109" s="338"/>
      <c r="AF109" s="329"/>
      <c r="AG109" s="329"/>
      <c r="AH109" s="338"/>
      <c r="AI109" s="351"/>
      <c r="AJ109" s="351"/>
      <c r="AK109" s="351"/>
      <c r="AL109" s="351"/>
      <c r="AM109" s="351"/>
      <c r="AN109" s="351"/>
      <c r="AO109" s="351"/>
      <c r="AP109" s="351"/>
      <c r="AQ109" s="351"/>
      <c r="AR109" s="351"/>
      <c r="AS109" s="351"/>
      <c r="AT109" s="351"/>
      <c r="AU109" s="351"/>
      <c r="AV109" s="351"/>
      <c r="AW109" s="351"/>
      <c r="AX109" s="351"/>
      <c r="AY109" s="351"/>
    </row>
    <row r="110" spans="1:51" ht="15">
      <c r="A110" s="350">
        <v>98</v>
      </c>
      <c r="B110" s="338"/>
      <c r="C110" s="338" t="s">
        <v>2582</v>
      </c>
      <c r="D110" s="337">
        <v>98</v>
      </c>
      <c r="E110" s="337" t="s">
        <v>2704</v>
      </c>
      <c r="F110" s="337">
        <v>2023</v>
      </c>
      <c r="G110" s="336" t="s">
        <v>3681</v>
      </c>
      <c r="H110" s="336" t="s">
        <v>2492</v>
      </c>
      <c r="I110" s="338" t="s">
        <v>3682</v>
      </c>
      <c r="J110" s="336" t="s">
        <v>3683</v>
      </c>
      <c r="K110" s="336" t="s">
        <v>2492</v>
      </c>
      <c r="L110" s="336">
        <v>87875501426</v>
      </c>
      <c r="M110" s="337" t="s">
        <v>2710</v>
      </c>
      <c r="N110" s="338" t="s">
        <v>2852</v>
      </c>
      <c r="O110" s="337" t="s">
        <v>1803</v>
      </c>
      <c r="P110" s="338" t="s">
        <v>2853</v>
      </c>
      <c r="Q110" s="338" t="s">
        <v>2582</v>
      </c>
      <c r="R110" s="338"/>
      <c r="S110" s="338" t="s">
        <v>1739</v>
      </c>
      <c r="T110" s="338" t="s">
        <v>1739</v>
      </c>
      <c r="U110" s="338" t="s">
        <v>2855</v>
      </c>
      <c r="V110" s="337" t="s">
        <v>1693</v>
      </c>
      <c r="W110" s="338" t="s">
        <v>3684</v>
      </c>
      <c r="X110" s="336" t="s">
        <v>3685</v>
      </c>
      <c r="Y110" s="336" t="s">
        <v>3686</v>
      </c>
      <c r="Z110" s="336" t="s">
        <v>3687</v>
      </c>
      <c r="AA110" s="354" t="s">
        <v>3688</v>
      </c>
      <c r="AB110" s="338" t="s">
        <v>3483</v>
      </c>
      <c r="AC110" s="336" t="s">
        <v>3689</v>
      </c>
      <c r="AD110" s="336"/>
      <c r="AE110" s="338"/>
      <c r="AF110" s="329" t="s">
        <v>2928</v>
      </c>
      <c r="AG110" s="329" t="s">
        <v>2789</v>
      </c>
      <c r="AH110" s="348">
        <v>1</v>
      </c>
      <c r="AI110" s="351"/>
      <c r="AJ110" s="351"/>
      <c r="AK110" s="351"/>
      <c r="AL110" s="351"/>
      <c r="AM110" s="351"/>
      <c r="AN110" s="351"/>
      <c r="AO110" s="351"/>
      <c r="AP110" s="351"/>
      <c r="AQ110" s="351"/>
      <c r="AR110" s="351"/>
      <c r="AS110" s="351"/>
      <c r="AT110" s="351"/>
      <c r="AU110" s="351"/>
      <c r="AV110" s="351"/>
      <c r="AW110" s="351"/>
      <c r="AX110" s="351"/>
      <c r="AY110" s="351"/>
    </row>
    <row r="111" spans="1:51" ht="15">
      <c r="A111" s="350">
        <v>99</v>
      </c>
      <c r="B111" s="338"/>
      <c r="C111" s="338" t="s">
        <v>3414</v>
      </c>
      <c r="D111" s="337">
        <v>99</v>
      </c>
      <c r="E111" s="337" t="s">
        <v>2704</v>
      </c>
      <c r="F111" s="337">
        <v>2023</v>
      </c>
      <c r="G111" s="336" t="s">
        <v>3690</v>
      </c>
      <c r="H111" s="336" t="s">
        <v>3377</v>
      </c>
      <c r="I111" s="338" t="s">
        <v>3691</v>
      </c>
      <c r="J111" s="336" t="s">
        <v>3692</v>
      </c>
      <c r="K111" s="336" t="s">
        <v>3377</v>
      </c>
      <c r="L111" s="336" t="s">
        <v>3693</v>
      </c>
      <c r="M111" s="338" t="s">
        <v>2710</v>
      </c>
      <c r="N111" s="338" t="s">
        <v>2852</v>
      </c>
      <c r="O111" s="338" t="s">
        <v>2712</v>
      </c>
      <c r="P111" s="338" t="s">
        <v>2853</v>
      </c>
      <c r="Q111" s="338" t="s">
        <v>3414</v>
      </c>
      <c r="R111" s="336" t="s">
        <v>3419</v>
      </c>
      <c r="S111" s="338" t="s">
        <v>1739</v>
      </c>
      <c r="T111" s="338" t="s">
        <v>1739</v>
      </c>
      <c r="U111" s="338" t="s">
        <v>2855</v>
      </c>
      <c r="V111" s="337" t="s">
        <v>3379</v>
      </c>
      <c r="W111" s="338" t="s">
        <v>3694</v>
      </c>
      <c r="X111" s="336" t="s">
        <v>3695</v>
      </c>
      <c r="Y111" s="336" t="s">
        <v>3696</v>
      </c>
      <c r="Z111" s="336" t="s">
        <v>3695</v>
      </c>
      <c r="AA111" s="352" t="s">
        <v>3697</v>
      </c>
      <c r="AB111" s="338" t="s">
        <v>3698</v>
      </c>
      <c r="AC111" s="336" t="s">
        <v>3699</v>
      </c>
      <c r="AD111" s="336" t="s">
        <v>2897</v>
      </c>
      <c r="AE111" s="338"/>
      <c r="AF111" s="329"/>
      <c r="AG111" s="329"/>
      <c r="AH111" s="338"/>
      <c r="AI111" s="351"/>
      <c r="AJ111" s="351"/>
      <c r="AK111" s="351"/>
      <c r="AL111" s="351"/>
      <c r="AM111" s="351"/>
      <c r="AN111" s="351"/>
      <c r="AO111" s="351"/>
      <c r="AP111" s="351"/>
      <c r="AQ111" s="351"/>
      <c r="AR111" s="351"/>
      <c r="AS111" s="351"/>
      <c r="AT111" s="351"/>
      <c r="AU111" s="351"/>
      <c r="AV111" s="351"/>
      <c r="AW111" s="351"/>
      <c r="AX111" s="351"/>
      <c r="AY111" s="351"/>
    </row>
    <row r="112" spans="1:51" ht="15">
      <c r="A112" s="350">
        <v>100</v>
      </c>
      <c r="B112" s="338"/>
      <c r="C112" s="338" t="s">
        <v>2642</v>
      </c>
      <c r="D112" s="337">
        <v>100</v>
      </c>
      <c r="E112" s="337" t="s">
        <v>2704</v>
      </c>
      <c r="F112" s="337">
        <v>2023</v>
      </c>
      <c r="G112" s="336" t="s">
        <v>3700</v>
      </c>
      <c r="H112" s="336" t="s">
        <v>3701</v>
      </c>
      <c r="I112" s="338" t="s">
        <v>3702</v>
      </c>
      <c r="J112" s="336" t="s">
        <v>3703</v>
      </c>
      <c r="K112" s="336" t="s">
        <v>2851</v>
      </c>
      <c r="L112" s="336">
        <v>81290669474</v>
      </c>
      <c r="M112" s="337" t="s">
        <v>2710</v>
      </c>
      <c r="N112" s="338" t="s">
        <v>2852</v>
      </c>
      <c r="O112" s="337" t="s">
        <v>1803</v>
      </c>
      <c r="P112" s="338" t="s">
        <v>2853</v>
      </c>
      <c r="Q112" s="338" t="s">
        <v>2642</v>
      </c>
      <c r="R112" s="338"/>
      <c r="S112" s="338" t="s">
        <v>1739</v>
      </c>
      <c r="T112" s="338" t="s">
        <v>1739</v>
      </c>
      <c r="U112" s="338" t="s">
        <v>2855</v>
      </c>
      <c r="V112" s="337" t="s">
        <v>1693</v>
      </c>
      <c r="W112" s="338" t="s">
        <v>3704</v>
      </c>
      <c r="X112" s="336" t="s">
        <v>3705</v>
      </c>
      <c r="Y112" s="336" t="s">
        <v>3706</v>
      </c>
      <c r="Z112" s="336" t="s">
        <v>3705</v>
      </c>
      <c r="AA112" s="354" t="s">
        <v>3707</v>
      </c>
      <c r="AB112" s="338" t="s">
        <v>2736</v>
      </c>
      <c r="AC112" s="336" t="s">
        <v>3708</v>
      </c>
      <c r="AD112" s="336"/>
      <c r="AE112" s="338"/>
      <c r="AF112" s="329"/>
      <c r="AG112" s="329" t="s">
        <v>2813</v>
      </c>
      <c r="AH112" s="338"/>
      <c r="AI112" s="351"/>
      <c r="AJ112" s="351"/>
      <c r="AK112" s="351"/>
      <c r="AL112" s="351"/>
      <c r="AM112" s="351"/>
      <c r="AN112" s="351"/>
      <c r="AO112" s="351"/>
      <c r="AP112" s="351"/>
      <c r="AQ112" s="351"/>
      <c r="AR112" s="351"/>
      <c r="AS112" s="351"/>
      <c r="AT112" s="351"/>
      <c r="AU112" s="351"/>
      <c r="AV112" s="351"/>
      <c r="AW112" s="351"/>
      <c r="AX112" s="351"/>
      <c r="AY112" s="351"/>
    </row>
    <row r="113" spans="1:51" ht="15">
      <c r="A113" s="350">
        <v>101</v>
      </c>
      <c r="B113" s="338"/>
      <c r="C113" s="338" t="s">
        <v>2643</v>
      </c>
      <c r="D113" s="337">
        <v>101</v>
      </c>
      <c r="E113" s="337" t="s">
        <v>2704</v>
      </c>
      <c r="F113" s="337">
        <v>2023</v>
      </c>
      <c r="G113" s="336" t="s">
        <v>2644</v>
      </c>
      <c r="H113" s="336" t="s">
        <v>3701</v>
      </c>
      <c r="I113" s="338" t="s">
        <v>3709</v>
      </c>
      <c r="J113" s="336" t="s">
        <v>3710</v>
      </c>
      <c r="K113" s="336" t="s">
        <v>3711</v>
      </c>
      <c r="L113" s="336">
        <v>82130005152</v>
      </c>
      <c r="M113" s="337" t="s">
        <v>2710</v>
      </c>
      <c r="N113" s="338" t="s">
        <v>2852</v>
      </c>
      <c r="O113" s="337" t="s">
        <v>1803</v>
      </c>
      <c r="P113" s="338" t="s">
        <v>2853</v>
      </c>
      <c r="Q113" s="338" t="s">
        <v>2643</v>
      </c>
      <c r="R113" s="338"/>
      <c r="S113" s="338" t="s">
        <v>1739</v>
      </c>
      <c r="T113" s="338" t="s">
        <v>1739</v>
      </c>
      <c r="U113" s="338" t="s">
        <v>2855</v>
      </c>
      <c r="V113" s="337" t="s">
        <v>1693</v>
      </c>
      <c r="W113" s="338" t="s">
        <v>3712</v>
      </c>
      <c r="X113" s="336" t="s">
        <v>3713</v>
      </c>
      <c r="Y113" s="361" t="s">
        <v>249</v>
      </c>
      <c r="Z113" s="361" t="s">
        <v>249</v>
      </c>
      <c r="AA113" s="354" t="s">
        <v>3714</v>
      </c>
      <c r="AB113" s="338" t="s">
        <v>2736</v>
      </c>
      <c r="AC113" s="336" t="s">
        <v>3715</v>
      </c>
      <c r="AD113" s="336"/>
      <c r="AE113" s="338"/>
      <c r="AF113" s="329" t="s">
        <v>2928</v>
      </c>
      <c r="AG113" s="329" t="s">
        <v>2813</v>
      </c>
      <c r="AH113" s="338"/>
      <c r="AI113" s="351"/>
      <c r="AJ113" s="351"/>
      <c r="AK113" s="351"/>
      <c r="AL113" s="351"/>
      <c r="AM113" s="351"/>
      <c r="AN113" s="351"/>
      <c r="AO113" s="351"/>
      <c r="AP113" s="351"/>
      <c r="AQ113" s="351"/>
      <c r="AR113" s="351"/>
      <c r="AS113" s="351"/>
      <c r="AT113" s="351"/>
      <c r="AU113" s="351"/>
      <c r="AV113" s="351"/>
      <c r="AW113" s="351"/>
      <c r="AX113" s="351"/>
      <c r="AY113" s="351"/>
    </row>
    <row r="114" spans="1:51" ht="15">
      <c r="A114" s="350">
        <v>102</v>
      </c>
      <c r="B114" s="338"/>
      <c r="C114" s="338"/>
      <c r="D114" s="337">
        <v>102</v>
      </c>
      <c r="E114" s="337" t="s">
        <v>2704</v>
      </c>
      <c r="F114" s="337">
        <v>2023</v>
      </c>
      <c r="G114" s="353" t="s">
        <v>2547</v>
      </c>
      <c r="H114" s="336"/>
      <c r="I114" s="338"/>
      <c r="J114" s="336"/>
      <c r="K114" s="336"/>
      <c r="L114" s="336"/>
      <c r="M114" s="338"/>
      <c r="N114" s="338" t="s">
        <v>2852</v>
      </c>
      <c r="O114" s="338"/>
      <c r="P114" s="338" t="s">
        <v>2853</v>
      </c>
      <c r="Q114" s="348">
        <v>0</v>
      </c>
      <c r="R114" s="338"/>
      <c r="S114" s="338"/>
      <c r="T114" s="338"/>
      <c r="U114" s="338"/>
      <c r="V114" s="337"/>
      <c r="W114" s="338"/>
      <c r="X114" s="336"/>
      <c r="Y114" s="336"/>
      <c r="Z114" s="336"/>
      <c r="AA114" s="338"/>
      <c r="AB114" s="338"/>
      <c r="AC114" s="336"/>
      <c r="AD114" s="336"/>
      <c r="AE114" s="338"/>
      <c r="AF114" s="329"/>
      <c r="AG114" s="329"/>
      <c r="AH114" s="338"/>
      <c r="AI114" s="351"/>
      <c r="AJ114" s="351"/>
      <c r="AK114" s="351"/>
      <c r="AL114" s="351"/>
      <c r="AM114" s="351"/>
      <c r="AN114" s="351"/>
      <c r="AO114" s="351"/>
      <c r="AP114" s="351"/>
      <c r="AQ114" s="351"/>
      <c r="AR114" s="351"/>
      <c r="AS114" s="351"/>
      <c r="AT114" s="351"/>
      <c r="AU114" s="351"/>
      <c r="AV114" s="351"/>
      <c r="AW114" s="351"/>
      <c r="AX114" s="351"/>
      <c r="AY114" s="351"/>
    </row>
    <row r="115" spans="1:51" ht="15">
      <c r="A115" s="350">
        <v>103</v>
      </c>
      <c r="B115" s="338" t="s">
        <v>3716</v>
      </c>
      <c r="C115" s="336" t="s">
        <v>2804</v>
      </c>
      <c r="D115" s="337">
        <v>103</v>
      </c>
      <c r="E115" s="337" t="s">
        <v>2704</v>
      </c>
      <c r="F115" s="337">
        <v>2023</v>
      </c>
      <c r="G115" s="336" t="s">
        <v>2548</v>
      </c>
      <c r="H115" s="336" t="s">
        <v>3717</v>
      </c>
      <c r="I115" s="338" t="s">
        <v>3718</v>
      </c>
      <c r="J115" s="336" t="s">
        <v>3719</v>
      </c>
      <c r="K115" s="336" t="s">
        <v>3717</v>
      </c>
      <c r="L115" s="336">
        <v>81615155333</v>
      </c>
      <c r="M115" s="338" t="s">
        <v>2710</v>
      </c>
      <c r="N115" s="338" t="s">
        <v>2852</v>
      </c>
      <c r="O115" s="338" t="s">
        <v>2712</v>
      </c>
      <c r="P115" s="338" t="s">
        <v>2853</v>
      </c>
      <c r="Q115" s="338" t="s">
        <v>2804</v>
      </c>
      <c r="R115" s="336" t="s">
        <v>2796</v>
      </c>
      <c r="S115" s="338" t="s">
        <v>1739</v>
      </c>
      <c r="T115" s="338" t="s">
        <v>1739</v>
      </c>
      <c r="U115" s="338" t="s">
        <v>2855</v>
      </c>
      <c r="V115" s="337" t="s">
        <v>2797</v>
      </c>
      <c r="W115" s="337" t="s">
        <v>3720</v>
      </c>
      <c r="X115" s="336" t="s">
        <v>3721</v>
      </c>
      <c r="Y115" s="336" t="s">
        <v>3722</v>
      </c>
      <c r="Z115" s="336" t="s">
        <v>3721</v>
      </c>
      <c r="AA115" s="354" t="s">
        <v>3723</v>
      </c>
      <c r="AB115" s="338" t="s">
        <v>2736</v>
      </c>
      <c r="AC115" s="336" t="s">
        <v>3724</v>
      </c>
      <c r="AD115" s="336"/>
      <c r="AE115" s="338"/>
      <c r="AF115" s="329"/>
      <c r="AG115" s="329" t="s">
        <v>2789</v>
      </c>
      <c r="AH115" s="348">
        <v>1</v>
      </c>
      <c r="AI115" s="351"/>
      <c r="AJ115" s="351"/>
      <c r="AK115" s="351"/>
      <c r="AL115" s="351"/>
      <c r="AM115" s="351"/>
      <c r="AN115" s="351"/>
      <c r="AO115" s="351"/>
      <c r="AP115" s="351"/>
      <c r="AQ115" s="351"/>
      <c r="AR115" s="351"/>
      <c r="AS115" s="351"/>
      <c r="AT115" s="351"/>
      <c r="AU115" s="351"/>
      <c r="AV115" s="351"/>
      <c r="AW115" s="351"/>
      <c r="AX115" s="351"/>
      <c r="AY115" s="351"/>
    </row>
    <row r="116" spans="1:51" ht="15">
      <c r="A116" s="350">
        <v>104</v>
      </c>
      <c r="B116" s="338" t="s">
        <v>3716</v>
      </c>
      <c r="C116" s="336" t="s">
        <v>3725</v>
      </c>
      <c r="D116" s="337">
        <v>104</v>
      </c>
      <c r="E116" s="337" t="s">
        <v>2704</v>
      </c>
      <c r="F116" s="337">
        <v>2023</v>
      </c>
      <c r="G116" s="336" t="s">
        <v>2549</v>
      </c>
      <c r="H116" s="336" t="s">
        <v>2495</v>
      </c>
      <c r="I116" s="338" t="s">
        <v>3726</v>
      </c>
      <c r="J116" s="336" t="s">
        <v>3727</v>
      </c>
      <c r="K116" s="336" t="s">
        <v>2495</v>
      </c>
      <c r="L116" s="336">
        <v>8991010765</v>
      </c>
      <c r="M116" s="338" t="s">
        <v>2710</v>
      </c>
      <c r="N116" s="338" t="s">
        <v>2852</v>
      </c>
      <c r="O116" s="338" t="s">
        <v>2712</v>
      </c>
      <c r="P116" s="338" t="s">
        <v>2853</v>
      </c>
      <c r="Q116" s="338" t="s">
        <v>3725</v>
      </c>
      <c r="R116" s="336" t="s">
        <v>2796</v>
      </c>
      <c r="S116" s="338" t="s">
        <v>1739</v>
      </c>
      <c r="T116" s="338" t="s">
        <v>1739</v>
      </c>
      <c r="U116" s="338" t="s">
        <v>2855</v>
      </c>
      <c r="V116" s="337" t="s">
        <v>2797</v>
      </c>
      <c r="W116" s="337" t="s">
        <v>3728</v>
      </c>
      <c r="X116" s="336" t="s">
        <v>3729</v>
      </c>
      <c r="Y116" s="336" t="s">
        <v>3730</v>
      </c>
      <c r="Z116" s="336" t="s">
        <v>3729</v>
      </c>
      <c r="AA116" s="354" t="s">
        <v>3731</v>
      </c>
      <c r="AB116" s="338" t="s">
        <v>2736</v>
      </c>
      <c r="AC116" s="336" t="s">
        <v>3732</v>
      </c>
      <c r="AD116" s="336"/>
      <c r="AE116" s="338"/>
      <c r="AF116" s="329"/>
      <c r="AG116" s="329" t="s">
        <v>2789</v>
      </c>
      <c r="AH116" s="348">
        <v>1</v>
      </c>
      <c r="AI116" s="351"/>
      <c r="AJ116" s="351"/>
      <c r="AK116" s="351"/>
      <c r="AL116" s="351"/>
      <c r="AM116" s="351"/>
      <c r="AN116" s="351"/>
      <c r="AO116" s="351"/>
      <c r="AP116" s="351"/>
      <c r="AQ116" s="351"/>
      <c r="AR116" s="351"/>
      <c r="AS116" s="351"/>
      <c r="AT116" s="351"/>
      <c r="AU116" s="351"/>
      <c r="AV116" s="351"/>
      <c r="AW116" s="351"/>
      <c r="AX116" s="351"/>
      <c r="AY116" s="351"/>
    </row>
    <row r="117" spans="1:51" ht="15">
      <c r="A117" s="350">
        <v>105</v>
      </c>
      <c r="B117" s="338" t="s">
        <v>3716</v>
      </c>
      <c r="C117" s="336" t="s">
        <v>3733</v>
      </c>
      <c r="D117" s="337">
        <v>105</v>
      </c>
      <c r="E117" s="337" t="s">
        <v>2704</v>
      </c>
      <c r="F117" s="337">
        <v>2023</v>
      </c>
      <c r="G117" s="336" t="s">
        <v>3734</v>
      </c>
      <c r="H117" s="336" t="s">
        <v>3377</v>
      </c>
      <c r="I117" s="342">
        <v>32454</v>
      </c>
      <c r="J117" s="336" t="s">
        <v>3735</v>
      </c>
      <c r="K117" s="336" t="s">
        <v>2491</v>
      </c>
      <c r="L117" s="336">
        <v>82142609575</v>
      </c>
      <c r="M117" s="338" t="s">
        <v>2710</v>
      </c>
      <c r="N117" s="338" t="s">
        <v>2852</v>
      </c>
      <c r="O117" s="338" t="s">
        <v>2712</v>
      </c>
      <c r="P117" s="338" t="s">
        <v>2853</v>
      </c>
      <c r="Q117" s="338" t="s">
        <v>3733</v>
      </c>
      <c r="R117" s="336" t="s">
        <v>3736</v>
      </c>
      <c r="S117" s="338" t="s">
        <v>1739</v>
      </c>
      <c r="T117" s="338" t="s">
        <v>1739</v>
      </c>
      <c r="U117" s="338" t="s">
        <v>2855</v>
      </c>
      <c r="V117" s="337" t="s">
        <v>3737</v>
      </c>
      <c r="W117" s="337" t="s">
        <v>3738</v>
      </c>
      <c r="X117" s="336" t="s">
        <v>3739</v>
      </c>
      <c r="Y117" s="361" t="s">
        <v>249</v>
      </c>
      <c r="Z117" s="361" t="s">
        <v>249</v>
      </c>
      <c r="AA117" s="354" t="s">
        <v>3740</v>
      </c>
      <c r="AB117" s="338" t="s">
        <v>3741</v>
      </c>
      <c r="AC117" s="336" t="s">
        <v>3742</v>
      </c>
      <c r="AD117" s="336"/>
      <c r="AE117" s="338"/>
      <c r="AF117" s="329"/>
      <c r="AG117" s="329" t="s">
        <v>2789</v>
      </c>
      <c r="AH117" s="348">
        <v>1</v>
      </c>
      <c r="AI117" s="351"/>
      <c r="AJ117" s="351"/>
      <c r="AK117" s="351"/>
      <c r="AL117" s="351"/>
      <c r="AM117" s="351"/>
      <c r="AN117" s="351"/>
      <c r="AO117" s="351"/>
      <c r="AP117" s="351"/>
      <c r="AQ117" s="351"/>
      <c r="AR117" s="351"/>
      <c r="AS117" s="351"/>
      <c r="AT117" s="351"/>
      <c r="AU117" s="351"/>
      <c r="AV117" s="351"/>
      <c r="AW117" s="351"/>
      <c r="AX117" s="351"/>
      <c r="AY117" s="351"/>
    </row>
    <row r="118" spans="1:51" ht="15">
      <c r="A118" s="350">
        <v>106</v>
      </c>
      <c r="B118" s="338" t="s">
        <v>3716</v>
      </c>
      <c r="C118" s="336" t="s">
        <v>12</v>
      </c>
      <c r="D118" s="337">
        <v>106</v>
      </c>
      <c r="E118" s="337" t="s">
        <v>2704</v>
      </c>
      <c r="F118" s="337">
        <v>2023</v>
      </c>
      <c r="G118" s="336" t="s">
        <v>2550</v>
      </c>
      <c r="H118" s="336" t="s">
        <v>3743</v>
      </c>
      <c r="I118" s="338" t="s">
        <v>3744</v>
      </c>
      <c r="J118" s="336" t="s">
        <v>3745</v>
      </c>
      <c r="K118" s="336" t="s">
        <v>3746</v>
      </c>
      <c r="L118" s="336">
        <v>81333038085</v>
      </c>
      <c r="M118" s="338" t="s">
        <v>2710</v>
      </c>
      <c r="N118" s="338" t="s">
        <v>2852</v>
      </c>
      <c r="O118" s="338" t="s">
        <v>2712</v>
      </c>
      <c r="P118" s="338" t="s">
        <v>2853</v>
      </c>
      <c r="Q118" s="338" t="s">
        <v>12</v>
      </c>
      <c r="R118" s="336" t="s">
        <v>3747</v>
      </c>
      <c r="S118" s="338" t="s">
        <v>1739</v>
      </c>
      <c r="T118" s="338" t="s">
        <v>1739</v>
      </c>
      <c r="U118" s="338" t="s">
        <v>2855</v>
      </c>
      <c r="V118" s="337" t="s">
        <v>3748</v>
      </c>
      <c r="W118" s="337" t="s">
        <v>3749</v>
      </c>
      <c r="X118" s="336" t="s">
        <v>3750</v>
      </c>
      <c r="Y118" s="361" t="s">
        <v>249</v>
      </c>
      <c r="Z118" s="361" t="s">
        <v>249</v>
      </c>
      <c r="AA118" s="354" t="s">
        <v>3751</v>
      </c>
      <c r="AB118" s="338" t="s">
        <v>3741</v>
      </c>
      <c r="AC118" s="336" t="s">
        <v>3752</v>
      </c>
      <c r="AD118" s="336"/>
      <c r="AE118" s="338"/>
      <c r="AF118" s="329"/>
      <c r="AG118" s="329" t="s">
        <v>2789</v>
      </c>
      <c r="AH118" s="348">
        <v>1</v>
      </c>
      <c r="AI118" s="351"/>
      <c r="AJ118" s="351"/>
      <c r="AK118" s="351"/>
      <c r="AL118" s="351"/>
      <c r="AM118" s="351"/>
      <c r="AN118" s="351"/>
      <c r="AO118" s="351"/>
      <c r="AP118" s="351"/>
      <c r="AQ118" s="351"/>
      <c r="AR118" s="351"/>
      <c r="AS118" s="351"/>
      <c r="AT118" s="351"/>
      <c r="AU118" s="351"/>
      <c r="AV118" s="351"/>
      <c r="AW118" s="351"/>
      <c r="AX118" s="351"/>
      <c r="AY118" s="351"/>
    </row>
    <row r="119" spans="1:51" ht="15">
      <c r="A119" s="350">
        <v>107</v>
      </c>
      <c r="B119" s="338" t="s">
        <v>3716</v>
      </c>
      <c r="C119" s="338" t="s">
        <v>3753</v>
      </c>
      <c r="D119" s="337">
        <v>107</v>
      </c>
      <c r="E119" s="337" t="s">
        <v>2704</v>
      </c>
      <c r="F119" s="337">
        <v>2023</v>
      </c>
      <c r="G119" s="336" t="s">
        <v>2551</v>
      </c>
      <c r="H119" s="336" t="s">
        <v>2493</v>
      </c>
      <c r="I119" s="338">
        <v>29467</v>
      </c>
      <c r="J119" s="336" t="s">
        <v>3754</v>
      </c>
      <c r="K119" s="336" t="s">
        <v>2491</v>
      </c>
      <c r="L119" s="336">
        <v>81298124598</v>
      </c>
      <c r="M119" s="338" t="s">
        <v>2710</v>
      </c>
      <c r="N119" s="338" t="s">
        <v>2852</v>
      </c>
      <c r="O119" s="338" t="s">
        <v>2712</v>
      </c>
      <c r="P119" s="338" t="s">
        <v>2853</v>
      </c>
      <c r="Q119" s="338" t="s">
        <v>3753</v>
      </c>
      <c r="R119" s="336"/>
      <c r="S119" s="338" t="s">
        <v>1739</v>
      </c>
      <c r="T119" s="338" t="s">
        <v>1739</v>
      </c>
      <c r="U119" s="338" t="s">
        <v>2855</v>
      </c>
      <c r="V119" s="337" t="s">
        <v>2715</v>
      </c>
      <c r="W119" s="337" t="s">
        <v>3755</v>
      </c>
      <c r="X119" s="336" t="s">
        <v>3756</v>
      </c>
      <c r="Y119" s="336" t="s">
        <v>249</v>
      </c>
      <c r="Z119" s="336" t="s">
        <v>249</v>
      </c>
      <c r="AA119" s="338" t="s">
        <v>3757</v>
      </c>
      <c r="AB119" s="338"/>
      <c r="AC119" s="336"/>
      <c r="AD119" s="336"/>
      <c r="AE119" s="338"/>
      <c r="AF119" s="329"/>
      <c r="AG119" s="329"/>
      <c r="AH119" s="338"/>
      <c r="AI119" s="351"/>
      <c r="AJ119" s="351"/>
      <c r="AK119" s="351"/>
      <c r="AL119" s="351"/>
      <c r="AM119" s="351"/>
      <c r="AN119" s="351"/>
      <c r="AO119" s="351"/>
      <c r="AP119" s="351"/>
      <c r="AQ119" s="351"/>
      <c r="AR119" s="351"/>
      <c r="AS119" s="351"/>
      <c r="AT119" s="351"/>
      <c r="AU119" s="351"/>
      <c r="AV119" s="351"/>
      <c r="AW119" s="351"/>
      <c r="AX119" s="351"/>
      <c r="AY119" s="351"/>
    </row>
    <row r="120" spans="1:51" ht="15">
      <c r="A120" s="350">
        <v>108</v>
      </c>
      <c r="B120" s="338" t="s">
        <v>3716</v>
      </c>
      <c r="C120" s="336" t="s">
        <v>2552</v>
      </c>
      <c r="D120" s="337">
        <v>108</v>
      </c>
      <c r="E120" s="337" t="s">
        <v>2704</v>
      </c>
      <c r="F120" s="337">
        <v>2023</v>
      </c>
      <c r="G120" s="336" t="s">
        <v>2553</v>
      </c>
      <c r="H120" s="336" t="s">
        <v>3758</v>
      </c>
      <c r="I120" s="338" t="s">
        <v>3759</v>
      </c>
      <c r="J120" s="336" t="s">
        <v>3760</v>
      </c>
      <c r="K120" s="336" t="s">
        <v>3761</v>
      </c>
      <c r="L120" s="336">
        <v>85732810152</v>
      </c>
      <c r="M120" s="338" t="s">
        <v>2710</v>
      </c>
      <c r="N120" s="338" t="s">
        <v>2852</v>
      </c>
      <c r="O120" s="338" t="s">
        <v>2712</v>
      </c>
      <c r="P120" s="338" t="s">
        <v>2853</v>
      </c>
      <c r="Q120" s="338" t="s">
        <v>2552</v>
      </c>
      <c r="R120" s="336" t="s">
        <v>2489</v>
      </c>
      <c r="S120" s="338" t="s">
        <v>1739</v>
      </c>
      <c r="T120" s="338" t="s">
        <v>1739</v>
      </c>
      <c r="U120" s="338" t="s">
        <v>2855</v>
      </c>
      <c r="V120" s="337" t="s">
        <v>3762</v>
      </c>
      <c r="W120" s="337" t="s">
        <v>3763</v>
      </c>
      <c r="X120" s="336" t="s">
        <v>3764</v>
      </c>
      <c r="Y120" s="336" t="s">
        <v>249</v>
      </c>
      <c r="Z120" s="336" t="s">
        <v>249</v>
      </c>
      <c r="AA120" s="354" t="s">
        <v>3765</v>
      </c>
      <c r="AB120" s="338" t="s">
        <v>2736</v>
      </c>
      <c r="AC120" s="336" t="s">
        <v>3766</v>
      </c>
      <c r="AD120" s="336"/>
      <c r="AE120" s="338"/>
      <c r="AF120" s="329"/>
      <c r="AG120" s="329"/>
      <c r="AH120" s="338"/>
      <c r="AI120" s="359"/>
      <c r="AJ120" s="359"/>
      <c r="AK120" s="359"/>
      <c r="AL120" s="359"/>
      <c r="AM120" s="359"/>
      <c r="AN120" s="359"/>
      <c r="AO120" s="359"/>
      <c r="AP120" s="359"/>
      <c r="AQ120" s="359"/>
      <c r="AR120" s="359"/>
      <c r="AS120" s="359"/>
      <c r="AT120" s="359"/>
      <c r="AU120" s="359"/>
      <c r="AV120" s="359"/>
      <c r="AW120" s="359"/>
      <c r="AX120" s="359"/>
      <c r="AY120" s="359"/>
    </row>
    <row r="121" spans="1:51" ht="15">
      <c r="A121" s="350">
        <v>109</v>
      </c>
      <c r="B121" s="338" t="s">
        <v>3716</v>
      </c>
      <c r="C121" s="338" t="s">
        <v>3767</v>
      </c>
      <c r="D121" s="337">
        <v>109</v>
      </c>
      <c r="E121" s="337" t="s">
        <v>2704</v>
      </c>
      <c r="F121" s="337">
        <v>2023</v>
      </c>
      <c r="G121" s="336" t="s">
        <v>2554</v>
      </c>
      <c r="H121" s="336" t="s">
        <v>2825</v>
      </c>
      <c r="I121" s="338" t="s">
        <v>3768</v>
      </c>
      <c r="J121" s="336" t="s">
        <v>3769</v>
      </c>
      <c r="K121" s="336" t="s">
        <v>2495</v>
      </c>
      <c r="L121" s="336">
        <v>85851842508</v>
      </c>
      <c r="M121" s="338" t="s">
        <v>2710</v>
      </c>
      <c r="N121" s="338" t="s">
        <v>2852</v>
      </c>
      <c r="O121" s="338" t="s">
        <v>2712</v>
      </c>
      <c r="P121" s="338" t="s">
        <v>2853</v>
      </c>
      <c r="Q121" s="338" t="s">
        <v>3767</v>
      </c>
      <c r="R121" s="336"/>
      <c r="S121" s="338" t="s">
        <v>1739</v>
      </c>
      <c r="T121" s="338" t="s">
        <v>1739</v>
      </c>
      <c r="U121" s="338" t="s">
        <v>2855</v>
      </c>
      <c r="V121" s="337" t="s">
        <v>2715</v>
      </c>
      <c r="W121" s="337" t="s">
        <v>3770</v>
      </c>
      <c r="X121" s="336" t="s">
        <v>3771</v>
      </c>
      <c r="Y121" s="336" t="s">
        <v>3772</v>
      </c>
      <c r="Z121" s="336" t="s">
        <v>3771</v>
      </c>
      <c r="AA121" s="338" t="s">
        <v>3773</v>
      </c>
      <c r="AB121" s="338" t="s">
        <v>2736</v>
      </c>
      <c r="AC121" s="336" t="s">
        <v>3774</v>
      </c>
      <c r="AD121" s="336"/>
      <c r="AE121" s="338"/>
      <c r="AF121" s="329"/>
      <c r="AG121" s="329"/>
      <c r="AH121" s="338"/>
      <c r="AI121" s="351"/>
      <c r="AJ121" s="351"/>
      <c r="AK121" s="351"/>
      <c r="AL121" s="351"/>
      <c r="AM121" s="351"/>
      <c r="AN121" s="351"/>
      <c r="AO121" s="351"/>
      <c r="AP121" s="351"/>
      <c r="AQ121" s="351"/>
      <c r="AR121" s="351"/>
      <c r="AS121" s="351"/>
      <c r="AT121" s="351"/>
      <c r="AU121" s="351"/>
      <c r="AV121" s="351"/>
      <c r="AW121" s="351"/>
      <c r="AX121" s="351"/>
      <c r="AY121" s="351"/>
    </row>
    <row r="122" spans="1:51" ht="15">
      <c r="A122" s="350">
        <v>110</v>
      </c>
      <c r="B122" s="338" t="s">
        <v>3716</v>
      </c>
      <c r="C122" s="338" t="s">
        <v>3775</v>
      </c>
      <c r="D122" s="337">
        <v>110</v>
      </c>
      <c r="E122" s="337" t="s">
        <v>2704</v>
      </c>
      <c r="F122" s="337">
        <v>2023</v>
      </c>
      <c r="G122" s="336" t="s">
        <v>2555</v>
      </c>
      <c r="H122" s="336" t="s">
        <v>2491</v>
      </c>
      <c r="I122" s="338">
        <v>27664</v>
      </c>
      <c r="J122" s="353" t="s">
        <v>3776</v>
      </c>
      <c r="K122" s="336" t="s">
        <v>2491</v>
      </c>
      <c r="L122" s="336">
        <v>81233406545</v>
      </c>
      <c r="M122" s="338" t="s">
        <v>2710</v>
      </c>
      <c r="N122" s="338" t="s">
        <v>2852</v>
      </c>
      <c r="O122" s="338" t="s">
        <v>2712</v>
      </c>
      <c r="P122" s="338" t="s">
        <v>2853</v>
      </c>
      <c r="Q122" s="338" t="s">
        <v>3775</v>
      </c>
      <c r="R122" s="336"/>
      <c r="S122" s="338" t="s">
        <v>1739</v>
      </c>
      <c r="T122" s="338" t="s">
        <v>1739</v>
      </c>
      <c r="U122" s="338" t="s">
        <v>2855</v>
      </c>
      <c r="V122" s="337" t="s">
        <v>2715</v>
      </c>
      <c r="W122" s="337" t="s">
        <v>3777</v>
      </c>
      <c r="X122" s="336" t="s">
        <v>3778</v>
      </c>
      <c r="Y122" s="336" t="s">
        <v>3779</v>
      </c>
      <c r="Z122" s="336" t="s">
        <v>3778</v>
      </c>
      <c r="AA122" s="338" t="s">
        <v>3780</v>
      </c>
      <c r="AB122" s="338" t="s">
        <v>3781</v>
      </c>
      <c r="AC122" s="336" t="s">
        <v>3782</v>
      </c>
      <c r="AD122" s="336"/>
      <c r="AE122" s="338"/>
      <c r="AF122" s="329"/>
      <c r="AG122" s="329"/>
      <c r="AH122" s="338"/>
      <c r="AI122" s="351"/>
      <c r="AJ122" s="351"/>
      <c r="AK122" s="351"/>
      <c r="AL122" s="351"/>
      <c r="AM122" s="351"/>
      <c r="AN122" s="351"/>
      <c r="AO122" s="351"/>
      <c r="AP122" s="351"/>
      <c r="AQ122" s="351"/>
      <c r="AR122" s="351"/>
      <c r="AS122" s="351"/>
      <c r="AT122" s="351"/>
      <c r="AU122" s="351"/>
      <c r="AV122" s="351"/>
      <c r="AW122" s="351"/>
      <c r="AX122" s="351"/>
      <c r="AY122" s="351"/>
    </row>
    <row r="123" spans="1:51" ht="15">
      <c r="A123" s="350">
        <v>111</v>
      </c>
      <c r="B123" s="338" t="s">
        <v>3716</v>
      </c>
      <c r="C123" s="338" t="s">
        <v>3783</v>
      </c>
      <c r="D123" s="337">
        <v>111</v>
      </c>
      <c r="E123" s="337" t="s">
        <v>2704</v>
      </c>
      <c r="F123" s="337">
        <v>2023</v>
      </c>
      <c r="G123" s="336" t="s">
        <v>2556</v>
      </c>
      <c r="H123" s="336" t="s">
        <v>3743</v>
      </c>
      <c r="I123" s="338" t="s">
        <v>3784</v>
      </c>
      <c r="J123" s="336" t="s">
        <v>3785</v>
      </c>
      <c r="K123" s="336" t="s">
        <v>3743</v>
      </c>
      <c r="L123" s="336">
        <v>81938357802</v>
      </c>
      <c r="M123" s="338" t="s">
        <v>2710</v>
      </c>
      <c r="N123" s="338" t="s">
        <v>2852</v>
      </c>
      <c r="O123" s="338" t="s">
        <v>2712</v>
      </c>
      <c r="P123" s="338" t="s">
        <v>2853</v>
      </c>
      <c r="Q123" s="338" t="s">
        <v>3783</v>
      </c>
      <c r="R123" s="336"/>
      <c r="S123" s="338" t="s">
        <v>1739</v>
      </c>
      <c r="T123" s="338" t="s">
        <v>1739</v>
      </c>
      <c r="U123" s="338" t="s">
        <v>2855</v>
      </c>
      <c r="V123" s="337" t="s">
        <v>2715</v>
      </c>
      <c r="W123" s="337" t="s">
        <v>3786</v>
      </c>
      <c r="X123" s="336" t="s">
        <v>3787</v>
      </c>
      <c r="Y123" s="336" t="s">
        <v>249</v>
      </c>
      <c r="Z123" s="336" t="s">
        <v>249</v>
      </c>
      <c r="AA123" s="354" t="s">
        <v>3788</v>
      </c>
      <c r="AB123" s="338" t="s">
        <v>3016</v>
      </c>
      <c r="AC123" s="336" t="s">
        <v>3789</v>
      </c>
      <c r="AD123" s="336"/>
      <c r="AE123" s="338"/>
      <c r="AF123" s="329"/>
      <c r="AG123" s="329"/>
      <c r="AH123" s="338"/>
      <c r="AI123" s="351"/>
      <c r="AJ123" s="351"/>
      <c r="AK123" s="351"/>
      <c r="AL123" s="351"/>
      <c r="AM123" s="351"/>
      <c r="AN123" s="351"/>
      <c r="AO123" s="351"/>
      <c r="AP123" s="351"/>
      <c r="AQ123" s="351"/>
      <c r="AR123" s="351"/>
      <c r="AS123" s="351"/>
      <c r="AT123" s="351"/>
      <c r="AU123" s="351"/>
      <c r="AV123" s="351"/>
      <c r="AW123" s="351"/>
      <c r="AX123" s="351"/>
      <c r="AY123" s="351"/>
    </row>
    <row r="124" spans="1:51" ht="15">
      <c r="A124" s="350">
        <v>112</v>
      </c>
      <c r="B124" s="338" t="s">
        <v>3716</v>
      </c>
      <c r="C124" s="336" t="s">
        <v>983</v>
      </c>
      <c r="D124" s="337">
        <v>112</v>
      </c>
      <c r="E124" s="337" t="s">
        <v>2704</v>
      </c>
      <c r="F124" s="337">
        <v>2023</v>
      </c>
      <c r="G124" s="336" t="s">
        <v>2557</v>
      </c>
      <c r="H124" s="336" t="s">
        <v>2792</v>
      </c>
      <c r="I124" s="338" t="s">
        <v>3790</v>
      </c>
      <c r="J124" s="336" t="s">
        <v>3791</v>
      </c>
      <c r="K124" s="336" t="s">
        <v>2792</v>
      </c>
      <c r="L124" s="336">
        <v>87859924303</v>
      </c>
      <c r="M124" s="337" t="s">
        <v>2710</v>
      </c>
      <c r="N124" s="338" t="s">
        <v>2852</v>
      </c>
      <c r="O124" s="337" t="s">
        <v>1803</v>
      </c>
      <c r="P124" s="338" t="s">
        <v>2853</v>
      </c>
      <c r="Q124" s="338" t="s">
        <v>983</v>
      </c>
      <c r="R124" s="336"/>
      <c r="S124" s="338" t="s">
        <v>1739</v>
      </c>
      <c r="T124" s="338" t="s">
        <v>1739</v>
      </c>
      <c r="U124" s="338" t="s">
        <v>2855</v>
      </c>
      <c r="V124" s="337" t="s">
        <v>1693</v>
      </c>
      <c r="W124" s="337" t="s">
        <v>3792</v>
      </c>
      <c r="X124" s="336" t="s">
        <v>3793</v>
      </c>
      <c r="Y124" s="336" t="s">
        <v>249</v>
      </c>
      <c r="Z124" s="336" t="s">
        <v>249</v>
      </c>
      <c r="AA124" s="354" t="s">
        <v>3794</v>
      </c>
      <c r="AB124" s="338" t="s">
        <v>2736</v>
      </c>
      <c r="AC124" s="336" t="s">
        <v>3795</v>
      </c>
      <c r="AD124" s="336"/>
      <c r="AE124" s="338"/>
      <c r="AF124" s="329"/>
      <c r="AG124" s="329"/>
      <c r="AH124" s="338"/>
      <c r="AI124" s="359"/>
      <c r="AJ124" s="359"/>
      <c r="AK124" s="359"/>
      <c r="AL124" s="359"/>
      <c r="AM124" s="359"/>
      <c r="AN124" s="359"/>
      <c r="AO124" s="359"/>
      <c r="AP124" s="359"/>
      <c r="AQ124" s="359"/>
      <c r="AR124" s="359"/>
      <c r="AS124" s="359"/>
      <c r="AT124" s="359"/>
      <c r="AU124" s="359"/>
      <c r="AV124" s="359"/>
      <c r="AW124" s="359"/>
      <c r="AX124" s="359"/>
      <c r="AY124" s="359"/>
    </row>
    <row r="125" spans="1:51" ht="15">
      <c r="A125" s="350">
        <v>113</v>
      </c>
      <c r="B125" s="338" t="s">
        <v>3716</v>
      </c>
      <c r="C125" s="336" t="s">
        <v>2558</v>
      </c>
      <c r="D125" s="337">
        <v>113</v>
      </c>
      <c r="E125" s="337" t="s">
        <v>2704</v>
      </c>
      <c r="F125" s="337">
        <v>2023</v>
      </c>
      <c r="G125" s="336" t="s">
        <v>3796</v>
      </c>
      <c r="H125" s="336" t="s">
        <v>2491</v>
      </c>
      <c r="I125" s="338" t="s">
        <v>3797</v>
      </c>
      <c r="J125" s="336" t="s">
        <v>3798</v>
      </c>
      <c r="K125" s="336" t="s">
        <v>2491</v>
      </c>
      <c r="L125" s="336">
        <v>85101510649</v>
      </c>
      <c r="M125" s="337" t="s">
        <v>2710</v>
      </c>
      <c r="N125" s="338" t="s">
        <v>2852</v>
      </c>
      <c r="O125" s="337" t="s">
        <v>1803</v>
      </c>
      <c r="P125" s="338" t="s">
        <v>2853</v>
      </c>
      <c r="Q125" s="338" t="s">
        <v>2558</v>
      </c>
      <c r="R125" s="336"/>
      <c r="S125" s="338" t="s">
        <v>1739</v>
      </c>
      <c r="T125" s="338" t="s">
        <v>1739</v>
      </c>
      <c r="U125" s="338" t="s">
        <v>2855</v>
      </c>
      <c r="V125" s="337" t="s">
        <v>1693</v>
      </c>
      <c r="W125" s="337" t="s">
        <v>3799</v>
      </c>
      <c r="X125" s="336" t="s">
        <v>3800</v>
      </c>
      <c r="Y125" s="336" t="s">
        <v>3801</v>
      </c>
      <c r="Z125" s="336" t="s">
        <v>3800</v>
      </c>
      <c r="AA125" s="354" t="s">
        <v>3802</v>
      </c>
      <c r="AB125" s="338" t="s">
        <v>2736</v>
      </c>
      <c r="AC125" s="336" t="s">
        <v>3803</v>
      </c>
      <c r="AD125" s="336"/>
      <c r="AE125" s="338"/>
      <c r="AF125" s="329"/>
      <c r="AG125" s="329"/>
      <c r="AH125" s="338"/>
      <c r="AI125" s="359"/>
      <c r="AJ125" s="359"/>
      <c r="AK125" s="359"/>
      <c r="AL125" s="359"/>
      <c r="AM125" s="359"/>
      <c r="AN125" s="359"/>
      <c r="AO125" s="359"/>
      <c r="AP125" s="359"/>
      <c r="AQ125" s="359"/>
      <c r="AR125" s="359"/>
      <c r="AS125" s="359"/>
      <c r="AT125" s="359"/>
      <c r="AU125" s="359"/>
      <c r="AV125" s="359"/>
      <c r="AW125" s="359"/>
      <c r="AX125" s="359"/>
      <c r="AY125" s="359"/>
    </row>
    <row r="126" spans="1:51" ht="15">
      <c r="A126" s="350">
        <v>114</v>
      </c>
      <c r="B126" s="338" t="s">
        <v>3716</v>
      </c>
      <c r="C126" s="336" t="s">
        <v>3804</v>
      </c>
      <c r="D126" s="337">
        <v>114</v>
      </c>
      <c r="E126" s="337" t="s">
        <v>2704</v>
      </c>
      <c r="F126" s="337">
        <v>2023</v>
      </c>
      <c r="G126" s="336" t="s">
        <v>2559</v>
      </c>
      <c r="H126" s="336" t="s">
        <v>2491</v>
      </c>
      <c r="I126" s="338" t="s">
        <v>3805</v>
      </c>
      <c r="J126" s="336" t="s">
        <v>3806</v>
      </c>
      <c r="K126" s="336" t="s">
        <v>2491</v>
      </c>
      <c r="L126" s="336">
        <v>83852535384</v>
      </c>
      <c r="M126" s="337" t="s">
        <v>2710</v>
      </c>
      <c r="N126" s="338" t="s">
        <v>2852</v>
      </c>
      <c r="O126" s="337" t="s">
        <v>1803</v>
      </c>
      <c r="P126" s="338" t="s">
        <v>2853</v>
      </c>
      <c r="Q126" s="338" t="s">
        <v>3804</v>
      </c>
      <c r="R126" s="336"/>
      <c r="S126" s="338" t="s">
        <v>1739</v>
      </c>
      <c r="T126" s="338" t="s">
        <v>1739</v>
      </c>
      <c r="U126" s="338" t="s">
        <v>2855</v>
      </c>
      <c r="V126" s="337" t="s">
        <v>1693</v>
      </c>
      <c r="W126" s="337" t="s">
        <v>3807</v>
      </c>
      <c r="X126" s="336" t="s">
        <v>3806</v>
      </c>
      <c r="Y126" s="336" t="s">
        <v>3808</v>
      </c>
      <c r="Z126" s="336" t="s">
        <v>3806</v>
      </c>
      <c r="AA126" s="354" t="s">
        <v>3809</v>
      </c>
      <c r="AB126" s="338" t="s">
        <v>3810</v>
      </c>
      <c r="AC126" s="336" t="s">
        <v>3811</v>
      </c>
      <c r="AD126" s="336"/>
      <c r="AE126" s="338"/>
      <c r="AF126" s="329"/>
      <c r="AG126" s="329"/>
      <c r="AH126" s="338"/>
      <c r="AI126" s="359"/>
      <c r="AJ126" s="359"/>
      <c r="AK126" s="359"/>
      <c r="AL126" s="359"/>
      <c r="AM126" s="359"/>
      <c r="AN126" s="359"/>
      <c r="AO126" s="359"/>
      <c r="AP126" s="359"/>
      <c r="AQ126" s="359"/>
      <c r="AR126" s="359"/>
      <c r="AS126" s="359"/>
      <c r="AT126" s="359"/>
      <c r="AU126" s="359"/>
      <c r="AV126" s="359"/>
      <c r="AW126" s="359"/>
      <c r="AX126" s="359"/>
      <c r="AY126" s="359"/>
    </row>
    <row r="127" spans="1:51" ht="15">
      <c r="A127" s="350">
        <v>115</v>
      </c>
      <c r="B127" s="338"/>
      <c r="C127" s="336"/>
      <c r="D127" s="337">
        <v>115</v>
      </c>
      <c r="E127" s="337" t="s">
        <v>2704</v>
      </c>
      <c r="F127" s="337">
        <v>2023</v>
      </c>
      <c r="G127" s="336" t="s">
        <v>2645</v>
      </c>
      <c r="H127" s="336"/>
      <c r="I127" s="338"/>
      <c r="J127" s="336"/>
      <c r="K127" s="336"/>
      <c r="L127" s="336"/>
      <c r="M127" s="337"/>
      <c r="N127" s="338" t="s">
        <v>2852</v>
      </c>
      <c r="O127" s="337"/>
      <c r="P127" s="338" t="s">
        <v>2853</v>
      </c>
      <c r="Q127" s="348">
        <v>0</v>
      </c>
      <c r="R127" s="336"/>
      <c r="S127" s="338"/>
      <c r="T127" s="338"/>
      <c r="U127" s="338"/>
      <c r="V127" s="337"/>
      <c r="W127" s="337"/>
      <c r="X127" s="336"/>
      <c r="Y127" s="336"/>
      <c r="Z127" s="336"/>
      <c r="AA127" s="370"/>
      <c r="AB127" s="338"/>
      <c r="AC127" s="336"/>
      <c r="AD127" s="336"/>
      <c r="AE127" s="338"/>
      <c r="AF127" s="329"/>
      <c r="AG127" s="329"/>
      <c r="AH127" s="338"/>
      <c r="AI127" s="359"/>
      <c r="AJ127" s="359"/>
      <c r="AK127" s="359"/>
      <c r="AL127" s="359"/>
      <c r="AM127" s="359"/>
      <c r="AN127" s="359"/>
      <c r="AO127" s="359"/>
      <c r="AP127" s="359"/>
      <c r="AQ127" s="359"/>
      <c r="AR127" s="359"/>
      <c r="AS127" s="359"/>
      <c r="AT127" s="359"/>
      <c r="AU127" s="359"/>
      <c r="AV127" s="359"/>
      <c r="AW127" s="359"/>
      <c r="AX127" s="359"/>
      <c r="AY127" s="359"/>
    </row>
    <row r="128" spans="1:51" ht="15">
      <c r="A128" s="350">
        <v>116</v>
      </c>
      <c r="B128" s="338"/>
      <c r="C128" s="338"/>
      <c r="D128" s="337">
        <v>116</v>
      </c>
      <c r="E128" s="337" t="s">
        <v>2704</v>
      </c>
      <c r="F128" s="337">
        <v>2023</v>
      </c>
      <c r="G128" s="336" t="s">
        <v>2560</v>
      </c>
      <c r="H128" s="336"/>
      <c r="I128" s="338"/>
      <c r="J128" s="336"/>
      <c r="K128" s="336"/>
      <c r="L128" s="336"/>
      <c r="M128" s="338"/>
      <c r="N128" s="338" t="s">
        <v>2852</v>
      </c>
      <c r="O128" s="338"/>
      <c r="P128" s="338" t="s">
        <v>2853</v>
      </c>
      <c r="Q128" s="348">
        <v>0</v>
      </c>
      <c r="R128" s="338"/>
      <c r="S128" s="338"/>
      <c r="T128" s="338"/>
      <c r="U128" s="338"/>
      <c r="V128" s="337"/>
      <c r="W128" s="338"/>
      <c r="X128" s="336"/>
      <c r="Y128" s="336"/>
      <c r="Z128" s="336"/>
      <c r="AA128" s="338"/>
      <c r="AB128" s="338"/>
      <c r="AC128" s="336"/>
      <c r="AD128" s="336"/>
      <c r="AE128" s="338"/>
      <c r="AF128" s="329"/>
      <c r="AG128" s="329"/>
      <c r="AH128" s="338"/>
      <c r="AI128" s="377"/>
      <c r="AJ128" s="377"/>
      <c r="AK128" s="377"/>
      <c r="AL128" s="377"/>
      <c r="AM128" s="377"/>
      <c r="AN128" s="377"/>
      <c r="AO128" s="377"/>
      <c r="AP128" s="377"/>
      <c r="AQ128" s="377"/>
      <c r="AR128" s="377"/>
      <c r="AS128" s="377"/>
      <c r="AT128" s="377"/>
      <c r="AU128" s="377"/>
      <c r="AV128" s="377"/>
      <c r="AW128" s="377"/>
      <c r="AX128" s="377"/>
      <c r="AY128" s="377"/>
    </row>
    <row r="129" spans="1:51" ht="15">
      <c r="A129" s="350">
        <v>117</v>
      </c>
      <c r="B129" s="338"/>
      <c r="C129" s="338"/>
      <c r="D129" s="337">
        <v>117</v>
      </c>
      <c r="E129" s="337" t="s">
        <v>2704</v>
      </c>
      <c r="F129" s="337">
        <v>2023</v>
      </c>
      <c r="G129" s="353" t="s">
        <v>2561</v>
      </c>
      <c r="H129" s="336"/>
      <c r="I129" s="338"/>
      <c r="J129" s="336"/>
      <c r="K129" s="336"/>
      <c r="L129" s="336"/>
      <c r="M129" s="338"/>
      <c r="N129" s="338" t="s">
        <v>2852</v>
      </c>
      <c r="O129" s="338"/>
      <c r="P129" s="338" t="s">
        <v>2853</v>
      </c>
      <c r="Q129" s="348">
        <v>0</v>
      </c>
      <c r="R129" s="338"/>
      <c r="S129" s="338"/>
      <c r="T129" s="338"/>
      <c r="U129" s="338"/>
      <c r="V129" s="337"/>
      <c r="W129" s="338"/>
      <c r="X129" s="336"/>
      <c r="Y129" s="336"/>
      <c r="Z129" s="336"/>
      <c r="AA129" s="338"/>
      <c r="AB129" s="338"/>
      <c r="AC129" s="336"/>
      <c r="AD129" s="336"/>
      <c r="AE129" s="338"/>
      <c r="AF129" s="329"/>
      <c r="AG129" s="329"/>
      <c r="AH129" s="338"/>
      <c r="AI129" s="377"/>
      <c r="AJ129" s="377"/>
      <c r="AK129" s="377"/>
      <c r="AL129" s="377"/>
      <c r="AM129" s="377"/>
      <c r="AN129" s="377"/>
      <c r="AO129" s="377"/>
      <c r="AP129" s="377"/>
      <c r="AQ129" s="377"/>
      <c r="AR129" s="377"/>
      <c r="AS129" s="377"/>
      <c r="AT129" s="377"/>
      <c r="AU129" s="377"/>
      <c r="AV129" s="377"/>
      <c r="AW129" s="377"/>
      <c r="AX129" s="377"/>
      <c r="AY129" s="377"/>
    </row>
    <row r="130" spans="1:51" ht="15">
      <c r="A130" s="350">
        <v>118</v>
      </c>
      <c r="B130" s="338"/>
      <c r="C130" s="338"/>
      <c r="D130" s="337">
        <v>118</v>
      </c>
      <c r="E130" s="337" t="s">
        <v>2704</v>
      </c>
      <c r="F130" s="337">
        <v>2023</v>
      </c>
      <c r="G130" s="353" t="s">
        <v>2562</v>
      </c>
      <c r="H130" s="336"/>
      <c r="I130" s="338"/>
      <c r="J130" s="336"/>
      <c r="K130" s="336"/>
      <c r="L130" s="336"/>
      <c r="M130" s="338"/>
      <c r="N130" s="338" t="s">
        <v>2852</v>
      </c>
      <c r="O130" s="338"/>
      <c r="P130" s="338" t="s">
        <v>2853</v>
      </c>
      <c r="Q130" s="348">
        <v>0</v>
      </c>
      <c r="R130" s="338"/>
      <c r="S130" s="338"/>
      <c r="T130" s="338"/>
      <c r="U130" s="338"/>
      <c r="V130" s="337"/>
      <c r="W130" s="338"/>
      <c r="X130" s="336"/>
      <c r="Y130" s="336"/>
      <c r="Z130" s="336"/>
      <c r="AA130" s="338"/>
      <c r="AB130" s="338"/>
      <c r="AC130" s="336"/>
      <c r="AD130" s="336"/>
      <c r="AE130" s="338"/>
      <c r="AF130" s="329"/>
      <c r="AG130" s="329"/>
      <c r="AH130" s="338"/>
      <c r="AI130" s="377"/>
      <c r="AJ130" s="377"/>
      <c r="AK130" s="377"/>
      <c r="AL130" s="377"/>
      <c r="AM130" s="377"/>
      <c r="AN130" s="377"/>
      <c r="AO130" s="377"/>
      <c r="AP130" s="377"/>
      <c r="AQ130" s="377"/>
      <c r="AR130" s="377"/>
      <c r="AS130" s="377"/>
      <c r="AT130" s="377"/>
      <c r="AU130" s="377"/>
      <c r="AV130" s="377"/>
      <c r="AW130" s="377"/>
      <c r="AX130" s="377"/>
      <c r="AY130" s="377"/>
    </row>
    <row r="131" spans="1:51" ht="15">
      <c r="A131" s="350">
        <v>119</v>
      </c>
      <c r="B131" s="338"/>
      <c r="C131" s="338"/>
      <c r="D131" s="337">
        <v>119</v>
      </c>
      <c r="E131" s="337" t="s">
        <v>2704</v>
      </c>
      <c r="F131" s="337">
        <v>2023</v>
      </c>
      <c r="G131" s="353" t="s">
        <v>2563</v>
      </c>
      <c r="H131" s="336"/>
      <c r="I131" s="338"/>
      <c r="J131" s="336"/>
      <c r="K131" s="336"/>
      <c r="L131" s="336"/>
      <c r="M131" s="338"/>
      <c r="N131" s="338" t="s">
        <v>2852</v>
      </c>
      <c r="O131" s="338"/>
      <c r="P131" s="338" t="s">
        <v>2853</v>
      </c>
      <c r="Q131" s="348">
        <v>0</v>
      </c>
      <c r="R131" s="338"/>
      <c r="S131" s="338"/>
      <c r="T131" s="338"/>
      <c r="U131" s="338"/>
      <c r="V131" s="337"/>
      <c r="W131" s="338"/>
      <c r="X131" s="336"/>
      <c r="Y131" s="336"/>
      <c r="Z131" s="336"/>
      <c r="AA131" s="338"/>
      <c r="AB131" s="338"/>
      <c r="AC131" s="336"/>
      <c r="AD131" s="336"/>
      <c r="AE131" s="338"/>
      <c r="AF131" s="329"/>
      <c r="AG131" s="329"/>
      <c r="AH131" s="338"/>
      <c r="AI131" s="377"/>
      <c r="AJ131" s="377"/>
      <c r="AK131" s="377"/>
      <c r="AL131" s="377"/>
      <c r="AM131" s="377"/>
      <c r="AN131" s="377"/>
      <c r="AO131" s="377"/>
      <c r="AP131" s="377"/>
      <c r="AQ131" s="377"/>
      <c r="AR131" s="377"/>
      <c r="AS131" s="377"/>
      <c r="AT131" s="377"/>
      <c r="AU131" s="377"/>
      <c r="AV131" s="377"/>
      <c r="AW131" s="377"/>
      <c r="AX131" s="377"/>
      <c r="AY131" s="377"/>
    </row>
    <row r="132" spans="1:51" ht="15">
      <c r="A132" s="350">
        <v>120</v>
      </c>
      <c r="B132" s="338"/>
      <c r="C132" s="338"/>
      <c r="D132" s="337">
        <v>120</v>
      </c>
      <c r="E132" s="337" t="s">
        <v>2704</v>
      </c>
      <c r="F132" s="337">
        <v>2023</v>
      </c>
      <c r="G132" s="353" t="s">
        <v>2564</v>
      </c>
      <c r="H132" s="336"/>
      <c r="I132" s="338"/>
      <c r="J132" s="336"/>
      <c r="K132" s="336"/>
      <c r="L132" s="336"/>
      <c r="M132" s="338"/>
      <c r="N132" s="338" t="s">
        <v>2852</v>
      </c>
      <c r="O132" s="338"/>
      <c r="P132" s="338" t="s">
        <v>2853</v>
      </c>
      <c r="Q132" s="348">
        <v>0</v>
      </c>
      <c r="R132" s="338"/>
      <c r="S132" s="338"/>
      <c r="T132" s="338"/>
      <c r="U132" s="338"/>
      <c r="V132" s="337"/>
      <c r="W132" s="338"/>
      <c r="X132" s="336"/>
      <c r="Y132" s="336"/>
      <c r="Z132" s="336"/>
      <c r="AA132" s="338"/>
      <c r="AB132" s="338"/>
      <c r="AC132" s="336"/>
      <c r="AD132" s="336"/>
      <c r="AE132" s="338"/>
      <c r="AF132" s="329"/>
      <c r="AG132" s="329"/>
      <c r="AH132" s="338"/>
      <c r="AI132" s="377"/>
      <c r="AJ132" s="377"/>
      <c r="AK132" s="377"/>
      <c r="AL132" s="377"/>
      <c r="AM132" s="377"/>
      <c r="AN132" s="377"/>
      <c r="AO132" s="377"/>
      <c r="AP132" s="377"/>
      <c r="AQ132" s="377"/>
      <c r="AR132" s="377"/>
      <c r="AS132" s="377"/>
      <c r="AT132" s="377"/>
      <c r="AU132" s="377"/>
      <c r="AV132" s="377"/>
      <c r="AW132" s="377"/>
      <c r="AX132" s="377"/>
      <c r="AY132" s="377"/>
    </row>
    <row r="133" spans="1:51" ht="15">
      <c r="A133" s="350">
        <v>121</v>
      </c>
      <c r="B133" s="338"/>
      <c r="C133" s="338"/>
      <c r="D133" s="337">
        <v>121</v>
      </c>
      <c r="E133" s="337" t="s">
        <v>2704</v>
      </c>
      <c r="F133" s="337">
        <v>2023</v>
      </c>
      <c r="G133" s="353" t="s">
        <v>2565</v>
      </c>
      <c r="H133" s="336"/>
      <c r="I133" s="338"/>
      <c r="J133" s="336"/>
      <c r="K133" s="336"/>
      <c r="L133" s="336"/>
      <c r="M133" s="338"/>
      <c r="N133" s="338" t="s">
        <v>2852</v>
      </c>
      <c r="O133" s="338"/>
      <c r="P133" s="338" t="s">
        <v>2853</v>
      </c>
      <c r="Q133" s="348">
        <v>0</v>
      </c>
      <c r="R133" s="338"/>
      <c r="S133" s="338"/>
      <c r="T133" s="338"/>
      <c r="U133" s="338"/>
      <c r="V133" s="337"/>
      <c r="W133" s="338"/>
      <c r="X133" s="336"/>
      <c r="Y133" s="336"/>
      <c r="Z133" s="336"/>
      <c r="AA133" s="338"/>
      <c r="AB133" s="338"/>
      <c r="AC133" s="336"/>
      <c r="AD133" s="336"/>
      <c r="AE133" s="338"/>
      <c r="AF133" s="329"/>
      <c r="AG133" s="329"/>
      <c r="AH133" s="338"/>
      <c r="AI133" s="377"/>
      <c r="AJ133" s="377"/>
      <c r="AK133" s="377"/>
      <c r="AL133" s="377"/>
      <c r="AM133" s="377"/>
      <c r="AN133" s="377"/>
      <c r="AO133" s="377"/>
      <c r="AP133" s="377"/>
      <c r="AQ133" s="377"/>
      <c r="AR133" s="377"/>
      <c r="AS133" s="377"/>
      <c r="AT133" s="377"/>
      <c r="AU133" s="377"/>
      <c r="AV133" s="377"/>
      <c r="AW133" s="377"/>
      <c r="AX133" s="377"/>
      <c r="AY133" s="377"/>
    </row>
    <row r="134" spans="1:51" ht="15">
      <c r="A134" s="350">
        <v>122</v>
      </c>
      <c r="B134" s="338"/>
      <c r="C134" s="338"/>
      <c r="D134" s="337">
        <v>122</v>
      </c>
      <c r="E134" s="337" t="s">
        <v>2704</v>
      </c>
      <c r="F134" s="337">
        <v>2023</v>
      </c>
      <c r="G134" s="353" t="s">
        <v>3812</v>
      </c>
      <c r="H134" s="336"/>
      <c r="I134" s="338"/>
      <c r="J134" s="336"/>
      <c r="K134" s="336"/>
      <c r="L134" s="336"/>
      <c r="M134" s="338"/>
      <c r="N134" s="338" t="s">
        <v>2852</v>
      </c>
      <c r="O134" s="338"/>
      <c r="P134" s="338" t="s">
        <v>2853</v>
      </c>
      <c r="Q134" s="348">
        <v>0</v>
      </c>
      <c r="R134" s="338"/>
      <c r="S134" s="338"/>
      <c r="T134" s="338"/>
      <c r="U134" s="338"/>
      <c r="V134" s="337"/>
      <c r="W134" s="338"/>
      <c r="X134" s="336"/>
      <c r="Y134" s="336"/>
      <c r="Z134" s="336"/>
      <c r="AA134" s="338"/>
      <c r="AB134" s="338"/>
      <c r="AC134" s="336"/>
      <c r="AD134" s="336"/>
      <c r="AE134" s="338"/>
      <c r="AF134" s="329"/>
      <c r="AG134" s="329"/>
      <c r="AH134" s="338"/>
      <c r="AI134" s="377"/>
      <c r="AJ134" s="377"/>
      <c r="AK134" s="377"/>
      <c r="AL134" s="377"/>
      <c r="AM134" s="377"/>
      <c r="AN134" s="377"/>
      <c r="AO134" s="377"/>
      <c r="AP134" s="377"/>
      <c r="AQ134" s="377"/>
      <c r="AR134" s="377"/>
      <c r="AS134" s="377"/>
      <c r="AT134" s="377"/>
      <c r="AU134" s="377"/>
      <c r="AV134" s="377"/>
      <c r="AW134" s="377"/>
      <c r="AX134" s="377"/>
      <c r="AY134" s="377"/>
    </row>
    <row r="135" spans="1:51" ht="15">
      <c r="A135" s="350">
        <v>123</v>
      </c>
      <c r="B135" s="338"/>
      <c r="C135" s="338"/>
      <c r="D135" s="337">
        <v>123</v>
      </c>
      <c r="E135" s="337" t="s">
        <v>2704</v>
      </c>
      <c r="F135" s="337">
        <v>2023</v>
      </c>
      <c r="G135" s="353" t="s">
        <v>3813</v>
      </c>
      <c r="H135" s="336"/>
      <c r="I135" s="338"/>
      <c r="J135" s="336"/>
      <c r="K135" s="336"/>
      <c r="L135" s="336"/>
      <c r="M135" s="338"/>
      <c r="N135" s="338" t="s">
        <v>2852</v>
      </c>
      <c r="O135" s="338"/>
      <c r="P135" s="338" t="s">
        <v>2853</v>
      </c>
      <c r="Q135" s="348">
        <v>0</v>
      </c>
      <c r="R135" s="338"/>
      <c r="S135" s="338"/>
      <c r="T135" s="338"/>
      <c r="U135" s="338"/>
      <c r="V135" s="337"/>
      <c r="W135" s="338"/>
      <c r="X135" s="336"/>
      <c r="Y135" s="336"/>
      <c r="Z135" s="336"/>
      <c r="AA135" s="338"/>
      <c r="AB135" s="338"/>
      <c r="AC135" s="336"/>
      <c r="AD135" s="336"/>
      <c r="AE135" s="338"/>
      <c r="AF135" s="329"/>
      <c r="AG135" s="329"/>
      <c r="AH135" s="338"/>
      <c r="AI135" s="377"/>
      <c r="AJ135" s="377"/>
      <c r="AK135" s="377"/>
      <c r="AL135" s="377"/>
      <c r="AM135" s="377"/>
      <c r="AN135" s="377"/>
      <c r="AO135" s="377"/>
      <c r="AP135" s="377"/>
      <c r="AQ135" s="377"/>
      <c r="AR135" s="377"/>
      <c r="AS135" s="377"/>
      <c r="AT135" s="377"/>
      <c r="AU135" s="377"/>
      <c r="AV135" s="377"/>
      <c r="AW135" s="377"/>
      <c r="AX135" s="377"/>
      <c r="AY135" s="377"/>
    </row>
    <row r="136" spans="1:51" ht="15">
      <c r="A136" s="350">
        <v>124</v>
      </c>
      <c r="B136" s="338"/>
      <c r="C136" s="338"/>
      <c r="D136" s="337">
        <v>124</v>
      </c>
      <c r="E136" s="337" t="s">
        <v>2704</v>
      </c>
      <c r="F136" s="337">
        <v>2023</v>
      </c>
      <c r="G136" s="353" t="s">
        <v>1770</v>
      </c>
      <c r="H136" s="336"/>
      <c r="I136" s="338"/>
      <c r="J136" s="336"/>
      <c r="K136" s="336"/>
      <c r="L136" s="336"/>
      <c r="M136" s="338"/>
      <c r="N136" s="338" t="s">
        <v>2852</v>
      </c>
      <c r="O136" s="338"/>
      <c r="P136" s="338" t="s">
        <v>2853</v>
      </c>
      <c r="Q136" s="348">
        <v>0</v>
      </c>
      <c r="R136" s="338"/>
      <c r="S136" s="338"/>
      <c r="T136" s="338"/>
      <c r="U136" s="338"/>
      <c r="V136" s="337"/>
      <c r="W136" s="338"/>
      <c r="X136" s="336"/>
      <c r="Y136" s="336"/>
      <c r="Z136" s="336"/>
      <c r="AA136" s="338"/>
      <c r="AB136" s="338"/>
      <c r="AC136" s="336"/>
      <c r="AD136" s="336"/>
      <c r="AE136" s="338"/>
      <c r="AF136" s="329"/>
      <c r="AG136" s="329"/>
      <c r="AH136" s="338"/>
      <c r="AI136" s="377"/>
      <c r="AJ136" s="377"/>
      <c r="AK136" s="377"/>
      <c r="AL136" s="377"/>
      <c r="AM136" s="377"/>
      <c r="AN136" s="377"/>
      <c r="AO136" s="377"/>
      <c r="AP136" s="377"/>
      <c r="AQ136" s="377"/>
      <c r="AR136" s="377"/>
      <c r="AS136" s="377"/>
      <c r="AT136" s="377"/>
      <c r="AU136" s="377"/>
      <c r="AV136" s="377"/>
      <c r="AW136" s="377"/>
      <c r="AX136" s="377"/>
      <c r="AY136" s="377"/>
    </row>
    <row r="137" spans="1:51" ht="15">
      <c r="A137" s="350">
        <v>125</v>
      </c>
      <c r="B137" s="338"/>
      <c r="C137" s="338"/>
      <c r="D137" s="337">
        <v>125</v>
      </c>
      <c r="E137" s="337" t="s">
        <v>2704</v>
      </c>
      <c r="F137" s="337">
        <v>2023</v>
      </c>
      <c r="G137" s="353" t="s">
        <v>1772</v>
      </c>
      <c r="H137" s="336"/>
      <c r="I137" s="338"/>
      <c r="J137" s="336"/>
      <c r="K137" s="336"/>
      <c r="L137" s="336"/>
      <c r="M137" s="338"/>
      <c r="N137" s="338" t="s">
        <v>2852</v>
      </c>
      <c r="O137" s="338"/>
      <c r="P137" s="338" t="s">
        <v>2853</v>
      </c>
      <c r="Q137" s="348">
        <v>0</v>
      </c>
      <c r="R137" s="338"/>
      <c r="S137" s="338"/>
      <c r="T137" s="338"/>
      <c r="U137" s="338"/>
      <c r="V137" s="337"/>
      <c r="W137" s="338"/>
      <c r="X137" s="336"/>
      <c r="Y137" s="336"/>
      <c r="Z137" s="336"/>
      <c r="AA137" s="338"/>
      <c r="AB137" s="338"/>
      <c r="AC137" s="336"/>
      <c r="AD137" s="336"/>
      <c r="AE137" s="338"/>
      <c r="AF137" s="329"/>
      <c r="AG137" s="329"/>
      <c r="AH137" s="338"/>
      <c r="AI137" s="377"/>
      <c r="AJ137" s="377"/>
      <c r="AK137" s="377"/>
      <c r="AL137" s="377"/>
      <c r="AM137" s="377"/>
      <c r="AN137" s="377"/>
      <c r="AO137" s="377"/>
      <c r="AP137" s="377"/>
      <c r="AQ137" s="377"/>
      <c r="AR137" s="377"/>
      <c r="AS137" s="377"/>
      <c r="AT137" s="377"/>
      <c r="AU137" s="377"/>
      <c r="AV137" s="377"/>
      <c r="AW137" s="377"/>
      <c r="AX137" s="377"/>
      <c r="AY137" s="377"/>
    </row>
    <row r="138" spans="1:51" ht="15">
      <c r="A138" s="350">
        <v>126</v>
      </c>
      <c r="B138" s="338"/>
      <c r="C138" s="338"/>
      <c r="D138" s="337">
        <v>126</v>
      </c>
      <c r="E138" s="337" t="s">
        <v>2704</v>
      </c>
      <c r="F138" s="337">
        <v>2023</v>
      </c>
      <c r="G138" s="353" t="s">
        <v>3814</v>
      </c>
      <c r="H138" s="336"/>
      <c r="I138" s="338"/>
      <c r="J138" s="336"/>
      <c r="K138" s="336"/>
      <c r="L138" s="336"/>
      <c r="M138" s="338"/>
      <c r="N138" s="338" t="s">
        <v>2852</v>
      </c>
      <c r="O138" s="338"/>
      <c r="P138" s="338" t="s">
        <v>2853</v>
      </c>
      <c r="Q138" s="348">
        <v>0</v>
      </c>
      <c r="R138" s="338"/>
      <c r="S138" s="338"/>
      <c r="T138" s="338"/>
      <c r="U138" s="338"/>
      <c r="V138" s="337"/>
      <c r="W138" s="338"/>
      <c r="X138" s="336"/>
      <c r="Y138" s="336"/>
      <c r="Z138" s="336"/>
      <c r="AA138" s="338"/>
      <c r="AB138" s="338"/>
      <c r="AC138" s="336"/>
      <c r="AD138" s="336"/>
      <c r="AE138" s="338"/>
      <c r="AF138" s="329"/>
      <c r="AG138" s="329"/>
      <c r="AH138" s="338"/>
      <c r="AI138" s="377"/>
      <c r="AJ138" s="377"/>
      <c r="AK138" s="377"/>
      <c r="AL138" s="377"/>
      <c r="AM138" s="377"/>
      <c r="AN138" s="377"/>
      <c r="AO138" s="377"/>
      <c r="AP138" s="377"/>
      <c r="AQ138" s="377"/>
      <c r="AR138" s="377"/>
      <c r="AS138" s="377"/>
      <c r="AT138" s="377"/>
      <c r="AU138" s="377"/>
      <c r="AV138" s="377"/>
      <c r="AW138" s="377"/>
      <c r="AX138" s="377"/>
      <c r="AY138" s="377"/>
    </row>
    <row r="139" spans="1:51" ht="15">
      <c r="A139" s="350">
        <v>127</v>
      </c>
      <c r="B139" s="338"/>
      <c r="C139" s="338"/>
      <c r="D139" s="337">
        <v>127</v>
      </c>
      <c r="E139" s="337" t="s">
        <v>2704</v>
      </c>
      <c r="F139" s="337">
        <v>2023</v>
      </c>
      <c r="G139" s="336" t="s">
        <v>611</v>
      </c>
      <c r="H139" s="336"/>
      <c r="I139" s="338"/>
      <c r="J139" s="336"/>
      <c r="K139" s="336"/>
      <c r="L139" s="336"/>
      <c r="M139" s="338"/>
      <c r="N139" s="338" t="s">
        <v>2852</v>
      </c>
      <c r="O139" s="338"/>
      <c r="P139" s="338" t="s">
        <v>2853</v>
      </c>
      <c r="Q139" s="348">
        <v>0</v>
      </c>
      <c r="R139" s="336"/>
      <c r="S139" s="338"/>
      <c r="T139" s="338"/>
      <c r="U139" s="338"/>
      <c r="V139" s="337"/>
      <c r="W139" s="338"/>
      <c r="X139" s="336"/>
      <c r="Y139" s="336"/>
      <c r="Z139" s="336"/>
      <c r="AA139" s="374"/>
      <c r="AB139" s="338"/>
      <c r="AC139" s="336"/>
      <c r="AD139" s="336"/>
      <c r="AE139" s="338"/>
      <c r="AF139" s="329"/>
      <c r="AG139" s="329"/>
      <c r="AH139" s="338"/>
      <c r="AI139" s="351"/>
      <c r="AJ139" s="351"/>
      <c r="AK139" s="351"/>
      <c r="AL139" s="351"/>
      <c r="AM139" s="351"/>
      <c r="AN139" s="351"/>
      <c r="AO139" s="351"/>
      <c r="AP139" s="351"/>
      <c r="AQ139" s="351"/>
      <c r="AR139" s="351"/>
      <c r="AS139" s="351"/>
      <c r="AT139" s="351"/>
      <c r="AU139" s="351"/>
      <c r="AV139" s="351"/>
      <c r="AW139" s="351"/>
      <c r="AX139" s="351"/>
      <c r="AY139" s="351"/>
    </row>
    <row r="140" spans="1:51" ht="13">
      <c r="A140" s="333"/>
      <c r="B140" s="377"/>
      <c r="C140" s="351" t="s">
        <v>3815</v>
      </c>
      <c r="D140" s="351"/>
      <c r="E140" s="351"/>
      <c r="F140" s="351"/>
      <c r="G140" s="359"/>
      <c r="H140" s="359"/>
      <c r="I140" s="351"/>
      <c r="J140" s="359"/>
      <c r="K140" s="359"/>
      <c r="L140" s="359"/>
      <c r="M140" s="351"/>
      <c r="N140" s="351"/>
      <c r="O140" s="351"/>
      <c r="P140" s="351"/>
      <c r="Q140" s="378"/>
      <c r="R140" s="378"/>
      <c r="S140" s="351"/>
      <c r="T140" s="351"/>
      <c r="U140" s="351"/>
      <c r="V140" s="333"/>
      <c r="W140" s="378"/>
      <c r="X140" s="379"/>
      <c r="Y140" s="379"/>
      <c r="Z140" s="379"/>
      <c r="AA140" s="378"/>
      <c r="AB140" s="378"/>
      <c r="AC140" s="379"/>
      <c r="AD140" s="379"/>
      <c r="AE140" s="351"/>
      <c r="AF140" s="333"/>
      <c r="AG140" s="333"/>
      <c r="AH140" s="351"/>
      <c r="AI140" s="351"/>
      <c r="AJ140" s="351"/>
      <c r="AK140" s="351"/>
      <c r="AL140" s="351"/>
      <c r="AM140" s="351"/>
      <c r="AN140" s="351"/>
      <c r="AO140" s="351"/>
      <c r="AP140" s="351"/>
      <c r="AQ140" s="351"/>
      <c r="AR140" s="351"/>
      <c r="AS140" s="351"/>
      <c r="AT140" s="351"/>
      <c r="AU140" s="351"/>
      <c r="AV140" s="351"/>
      <c r="AW140" s="351"/>
      <c r="AX140" s="351"/>
      <c r="AY140" s="351"/>
    </row>
    <row r="141" spans="1:51" ht="13">
      <c r="A141" s="333"/>
      <c r="B141" s="377"/>
      <c r="C141" s="351"/>
      <c r="D141" s="333"/>
      <c r="E141" s="333"/>
      <c r="F141" s="333"/>
      <c r="G141" s="359"/>
      <c r="H141" s="359"/>
      <c r="I141" s="351"/>
      <c r="J141" s="359"/>
      <c r="K141" s="359"/>
      <c r="L141" s="359"/>
      <c r="M141" s="351"/>
      <c r="N141" s="351"/>
      <c r="O141" s="351"/>
      <c r="P141" s="351"/>
      <c r="Q141" s="378"/>
      <c r="R141" s="378"/>
      <c r="S141" s="351"/>
      <c r="T141" s="351"/>
      <c r="U141" s="351"/>
      <c r="V141" s="333"/>
      <c r="W141" s="378"/>
      <c r="X141" s="379"/>
      <c r="Y141" s="379"/>
      <c r="Z141" s="379"/>
      <c r="AA141" s="378"/>
      <c r="AB141" s="378"/>
      <c r="AC141" s="379"/>
      <c r="AD141" s="379"/>
      <c r="AE141" s="351"/>
      <c r="AF141" s="333"/>
      <c r="AG141" s="333"/>
      <c r="AH141" s="351"/>
      <c r="AI141" s="351"/>
      <c r="AJ141" s="351"/>
      <c r="AK141" s="351"/>
      <c r="AL141" s="351"/>
      <c r="AM141" s="351"/>
      <c r="AN141" s="351"/>
      <c r="AO141" s="351"/>
      <c r="AP141" s="351"/>
      <c r="AQ141" s="351"/>
      <c r="AR141" s="351"/>
      <c r="AS141" s="351"/>
      <c r="AT141" s="351"/>
      <c r="AU141" s="351"/>
      <c r="AV141" s="351"/>
      <c r="AW141" s="351"/>
      <c r="AX141" s="351"/>
      <c r="AY141" s="351"/>
    </row>
    <row r="142" spans="1:51" ht="13">
      <c r="A142" s="333"/>
      <c r="B142" s="351"/>
      <c r="C142" s="351"/>
      <c r="D142" s="333"/>
      <c r="E142" s="333"/>
      <c r="F142" s="333"/>
      <c r="G142" s="359"/>
      <c r="H142" s="359"/>
      <c r="I142" s="351"/>
      <c r="J142" s="359"/>
      <c r="K142" s="359"/>
      <c r="L142" s="359"/>
      <c r="M142" s="351"/>
      <c r="N142" s="351"/>
      <c r="O142" s="351"/>
      <c r="P142" s="351"/>
      <c r="Q142" s="351"/>
      <c r="R142" s="351"/>
      <c r="S142" s="351"/>
      <c r="T142" s="351"/>
      <c r="U142" s="351"/>
      <c r="V142" s="333"/>
      <c r="W142" s="351"/>
      <c r="X142" s="359"/>
      <c r="Y142" s="359"/>
      <c r="Z142" s="359"/>
      <c r="AA142" s="351"/>
      <c r="AB142" s="351"/>
      <c r="AC142" s="359"/>
      <c r="AD142" s="359"/>
      <c r="AE142" s="351"/>
      <c r="AF142" s="333"/>
      <c r="AG142" s="333"/>
      <c r="AH142" s="351"/>
      <c r="AI142" s="351"/>
      <c r="AJ142" s="351"/>
      <c r="AK142" s="351"/>
      <c r="AL142" s="351"/>
      <c r="AM142" s="351"/>
      <c r="AN142" s="351"/>
      <c r="AO142" s="351"/>
      <c r="AP142" s="351"/>
      <c r="AQ142" s="351"/>
      <c r="AR142" s="351"/>
      <c r="AS142" s="351"/>
      <c r="AT142" s="351"/>
      <c r="AU142" s="351"/>
      <c r="AV142" s="351"/>
      <c r="AW142" s="351"/>
      <c r="AX142" s="351"/>
      <c r="AY142" s="351"/>
    </row>
    <row r="143" spans="1:51" ht="13">
      <c r="A143" s="333"/>
      <c r="B143" s="351"/>
      <c r="C143" s="351"/>
      <c r="D143" s="333"/>
      <c r="E143" s="333"/>
      <c r="F143" s="333"/>
      <c r="G143" s="359"/>
      <c r="H143" s="359"/>
      <c r="I143" s="351"/>
      <c r="J143" s="359"/>
      <c r="K143" s="359"/>
      <c r="L143" s="359"/>
      <c r="M143" s="351"/>
      <c r="N143" s="351"/>
      <c r="O143" s="351"/>
      <c r="P143" s="351"/>
      <c r="Q143" s="351"/>
      <c r="R143" s="351"/>
      <c r="S143" s="351"/>
      <c r="T143" s="351"/>
      <c r="U143" s="351"/>
      <c r="V143" s="351"/>
      <c r="W143" s="351"/>
      <c r="X143" s="359"/>
      <c r="Y143" s="359"/>
      <c r="Z143" s="359"/>
      <c r="AA143" s="351"/>
      <c r="AB143" s="351"/>
      <c r="AC143" s="359"/>
      <c r="AD143" s="359"/>
      <c r="AE143" s="351"/>
      <c r="AF143" s="333"/>
      <c r="AG143" s="333"/>
      <c r="AH143" s="351"/>
      <c r="AI143" s="351"/>
      <c r="AJ143" s="351"/>
      <c r="AK143" s="351"/>
      <c r="AL143" s="351"/>
      <c r="AM143" s="351"/>
      <c r="AN143" s="351"/>
      <c r="AO143" s="351"/>
      <c r="AP143" s="351"/>
      <c r="AQ143" s="351"/>
      <c r="AR143" s="351"/>
      <c r="AS143" s="351"/>
      <c r="AT143" s="351"/>
      <c r="AU143" s="351"/>
      <c r="AV143" s="351"/>
      <c r="AW143" s="351"/>
      <c r="AX143" s="351"/>
      <c r="AY143" s="351"/>
    </row>
    <row r="144" spans="1:51" ht="13">
      <c r="A144" s="333"/>
      <c r="B144" s="351"/>
      <c r="C144" s="351"/>
      <c r="D144" s="333"/>
      <c r="E144" s="333"/>
      <c r="F144" s="333"/>
      <c r="G144" s="359"/>
      <c r="H144" s="359"/>
      <c r="I144" s="351"/>
      <c r="J144" s="359"/>
      <c r="K144" s="359"/>
      <c r="L144" s="359"/>
      <c r="M144" s="351"/>
      <c r="N144" s="351"/>
      <c r="O144" s="351"/>
      <c r="P144" s="351"/>
      <c r="Q144" s="351"/>
      <c r="R144" s="351"/>
      <c r="S144" s="351"/>
      <c r="T144" s="351"/>
      <c r="U144" s="351"/>
      <c r="V144" s="351"/>
      <c r="W144" s="351"/>
      <c r="X144" s="359"/>
      <c r="Y144" s="359"/>
      <c r="Z144" s="359"/>
      <c r="AA144" s="351"/>
      <c r="AB144" s="351"/>
      <c r="AC144" s="359"/>
      <c r="AD144" s="359"/>
      <c r="AE144" s="351"/>
      <c r="AF144" s="333"/>
      <c r="AG144" s="333"/>
      <c r="AH144" s="351"/>
      <c r="AI144" s="351"/>
      <c r="AJ144" s="351"/>
      <c r="AK144" s="351"/>
      <c r="AL144" s="351"/>
      <c r="AM144" s="351"/>
      <c r="AN144" s="351"/>
      <c r="AO144" s="351"/>
      <c r="AP144" s="351"/>
      <c r="AQ144" s="351"/>
      <c r="AR144" s="351"/>
      <c r="AS144" s="351"/>
      <c r="AT144" s="351"/>
      <c r="AU144" s="351"/>
      <c r="AV144" s="351"/>
      <c r="AW144" s="351"/>
      <c r="AX144" s="351"/>
      <c r="AY144" s="351"/>
    </row>
    <row r="145" spans="1:51" ht="13">
      <c r="A145" s="333"/>
      <c r="B145" s="351"/>
      <c r="C145" s="351"/>
      <c r="D145" s="333"/>
      <c r="E145" s="333"/>
      <c r="F145" s="333"/>
      <c r="G145" s="359"/>
      <c r="H145" s="359"/>
      <c r="I145" s="351"/>
      <c r="J145" s="359"/>
      <c r="K145" s="359"/>
      <c r="L145" s="359"/>
      <c r="M145" s="351"/>
      <c r="N145" s="351"/>
      <c r="O145" s="351"/>
      <c r="P145" s="351"/>
      <c r="Q145" s="351"/>
      <c r="R145" s="351"/>
      <c r="S145" s="351"/>
      <c r="T145" s="351"/>
      <c r="U145" s="351"/>
      <c r="V145" s="351"/>
      <c r="W145" s="351"/>
      <c r="X145" s="359"/>
      <c r="Y145" s="359"/>
      <c r="Z145" s="359"/>
      <c r="AA145" s="351"/>
      <c r="AB145" s="351"/>
      <c r="AC145" s="359"/>
      <c r="AD145" s="359"/>
      <c r="AE145" s="351"/>
      <c r="AF145" s="333"/>
      <c r="AG145" s="333"/>
      <c r="AH145" s="351"/>
      <c r="AI145" s="351"/>
      <c r="AJ145" s="351"/>
      <c r="AK145" s="351"/>
      <c r="AL145" s="351"/>
      <c r="AM145" s="351"/>
      <c r="AN145" s="351"/>
      <c r="AO145" s="351"/>
      <c r="AP145" s="351"/>
      <c r="AQ145" s="351"/>
      <c r="AR145" s="351"/>
      <c r="AS145" s="351"/>
      <c r="AT145" s="351"/>
      <c r="AU145" s="351"/>
      <c r="AV145" s="351"/>
      <c r="AW145" s="351"/>
      <c r="AX145" s="351"/>
      <c r="AY145" s="351"/>
    </row>
    <row r="146" spans="1:51" ht="13">
      <c r="A146" s="333"/>
      <c r="B146" s="351"/>
      <c r="C146" s="351"/>
      <c r="D146" s="333"/>
      <c r="E146" s="333"/>
      <c r="F146" s="333"/>
      <c r="G146" s="359"/>
      <c r="H146" s="359"/>
      <c r="I146" s="351"/>
      <c r="J146" s="359"/>
      <c r="K146" s="359"/>
      <c r="L146" s="359"/>
      <c r="M146" s="351"/>
      <c r="N146" s="351"/>
      <c r="O146" s="351"/>
      <c r="P146" s="351"/>
      <c r="Q146" s="351"/>
      <c r="R146" s="351"/>
      <c r="S146" s="351"/>
      <c r="T146" s="351"/>
      <c r="U146" s="351"/>
      <c r="V146" s="351"/>
      <c r="W146" s="351"/>
      <c r="X146" s="359"/>
      <c r="Y146" s="359"/>
      <c r="Z146" s="359"/>
      <c r="AA146" s="351"/>
      <c r="AB146" s="351"/>
      <c r="AC146" s="359"/>
      <c r="AD146" s="359"/>
      <c r="AE146" s="351"/>
      <c r="AF146" s="333"/>
      <c r="AG146" s="333"/>
      <c r="AH146" s="351"/>
      <c r="AI146" s="351"/>
      <c r="AJ146" s="351"/>
      <c r="AK146" s="351"/>
      <c r="AL146" s="351"/>
      <c r="AM146" s="351"/>
      <c r="AN146" s="351"/>
      <c r="AO146" s="351"/>
      <c r="AP146" s="351"/>
      <c r="AQ146" s="351"/>
      <c r="AR146" s="351"/>
      <c r="AS146" s="351"/>
      <c r="AT146" s="351"/>
      <c r="AU146" s="351"/>
      <c r="AV146" s="351"/>
      <c r="AW146" s="351"/>
      <c r="AX146" s="351"/>
      <c r="AY146" s="351"/>
    </row>
    <row r="147" spans="1:51" ht="13">
      <c r="A147" s="333"/>
      <c r="B147" s="351"/>
      <c r="C147" s="351"/>
      <c r="D147" s="333"/>
      <c r="E147" s="333"/>
      <c r="F147" s="333"/>
      <c r="G147" s="359"/>
      <c r="H147" s="359"/>
      <c r="I147" s="351"/>
      <c r="J147" s="359"/>
      <c r="K147" s="359"/>
      <c r="L147" s="359"/>
      <c r="M147" s="351"/>
      <c r="N147" s="351"/>
      <c r="O147" s="351"/>
      <c r="P147" s="351"/>
      <c r="Q147" s="351"/>
      <c r="R147" s="351"/>
      <c r="S147" s="351"/>
      <c r="T147" s="351"/>
      <c r="U147" s="351"/>
      <c r="V147" s="351"/>
      <c r="W147" s="351"/>
      <c r="X147" s="359"/>
      <c r="Y147" s="359"/>
      <c r="Z147" s="359"/>
      <c r="AA147" s="351"/>
      <c r="AB147" s="351"/>
      <c r="AC147" s="359"/>
      <c r="AD147" s="359"/>
      <c r="AE147" s="351"/>
      <c r="AF147" s="333"/>
      <c r="AG147" s="333"/>
      <c r="AH147" s="351"/>
      <c r="AI147" s="351"/>
      <c r="AJ147" s="351"/>
      <c r="AK147" s="351"/>
      <c r="AL147" s="351"/>
      <c r="AM147" s="351"/>
      <c r="AN147" s="351"/>
      <c r="AO147" s="351"/>
      <c r="AP147" s="351"/>
      <c r="AQ147" s="351"/>
      <c r="AR147" s="351"/>
      <c r="AS147" s="351"/>
      <c r="AT147" s="351"/>
      <c r="AU147" s="351"/>
      <c r="AV147" s="351"/>
      <c r="AW147" s="351"/>
      <c r="AX147" s="351"/>
      <c r="AY147" s="351"/>
    </row>
    <row r="148" spans="1:51" ht="13">
      <c r="A148" s="333"/>
      <c r="B148" s="351"/>
      <c r="C148" s="351"/>
      <c r="D148" s="333"/>
      <c r="E148" s="333"/>
      <c r="F148" s="333"/>
      <c r="G148" s="359"/>
      <c r="H148" s="359"/>
      <c r="I148" s="351"/>
      <c r="J148" s="359"/>
      <c r="K148" s="359"/>
      <c r="L148" s="359"/>
      <c r="M148" s="351"/>
      <c r="N148" s="351"/>
      <c r="O148" s="351"/>
      <c r="P148" s="351"/>
      <c r="Q148" s="351"/>
      <c r="R148" s="351"/>
      <c r="S148" s="351"/>
      <c r="T148" s="351"/>
      <c r="U148" s="351"/>
      <c r="V148" s="351"/>
      <c r="W148" s="351"/>
      <c r="X148" s="359"/>
      <c r="Y148" s="359"/>
      <c r="Z148" s="359"/>
      <c r="AA148" s="351"/>
      <c r="AB148" s="351"/>
      <c r="AC148" s="359"/>
      <c r="AD148" s="359"/>
      <c r="AE148" s="351"/>
      <c r="AF148" s="333"/>
      <c r="AG148" s="333"/>
      <c r="AH148" s="351"/>
      <c r="AI148" s="351"/>
      <c r="AJ148" s="351"/>
      <c r="AK148" s="351"/>
      <c r="AL148" s="351"/>
      <c r="AM148" s="351"/>
      <c r="AN148" s="351"/>
      <c r="AO148" s="351"/>
      <c r="AP148" s="351"/>
      <c r="AQ148" s="351"/>
      <c r="AR148" s="351"/>
      <c r="AS148" s="351"/>
      <c r="AT148" s="351"/>
      <c r="AU148" s="351"/>
      <c r="AV148" s="351"/>
      <c r="AW148" s="351"/>
      <c r="AX148" s="351"/>
      <c r="AY148" s="351"/>
    </row>
    <row r="149" spans="1:51" ht="13">
      <c r="A149" s="333"/>
      <c r="B149" s="351"/>
      <c r="C149" s="351"/>
      <c r="D149" s="333"/>
      <c r="E149" s="333"/>
      <c r="F149" s="333"/>
      <c r="G149" s="359"/>
      <c r="H149" s="359"/>
      <c r="I149" s="351"/>
      <c r="J149" s="359"/>
      <c r="K149" s="359"/>
      <c r="L149" s="359"/>
      <c r="M149" s="351"/>
      <c r="N149" s="351"/>
      <c r="O149" s="351"/>
      <c r="P149" s="351"/>
      <c r="Q149" s="351"/>
      <c r="R149" s="351"/>
      <c r="S149" s="351"/>
      <c r="T149" s="351"/>
      <c r="U149" s="351"/>
      <c r="V149" s="351"/>
      <c r="W149" s="351"/>
      <c r="X149" s="359"/>
      <c r="Y149" s="359"/>
      <c r="Z149" s="359"/>
      <c r="AA149" s="351"/>
      <c r="AB149" s="351"/>
      <c r="AC149" s="359"/>
      <c r="AD149" s="359"/>
      <c r="AE149" s="351"/>
      <c r="AF149" s="333"/>
      <c r="AG149" s="333"/>
      <c r="AH149" s="351"/>
      <c r="AI149" s="351"/>
      <c r="AJ149" s="351"/>
      <c r="AK149" s="351"/>
      <c r="AL149" s="351"/>
      <c r="AM149" s="351"/>
      <c r="AN149" s="351"/>
      <c r="AO149" s="351"/>
      <c r="AP149" s="351"/>
      <c r="AQ149" s="351"/>
      <c r="AR149" s="351"/>
      <c r="AS149" s="351"/>
      <c r="AT149" s="351"/>
      <c r="AU149" s="351"/>
      <c r="AV149" s="351"/>
      <c r="AW149" s="351"/>
      <c r="AX149" s="351"/>
      <c r="AY149" s="351"/>
    </row>
    <row r="150" spans="1:51" ht="13">
      <c r="A150" s="333"/>
      <c r="B150" s="351"/>
      <c r="C150" s="351"/>
      <c r="D150" s="333"/>
      <c r="E150" s="333"/>
      <c r="F150" s="333"/>
      <c r="G150" s="359"/>
      <c r="H150" s="359"/>
      <c r="I150" s="351"/>
      <c r="J150" s="359"/>
      <c r="K150" s="359"/>
      <c r="L150" s="359"/>
      <c r="M150" s="351"/>
      <c r="N150" s="351"/>
      <c r="O150" s="351"/>
      <c r="P150" s="351"/>
      <c r="Q150" s="351"/>
      <c r="R150" s="351"/>
      <c r="S150" s="351"/>
      <c r="T150" s="351"/>
      <c r="U150" s="351"/>
      <c r="V150" s="351"/>
      <c r="W150" s="351"/>
      <c r="X150" s="359"/>
      <c r="Y150" s="359"/>
      <c r="Z150" s="359"/>
      <c r="AA150" s="351"/>
      <c r="AB150" s="351"/>
      <c r="AC150" s="359"/>
      <c r="AD150" s="359"/>
      <c r="AE150" s="351"/>
      <c r="AF150" s="333"/>
      <c r="AG150" s="333"/>
      <c r="AH150" s="351"/>
      <c r="AI150" s="351"/>
      <c r="AJ150" s="351"/>
      <c r="AK150" s="351"/>
      <c r="AL150" s="351"/>
      <c r="AM150" s="351"/>
      <c r="AN150" s="351"/>
      <c r="AO150" s="351"/>
      <c r="AP150" s="351"/>
      <c r="AQ150" s="351"/>
      <c r="AR150" s="351"/>
      <c r="AS150" s="351"/>
      <c r="AT150" s="351"/>
      <c r="AU150" s="351"/>
      <c r="AV150" s="351"/>
      <c r="AW150" s="351"/>
      <c r="AX150" s="351"/>
      <c r="AY150" s="351"/>
    </row>
    <row r="151" spans="1:51" ht="13">
      <c r="A151" s="333"/>
      <c r="B151" s="351"/>
      <c r="C151" s="351"/>
      <c r="D151" s="333"/>
      <c r="E151" s="333"/>
      <c r="F151" s="333"/>
      <c r="G151" s="359"/>
      <c r="H151" s="359"/>
      <c r="I151" s="351"/>
      <c r="J151" s="359"/>
      <c r="K151" s="359"/>
      <c r="L151" s="359"/>
      <c r="M151" s="351"/>
      <c r="N151" s="351"/>
      <c r="O151" s="351"/>
      <c r="P151" s="351"/>
      <c r="Q151" s="351"/>
      <c r="R151" s="351"/>
      <c r="S151" s="351"/>
      <c r="T151" s="351"/>
      <c r="U151" s="351"/>
      <c r="V151" s="351"/>
      <c r="W151" s="351"/>
      <c r="X151" s="359"/>
      <c r="Y151" s="359"/>
      <c r="Z151" s="359"/>
      <c r="AA151" s="351"/>
      <c r="AB151" s="351"/>
      <c r="AC151" s="359"/>
      <c r="AD151" s="359"/>
      <c r="AE151" s="351"/>
      <c r="AF151" s="333"/>
      <c r="AG151" s="333"/>
      <c r="AH151" s="351"/>
      <c r="AI151" s="351"/>
      <c r="AJ151" s="351"/>
      <c r="AK151" s="351"/>
      <c r="AL151" s="351"/>
      <c r="AM151" s="351"/>
      <c r="AN151" s="351"/>
      <c r="AO151" s="351"/>
      <c r="AP151" s="351"/>
      <c r="AQ151" s="351"/>
      <c r="AR151" s="351"/>
      <c r="AS151" s="351"/>
      <c r="AT151" s="351"/>
      <c r="AU151" s="351"/>
      <c r="AV151" s="351"/>
      <c r="AW151" s="351"/>
      <c r="AX151" s="351"/>
      <c r="AY151" s="351"/>
    </row>
    <row r="152" spans="1:51" ht="13">
      <c r="A152" s="333"/>
      <c r="B152" s="351"/>
      <c r="C152" s="351"/>
      <c r="D152" s="333"/>
      <c r="E152" s="333"/>
      <c r="F152" s="333"/>
      <c r="G152" s="359"/>
      <c r="H152" s="359"/>
      <c r="I152" s="351"/>
      <c r="J152" s="359"/>
      <c r="K152" s="359"/>
      <c r="L152" s="359"/>
      <c r="M152" s="351"/>
      <c r="N152" s="351"/>
      <c r="O152" s="351"/>
      <c r="P152" s="351"/>
      <c r="Q152" s="351"/>
      <c r="R152" s="351"/>
      <c r="S152" s="351"/>
      <c r="T152" s="351"/>
      <c r="U152" s="351"/>
      <c r="V152" s="351"/>
      <c r="W152" s="351"/>
      <c r="X152" s="359"/>
      <c r="Y152" s="359"/>
      <c r="Z152" s="359"/>
      <c r="AA152" s="351"/>
      <c r="AB152" s="351"/>
      <c r="AC152" s="359"/>
      <c r="AD152" s="359"/>
      <c r="AE152" s="351"/>
      <c r="AF152" s="333"/>
      <c r="AG152" s="333"/>
      <c r="AH152" s="351"/>
      <c r="AI152" s="351"/>
      <c r="AJ152" s="351"/>
      <c r="AK152" s="351"/>
      <c r="AL152" s="351"/>
      <c r="AM152" s="351"/>
      <c r="AN152" s="351"/>
      <c r="AO152" s="351"/>
      <c r="AP152" s="351"/>
      <c r="AQ152" s="351"/>
      <c r="AR152" s="351"/>
      <c r="AS152" s="351"/>
      <c r="AT152" s="351"/>
      <c r="AU152" s="351"/>
      <c r="AV152" s="351"/>
      <c r="AW152" s="351"/>
      <c r="AX152" s="351"/>
      <c r="AY152" s="351"/>
    </row>
    <row r="153" spans="1:51" ht="13">
      <c r="A153" s="333"/>
      <c r="B153" s="351"/>
      <c r="C153" s="351"/>
      <c r="D153" s="333"/>
      <c r="E153" s="333"/>
      <c r="F153" s="333"/>
      <c r="G153" s="359"/>
      <c r="H153" s="359"/>
      <c r="I153" s="351"/>
      <c r="J153" s="359"/>
      <c r="K153" s="359"/>
      <c r="L153" s="359"/>
      <c r="M153" s="351"/>
      <c r="N153" s="351"/>
      <c r="O153" s="351"/>
      <c r="P153" s="351"/>
      <c r="Q153" s="351"/>
      <c r="R153" s="351"/>
      <c r="S153" s="351"/>
      <c r="T153" s="351"/>
      <c r="U153" s="351"/>
      <c r="V153" s="351"/>
      <c r="W153" s="351"/>
      <c r="X153" s="359"/>
      <c r="Y153" s="359"/>
      <c r="Z153" s="359"/>
      <c r="AA153" s="351"/>
      <c r="AB153" s="351"/>
      <c r="AC153" s="359"/>
      <c r="AD153" s="359"/>
      <c r="AE153" s="351"/>
      <c r="AF153" s="333"/>
      <c r="AG153" s="333"/>
      <c r="AH153" s="351"/>
      <c r="AI153" s="351"/>
      <c r="AJ153" s="351"/>
      <c r="AK153" s="351"/>
      <c r="AL153" s="351"/>
      <c r="AM153" s="351"/>
      <c r="AN153" s="351"/>
      <c r="AO153" s="351"/>
      <c r="AP153" s="351"/>
      <c r="AQ153" s="351"/>
      <c r="AR153" s="351"/>
      <c r="AS153" s="351"/>
      <c r="AT153" s="351"/>
      <c r="AU153" s="351"/>
      <c r="AV153" s="351"/>
      <c r="AW153" s="351"/>
      <c r="AX153" s="351"/>
      <c r="AY153" s="351"/>
    </row>
    <row r="154" spans="1:51" ht="13">
      <c r="A154" s="333"/>
      <c r="B154" s="351"/>
      <c r="C154" s="351"/>
      <c r="D154" s="333"/>
      <c r="E154" s="333"/>
      <c r="F154" s="333"/>
      <c r="G154" s="359"/>
      <c r="H154" s="359"/>
      <c r="I154" s="351"/>
      <c r="J154" s="359"/>
      <c r="K154" s="359"/>
      <c r="L154" s="359"/>
      <c r="M154" s="351"/>
      <c r="N154" s="351"/>
      <c r="O154" s="351"/>
      <c r="P154" s="351"/>
      <c r="Q154" s="351"/>
      <c r="R154" s="351"/>
      <c r="S154" s="351"/>
      <c r="T154" s="351"/>
      <c r="U154" s="351"/>
      <c r="V154" s="351"/>
      <c r="W154" s="351"/>
      <c r="X154" s="359"/>
      <c r="Y154" s="359"/>
      <c r="Z154" s="359"/>
      <c r="AA154" s="351"/>
      <c r="AB154" s="351"/>
      <c r="AC154" s="359"/>
      <c r="AD154" s="359"/>
      <c r="AE154" s="351"/>
      <c r="AF154" s="333"/>
      <c r="AG154" s="333"/>
      <c r="AH154" s="351"/>
      <c r="AI154" s="351"/>
      <c r="AJ154" s="351"/>
      <c r="AK154" s="351"/>
      <c r="AL154" s="351"/>
      <c r="AM154" s="351"/>
      <c r="AN154" s="351"/>
      <c r="AO154" s="351"/>
      <c r="AP154" s="351"/>
      <c r="AQ154" s="351"/>
      <c r="AR154" s="351"/>
      <c r="AS154" s="351"/>
      <c r="AT154" s="351"/>
      <c r="AU154" s="351"/>
      <c r="AV154" s="351"/>
      <c r="AW154" s="351"/>
      <c r="AX154" s="351"/>
      <c r="AY154" s="351"/>
    </row>
    <row r="155" spans="1:51" ht="13">
      <c r="A155" s="333"/>
      <c r="B155" s="351"/>
      <c r="C155" s="351"/>
      <c r="D155" s="333"/>
      <c r="E155" s="333"/>
      <c r="F155" s="333"/>
      <c r="G155" s="359"/>
      <c r="H155" s="359"/>
      <c r="I155" s="351"/>
      <c r="J155" s="359"/>
      <c r="K155" s="359"/>
      <c r="L155" s="359"/>
      <c r="M155" s="351"/>
      <c r="N155" s="351"/>
      <c r="O155" s="351"/>
      <c r="P155" s="351"/>
      <c r="Q155" s="351"/>
      <c r="R155" s="351"/>
      <c r="S155" s="351"/>
      <c r="T155" s="351"/>
      <c r="U155" s="351"/>
      <c r="V155" s="351"/>
      <c r="W155" s="351"/>
      <c r="X155" s="359"/>
      <c r="Y155" s="359"/>
      <c r="Z155" s="359"/>
      <c r="AA155" s="351"/>
      <c r="AB155" s="351"/>
      <c r="AC155" s="359"/>
      <c r="AD155" s="359"/>
      <c r="AE155" s="351"/>
      <c r="AF155" s="333"/>
      <c r="AG155" s="333"/>
      <c r="AH155" s="351"/>
      <c r="AI155" s="351"/>
      <c r="AJ155" s="351"/>
      <c r="AK155" s="351"/>
      <c r="AL155" s="351"/>
      <c r="AM155" s="351"/>
      <c r="AN155" s="351"/>
      <c r="AO155" s="351"/>
      <c r="AP155" s="351"/>
      <c r="AQ155" s="351"/>
      <c r="AR155" s="351"/>
      <c r="AS155" s="351"/>
      <c r="AT155" s="351"/>
      <c r="AU155" s="351"/>
      <c r="AV155" s="351"/>
      <c r="AW155" s="351"/>
      <c r="AX155" s="351"/>
      <c r="AY155" s="351"/>
    </row>
    <row r="156" spans="1:51" ht="13">
      <c r="A156" s="333"/>
      <c r="B156" s="351"/>
      <c r="C156" s="351"/>
      <c r="D156" s="333"/>
      <c r="E156" s="333"/>
      <c r="F156" s="333"/>
      <c r="G156" s="359"/>
      <c r="H156" s="359"/>
      <c r="I156" s="351"/>
      <c r="J156" s="359"/>
      <c r="K156" s="359"/>
      <c r="L156" s="359"/>
      <c r="M156" s="351"/>
      <c r="N156" s="351"/>
      <c r="O156" s="351"/>
      <c r="P156" s="351"/>
      <c r="Q156" s="351"/>
      <c r="R156" s="351"/>
      <c r="S156" s="351"/>
      <c r="T156" s="351"/>
      <c r="U156" s="351"/>
      <c r="V156" s="351"/>
      <c r="W156" s="351"/>
      <c r="X156" s="359"/>
      <c r="Y156" s="359"/>
      <c r="Z156" s="359"/>
      <c r="AA156" s="351"/>
      <c r="AB156" s="351"/>
      <c r="AC156" s="359"/>
      <c r="AD156" s="359"/>
      <c r="AE156" s="351"/>
      <c r="AF156" s="333"/>
      <c r="AG156" s="333"/>
      <c r="AH156" s="351"/>
      <c r="AI156" s="351"/>
      <c r="AJ156" s="351"/>
      <c r="AK156" s="351"/>
      <c r="AL156" s="351"/>
      <c r="AM156" s="351"/>
      <c r="AN156" s="351"/>
      <c r="AO156" s="351"/>
      <c r="AP156" s="351"/>
      <c r="AQ156" s="351"/>
      <c r="AR156" s="351"/>
      <c r="AS156" s="351"/>
      <c r="AT156" s="351"/>
      <c r="AU156" s="351"/>
      <c r="AV156" s="351"/>
      <c r="AW156" s="351"/>
      <c r="AX156" s="351"/>
      <c r="AY156" s="351"/>
    </row>
    <row r="157" spans="1:51" ht="13">
      <c r="A157" s="333"/>
      <c r="B157" s="351"/>
      <c r="C157" s="351"/>
      <c r="D157" s="333"/>
      <c r="E157" s="333"/>
      <c r="F157" s="333"/>
      <c r="G157" s="359"/>
      <c r="H157" s="359"/>
      <c r="I157" s="351"/>
      <c r="J157" s="359"/>
      <c r="K157" s="359"/>
      <c r="L157" s="359"/>
      <c r="M157" s="351"/>
      <c r="N157" s="351"/>
      <c r="O157" s="351"/>
      <c r="P157" s="351"/>
      <c r="Q157" s="351"/>
      <c r="R157" s="351"/>
      <c r="S157" s="351"/>
      <c r="T157" s="351"/>
      <c r="U157" s="351"/>
      <c r="V157" s="351"/>
      <c r="W157" s="351"/>
      <c r="X157" s="359"/>
      <c r="Y157" s="359"/>
      <c r="Z157" s="359"/>
      <c r="AA157" s="351"/>
      <c r="AB157" s="351"/>
      <c r="AC157" s="359"/>
      <c r="AD157" s="359"/>
      <c r="AE157" s="351"/>
      <c r="AF157" s="333"/>
      <c r="AG157" s="333"/>
      <c r="AH157" s="351"/>
      <c r="AI157" s="351"/>
      <c r="AJ157" s="351"/>
      <c r="AK157" s="351"/>
      <c r="AL157" s="351"/>
      <c r="AM157" s="351"/>
      <c r="AN157" s="351"/>
      <c r="AO157" s="351"/>
      <c r="AP157" s="351"/>
      <c r="AQ157" s="351"/>
      <c r="AR157" s="351"/>
      <c r="AS157" s="351"/>
      <c r="AT157" s="351"/>
      <c r="AU157" s="351"/>
      <c r="AV157" s="351"/>
      <c r="AW157" s="351"/>
      <c r="AX157" s="351"/>
      <c r="AY157" s="351"/>
    </row>
    <row r="158" spans="1:51" ht="13">
      <c r="A158" s="333"/>
      <c r="B158" s="351"/>
      <c r="C158" s="351"/>
      <c r="D158" s="333"/>
      <c r="E158" s="333"/>
      <c r="F158" s="333"/>
      <c r="G158" s="359"/>
      <c r="H158" s="359"/>
      <c r="I158" s="351"/>
      <c r="J158" s="359"/>
      <c r="K158" s="359"/>
      <c r="L158" s="359"/>
      <c r="M158" s="351"/>
      <c r="N158" s="351"/>
      <c r="O158" s="351"/>
      <c r="P158" s="351"/>
      <c r="Q158" s="351"/>
      <c r="R158" s="351"/>
      <c r="S158" s="351"/>
      <c r="T158" s="351"/>
      <c r="U158" s="351"/>
      <c r="V158" s="351"/>
      <c r="W158" s="351"/>
      <c r="X158" s="359"/>
      <c r="Y158" s="359"/>
      <c r="Z158" s="359"/>
      <c r="AA158" s="351"/>
      <c r="AB158" s="351"/>
      <c r="AC158" s="359"/>
      <c r="AD158" s="359"/>
      <c r="AE158" s="351"/>
      <c r="AF158" s="333"/>
      <c r="AG158" s="333"/>
      <c r="AH158" s="351"/>
      <c r="AI158" s="351"/>
      <c r="AJ158" s="351"/>
      <c r="AK158" s="351"/>
      <c r="AL158" s="351"/>
      <c r="AM158" s="351"/>
      <c r="AN158" s="351"/>
      <c r="AO158" s="351"/>
      <c r="AP158" s="351"/>
      <c r="AQ158" s="351"/>
      <c r="AR158" s="351"/>
      <c r="AS158" s="351"/>
      <c r="AT158" s="351"/>
      <c r="AU158" s="351"/>
      <c r="AV158" s="351"/>
      <c r="AW158" s="351"/>
      <c r="AX158" s="351"/>
      <c r="AY158" s="351"/>
    </row>
    <row r="159" spans="1:51" ht="13">
      <c r="A159" s="333"/>
      <c r="B159" s="351"/>
      <c r="C159" s="351"/>
      <c r="D159" s="333"/>
      <c r="E159" s="333"/>
      <c r="F159" s="333"/>
      <c r="G159" s="359"/>
      <c r="H159" s="359"/>
      <c r="I159" s="351"/>
      <c r="J159" s="359"/>
      <c r="K159" s="359"/>
      <c r="L159" s="359"/>
      <c r="M159" s="351"/>
      <c r="N159" s="351"/>
      <c r="O159" s="351"/>
      <c r="P159" s="351"/>
      <c r="Q159" s="351"/>
      <c r="R159" s="351"/>
      <c r="S159" s="351"/>
      <c r="T159" s="351"/>
      <c r="U159" s="351"/>
      <c r="V159" s="351"/>
      <c r="W159" s="351"/>
      <c r="X159" s="359"/>
      <c r="Y159" s="359"/>
      <c r="Z159" s="359"/>
      <c r="AA159" s="351"/>
      <c r="AB159" s="351"/>
      <c r="AC159" s="359"/>
      <c r="AD159" s="359"/>
      <c r="AE159" s="351"/>
      <c r="AF159" s="333"/>
      <c r="AG159" s="333"/>
      <c r="AH159" s="351"/>
      <c r="AI159" s="351"/>
      <c r="AJ159" s="351"/>
      <c r="AK159" s="351"/>
      <c r="AL159" s="351"/>
      <c r="AM159" s="351"/>
      <c r="AN159" s="351"/>
      <c r="AO159" s="351"/>
      <c r="AP159" s="351"/>
      <c r="AQ159" s="351"/>
      <c r="AR159" s="351"/>
      <c r="AS159" s="351"/>
      <c r="AT159" s="351"/>
      <c r="AU159" s="351"/>
      <c r="AV159" s="351"/>
      <c r="AW159" s="351"/>
      <c r="AX159" s="351"/>
      <c r="AY159" s="351"/>
    </row>
    <row r="160" spans="1:51" ht="13">
      <c r="A160" s="333"/>
      <c r="B160" s="351"/>
      <c r="C160" s="351"/>
      <c r="D160" s="333"/>
      <c r="E160" s="333"/>
      <c r="F160" s="333"/>
      <c r="G160" s="359"/>
      <c r="H160" s="359"/>
      <c r="I160" s="351"/>
      <c r="J160" s="359"/>
      <c r="K160" s="359"/>
      <c r="L160" s="359"/>
      <c r="M160" s="351"/>
      <c r="N160" s="351"/>
      <c r="O160" s="351"/>
      <c r="P160" s="351"/>
      <c r="Q160" s="351"/>
      <c r="R160" s="351"/>
      <c r="S160" s="351"/>
      <c r="T160" s="351"/>
      <c r="U160" s="351"/>
      <c r="V160" s="351"/>
      <c r="W160" s="351"/>
      <c r="X160" s="359"/>
      <c r="Y160" s="359"/>
      <c r="Z160" s="359"/>
      <c r="AA160" s="351"/>
      <c r="AB160" s="351"/>
      <c r="AC160" s="359"/>
      <c r="AD160" s="359"/>
      <c r="AE160" s="351"/>
      <c r="AF160" s="333"/>
      <c r="AG160" s="333"/>
      <c r="AH160" s="351"/>
      <c r="AI160" s="351"/>
      <c r="AJ160" s="351"/>
      <c r="AK160" s="351"/>
      <c r="AL160" s="351"/>
      <c r="AM160" s="351"/>
      <c r="AN160" s="351"/>
      <c r="AO160" s="351"/>
      <c r="AP160" s="351"/>
      <c r="AQ160" s="351"/>
      <c r="AR160" s="351"/>
      <c r="AS160" s="351"/>
      <c r="AT160" s="351"/>
      <c r="AU160" s="351"/>
      <c r="AV160" s="351"/>
      <c r="AW160" s="351"/>
      <c r="AX160" s="351"/>
      <c r="AY160" s="351"/>
    </row>
    <row r="161" spans="1:51" ht="13">
      <c r="A161" s="333"/>
      <c r="B161" s="351"/>
      <c r="C161" s="351"/>
      <c r="D161" s="333"/>
      <c r="E161" s="333"/>
      <c r="F161" s="333"/>
      <c r="G161" s="359"/>
      <c r="H161" s="359"/>
      <c r="I161" s="351"/>
      <c r="J161" s="359"/>
      <c r="K161" s="359"/>
      <c r="L161" s="359"/>
      <c r="M161" s="351"/>
      <c r="N161" s="351"/>
      <c r="O161" s="351"/>
      <c r="P161" s="351"/>
      <c r="Q161" s="351"/>
      <c r="R161" s="351"/>
      <c r="S161" s="351"/>
      <c r="T161" s="351"/>
      <c r="U161" s="351"/>
      <c r="V161" s="351"/>
      <c r="W161" s="351"/>
      <c r="X161" s="359"/>
      <c r="Y161" s="359"/>
      <c r="Z161" s="359"/>
      <c r="AA161" s="351"/>
      <c r="AB161" s="351"/>
      <c r="AC161" s="359"/>
      <c r="AD161" s="359"/>
      <c r="AE161" s="351"/>
      <c r="AF161" s="333"/>
      <c r="AG161" s="333"/>
      <c r="AH161" s="351"/>
      <c r="AI161" s="351"/>
      <c r="AJ161" s="351"/>
      <c r="AK161" s="351"/>
      <c r="AL161" s="351"/>
      <c r="AM161" s="351"/>
      <c r="AN161" s="351"/>
      <c r="AO161" s="351"/>
      <c r="AP161" s="351"/>
      <c r="AQ161" s="351"/>
      <c r="AR161" s="351"/>
      <c r="AS161" s="351"/>
      <c r="AT161" s="351"/>
      <c r="AU161" s="351"/>
      <c r="AV161" s="351"/>
      <c r="AW161" s="351"/>
      <c r="AX161" s="351"/>
      <c r="AY161" s="351"/>
    </row>
    <row r="162" spans="1:51" ht="13">
      <c r="A162" s="333"/>
      <c r="B162" s="351"/>
      <c r="C162" s="351"/>
      <c r="D162" s="333"/>
      <c r="E162" s="333"/>
      <c r="F162" s="333"/>
      <c r="G162" s="359"/>
      <c r="H162" s="359"/>
      <c r="I162" s="351"/>
      <c r="J162" s="359"/>
      <c r="K162" s="359"/>
      <c r="L162" s="359"/>
      <c r="M162" s="351"/>
      <c r="N162" s="351"/>
      <c r="O162" s="351"/>
      <c r="P162" s="351"/>
      <c r="Q162" s="351"/>
      <c r="R162" s="351"/>
      <c r="S162" s="351"/>
      <c r="T162" s="351"/>
      <c r="U162" s="351"/>
      <c r="V162" s="351"/>
      <c r="W162" s="351"/>
      <c r="X162" s="359"/>
      <c r="Y162" s="359"/>
      <c r="Z162" s="359"/>
      <c r="AA162" s="351"/>
      <c r="AB162" s="351"/>
      <c r="AC162" s="359"/>
      <c r="AD162" s="359"/>
      <c r="AE162" s="351"/>
      <c r="AF162" s="333"/>
      <c r="AG162" s="333"/>
      <c r="AH162" s="351"/>
      <c r="AI162" s="351"/>
      <c r="AJ162" s="351"/>
      <c r="AK162" s="351"/>
      <c r="AL162" s="351"/>
      <c r="AM162" s="351"/>
      <c r="AN162" s="351"/>
      <c r="AO162" s="351"/>
      <c r="AP162" s="351"/>
      <c r="AQ162" s="351"/>
      <c r="AR162" s="351"/>
      <c r="AS162" s="351"/>
      <c r="AT162" s="351"/>
      <c r="AU162" s="351"/>
      <c r="AV162" s="351"/>
      <c r="AW162" s="351"/>
      <c r="AX162" s="351"/>
      <c r="AY162" s="351"/>
    </row>
    <row r="163" spans="1:51" ht="13">
      <c r="A163" s="333"/>
      <c r="B163" s="351"/>
      <c r="C163" s="351"/>
      <c r="D163" s="333"/>
      <c r="E163" s="333"/>
      <c r="F163" s="333"/>
      <c r="G163" s="359"/>
      <c r="H163" s="359"/>
      <c r="I163" s="351"/>
      <c r="J163" s="359"/>
      <c r="K163" s="359"/>
      <c r="L163" s="359"/>
      <c r="M163" s="351"/>
      <c r="N163" s="351"/>
      <c r="O163" s="351"/>
      <c r="P163" s="351"/>
      <c r="Q163" s="351"/>
      <c r="R163" s="351"/>
      <c r="S163" s="351"/>
      <c r="T163" s="351"/>
      <c r="U163" s="351"/>
      <c r="V163" s="351"/>
      <c r="W163" s="351"/>
      <c r="X163" s="359"/>
      <c r="Y163" s="359"/>
      <c r="Z163" s="359"/>
      <c r="AA163" s="351"/>
      <c r="AB163" s="351"/>
      <c r="AC163" s="359"/>
      <c r="AD163" s="359"/>
      <c r="AE163" s="351"/>
      <c r="AF163" s="333"/>
      <c r="AG163" s="333"/>
      <c r="AH163" s="351"/>
      <c r="AI163" s="351"/>
      <c r="AJ163" s="351"/>
      <c r="AK163" s="351"/>
      <c r="AL163" s="351"/>
      <c r="AM163" s="351"/>
      <c r="AN163" s="351"/>
      <c r="AO163" s="351"/>
      <c r="AP163" s="351"/>
      <c r="AQ163" s="351"/>
      <c r="AR163" s="351"/>
      <c r="AS163" s="351"/>
      <c r="AT163" s="351"/>
      <c r="AU163" s="351"/>
      <c r="AV163" s="351"/>
      <c r="AW163" s="351"/>
      <c r="AX163" s="351"/>
      <c r="AY163" s="351"/>
    </row>
    <row r="164" spans="1:51" ht="13">
      <c r="A164" s="333"/>
      <c r="B164" s="351"/>
      <c r="C164" s="351"/>
      <c r="D164" s="333"/>
      <c r="E164" s="333"/>
      <c r="F164" s="333"/>
      <c r="G164" s="359"/>
      <c r="H164" s="359"/>
      <c r="I164" s="351"/>
      <c r="J164" s="359"/>
      <c r="K164" s="359"/>
      <c r="L164" s="359"/>
      <c r="M164" s="351"/>
      <c r="N164" s="351"/>
      <c r="O164" s="351"/>
      <c r="P164" s="351"/>
      <c r="Q164" s="351"/>
      <c r="R164" s="351"/>
      <c r="S164" s="351"/>
      <c r="T164" s="351"/>
      <c r="U164" s="351"/>
      <c r="V164" s="351"/>
      <c r="W164" s="351"/>
      <c r="X164" s="359"/>
      <c r="Y164" s="359"/>
      <c r="Z164" s="359"/>
      <c r="AA164" s="351"/>
      <c r="AB164" s="351"/>
      <c r="AC164" s="359"/>
      <c r="AD164" s="359"/>
      <c r="AE164" s="351"/>
      <c r="AF164" s="333"/>
      <c r="AG164" s="333"/>
      <c r="AH164" s="351"/>
      <c r="AI164" s="351"/>
      <c r="AJ164" s="351"/>
      <c r="AK164" s="351"/>
      <c r="AL164" s="351"/>
      <c r="AM164" s="351"/>
      <c r="AN164" s="351"/>
      <c r="AO164" s="351"/>
      <c r="AP164" s="351"/>
      <c r="AQ164" s="351"/>
      <c r="AR164" s="351"/>
      <c r="AS164" s="351"/>
      <c r="AT164" s="351"/>
      <c r="AU164" s="351"/>
      <c r="AV164" s="351"/>
      <c r="AW164" s="351"/>
      <c r="AX164" s="351"/>
      <c r="AY164" s="351"/>
    </row>
    <row r="165" spans="1:51" ht="13">
      <c r="A165" s="333"/>
      <c r="B165" s="351"/>
      <c r="C165" s="351"/>
      <c r="D165" s="333"/>
      <c r="E165" s="333"/>
      <c r="F165" s="333"/>
      <c r="G165" s="359"/>
      <c r="H165" s="359"/>
      <c r="I165" s="351"/>
      <c r="J165" s="359"/>
      <c r="K165" s="359"/>
      <c r="L165" s="359"/>
      <c r="M165" s="351"/>
      <c r="N165" s="351"/>
      <c r="O165" s="351"/>
      <c r="P165" s="351"/>
      <c r="Q165" s="351"/>
      <c r="R165" s="351"/>
      <c r="S165" s="351"/>
      <c r="T165" s="351"/>
      <c r="U165" s="351"/>
      <c r="V165" s="351"/>
      <c r="W165" s="351"/>
      <c r="X165" s="359"/>
      <c r="Y165" s="359"/>
      <c r="Z165" s="359"/>
      <c r="AA165" s="351"/>
      <c r="AB165" s="351"/>
      <c r="AC165" s="359"/>
      <c r="AD165" s="359"/>
      <c r="AE165" s="351"/>
      <c r="AF165" s="333"/>
      <c r="AG165" s="333"/>
      <c r="AH165" s="351"/>
      <c r="AI165" s="351"/>
      <c r="AJ165" s="351"/>
      <c r="AK165" s="351"/>
      <c r="AL165" s="351"/>
      <c r="AM165" s="351"/>
      <c r="AN165" s="351"/>
      <c r="AO165" s="351"/>
      <c r="AP165" s="351"/>
      <c r="AQ165" s="351"/>
      <c r="AR165" s="351"/>
      <c r="AS165" s="351"/>
      <c r="AT165" s="351"/>
      <c r="AU165" s="351"/>
      <c r="AV165" s="351"/>
      <c r="AW165" s="351"/>
      <c r="AX165" s="351"/>
      <c r="AY165" s="351"/>
    </row>
    <row r="166" spans="1:51" ht="13">
      <c r="A166" s="333"/>
      <c r="B166" s="351"/>
      <c r="C166" s="351"/>
      <c r="D166" s="333"/>
      <c r="E166" s="333"/>
      <c r="F166" s="333"/>
      <c r="G166" s="359"/>
      <c r="H166" s="359"/>
      <c r="I166" s="351"/>
      <c r="J166" s="359"/>
      <c r="K166" s="359"/>
      <c r="L166" s="359"/>
      <c r="M166" s="351"/>
      <c r="N166" s="351"/>
      <c r="O166" s="351"/>
      <c r="P166" s="351"/>
      <c r="Q166" s="351"/>
      <c r="R166" s="351"/>
      <c r="S166" s="351"/>
      <c r="T166" s="351"/>
      <c r="U166" s="351"/>
      <c r="V166" s="351"/>
      <c r="W166" s="351"/>
      <c r="X166" s="359"/>
      <c r="Y166" s="359"/>
      <c r="Z166" s="359"/>
      <c r="AA166" s="351"/>
      <c r="AB166" s="351"/>
      <c r="AC166" s="359"/>
      <c r="AD166" s="359"/>
      <c r="AE166" s="351"/>
      <c r="AF166" s="333"/>
      <c r="AG166" s="333"/>
      <c r="AH166" s="351"/>
      <c r="AI166" s="351"/>
      <c r="AJ166" s="351"/>
      <c r="AK166" s="351"/>
      <c r="AL166" s="351"/>
      <c r="AM166" s="351"/>
      <c r="AN166" s="351"/>
      <c r="AO166" s="351"/>
      <c r="AP166" s="351"/>
      <c r="AQ166" s="351"/>
      <c r="AR166" s="351"/>
      <c r="AS166" s="351"/>
      <c r="AT166" s="351"/>
      <c r="AU166" s="351"/>
      <c r="AV166" s="351"/>
      <c r="AW166" s="351"/>
      <c r="AX166" s="351"/>
      <c r="AY166" s="351"/>
    </row>
    <row r="167" spans="1:51" ht="13">
      <c r="A167" s="333"/>
      <c r="B167" s="351"/>
      <c r="C167" s="351"/>
      <c r="D167" s="333"/>
      <c r="E167" s="333"/>
      <c r="F167" s="333"/>
      <c r="G167" s="359"/>
      <c r="H167" s="359"/>
      <c r="I167" s="351"/>
      <c r="J167" s="359"/>
      <c r="K167" s="359"/>
      <c r="L167" s="359"/>
      <c r="M167" s="351"/>
      <c r="N167" s="351"/>
      <c r="O167" s="351"/>
      <c r="P167" s="351"/>
      <c r="Q167" s="351"/>
      <c r="R167" s="351"/>
      <c r="S167" s="351"/>
      <c r="T167" s="351"/>
      <c r="U167" s="351"/>
      <c r="V167" s="351"/>
      <c r="W167" s="351"/>
      <c r="X167" s="359"/>
      <c r="Y167" s="359"/>
      <c r="Z167" s="359"/>
      <c r="AA167" s="351"/>
      <c r="AB167" s="351"/>
      <c r="AC167" s="359"/>
      <c r="AD167" s="359"/>
      <c r="AE167" s="351"/>
      <c r="AF167" s="333"/>
      <c r="AG167" s="333"/>
      <c r="AH167" s="351"/>
      <c r="AI167" s="351"/>
      <c r="AJ167" s="351"/>
      <c r="AK167" s="351"/>
      <c r="AL167" s="351"/>
      <c r="AM167" s="351"/>
      <c r="AN167" s="351"/>
      <c r="AO167" s="351"/>
      <c r="AP167" s="351"/>
      <c r="AQ167" s="351"/>
      <c r="AR167" s="351"/>
      <c r="AS167" s="351"/>
      <c r="AT167" s="351"/>
      <c r="AU167" s="351"/>
      <c r="AV167" s="351"/>
      <c r="AW167" s="351"/>
      <c r="AX167" s="351"/>
      <c r="AY167" s="351"/>
    </row>
    <row r="168" spans="1:51" ht="13">
      <c r="A168" s="333"/>
      <c r="B168" s="351"/>
      <c r="C168" s="351"/>
      <c r="D168" s="333"/>
      <c r="E168" s="333"/>
      <c r="F168" s="333"/>
      <c r="G168" s="359"/>
      <c r="H168" s="359"/>
      <c r="I168" s="351"/>
      <c r="J168" s="359"/>
      <c r="K168" s="359"/>
      <c r="L168" s="359"/>
      <c r="M168" s="351"/>
      <c r="N168" s="351"/>
      <c r="O168" s="351"/>
      <c r="P168" s="351"/>
      <c r="Q168" s="351"/>
      <c r="R168" s="351"/>
      <c r="S168" s="351"/>
      <c r="T168" s="351"/>
      <c r="U168" s="351"/>
      <c r="V168" s="351"/>
      <c r="W168" s="351"/>
      <c r="X168" s="359"/>
      <c r="Y168" s="359"/>
      <c r="Z168" s="359"/>
      <c r="AA168" s="351"/>
      <c r="AB168" s="351"/>
      <c r="AC168" s="359"/>
      <c r="AD168" s="359"/>
      <c r="AE168" s="351"/>
      <c r="AF168" s="333"/>
      <c r="AG168" s="333"/>
      <c r="AH168" s="351"/>
      <c r="AI168" s="351"/>
      <c r="AJ168" s="351"/>
      <c r="AK168" s="351"/>
      <c r="AL168" s="351"/>
      <c r="AM168" s="351"/>
      <c r="AN168" s="351"/>
      <c r="AO168" s="351"/>
      <c r="AP168" s="351"/>
      <c r="AQ168" s="351"/>
      <c r="AR168" s="351"/>
      <c r="AS168" s="351"/>
      <c r="AT168" s="351"/>
      <c r="AU168" s="351"/>
      <c r="AV168" s="351"/>
      <c r="AW168" s="351"/>
      <c r="AX168" s="351"/>
      <c r="AY168" s="351"/>
    </row>
    <row r="169" spans="1:51" ht="13">
      <c r="A169" s="333"/>
      <c r="B169" s="351"/>
      <c r="C169" s="351"/>
      <c r="D169" s="333"/>
      <c r="E169" s="333"/>
      <c r="F169" s="333"/>
      <c r="G169" s="359"/>
      <c r="H169" s="359"/>
      <c r="I169" s="351"/>
      <c r="J169" s="359"/>
      <c r="K169" s="359"/>
      <c r="L169" s="359"/>
      <c r="M169" s="351"/>
      <c r="N169" s="351"/>
      <c r="O169" s="351"/>
      <c r="P169" s="351"/>
      <c r="Q169" s="351"/>
      <c r="R169" s="351"/>
      <c r="S169" s="351"/>
      <c r="T169" s="351"/>
      <c r="U169" s="351"/>
      <c r="V169" s="351"/>
      <c r="W169" s="351"/>
      <c r="X169" s="359"/>
      <c r="Y169" s="359"/>
      <c r="Z169" s="359"/>
      <c r="AA169" s="351"/>
      <c r="AB169" s="351"/>
      <c r="AC169" s="359"/>
      <c r="AD169" s="359"/>
      <c r="AE169" s="351"/>
      <c r="AF169" s="333"/>
      <c r="AG169" s="333"/>
      <c r="AH169" s="351"/>
      <c r="AI169" s="351"/>
      <c r="AJ169" s="351"/>
      <c r="AK169" s="351"/>
      <c r="AL169" s="351"/>
      <c r="AM169" s="351"/>
      <c r="AN169" s="351"/>
      <c r="AO169" s="351"/>
      <c r="AP169" s="351"/>
      <c r="AQ169" s="351"/>
      <c r="AR169" s="351"/>
      <c r="AS169" s="351"/>
      <c r="AT169" s="351"/>
      <c r="AU169" s="351"/>
      <c r="AV169" s="351"/>
      <c r="AW169" s="351"/>
      <c r="AX169" s="351"/>
      <c r="AY169" s="351"/>
    </row>
    <row r="170" spans="1:51" ht="13">
      <c r="A170" s="333"/>
      <c r="B170" s="351"/>
      <c r="C170" s="351"/>
      <c r="D170" s="333"/>
      <c r="E170" s="333"/>
      <c r="F170" s="333"/>
      <c r="G170" s="359"/>
      <c r="H170" s="359"/>
      <c r="I170" s="351"/>
      <c r="J170" s="359"/>
      <c r="K170" s="359"/>
      <c r="L170" s="359"/>
      <c r="M170" s="351"/>
      <c r="N170" s="351"/>
      <c r="O170" s="351"/>
      <c r="P170" s="351"/>
      <c r="Q170" s="351"/>
      <c r="R170" s="351"/>
      <c r="S170" s="351"/>
      <c r="T170" s="351"/>
      <c r="U170" s="351"/>
      <c r="V170" s="351"/>
      <c r="W170" s="351"/>
      <c r="X170" s="359"/>
      <c r="Y170" s="359"/>
      <c r="Z170" s="359"/>
      <c r="AA170" s="351"/>
      <c r="AB170" s="351"/>
      <c r="AC170" s="359"/>
      <c r="AD170" s="359"/>
      <c r="AE170" s="351"/>
      <c r="AF170" s="333"/>
      <c r="AG170" s="333"/>
      <c r="AH170" s="351"/>
      <c r="AI170" s="351"/>
      <c r="AJ170" s="351"/>
      <c r="AK170" s="351"/>
      <c r="AL170" s="351"/>
      <c r="AM170" s="351"/>
      <c r="AN170" s="351"/>
      <c r="AO170" s="351"/>
      <c r="AP170" s="351"/>
      <c r="AQ170" s="351"/>
      <c r="AR170" s="351"/>
      <c r="AS170" s="351"/>
      <c r="AT170" s="351"/>
      <c r="AU170" s="351"/>
      <c r="AV170" s="351"/>
      <c r="AW170" s="351"/>
      <c r="AX170" s="351"/>
      <c r="AY170" s="351"/>
    </row>
    <row r="171" spans="1:51" ht="13">
      <c r="A171" s="333"/>
      <c r="B171" s="351"/>
      <c r="C171" s="351"/>
      <c r="D171" s="333"/>
      <c r="E171" s="333"/>
      <c r="F171" s="333"/>
      <c r="G171" s="359"/>
      <c r="H171" s="359"/>
      <c r="I171" s="351"/>
      <c r="J171" s="359"/>
      <c r="K171" s="359"/>
      <c r="L171" s="359"/>
      <c r="M171" s="351"/>
      <c r="N171" s="351"/>
      <c r="O171" s="351"/>
      <c r="P171" s="351"/>
      <c r="Q171" s="351"/>
      <c r="R171" s="351"/>
      <c r="S171" s="351"/>
      <c r="T171" s="351"/>
      <c r="U171" s="351"/>
      <c r="V171" s="351"/>
      <c r="W171" s="351"/>
      <c r="X171" s="359"/>
      <c r="Y171" s="359"/>
      <c r="Z171" s="359"/>
      <c r="AA171" s="351"/>
      <c r="AB171" s="351"/>
      <c r="AC171" s="359"/>
      <c r="AD171" s="359"/>
      <c r="AE171" s="351"/>
      <c r="AF171" s="333"/>
      <c r="AG171" s="333"/>
      <c r="AH171" s="351"/>
      <c r="AI171" s="351"/>
      <c r="AJ171" s="351"/>
      <c r="AK171" s="351"/>
      <c r="AL171" s="351"/>
      <c r="AM171" s="351"/>
      <c r="AN171" s="351"/>
      <c r="AO171" s="351"/>
      <c r="AP171" s="351"/>
      <c r="AQ171" s="351"/>
      <c r="AR171" s="351"/>
      <c r="AS171" s="351"/>
      <c r="AT171" s="351"/>
      <c r="AU171" s="351"/>
      <c r="AV171" s="351"/>
      <c r="AW171" s="351"/>
      <c r="AX171" s="351"/>
      <c r="AY171" s="351"/>
    </row>
    <row r="172" spans="1:51" ht="13">
      <c r="A172" s="333"/>
      <c r="B172" s="351"/>
      <c r="C172" s="351"/>
      <c r="D172" s="333"/>
      <c r="E172" s="333"/>
      <c r="F172" s="333"/>
      <c r="G172" s="359"/>
      <c r="H172" s="359"/>
      <c r="I172" s="351"/>
      <c r="J172" s="359"/>
      <c r="K172" s="359"/>
      <c r="L172" s="359"/>
      <c r="M172" s="351"/>
      <c r="N172" s="351"/>
      <c r="O172" s="351"/>
      <c r="P172" s="351"/>
      <c r="Q172" s="351"/>
      <c r="R172" s="351"/>
      <c r="S172" s="351"/>
      <c r="T172" s="351"/>
      <c r="U172" s="351"/>
      <c r="V172" s="351"/>
      <c r="W172" s="351"/>
      <c r="X172" s="359"/>
      <c r="Y172" s="359"/>
      <c r="Z172" s="359"/>
      <c r="AA172" s="351"/>
      <c r="AB172" s="351"/>
      <c r="AC172" s="359"/>
      <c r="AD172" s="359"/>
      <c r="AE172" s="351"/>
      <c r="AF172" s="333"/>
      <c r="AG172" s="333"/>
      <c r="AH172" s="351"/>
      <c r="AI172" s="351"/>
      <c r="AJ172" s="351"/>
      <c r="AK172" s="351"/>
      <c r="AL172" s="351"/>
      <c r="AM172" s="351"/>
      <c r="AN172" s="351"/>
      <c r="AO172" s="351"/>
      <c r="AP172" s="351"/>
      <c r="AQ172" s="351"/>
      <c r="AR172" s="351"/>
      <c r="AS172" s="351"/>
      <c r="AT172" s="351"/>
      <c r="AU172" s="351"/>
      <c r="AV172" s="351"/>
      <c r="AW172" s="351"/>
      <c r="AX172" s="351"/>
      <c r="AY172" s="351"/>
    </row>
    <row r="173" spans="1:51" ht="13">
      <c r="A173" s="333"/>
      <c r="B173" s="351"/>
      <c r="C173" s="351"/>
      <c r="D173" s="333"/>
      <c r="E173" s="333"/>
      <c r="F173" s="333"/>
      <c r="G173" s="359"/>
      <c r="H173" s="359"/>
      <c r="I173" s="351"/>
      <c r="J173" s="359"/>
      <c r="K173" s="359"/>
      <c r="L173" s="359"/>
      <c r="M173" s="351"/>
      <c r="N173" s="351"/>
      <c r="O173" s="351"/>
      <c r="P173" s="351"/>
      <c r="Q173" s="351"/>
      <c r="R173" s="351"/>
      <c r="S173" s="351"/>
      <c r="T173" s="351"/>
      <c r="U173" s="351"/>
      <c r="V173" s="351"/>
      <c r="W173" s="351"/>
      <c r="X173" s="359"/>
      <c r="Y173" s="359"/>
      <c r="Z173" s="359"/>
      <c r="AA173" s="351"/>
      <c r="AB173" s="351"/>
      <c r="AC173" s="359"/>
      <c r="AD173" s="359"/>
      <c r="AE173" s="351"/>
      <c r="AF173" s="333"/>
      <c r="AG173" s="333"/>
      <c r="AH173" s="351"/>
      <c r="AI173" s="351"/>
      <c r="AJ173" s="351"/>
      <c r="AK173" s="351"/>
      <c r="AL173" s="351"/>
      <c r="AM173" s="351"/>
      <c r="AN173" s="351"/>
      <c r="AO173" s="351"/>
      <c r="AP173" s="351"/>
      <c r="AQ173" s="351"/>
      <c r="AR173" s="351"/>
      <c r="AS173" s="351"/>
      <c r="AT173" s="351"/>
      <c r="AU173" s="351"/>
      <c r="AV173" s="351"/>
      <c r="AW173" s="351"/>
      <c r="AX173" s="351"/>
      <c r="AY173" s="351"/>
    </row>
    <row r="174" spans="1:51" ht="13">
      <c r="A174" s="333"/>
      <c r="B174" s="351"/>
      <c r="C174" s="351"/>
      <c r="D174" s="333"/>
      <c r="E174" s="333"/>
      <c r="F174" s="333"/>
      <c r="G174" s="359"/>
      <c r="H174" s="359"/>
      <c r="I174" s="351"/>
      <c r="J174" s="359"/>
      <c r="K174" s="359"/>
      <c r="L174" s="359"/>
      <c r="M174" s="351"/>
      <c r="N174" s="351"/>
      <c r="O174" s="351"/>
      <c r="P174" s="351"/>
      <c r="Q174" s="351"/>
      <c r="R174" s="351"/>
      <c r="S174" s="351"/>
      <c r="T174" s="351"/>
      <c r="U174" s="351"/>
      <c r="V174" s="351"/>
      <c r="W174" s="351"/>
      <c r="X174" s="359"/>
      <c r="Y174" s="359"/>
      <c r="Z174" s="359"/>
      <c r="AA174" s="351"/>
      <c r="AB174" s="351"/>
      <c r="AC174" s="359"/>
      <c r="AD174" s="359"/>
      <c r="AE174" s="351"/>
      <c r="AF174" s="333"/>
      <c r="AG174" s="333"/>
      <c r="AH174" s="351"/>
      <c r="AI174" s="351"/>
      <c r="AJ174" s="351"/>
      <c r="AK174" s="351"/>
      <c r="AL174" s="351"/>
      <c r="AM174" s="351"/>
      <c r="AN174" s="351"/>
      <c r="AO174" s="351"/>
      <c r="AP174" s="351"/>
      <c r="AQ174" s="351"/>
      <c r="AR174" s="351"/>
      <c r="AS174" s="351"/>
      <c r="AT174" s="351"/>
      <c r="AU174" s="351"/>
      <c r="AV174" s="351"/>
      <c r="AW174" s="351"/>
      <c r="AX174" s="351"/>
      <c r="AY174" s="351"/>
    </row>
    <row r="175" spans="1:51" ht="13">
      <c r="A175" s="333"/>
      <c r="B175" s="351"/>
      <c r="C175" s="351"/>
      <c r="D175" s="333"/>
      <c r="E175" s="333"/>
      <c r="F175" s="333"/>
      <c r="G175" s="359"/>
      <c r="H175" s="359"/>
      <c r="I175" s="351"/>
      <c r="J175" s="359"/>
      <c r="K175" s="359"/>
      <c r="L175" s="359"/>
      <c r="M175" s="351"/>
      <c r="N175" s="351"/>
      <c r="O175" s="351"/>
      <c r="P175" s="351"/>
      <c r="Q175" s="351"/>
      <c r="R175" s="351"/>
      <c r="S175" s="351"/>
      <c r="T175" s="351"/>
      <c r="U175" s="351"/>
      <c r="V175" s="351"/>
      <c r="W175" s="351"/>
      <c r="X175" s="359"/>
      <c r="Y175" s="359"/>
      <c r="Z175" s="359"/>
      <c r="AA175" s="351"/>
      <c r="AB175" s="351"/>
      <c r="AC175" s="359"/>
      <c r="AD175" s="359"/>
      <c r="AE175" s="351"/>
      <c r="AF175" s="333"/>
      <c r="AG175" s="333"/>
      <c r="AH175" s="351"/>
      <c r="AI175" s="351"/>
      <c r="AJ175" s="351"/>
      <c r="AK175" s="351"/>
      <c r="AL175" s="351"/>
      <c r="AM175" s="351"/>
      <c r="AN175" s="351"/>
      <c r="AO175" s="351"/>
      <c r="AP175" s="351"/>
      <c r="AQ175" s="351"/>
      <c r="AR175" s="351"/>
      <c r="AS175" s="351"/>
      <c r="AT175" s="351"/>
      <c r="AU175" s="351"/>
      <c r="AV175" s="351"/>
      <c r="AW175" s="351"/>
      <c r="AX175" s="351"/>
      <c r="AY175" s="351"/>
    </row>
    <row r="176" spans="1:51" ht="13">
      <c r="A176" s="333"/>
      <c r="B176" s="351"/>
      <c r="C176" s="351"/>
      <c r="D176" s="333"/>
      <c r="E176" s="333"/>
      <c r="F176" s="333"/>
      <c r="G176" s="359"/>
      <c r="H176" s="359"/>
      <c r="I176" s="351"/>
      <c r="J176" s="359"/>
      <c r="K176" s="359"/>
      <c r="L176" s="359"/>
      <c r="M176" s="351"/>
      <c r="N176" s="351"/>
      <c r="O176" s="351"/>
      <c r="P176" s="351"/>
      <c r="Q176" s="351"/>
      <c r="R176" s="351"/>
      <c r="S176" s="351"/>
      <c r="T176" s="351"/>
      <c r="U176" s="351"/>
      <c r="V176" s="351"/>
      <c r="W176" s="351"/>
      <c r="X176" s="359"/>
      <c r="Y176" s="359"/>
      <c r="Z176" s="359"/>
      <c r="AA176" s="351"/>
      <c r="AB176" s="351"/>
      <c r="AC176" s="359"/>
      <c r="AD176" s="359"/>
      <c r="AE176" s="351"/>
      <c r="AF176" s="333"/>
      <c r="AG176" s="333"/>
      <c r="AH176" s="351"/>
      <c r="AI176" s="351"/>
      <c r="AJ176" s="351"/>
      <c r="AK176" s="351"/>
      <c r="AL176" s="351"/>
      <c r="AM176" s="351"/>
      <c r="AN176" s="351"/>
      <c r="AO176" s="351"/>
      <c r="AP176" s="351"/>
      <c r="AQ176" s="351"/>
      <c r="AR176" s="351"/>
      <c r="AS176" s="351"/>
      <c r="AT176" s="351"/>
      <c r="AU176" s="351"/>
      <c r="AV176" s="351"/>
      <c r="AW176" s="351"/>
      <c r="AX176" s="351"/>
      <c r="AY176" s="351"/>
    </row>
    <row r="177" spans="1:51" ht="13">
      <c r="A177" s="333"/>
      <c r="B177" s="351"/>
      <c r="C177" s="351"/>
      <c r="D177" s="333"/>
      <c r="E177" s="333"/>
      <c r="F177" s="333"/>
      <c r="G177" s="359"/>
      <c r="H177" s="359"/>
      <c r="I177" s="351"/>
      <c r="J177" s="359"/>
      <c r="K177" s="359"/>
      <c r="L177" s="359"/>
      <c r="M177" s="351"/>
      <c r="N177" s="351"/>
      <c r="O177" s="351"/>
      <c r="P177" s="351"/>
      <c r="Q177" s="351"/>
      <c r="R177" s="351"/>
      <c r="S177" s="351"/>
      <c r="T177" s="351"/>
      <c r="U177" s="351"/>
      <c r="V177" s="351"/>
      <c r="W177" s="351"/>
      <c r="X177" s="359"/>
      <c r="Y177" s="359"/>
      <c r="Z177" s="359"/>
      <c r="AA177" s="351"/>
      <c r="AB177" s="351"/>
      <c r="AC177" s="359"/>
      <c r="AD177" s="359"/>
      <c r="AE177" s="351"/>
      <c r="AF177" s="333"/>
      <c r="AG177" s="333"/>
      <c r="AH177" s="351"/>
      <c r="AI177" s="351"/>
      <c r="AJ177" s="351"/>
      <c r="AK177" s="351"/>
      <c r="AL177" s="351"/>
      <c r="AM177" s="351"/>
      <c r="AN177" s="351"/>
      <c r="AO177" s="351"/>
      <c r="AP177" s="351"/>
      <c r="AQ177" s="351"/>
      <c r="AR177" s="351"/>
      <c r="AS177" s="351"/>
      <c r="AT177" s="351"/>
      <c r="AU177" s="351"/>
      <c r="AV177" s="351"/>
      <c r="AW177" s="351"/>
      <c r="AX177" s="351"/>
      <c r="AY177" s="351"/>
    </row>
    <row r="178" spans="1:51" ht="13">
      <c r="A178" s="333"/>
      <c r="B178" s="351"/>
      <c r="C178" s="351"/>
      <c r="D178" s="333"/>
      <c r="E178" s="333"/>
      <c r="F178" s="333"/>
      <c r="G178" s="359"/>
      <c r="H178" s="359"/>
      <c r="I178" s="351"/>
      <c r="J178" s="359"/>
      <c r="K178" s="359"/>
      <c r="L178" s="359"/>
      <c r="M178" s="351"/>
      <c r="N178" s="351"/>
      <c r="O178" s="351"/>
      <c r="P178" s="351"/>
      <c r="Q178" s="351"/>
      <c r="R178" s="351"/>
      <c r="S178" s="351"/>
      <c r="T178" s="351"/>
      <c r="U178" s="351"/>
      <c r="V178" s="351"/>
      <c r="W178" s="351"/>
      <c r="X178" s="359"/>
      <c r="Y178" s="359"/>
      <c r="Z178" s="359"/>
      <c r="AA178" s="351"/>
      <c r="AB178" s="351"/>
      <c r="AC178" s="359"/>
      <c r="AD178" s="359"/>
      <c r="AE178" s="351"/>
      <c r="AF178" s="333"/>
      <c r="AG178" s="333"/>
      <c r="AH178" s="351"/>
      <c r="AI178" s="351"/>
      <c r="AJ178" s="351"/>
      <c r="AK178" s="351"/>
      <c r="AL178" s="351"/>
      <c r="AM178" s="351"/>
      <c r="AN178" s="351"/>
      <c r="AO178" s="351"/>
      <c r="AP178" s="351"/>
      <c r="AQ178" s="351"/>
      <c r="AR178" s="351"/>
      <c r="AS178" s="351"/>
      <c r="AT178" s="351"/>
      <c r="AU178" s="351"/>
      <c r="AV178" s="351"/>
      <c r="AW178" s="351"/>
      <c r="AX178" s="351"/>
      <c r="AY178" s="351"/>
    </row>
    <row r="179" spans="1:51" ht="13">
      <c r="A179" s="333"/>
      <c r="B179" s="351"/>
      <c r="C179" s="351"/>
      <c r="D179" s="333"/>
      <c r="E179" s="333"/>
      <c r="F179" s="333"/>
      <c r="G179" s="359"/>
      <c r="H179" s="359"/>
      <c r="I179" s="351"/>
      <c r="J179" s="359"/>
      <c r="K179" s="359"/>
      <c r="L179" s="359"/>
      <c r="M179" s="351"/>
      <c r="N179" s="351"/>
      <c r="O179" s="351"/>
      <c r="P179" s="351"/>
      <c r="Q179" s="351"/>
      <c r="R179" s="351"/>
      <c r="S179" s="351"/>
      <c r="T179" s="351"/>
      <c r="U179" s="351"/>
      <c r="V179" s="351"/>
      <c r="W179" s="351"/>
      <c r="X179" s="359"/>
      <c r="Y179" s="359"/>
      <c r="Z179" s="359"/>
      <c r="AA179" s="351"/>
      <c r="AB179" s="351"/>
      <c r="AC179" s="359"/>
      <c r="AD179" s="359"/>
      <c r="AE179" s="351"/>
      <c r="AF179" s="333"/>
      <c r="AG179" s="333"/>
      <c r="AH179" s="351"/>
      <c r="AI179" s="351"/>
      <c r="AJ179" s="351"/>
      <c r="AK179" s="351"/>
      <c r="AL179" s="351"/>
      <c r="AM179" s="351"/>
      <c r="AN179" s="351"/>
      <c r="AO179" s="351"/>
      <c r="AP179" s="351"/>
      <c r="AQ179" s="351"/>
      <c r="AR179" s="351"/>
      <c r="AS179" s="351"/>
      <c r="AT179" s="351"/>
      <c r="AU179" s="351"/>
      <c r="AV179" s="351"/>
      <c r="AW179" s="351"/>
      <c r="AX179" s="351"/>
      <c r="AY179" s="351"/>
    </row>
    <row r="180" spans="1:51" ht="13">
      <c r="A180" s="333"/>
      <c r="B180" s="351"/>
      <c r="C180" s="351"/>
      <c r="D180" s="333"/>
      <c r="E180" s="333"/>
      <c r="F180" s="333"/>
      <c r="G180" s="359"/>
      <c r="H180" s="359"/>
      <c r="I180" s="351"/>
      <c r="J180" s="359"/>
      <c r="K180" s="359"/>
      <c r="L180" s="359"/>
      <c r="M180" s="351"/>
      <c r="N180" s="351"/>
      <c r="O180" s="351"/>
      <c r="P180" s="351"/>
      <c r="Q180" s="351"/>
      <c r="R180" s="351"/>
      <c r="S180" s="351"/>
      <c r="T180" s="351"/>
      <c r="U180" s="351"/>
      <c r="V180" s="351"/>
      <c r="W180" s="351"/>
      <c r="X180" s="359"/>
      <c r="Y180" s="359"/>
      <c r="Z180" s="359"/>
      <c r="AA180" s="351"/>
      <c r="AB180" s="351"/>
      <c r="AC180" s="359"/>
      <c r="AD180" s="359"/>
      <c r="AE180" s="351"/>
      <c r="AF180" s="333"/>
      <c r="AG180" s="333"/>
      <c r="AH180" s="351"/>
      <c r="AI180" s="351"/>
      <c r="AJ180" s="351"/>
      <c r="AK180" s="351"/>
      <c r="AL180" s="351"/>
      <c r="AM180" s="351"/>
      <c r="AN180" s="351"/>
      <c r="AO180" s="351"/>
      <c r="AP180" s="351"/>
      <c r="AQ180" s="351"/>
      <c r="AR180" s="351"/>
      <c r="AS180" s="351"/>
      <c r="AT180" s="351"/>
      <c r="AU180" s="351"/>
      <c r="AV180" s="351"/>
      <c r="AW180" s="351"/>
      <c r="AX180" s="351"/>
      <c r="AY180" s="351"/>
    </row>
    <row r="181" spans="1:51" ht="13">
      <c r="A181" s="333"/>
      <c r="B181" s="351"/>
      <c r="C181" s="351"/>
      <c r="D181" s="333"/>
      <c r="E181" s="333"/>
      <c r="F181" s="333"/>
      <c r="G181" s="359"/>
      <c r="H181" s="359"/>
      <c r="I181" s="351"/>
      <c r="J181" s="359"/>
      <c r="K181" s="359"/>
      <c r="L181" s="359"/>
      <c r="M181" s="351"/>
      <c r="N181" s="351"/>
      <c r="O181" s="351"/>
      <c r="P181" s="351"/>
      <c r="Q181" s="351"/>
      <c r="R181" s="351"/>
      <c r="S181" s="351"/>
      <c r="T181" s="351"/>
      <c r="U181" s="351"/>
      <c r="V181" s="351"/>
      <c r="W181" s="351"/>
      <c r="X181" s="359"/>
      <c r="Y181" s="359"/>
      <c r="Z181" s="359"/>
      <c r="AA181" s="351"/>
      <c r="AB181" s="351"/>
      <c r="AC181" s="359"/>
      <c r="AD181" s="359"/>
      <c r="AE181" s="351"/>
      <c r="AF181" s="333"/>
      <c r="AG181" s="333"/>
      <c r="AH181" s="351"/>
      <c r="AI181" s="351"/>
      <c r="AJ181" s="351"/>
      <c r="AK181" s="351"/>
      <c r="AL181" s="351"/>
      <c r="AM181" s="351"/>
      <c r="AN181" s="351"/>
      <c r="AO181" s="351"/>
      <c r="AP181" s="351"/>
      <c r="AQ181" s="351"/>
      <c r="AR181" s="351"/>
      <c r="AS181" s="351"/>
      <c r="AT181" s="351"/>
      <c r="AU181" s="351"/>
      <c r="AV181" s="351"/>
      <c r="AW181" s="351"/>
      <c r="AX181" s="351"/>
      <c r="AY181" s="351"/>
    </row>
    <row r="182" spans="1:51" ht="13">
      <c r="A182" s="333"/>
      <c r="B182" s="351"/>
      <c r="C182" s="351"/>
      <c r="D182" s="333"/>
      <c r="E182" s="333"/>
      <c r="F182" s="333"/>
      <c r="G182" s="359"/>
      <c r="H182" s="359"/>
      <c r="I182" s="351"/>
      <c r="J182" s="359"/>
      <c r="K182" s="359"/>
      <c r="L182" s="359"/>
      <c r="M182" s="351"/>
      <c r="N182" s="351"/>
      <c r="O182" s="351"/>
      <c r="P182" s="351"/>
      <c r="Q182" s="351"/>
      <c r="R182" s="351"/>
      <c r="S182" s="351"/>
      <c r="T182" s="351"/>
      <c r="U182" s="351"/>
      <c r="V182" s="351"/>
      <c r="W182" s="351"/>
      <c r="X182" s="359"/>
      <c r="Y182" s="359"/>
      <c r="Z182" s="359"/>
      <c r="AA182" s="351"/>
      <c r="AB182" s="351"/>
      <c r="AC182" s="359"/>
      <c r="AD182" s="359"/>
      <c r="AE182" s="351"/>
      <c r="AF182" s="333"/>
      <c r="AG182" s="333"/>
      <c r="AH182" s="351"/>
      <c r="AI182" s="351"/>
      <c r="AJ182" s="351"/>
      <c r="AK182" s="351"/>
      <c r="AL182" s="351"/>
      <c r="AM182" s="351"/>
      <c r="AN182" s="351"/>
      <c r="AO182" s="351"/>
      <c r="AP182" s="351"/>
      <c r="AQ182" s="351"/>
      <c r="AR182" s="351"/>
      <c r="AS182" s="351"/>
      <c r="AT182" s="351"/>
      <c r="AU182" s="351"/>
      <c r="AV182" s="351"/>
      <c r="AW182" s="351"/>
      <c r="AX182" s="351"/>
      <c r="AY182" s="351"/>
    </row>
    <row r="183" spans="1:51" ht="13">
      <c r="A183" s="333"/>
      <c r="B183" s="351"/>
      <c r="C183" s="351"/>
      <c r="D183" s="333"/>
      <c r="E183" s="333"/>
      <c r="F183" s="333"/>
      <c r="G183" s="359"/>
      <c r="H183" s="359"/>
      <c r="I183" s="351"/>
      <c r="J183" s="359"/>
      <c r="K183" s="359"/>
      <c r="L183" s="359"/>
      <c r="M183" s="351"/>
      <c r="N183" s="351"/>
      <c r="O183" s="351"/>
      <c r="P183" s="351"/>
      <c r="Q183" s="351"/>
      <c r="R183" s="351"/>
      <c r="S183" s="351"/>
      <c r="T183" s="351"/>
      <c r="U183" s="351"/>
      <c r="V183" s="351"/>
      <c r="W183" s="351"/>
      <c r="X183" s="359"/>
      <c r="Y183" s="359"/>
      <c r="Z183" s="359"/>
      <c r="AA183" s="351"/>
      <c r="AB183" s="351"/>
      <c r="AC183" s="359"/>
      <c r="AD183" s="359"/>
      <c r="AE183" s="351"/>
      <c r="AF183" s="333"/>
      <c r="AG183" s="333"/>
      <c r="AH183" s="351"/>
      <c r="AI183" s="351"/>
      <c r="AJ183" s="351"/>
      <c r="AK183" s="351"/>
      <c r="AL183" s="351"/>
      <c r="AM183" s="351"/>
      <c r="AN183" s="351"/>
      <c r="AO183" s="351"/>
      <c r="AP183" s="351"/>
      <c r="AQ183" s="351"/>
      <c r="AR183" s="351"/>
      <c r="AS183" s="351"/>
      <c r="AT183" s="351"/>
      <c r="AU183" s="351"/>
      <c r="AV183" s="351"/>
      <c r="AW183" s="351"/>
      <c r="AX183" s="351"/>
      <c r="AY183" s="351"/>
    </row>
    <row r="184" spans="1:51" ht="13">
      <c r="A184" s="333"/>
      <c r="B184" s="351"/>
      <c r="C184" s="351"/>
      <c r="D184" s="333"/>
      <c r="E184" s="333"/>
      <c r="F184" s="333"/>
      <c r="G184" s="359"/>
      <c r="H184" s="359"/>
      <c r="I184" s="351"/>
      <c r="J184" s="359"/>
      <c r="K184" s="359"/>
      <c r="L184" s="359"/>
      <c r="M184" s="351"/>
      <c r="N184" s="351"/>
      <c r="O184" s="351"/>
      <c r="P184" s="351"/>
      <c r="Q184" s="351"/>
      <c r="R184" s="351"/>
      <c r="S184" s="351"/>
      <c r="T184" s="351"/>
      <c r="U184" s="351"/>
      <c r="V184" s="351"/>
      <c r="W184" s="351"/>
      <c r="X184" s="359"/>
      <c r="Y184" s="359"/>
      <c r="Z184" s="359"/>
      <c r="AA184" s="351"/>
      <c r="AB184" s="351"/>
      <c r="AC184" s="359"/>
      <c r="AD184" s="359"/>
      <c r="AE184" s="351"/>
      <c r="AF184" s="333"/>
      <c r="AG184" s="333"/>
      <c r="AH184" s="351"/>
      <c r="AI184" s="351"/>
      <c r="AJ184" s="351"/>
      <c r="AK184" s="351"/>
      <c r="AL184" s="351"/>
      <c r="AM184" s="351"/>
      <c r="AN184" s="351"/>
      <c r="AO184" s="351"/>
      <c r="AP184" s="351"/>
      <c r="AQ184" s="351"/>
      <c r="AR184" s="351"/>
      <c r="AS184" s="351"/>
      <c r="AT184" s="351"/>
      <c r="AU184" s="351"/>
      <c r="AV184" s="351"/>
      <c r="AW184" s="351"/>
      <c r="AX184" s="351"/>
      <c r="AY184" s="351"/>
    </row>
    <row r="185" spans="1:51" ht="13">
      <c r="A185" s="333"/>
      <c r="B185" s="351"/>
      <c r="C185" s="351"/>
      <c r="D185" s="333"/>
      <c r="E185" s="333"/>
      <c r="F185" s="333"/>
      <c r="G185" s="359"/>
      <c r="H185" s="359"/>
      <c r="I185" s="351"/>
      <c r="J185" s="359"/>
      <c r="K185" s="359"/>
      <c r="L185" s="359"/>
      <c r="M185" s="351"/>
      <c r="N185" s="351"/>
      <c r="O185" s="351"/>
      <c r="P185" s="351"/>
      <c r="Q185" s="351"/>
      <c r="R185" s="351"/>
      <c r="S185" s="351"/>
      <c r="T185" s="351"/>
      <c r="U185" s="351"/>
      <c r="V185" s="351"/>
      <c r="W185" s="351"/>
      <c r="X185" s="359"/>
      <c r="Y185" s="359"/>
      <c r="Z185" s="359"/>
      <c r="AA185" s="351"/>
      <c r="AB185" s="351"/>
      <c r="AC185" s="359"/>
      <c r="AD185" s="359"/>
      <c r="AE185" s="351"/>
      <c r="AF185" s="333"/>
      <c r="AG185" s="333"/>
      <c r="AH185" s="351"/>
      <c r="AI185" s="351"/>
      <c r="AJ185" s="351"/>
      <c r="AK185" s="351"/>
      <c r="AL185" s="351"/>
      <c r="AM185" s="351"/>
      <c r="AN185" s="351"/>
      <c r="AO185" s="351"/>
      <c r="AP185" s="351"/>
      <c r="AQ185" s="351"/>
      <c r="AR185" s="351"/>
      <c r="AS185" s="351"/>
      <c r="AT185" s="351"/>
      <c r="AU185" s="351"/>
      <c r="AV185" s="351"/>
      <c r="AW185" s="351"/>
      <c r="AX185" s="351"/>
      <c r="AY185" s="351"/>
    </row>
    <row r="186" spans="1:51" ht="13">
      <c r="A186" s="333"/>
      <c r="B186" s="351"/>
      <c r="C186" s="351"/>
      <c r="D186" s="333"/>
      <c r="E186" s="333"/>
      <c r="F186" s="333"/>
      <c r="G186" s="359"/>
      <c r="H186" s="359"/>
      <c r="I186" s="351"/>
      <c r="J186" s="359"/>
      <c r="K186" s="359"/>
      <c r="L186" s="359"/>
      <c r="M186" s="351"/>
      <c r="N186" s="351"/>
      <c r="O186" s="351"/>
      <c r="P186" s="351"/>
      <c r="Q186" s="351"/>
      <c r="R186" s="351"/>
      <c r="S186" s="351"/>
      <c r="T186" s="351"/>
      <c r="U186" s="351"/>
      <c r="V186" s="351"/>
      <c r="W186" s="351"/>
      <c r="X186" s="359"/>
      <c r="Y186" s="359"/>
      <c r="Z186" s="359"/>
      <c r="AA186" s="351"/>
      <c r="AB186" s="351"/>
      <c r="AC186" s="359"/>
      <c r="AD186" s="359"/>
      <c r="AE186" s="351"/>
      <c r="AF186" s="333"/>
      <c r="AG186" s="333"/>
      <c r="AH186" s="351"/>
      <c r="AI186" s="351"/>
      <c r="AJ186" s="351"/>
      <c r="AK186" s="351"/>
      <c r="AL186" s="351"/>
      <c r="AM186" s="351"/>
      <c r="AN186" s="351"/>
      <c r="AO186" s="351"/>
      <c r="AP186" s="351"/>
      <c r="AQ186" s="351"/>
      <c r="AR186" s="351"/>
      <c r="AS186" s="351"/>
      <c r="AT186" s="351"/>
      <c r="AU186" s="351"/>
      <c r="AV186" s="351"/>
      <c r="AW186" s="351"/>
      <c r="AX186" s="351"/>
      <c r="AY186" s="351"/>
    </row>
    <row r="187" spans="1:51" ht="13">
      <c r="A187" s="333"/>
      <c r="B187" s="351"/>
      <c r="C187" s="351"/>
      <c r="D187" s="333"/>
      <c r="E187" s="333"/>
      <c r="F187" s="333"/>
      <c r="G187" s="359"/>
      <c r="H187" s="359"/>
      <c r="I187" s="351"/>
      <c r="J187" s="359"/>
      <c r="K187" s="359"/>
      <c r="L187" s="359"/>
      <c r="M187" s="351"/>
      <c r="N187" s="351"/>
      <c r="O187" s="351"/>
      <c r="P187" s="351"/>
      <c r="Q187" s="351"/>
      <c r="R187" s="351"/>
      <c r="S187" s="351"/>
      <c r="T187" s="351"/>
      <c r="U187" s="351"/>
      <c r="V187" s="351"/>
      <c r="W187" s="351"/>
      <c r="X187" s="359"/>
      <c r="Y187" s="359"/>
      <c r="Z187" s="359"/>
      <c r="AA187" s="351"/>
      <c r="AB187" s="351"/>
      <c r="AC187" s="359"/>
      <c r="AD187" s="359"/>
      <c r="AE187" s="351"/>
      <c r="AF187" s="333"/>
      <c r="AG187" s="333"/>
      <c r="AH187" s="351"/>
      <c r="AI187" s="351"/>
      <c r="AJ187" s="351"/>
      <c r="AK187" s="351"/>
      <c r="AL187" s="351"/>
      <c r="AM187" s="351"/>
      <c r="AN187" s="351"/>
      <c r="AO187" s="351"/>
      <c r="AP187" s="351"/>
      <c r="AQ187" s="351"/>
      <c r="AR187" s="351"/>
      <c r="AS187" s="351"/>
      <c r="AT187" s="351"/>
      <c r="AU187" s="351"/>
      <c r="AV187" s="351"/>
      <c r="AW187" s="351"/>
      <c r="AX187" s="351"/>
      <c r="AY187" s="351"/>
    </row>
    <row r="188" spans="1:51" ht="13">
      <c r="A188" s="333"/>
      <c r="B188" s="351"/>
      <c r="C188" s="351"/>
      <c r="D188" s="333"/>
      <c r="E188" s="333"/>
      <c r="F188" s="333"/>
      <c r="G188" s="359"/>
      <c r="H188" s="359"/>
      <c r="I188" s="351"/>
      <c r="J188" s="359"/>
      <c r="K188" s="359"/>
      <c r="L188" s="359"/>
      <c r="M188" s="351"/>
      <c r="N188" s="351"/>
      <c r="O188" s="351"/>
      <c r="P188" s="351"/>
      <c r="Q188" s="351"/>
      <c r="R188" s="351"/>
      <c r="S188" s="351"/>
      <c r="T188" s="351"/>
      <c r="U188" s="351"/>
      <c r="V188" s="351"/>
      <c r="W188" s="351"/>
      <c r="X188" s="359"/>
      <c r="Y188" s="359"/>
      <c r="Z188" s="359"/>
      <c r="AA188" s="351"/>
      <c r="AB188" s="351"/>
      <c r="AC188" s="359"/>
      <c r="AD188" s="359"/>
      <c r="AE188" s="351"/>
      <c r="AF188" s="333"/>
      <c r="AG188" s="333"/>
      <c r="AH188" s="351"/>
      <c r="AI188" s="351"/>
      <c r="AJ188" s="351"/>
      <c r="AK188" s="351"/>
      <c r="AL188" s="351"/>
      <c r="AM188" s="351"/>
      <c r="AN188" s="351"/>
      <c r="AO188" s="351"/>
      <c r="AP188" s="351"/>
      <c r="AQ188" s="351"/>
      <c r="AR188" s="351"/>
      <c r="AS188" s="351"/>
      <c r="AT188" s="351"/>
      <c r="AU188" s="351"/>
      <c r="AV188" s="351"/>
      <c r="AW188" s="351"/>
      <c r="AX188" s="351"/>
      <c r="AY188" s="351"/>
    </row>
    <row r="189" spans="1:51" ht="13">
      <c r="A189" s="333"/>
      <c r="B189" s="351"/>
      <c r="C189" s="351"/>
      <c r="D189" s="333"/>
      <c r="E189" s="333"/>
      <c r="F189" s="333"/>
      <c r="G189" s="359"/>
      <c r="H189" s="359"/>
      <c r="I189" s="351"/>
      <c r="J189" s="359"/>
      <c r="K189" s="359"/>
      <c r="L189" s="359"/>
      <c r="M189" s="351"/>
      <c r="N189" s="351"/>
      <c r="O189" s="351"/>
      <c r="P189" s="351"/>
      <c r="Q189" s="351"/>
      <c r="R189" s="351"/>
      <c r="S189" s="351"/>
      <c r="T189" s="351"/>
      <c r="U189" s="351"/>
      <c r="V189" s="351"/>
      <c r="W189" s="351"/>
      <c r="X189" s="359"/>
      <c r="Y189" s="359"/>
      <c r="Z189" s="359"/>
      <c r="AA189" s="351"/>
      <c r="AB189" s="351"/>
      <c r="AC189" s="359"/>
      <c r="AD189" s="359"/>
      <c r="AE189" s="351"/>
      <c r="AF189" s="333"/>
      <c r="AG189" s="333"/>
      <c r="AH189" s="351"/>
      <c r="AI189" s="351"/>
      <c r="AJ189" s="351"/>
      <c r="AK189" s="351"/>
      <c r="AL189" s="351"/>
      <c r="AM189" s="351"/>
      <c r="AN189" s="351"/>
      <c r="AO189" s="351"/>
      <c r="AP189" s="351"/>
      <c r="AQ189" s="351"/>
      <c r="AR189" s="351"/>
      <c r="AS189" s="351"/>
      <c r="AT189" s="351"/>
      <c r="AU189" s="351"/>
      <c r="AV189" s="351"/>
      <c r="AW189" s="351"/>
      <c r="AX189" s="351"/>
      <c r="AY189" s="351"/>
    </row>
    <row r="190" spans="1:51" ht="13">
      <c r="A190" s="333"/>
      <c r="B190" s="351"/>
      <c r="C190" s="351"/>
      <c r="D190" s="333"/>
      <c r="E190" s="333"/>
      <c r="F190" s="333"/>
      <c r="G190" s="359"/>
      <c r="H190" s="359"/>
      <c r="I190" s="351"/>
      <c r="J190" s="359"/>
      <c r="K190" s="359"/>
      <c r="L190" s="359"/>
      <c r="M190" s="351"/>
      <c r="N190" s="351"/>
      <c r="O190" s="351"/>
      <c r="P190" s="351"/>
      <c r="Q190" s="351"/>
      <c r="R190" s="351"/>
      <c r="S190" s="351"/>
      <c r="T190" s="351"/>
      <c r="U190" s="351"/>
      <c r="V190" s="351"/>
      <c r="W190" s="351"/>
      <c r="X190" s="359"/>
      <c r="Y190" s="359"/>
      <c r="Z190" s="359"/>
      <c r="AA190" s="351"/>
      <c r="AB190" s="351"/>
      <c r="AC190" s="359"/>
      <c r="AD190" s="359"/>
      <c r="AE190" s="351"/>
      <c r="AF190" s="333"/>
      <c r="AG190" s="333"/>
      <c r="AH190" s="351"/>
      <c r="AI190" s="351"/>
      <c r="AJ190" s="351"/>
      <c r="AK190" s="351"/>
      <c r="AL190" s="351"/>
      <c r="AM190" s="351"/>
      <c r="AN190" s="351"/>
      <c r="AO190" s="351"/>
      <c r="AP190" s="351"/>
      <c r="AQ190" s="351"/>
      <c r="AR190" s="351"/>
      <c r="AS190" s="351"/>
      <c r="AT190" s="351"/>
      <c r="AU190" s="351"/>
      <c r="AV190" s="351"/>
      <c r="AW190" s="351"/>
      <c r="AX190" s="351"/>
      <c r="AY190" s="351"/>
    </row>
    <row r="191" spans="1:51" ht="13">
      <c r="A191" s="333"/>
      <c r="B191" s="351"/>
      <c r="C191" s="351"/>
      <c r="D191" s="333"/>
      <c r="E191" s="333"/>
      <c r="F191" s="333"/>
      <c r="G191" s="359"/>
      <c r="H191" s="359"/>
      <c r="I191" s="351"/>
      <c r="J191" s="359"/>
      <c r="K191" s="359"/>
      <c r="L191" s="359"/>
      <c r="M191" s="351"/>
      <c r="N191" s="351"/>
      <c r="O191" s="351"/>
      <c r="P191" s="351"/>
      <c r="Q191" s="351"/>
      <c r="R191" s="351"/>
      <c r="S191" s="351"/>
      <c r="T191" s="351"/>
      <c r="U191" s="351"/>
      <c r="V191" s="351"/>
      <c r="W191" s="351"/>
      <c r="X191" s="359"/>
      <c r="Y191" s="359"/>
      <c r="Z191" s="359"/>
      <c r="AA191" s="351"/>
      <c r="AB191" s="351"/>
      <c r="AC191" s="359"/>
      <c r="AD191" s="359"/>
      <c r="AE191" s="351"/>
      <c r="AF191" s="333"/>
      <c r="AG191" s="333"/>
      <c r="AH191" s="351"/>
      <c r="AI191" s="351"/>
      <c r="AJ191" s="351"/>
      <c r="AK191" s="351"/>
      <c r="AL191" s="351"/>
      <c r="AM191" s="351"/>
      <c r="AN191" s="351"/>
      <c r="AO191" s="351"/>
      <c r="AP191" s="351"/>
      <c r="AQ191" s="351"/>
      <c r="AR191" s="351"/>
      <c r="AS191" s="351"/>
      <c r="AT191" s="351"/>
      <c r="AU191" s="351"/>
      <c r="AV191" s="351"/>
      <c r="AW191" s="351"/>
      <c r="AX191" s="351"/>
      <c r="AY191" s="351"/>
    </row>
    <row r="192" spans="1:51" ht="13">
      <c r="A192" s="333"/>
      <c r="B192" s="351"/>
      <c r="C192" s="351"/>
      <c r="D192" s="333"/>
      <c r="E192" s="333"/>
      <c r="F192" s="333"/>
      <c r="G192" s="359"/>
      <c r="H192" s="359"/>
      <c r="I192" s="351"/>
      <c r="J192" s="359"/>
      <c r="K192" s="359"/>
      <c r="L192" s="359"/>
      <c r="M192" s="351"/>
      <c r="N192" s="351"/>
      <c r="O192" s="351"/>
      <c r="P192" s="351"/>
      <c r="Q192" s="351"/>
      <c r="R192" s="351"/>
      <c r="S192" s="351"/>
      <c r="T192" s="351"/>
      <c r="U192" s="351"/>
      <c r="V192" s="351"/>
      <c r="W192" s="351"/>
      <c r="X192" s="359"/>
      <c r="Y192" s="359"/>
      <c r="Z192" s="359"/>
      <c r="AA192" s="351"/>
      <c r="AB192" s="351"/>
      <c r="AC192" s="359"/>
      <c r="AD192" s="359"/>
      <c r="AE192" s="351"/>
      <c r="AF192" s="333"/>
      <c r="AG192" s="333"/>
      <c r="AH192" s="351"/>
      <c r="AI192" s="351"/>
      <c r="AJ192" s="351"/>
      <c r="AK192" s="351"/>
      <c r="AL192" s="351"/>
      <c r="AM192" s="351"/>
      <c r="AN192" s="351"/>
      <c r="AO192" s="351"/>
      <c r="AP192" s="351"/>
      <c r="AQ192" s="351"/>
      <c r="AR192" s="351"/>
      <c r="AS192" s="351"/>
      <c r="AT192" s="351"/>
      <c r="AU192" s="351"/>
      <c r="AV192" s="351"/>
      <c r="AW192" s="351"/>
      <c r="AX192" s="351"/>
      <c r="AY192" s="351"/>
    </row>
    <row r="193" spans="1:51" ht="13">
      <c r="A193" s="333"/>
      <c r="B193" s="351"/>
      <c r="C193" s="351"/>
      <c r="D193" s="333"/>
      <c r="E193" s="333"/>
      <c r="F193" s="333"/>
      <c r="G193" s="359"/>
      <c r="H193" s="359"/>
      <c r="I193" s="351"/>
      <c r="J193" s="359"/>
      <c r="K193" s="359"/>
      <c r="L193" s="359"/>
      <c r="M193" s="351"/>
      <c r="N193" s="351"/>
      <c r="O193" s="351"/>
      <c r="P193" s="351"/>
      <c r="Q193" s="351"/>
      <c r="R193" s="351"/>
      <c r="S193" s="351"/>
      <c r="T193" s="351"/>
      <c r="U193" s="351"/>
      <c r="V193" s="351"/>
      <c r="W193" s="351"/>
      <c r="X193" s="359"/>
      <c r="Y193" s="359"/>
      <c r="Z193" s="359"/>
      <c r="AA193" s="351"/>
      <c r="AB193" s="351"/>
      <c r="AC193" s="359"/>
      <c r="AD193" s="359"/>
      <c r="AE193" s="351"/>
      <c r="AF193" s="333"/>
      <c r="AG193" s="333"/>
      <c r="AH193" s="351"/>
      <c r="AI193" s="351"/>
      <c r="AJ193" s="351"/>
      <c r="AK193" s="351"/>
      <c r="AL193" s="351"/>
      <c r="AM193" s="351"/>
      <c r="AN193" s="351"/>
      <c r="AO193" s="351"/>
      <c r="AP193" s="351"/>
      <c r="AQ193" s="351"/>
      <c r="AR193" s="351"/>
      <c r="AS193" s="351"/>
      <c r="AT193" s="351"/>
      <c r="AU193" s="351"/>
      <c r="AV193" s="351"/>
      <c r="AW193" s="351"/>
      <c r="AX193" s="351"/>
      <c r="AY193" s="351"/>
    </row>
    <row r="194" spans="1:51" ht="13">
      <c r="A194" s="333"/>
      <c r="B194" s="351"/>
      <c r="C194" s="351"/>
      <c r="D194" s="333"/>
      <c r="E194" s="333"/>
      <c r="F194" s="333"/>
      <c r="G194" s="359"/>
      <c r="H194" s="359"/>
      <c r="I194" s="351"/>
      <c r="J194" s="359"/>
      <c r="K194" s="359"/>
      <c r="L194" s="359"/>
      <c r="M194" s="351"/>
      <c r="N194" s="351"/>
      <c r="O194" s="351"/>
      <c r="P194" s="351"/>
      <c r="Q194" s="351"/>
      <c r="R194" s="351"/>
      <c r="S194" s="351"/>
      <c r="T194" s="351"/>
      <c r="U194" s="351"/>
      <c r="V194" s="351"/>
      <c r="W194" s="351"/>
      <c r="X194" s="359"/>
      <c r="Y194" s="359"/>
      <c r="Z194" s="359"/>
      <c r="AA194" s="351"/>
      <c r="AB194" s="351"/>
      <c r="AC194" s="359"/>
      <c r="AD194" s="359"/>
      <c r="AE194" s="351"/>
      <c r="AF194" s="333"/>
      <c r="AG194" s="333"/>
      <c r="AH194" s="351"/>
      <c r="AI194" s="351"/>
      <c r="AJ194" s="351"/>
      <c r="AK194" s="351"/>
      <c r="AL194" s="351"/>
      <c r="AM194" s="351"/>
      <c r="AN194" s="351"/>
      <c r="AO194" s="351"/>
      <c r="AP194" s="351"/>
      <c r="AQ194" s="351"/>
      <c r="AR194" s="351"/>
      <c r="AS194" s="351"/>
      <c r="AT194" s="351"/>
      <c r="AU194" s="351"/>
      <c r="AV194" s="351"/>
      <c r="AW194" s="351"/>
      <c r="AX194" s="351"/>
      <c r="AY194" s="351"/>
    </row>
    <row r="195" spans="1:51" ht="13">
      <c r="A195" s="333"/>
      <c r="B195" s="351"/>
      <c r="C195" s="351"/>
      <c r="D195" s="333"/>
      <c r="E195" s="333"/>
      <c r="F195" s="333"/>
      <c r="G195" s="359"/>
      <c r="H195" s="359"/>
      <c r="I195" s="351"/>
      <c r="J195" s="359"/>
      <c r="K195" s="359"/>
      <c r="L195" s="359"/>
      <c r="M195" s="351"/>
      <c r="N195" s="351"/>
      <c r="O195" s="351"/>
      <c r="P195" s="351"/>
      <c r="Q195" s="351"/>
      <c r="R195" s="351"/>
      <c r="S195" s="351"/>
      <c r="T195" s="351"/>
      <c r="U195" s="351"/>
      <c r="V195" s="351"/>
      <c r="W195" s="351"/>
      <c r="X195" s="359"/>
      <c r="Y195" s="359"/>
      <c r="Z195" s="359"/>
      <c r="AA195" s="351"/>
      <c r="AB195" s="351"/>
      <c r="AC195" s="359"/>
      <c r="AD195" s="359"/>
      <c r="AE195" s="351"/>
      <c r="AF195" s="333"/>
      <c r="AG195" s="333"/>
      <c r="AH195" s="351"/>
      <c r="AI195" s="351"/>
      <c r="AJ195" s="351"/>
      <c r="AK195" s="351"/>
      <c r="AL195" s="351"/>
      <c r="AM195" s="351"/>
      <c r="AN195" s="351"/>
      <c r="AO195" s="351"/>
      <c r="AP195" s="351"/>
      <c r="AQ195" s="351"/>
      <c r="AR195" s="351"/>
      <c r="AS195" s="351"/>
      <c r="AT195" s="351"/>
      <c r="AU195" s="351"/>
      <c r="AV195" s="351"/>
      <c r="AW195" s="351"/>
      <c r="AX195" s="351"/>
      <c r="AY195" s="351"/>
    </row>
    <row r="196" spans="1:51" ht="13">
      <c r="A196" s="333"/>
      <c r="B196" s="351"/>
      <c r="C196" s="351"/>
      <c r="D196" s="333"/>
      <c r="E196" s="333"/>
      <c r="F196" s="333"/>
      <c r="G196" s="359"/>
      <c r="H196" s="359"/>
      <c r="I196" s="351"/>
      <c r="J196" s="359"/>
      <c r="K196" s="359"/>
      <c r="L196" s="359"/>
      <c r="M196" s="351"/>
      <c r="N196" s="351"/>
      <c r="O196" s="351"/>
      <c r="P196" s="351"/>
      <c r="Q196" s="351"/>
      <c r="R196" s="351"/>
      <c r="S196" s="351"/>
      <c r="T196" s="351"/>
      <c r="U196" s="351"/>
      <c r="V196" s="351"/>
      <c r="W196" s="351"/>
      <c r="X196" s="359"/>
      <c r="Y196" s="359"/>
      <c r="Z196" s="359"/>
      <c r="AA196" s="351"/>
      <c r="AB196" s="351"/>
      <c r="AC196" s="359"/>
      <c r="AD196" s="359"/>
      <c r="AE196" s="351"/>
      <c r="AF196" s="333"/>
      <c r="AG196" s="333"/>
      <c r="AH196" s="351"/>
      <c r="AI196" s="351"/>
      <c r="AJ196" s="351"/>
      <c r="AK196" s="351"/>
      <c r="AL196" s="351"/>
      <c r="AM196" s="351"/>
      <c r="AN196" s="351"/>
      <c r="AO196" s="351"/>
      <c r="AP196" s="351"/>
      <c r="AQ196" s="351"/>
      <c r="AR196" s="351"/>
      <c r="AS196" s="351"/>
      <c r="AT196" s="351"/>
      <c r="AU196" s="351"/>
      <c r="AV196" s="351"/>
      <c r="AW196" s="351"/>
      <c r="AX196" s="351"/>
      <c r="AY196" s="351"/>
    </row>
    <row r="197" spans="1:51" ht="13">
      <c r="A197" s="333"/>
      <c r="B197" s="351"/>
      <c r="C197" s="351"/>
      <c r="D197" s="333"/>
      <c r="E197" s="333"/>
      <c r="F197" s="333"/>
      <c r="G197" s="359"/>
      <c r="H197" s="359"/>
      <c r="I197" s="351"/>
      <c r="J197" s="359"/>
      <c r="K197" s="359"/>
      <c r="L197" s="359"/>
      <c r="M197" s="351"/>
      <c r="N197" s="351"/>
      <c r="O197" s="351"/>
      <c r="P197" s="351"/>
      <c r="Q197" s="351"/>
      <c r="R197" s="351"/>
      <c r="S197" s="351"/>
      <c r="T197" s="351"/>
      <c r="U197" s="351"/>
      <c r="V197" s="351"/>
      <c r="W197" s="351"/>
      <c r="X197" s="359"/>
      <c r="Y197" s="359"/>
      <c r="Z197" s="359"/>
      <c r="AA197" s="351"/>
      <c r="AB197" s="351"/>
      <c r="AC197" s="359"/>
      <c r="AD197" s="359"/>
      <c r="AE197" s="351"/>
      <c r="AF197" s="333"/>
      <c r="AG197" s="333"/>
      <c r="AH197" s="351"/>
      <c r="AI197" s="351"/>
      <c r="AJ197" s="351"/>
      <c r="AK197" s="351"/>
      <c r="AL197" s="351"/>
      <c r="AM197" s="351"/>
      <c r="AN197" s="351"/>
      <c r="AO197" s="351"/>
      <c r="AP197" s="351"/>
      <c r="AQ197" s="351"/>
      <c r="AR197" s="351"/>
      <c r="AS197" s="351"/>
      <c r="AT197" s="351"/>
      <c r="AU197" s="351"/>
      <c r="AV197" s="351"/>
      <c r="AW197" s="351"/>
      <c r="AX197" s="351"/>
      <c r="AY197" s="351"/>
    </row>
    <row r="198" spans="1:51" ht="13">
      <c r="A198" s="333"/>
      <c r="B198" s="351"/>
      <c r="C198" s="351"/>
      <c r="D198" s="333"/>
      <c r="E198" s="333"/>
      <c r="F198" s="333"/>
      <c r="G198" s="359"/>
      <c r="H198" s="359"/>
      <c r="I198" s="351"/>
      <c r="J198" s="359"/>
      <c r="K198" s="359"/>
      <c r="L198" s="359"/>
      <c r="M198" s="351"/>
      <c r="N198" s="351"/>
      <c r="O198" s="351"/>
      <c r="P198" s="351"/>
      <c r="Q198" s="351"/>
      <c r="R198" s="351"/>
      <c r="S198" s="351"/>
      <c r="T198" s="351"/>
      <c r="U198" s="351"/>
      <c r="V198" s="351"/>
      <c r="W198" s="351"/>
      <c r="X198" s="359"/>
      <c r="Y198" s="359"/>
      <c r="Z198" s="359"/>
      <c r="AA198" s="351"/>
      <c r="AB198" s="351"/>
      <c r="AC198" s="359"/>
      <c r="AD198" s="359"/>
      <c r="AE198" s="351"/>
      <c r="AF198" s="333"/>
      <c r="AG198" s="333"/>
      <c r="AH198" s="351"/>
      <c r="AI198" s="351"/>
      <c r="AJ198" s="351"/>
      <c r="AK198" s="351"/>
      <c r="AL198" s="351"/>
      <c r="AM198" s="351"/>
      <c r="AN198" s="351"/>
      <c r="AO198" s="351"/>
      <c r="AP198" s="351"/>
      <c r="AQ198" s="351"/>
      <c r="AR198" s="351"/>
      <c r="AS198" s="351"/>
      <c r="AT198" s="351"/>
      <c r="AU198" s="351"/>
      <c r="AV198" s="351"/>
      <c r="AW198" s="351"/>
      <c r="AX198" s="351"/>
      <c r="AY198" s="351"/>
    </row>
    <row r="199" spans="1:51" ht="13">
      <c r="A199" s="333"/>
      <c r="B199" s="351"/>
      <c r="C199" s="351"/>
      <c r="D199" s="333"/>
      <c r="E199" s="333"/>
      <c r="F199" s="333"/>
      <c r="G199" s="359"/>
      <c r="H199" s="359"/>
      <c r="I199" s="351"/>
      <c r="J199" s="359"/>
      <c r="K199" s="359"/>
      <c r="L199" s="359"/>
      <c r="M199" s="351"/>
      <c r="N199" s="351"/>
      <c r="O199" s="351"/>
      <c r="P199" s="351"/>
      <c r="Q199" s="351"/>
      <c r="R199" s="351"/>
      <c r="S199" s="351"/>
      <c r="T199" s="351"/>
      <c r="U199" s="351"/>
      <c r="V199" s="351"/>
      <c r="W199" s="351"/>
      <c r="X199" s="359"/>
      <c r="Y199" s="359"/>
      <c r="Z199" s="359"/>
      <c r="AA199" s="351"/>
      <c r="AB199" s="351"/>
      <c r="AC199" s="359"/>
      <c r="AD199" s="359"/>
      <c r="AE199" s="351"/>
      <c r="AF199" s="333"/>
      <c r="AG199" s="333"/>
      <c r="AH199" s="351"/>
      <c r="AI199" s="351"/>
      <c r="AJ199" s="351"/>
      <c r="AK199" s="351"/>
      <c r="AL199" s="351"/>
      <c r="AM199" s="351"/>
      <c r="AN199" s="351"/>
      <c r="AO199" s="351"/>
      <c r="AP199" s="351"/>
      <c r="AQ199" s="351"/>
      <c r="AR199" s="351"/>
      <c r="AS199" s="351"/>
      <c r="AT199" s="351"/>
      <c r="AU199" s="351"/>
      <c r="AV199" s="351"/>
      <c r="AW199" s="351"/>
      <c r="AX199" s="351"/>
      <c r="AY199" s="351"/>
    </row>
    <row r="200" spans="1:51" ht="13">
      <c r="A200" s="333"/>
      <c r="B200" s="351"/>
      <c r="C200" s="351"/>
      <c r="D200" s="333"/>
      <c r="E200" s="333"/>
      <c r="F200" s="333"/>
      <c r="G200" s="359"/>
      <c r="H200" s="359"/>
      <c r="I200" s="351"/>
      <c r="J200" s="359"/>
      <c r="K200" s="359"/>
      <c r="L200" s="359"/>
      <c r="M200" s="351"/>
      <c r="N200" s="351"/>
      <c r="O200" s="351"/>
      <c r="P200" s="351"/>
      <c r="Q200" s="351"/>
      <c r="R200" s="351"/>
      <c r="S200" s="351"/>
      <c r="T200" s="351"/>
      <c r="U200" s="351"/>
      <c r="V200" s="351"/>
      <c r="W200" s="351"/>
      <c r="X200" s="359"/>
      <c r="Y200" s="359"/>
      <c r="Z200" s="359"/>
      <c r="AA200" s="351"/>
      <c r="AB200" s="351"/>
      <c r="AC200" s="359"/>
      <c r="AD200" s="359"/>
      <c r="AE200" s="351"/>
      <c r="AF200" s="333"/>
      <c r="AG200" s="333"/>
      <c r="AH200" s="351"/>
      <c r="AI200" s="351"/>
      <c r="AJ200" s="351"/>
      <c r="AK200" s="351"/>
      <c r="AL200" s="351"/>
      <c r="AM200" s="351"/>
      <c r="AN200" s="351"/>
      <c r="AO200" s="351"/>
      <c r="AP200" s="351"/>
      <c r="AQ200" s="351"/>
      <c r="AR200" s="351"/>
      <c r="AS200" s="351"/>
      <c r="AT200" s="351"/>
      <c r="AU200" s="351"/>
      <c r="AV200" s="351"/>
      <c r="AW200" s="351"/>
      <c r="AX200" s="351"/>
      <c r="AY200" s="351"/>
    </row>
    <row r="201" spans="1:51" ht="13">
      <c r="A201" s="333"/>
      <c r="B201" s="351"/>
      <c r="C201" s="351"/>
      <c r="D201" s="333"/>
      <c r="E201" s="333"/>
      <c r="F201" s="333"/>
      <c r="G201" s="359"/>
      <c r="H201" s="359"/>
      <c r="I201" s="351"/>
      <c r="J201" s="359"/>
      <c r="K201" s="359"/>
      <c r="L201" s="359"/>
      <c r="M201" s="351"/>
      <c r="N201" s="351"/>
      <c r="O201" s="351"/>
      <c r="P201" s="351"/>
      <c r="Q201" s="351"/>
      <c r="R201" s="351"/>
      <c r="S201" s="351"/>
      <c r="T201" s="351"/>
      <c r="U201" s="351"/>
      <c r="V201" s="351"/>
      <c r="W201" s="351"/>
      <c r="X201" s="359"/>
      <c r="Y201" s="359"/>
      <c r="Z201" s="359"/>
      <c r="AA201" s="351"/>
      <c r="AB201" s="351"/>
      <c r="AC201" s="359"/>
      <c r="AD201" s="359"/>
      <c r="AE201" s="351"/>
      <c r="AF201" s="333"/>
      <c r="AG201" s="333"/>
      <c r="AH201" s="351"/>
      <c r="AI201" s="351"/>
      <c r="AJ201" s="351"/>
      <c r="AK201" s="351"/>
      <c r="AL201" s="351"/>
      <c r="AM201" s="351"/>
      <c r="AN201" s="351"/>
      <c r="AO201" s="351"/>
      <c r="AP201" s="351"/>
      <c r="AQ201" s="351"/>
      <c r="AR201" s="351"/>
      <c r="AS201" s="351"/>
      <c r="AT201" s="351"/>
      <c r="AU201" s="351"/>
      <c r="AV201" s="351"/>
      <c r="AW201" s="351"/>
      <c r="AX201" s="351"/>
      <c r="AY201" s="351"/>
    </row>
    <row r="202" spans="1:51" ht="13">
      <c r="A202" s="333"/>
      <c r="B202" s="351"/>
      <c r="C202" s="351"/>
      <c r="D202" s="333"/>
      <c r="E202" s="333"/>
      <c r="F202" s="333"/>
      <c r="G202" s="359"/>
      <c r="H202" s="359"/>
      <c r="I202" s="351"/>
      <c r="J202" s="359"/>
      <c r="K202" s="359"/>
      <c r="L202" s="359"/>
      <c r="M202" s="351"/>
      <c r="N202" s="351"/>
      <c r="O202" s="351"/>
      <c r="P202" s="351"/>
      <c r="Q202" s="351"/>
      <c r="R202" s="351"/>
      <c r="S202" s="351"/>
      <c r="T202" s="351"/>
      <c r="U202" s="351"/>
      <c r="V202" s="351"/>
      <c r="W202" s="351"/>
      <c r="X202" s="359"/>
      <c r="Y202" s="359"/>
      <c r="Z202" s="359"/>
      <c r="AA202" s="351"/>
      <c r="AB202" s="351"/>
      <c r="AC202" s="359"/>
      <c r="AD202" s="359"/>
      <c r="AE202" s="351"/>
      <c r="AF202" s="333"/>
      <c r="AG202" s="333"/>
      <c r="AH202" s="351"/>
      <c r="AI202" s="351"/>
      <c r="AJ202" s="351"/>
      <c r="AK202" s="351"/>
      <c r="AL202" s="351"/>
      <c r="AM202" s="351"/>
      <c r="AN202" s="351"/>
      <c r="AO202" s="351"/>
      <c r="AP202" s="351"/>
      <c r="AQ202" s="351"/>
      <c r="AR202" s="351"/>
      <c r="AS202" s="351"/>
      <c r="AT202" s="351"/>
      <c r="AU202" s="351"/>
      <c r="AV202" s="351"/>
      <c r="AW202" s="351"/>
      <c r="AX202" s="351"/>
      <c r="AY202" s="351"/>
    </row>
    <row r="203" spans="1:51" ht="13">
      <c r="A203" s="333"/>
      <c r="B203" s="351"/>
      <c r="C203" s="351"/>
      <c r="D203" s="333"/>
      <c r="E203" s="333"/>
      <c r="F203" s="333"/>
      <c r="G203" s="359"/>
      <c r="H203" s="359"/>
      <c r="I203" s="351"/>
      <c r="J203" s="359"/>
      <c r="K203" s="359"/>
      <c r="L203" s="359"/>
      <c r="M203" s="351"/>
      <c r="N203" s="351"/>
      <c r="O203" s="351"/>
      <c r="P203" s="351"/>
      <c r="Q203" s="351"/>
      <c r="R203" s="351"/>
      <c r="S203" s="351"/>
      <c r="T203" s="351"/>
      <c r="U203" s="351"/>
      <c r="V203" s="351"/>
      <c r="W203" s="351"/>
      <c r="X203" s="359"/>
      <c r="Y203" s="359"/>
      <c r="Z203" s="359"/>
      <c r="AA203" s="351"/>
      <c r="AB203" s="351"/>
      <c r="AC203" s="359"/>
      <c r="AD203" s="359"/>
      <c r="AE203" s="351"/>
      <c r="AF203" s="333"/>
      <c r="AG203" s="333"/>
      <c r="AH203" s="351"/>
      <c r="AI203" s="351"/>
      <c r="AJ203" s="351"/>
      <c r="AK203" s="351"/>
      <c r="AL203" s="351"/>
      <c r="AM203" s="351"/>
      <c r="AN203" s="351"/>
      <c r="AO203" s="351"/>
      <c r="AP203" s="351"/>
      <c r="AQ203" s="351"/>
      <c r="AR203" s="351"/>
      <c r="AS203" s="351"/>
      <c r="AT203" s="351"/>
      <c r="AU203" s="351"/>
      <c r="AV203" s="351"/>
      <c r="AW203" s="351"/>
      <c r="AX203" s="351"/>
      <c r="AY203" s="351"/>
    </row>
    <row r="204" spans="1:51" ht="13">
      <c r="A204" s="333"/>
      <c r="B204" s="351"/>
      <c r="C204" s="351"/>
      <c r="D204" s="333"/>
      <c r="E204" s="333"/>
      <c r="F204" s="333"/>
      <c r="G204" s="359"/>
      <c r="H204" s="359"/>
      <c r="I204" s="351"/>
      <c r="J204" s="359"/>
      <c r="K204" s="359"/>
      <c r="L204" s="359"/>
      <c r="M204" s="351"/>
      <c r="N204" s="351"/>
      <c r="O204" s="351"/>
      <c r="P204" s="351"/>
      <c r="Q204" s="351"/>
      <c r="R204" s="351"/>
      <c r="S204" s="351"/>
      <c r="T204" s="351"/>
      <c r="U204" s="351"/>
      <c r="V204" s="351"/>
      <c r="W204" s="351"/>
      <c r="X204" s="359"/>
      <c r="Y204" s="359"/>
      <c r="Z204" s="359"/>
      <c r="AA204" s="351"/>
      <c r="AB204" s="351"/>
      <c r="AC204" s="359"/>
      <c r="AD204" s="359"/>
      <c r="AE204" s="351"/>
      <c r="AF204" s="333"/>
      <c r="AG204" s="333"/>
      <c r="AH204" s="351"/>
      <c r="AI204" s="351"/>
      <c r="AJ204" s="351"/>
      <c r="AK204" s="351"/>
      <c r="AL204" s="351"/>
      <c r="AM204" s="351"/>
      <c r="AN204" s="351"/>
      <c r="AO204" s="351"/>
      <c r="AP204" s="351"/>
      <c r="AQ204" s="351"/>
      <c r="AR204" s="351"/>
      <c r="AS204" s="351"/>
      <c r="AT204" s="351"/>
      <c r="AU204" s="351"/>
      <c r="AV204" s="351"/>
      <c r="AW204" s="351"/>
      <c r="AX204" s="351"/>
      <c r="AY204" s="351"/>
    </row>
    <row r="205" spans="1:51" ht="13">
      <c r="A205" s="333"/>
      <c r="B205" s="351"/>
      <c r="C205" s="351"/>
      <c r="D205" s="333"/>
      <c r="E205" s="333"/>
      <c r="F205" s="333"/>
      <c r="G205" s="359"/>
      <c r="H205" s="359"/>
      <c r="I205" s="351"/>
      <c r="J205" s="359"/>
      <c r="K205" s="359"/>
      <c r="L205" s="359"/>
      <c r="M205" s="351"/>
      <c r="N205" s="351"/>
      <c r="O205" s="351"/>
      <c r="P205" s="351"/>
      <c r="Q205" s="351"/>
      <c r="R205" s="351"/>
      <c r="S205" s="351"/>
      <c r="T205" s="351"/>
      <c r="U205" s="351"/>
      <c r="V205" s="351"/>
      <c r="W205" s="351"/>
      <c r="X205" s="359"/>
      <c r="Y205" s="359"/>
      <c r="Z205" s="359"/>
      <c r="AA205" s="351"/>
      <c r="AB205" s="351"/>
      <c r="AC205" s="359"/>
      <c r="AD205" s="359"/>
      <c r="AE205" s="351"/>
      <c r="AF205" s="333"/>
      <c r="AG205" s="333"/>
      <c r="AH205" s="351"/>
      <c r="AI205" s="351"/>
      <c r="AJ205" s="351"/>
      <c r="AK205" s="351"/>
      <c r="AL205" s="351"/>
      <c r="AM205" s="351"/>
      <c r="AN205" s="351"/>
      <c r="AO205" s="351"/>
      <c r="AP205" s="351"/>
      <c r="AQ205" s="351"/>
      <c r="AR205" s="351"/>
      <c r="AS205" s="351"/>
      <c r="AT205" s="351"/>
      <c r="AU205" s="351"/>
      <c r="AV205" s="351"/>
      <c r="AW205" s="351"/>
      <c r="AX205" s="351"/>
      <c r="AY205" s="351"/>
    </row>
    <row r="206" spans="1:51" ht="13">
      <c r="A206" s="333"/>
      <c r="B206" s="351"/>
      <c r="C206" s="351"/>
      <c r="D206" s="333"/>
      <c r="E206" s="333"/>
      <c r="F206" s="333"/>
      <c r="G206" s="359"/>
      <c r="H206" s="359"/>
      <c r="I206" s="351"/>
      <c r="J206" s="359"/>
      <c r="K206" s="359"/>
      <c r="L206" s="359"/>
      <c r="M206" s="351"/>
      <c r="N206" s="351"/>
      <c r="O206" s="351"/>
      <c r="P206" s="351"/>
      <c r="Q206" s="351"/>
      <c r="R206" s="351"/>
      <c r="S206" s="351"/>
      <c r="T206" s="351"/>
      <c r="U206" s="351"/>
      <c r="V206" s="351"/>
      <c r="W206" s="351"/>
      <c r="X206" s="359"/>
      <c r="Y206" s="359"/>
      <c r="Z206" s="359"/>
      <c r="AA206" s="351"/>
      <c r="AB206" s="351"/>
      <c r="AC206" s="359"/>
      <c r="AD206" s="359"/>
      <c r="AE206" s="351"/>
      <c r="AF206" s="333"/>
      <c r="AG206" s="333"/>
      <c r="AH206" s="351"/>
      <c r="AI206" s="351"/>
      <c r="AJ206" s="351"/>
      <c r="AK206" s="351"/>
      <c r="AL206" s="351"/>
      <c r="AM206" s="351"/>
      <c r="AN206" s="351"/>
      <c r="AO206" s="351"/>
      <c r="AP206" s="351"/>
      <c r="AQ206" s="351"/>
      <c r="AR206" s="351"/>
      <c r="AS206" s="351"/>
      <c r="AT206" s="351"/>
      <c r="AU206" s="351"/>
      <c r="AV206" s="351"/>
      <c r="AW206" s="351"/>
      <c r="AX206" s="351"/>
      <c r="AY206" s="351"/>
    </row>
    <row r="207" spans="1:51" ht="13">
      <c r="A207" s="333"/>
      <c r="B207" s="351"/>
      <c r="C207" s="351"/>
      <c r="D207" s="333"/>
      <c r="E207" s="333"/>
      <c r="F207" s="333"/>
      <c r="G207" s="359"/>
      <c r="H207" s="359"/>
      <c r="I207" s="351"/>
      <c r="J207" s="359"/>
      <c r="K207" s="359"/>
      <c r="L207" s="359"/>
      <c r="M207" s="351"/>
      <c r="N207" s="351"/>
      <c r="O207" s="351"/>
      <c r="P207" s="351"/>
      <c r="Q207" s="351"/>
      <c r="R207" s="351"/>
      <c r="S207" s="351"/>
      <c r="T207" s="351"/>
      <c r="U207" s="351"/>
      <c r="V207" s="351"/>
      <c r="W207" s="351"/>
      <c r="X207" s="359"/>
      <c r="Y207" s="359"/>
      <c r="Z207" s="359"/>
      <c r="AA207" s="351"/>
      <c r="AB207" s="351"/>
      <c r="AC207" s="359"/>
      <c r="AD207" s="359"/>
      <c r="AE207" s="351"/>
      <c r="AF207" s="333"/>
      <c r="AG207" s="333"/>
      <c r="AH207" s="351"/>
      <c r="AI207" s="351"/>
      <c r="AJ207" s="351"/>
      <c r="AK207" s="351"/>
      <c r="AL207" s="351"/>
      <c r="AM207" s="351"/>
      <c r="AN207" s="351"/>
      <c r="AO207" s="351"/>
      <c r="AP207" s="351"/>
      <c r="AQ207" s="351"/>
      <c r="AR207" s="351"/>
      <c r="AS207" s="351"/>
      <c r="AT207" s="351"/>
      <c r="AU207" s="351"/>
      <c r="AV207" s="351"/>
      <c r="AW207" s="351"/>
      <c r="AX207" s="351"/>
      <c r="AY207" s="351"/>
    </row>
    <row r="208" spans="1:51" ht="13">
      <c r="A208" s="333"/>
      <c r="B208" s="351"/>
      <c r="C208" s="351"/>
      <c r="D208" s="333"/>
      <c r="E208" s="333"/>
      <c r="F208" s="333"/>
      <c r="G208" s="359"/>
      <c r="H208" s="359"/>
      <c r="I208" s="351"/>
      <c r="J208" s="359"/>
      <c r="K208" s="359"/>
      <c r="L208" s="359"/>
      <c r="M208" s="351"/>
      <c r="N208" s="351"/>
      <c r="O208" s="351"/>
      <c r="P208" s="351"/>
      <c r="Q208" s="351"/>
      <c r="R208" s="351"/>
      <c r="S208" s="351"/>
      <c r="T208" s="351"/>
      <c r="U208" s="351"/>
      <c r="V208" s="351"/>
      <c r="W208" s="351"/>
      <c r="X208" s="359"/>
      <c r="Y208" s="359"/>
      <c r="Z208" s="359"/>
      <c r="AA208" s="351"/>
      <c r="AB208" s="351"/>
      <c r="AC208" s="359"/>
      <c r="AD208" s="359"/>
      <c r="AE208" s="351"/>
      <c r="AF208" s="333"/>
      <c r="AG208" s="333"/>
      <c r="AH208" s="351"/>
      <c r="AI208" s="351"/>
      <c r="AJ208" s="351"/>
      <c r="AK208" s="351"/>
      <c r="AL208" s="351"/>
      <c r="AM208" s="351"/>
      <c r="AN208" s="351"/>
      <c r="AO208" s="351"/>
      <c r="AP208" s="351"/>
      <c r="AQ208" s="351"/>
      <c r="AR208" s="351"/>
      <c r="AS208" s="351"/>
      <c r="AT208" s="351"/>
      <c r="AU208" s="351"/>
      <c r="AV208" s="351"/>
      <c r="AW208" s="351"/>
      <c r="AX208" s="351"/>
      <c r="AY208" s="351"/>
    </row>
    <row r="209" spans="1:51" ht="13">
      <c r="A209" s="333"/>
      <c r="B209" s="351"/>
      <c r="C209" s="351"/>
      <c r="D209" s="333"/>
      <c r="E209" s="333"/>
      <c r="F209" s="333"/>
      <c r="G209" s="359"/>
      <c r="H209" s="359"/>
      <c r="I209" s="351"/>
      <c r="J209" s="359"/>
      <c r="K209" s="359"/>
      <c r="L209" s="359"/>
      <c r="M209" s="351"/>
      <c r="N209" s="351"/>
      <c r="O209" s="351"/>
      <c r="P209" s="351"/>
      <c r="Q209" s="351"/>
      <c r="R209" s="351"/>
      <c r="S209" s="351"/>
      <c r="T209" s="351"/>
      <c r="U209" s="351"/>
      <c r="V209" s="351"/>
      <c r="W209" s="351"/>
      <c r="X209" s="359"/>
      <c r="Y209" s="359"/>
      <c r="Z209" s="359"/>
      <c r="AA209" s="351"/>
      <c r="AB209" s="351"/>
      <c r="AC209" s="359"/>
      <c r="AD209" s="359"/>
      <c r="AE209" s="351"/>
      <c r="AF209" s="333"/>
      <c r="AG209" s="333"/>
      <c r="AH209" s="351"/>
      <c r="AI209" s="351"/>
      <c r="AJ209" s="351"/>
      <c r="AK209" s="351"/>
      <c r="AL209" s="351"/>
      <c r="AM209" s="351"/>
      <c r="AN209" s="351"/>
      <c r="AO209" s="351"/>
      <c r="AP209" s="351"/>
      <c r="AQ209" s="351"/>
      <c r="AR209" s="351"/>
      <c r="AS209" s="351"/>
      <c r="AT209" s="351"/>
      <c r="AU209" s="351"/>
      <c r="AV209" s="351"/>
      <c r="AW209" s="351"/>
      <c r="AX209" s="351"/>
      <c r="AY209" s="351"/>
    </row>
    <row r="210" spans="1:51" ht="13">
      <c r="A210" s="333"/>
      <c r="B210" s="351"/>
      <c r="C210" s="351"/>
      <c r="D210" s="333"/>
      <c r="E210" s="333"/>
      <c r="F210" s="333"/>
      <c r="G210" s="359"/>
      <c r="H210" s="359"/>
      <c r="I210" s="351"/>
      <c r="J210" s="359"/>
      <c r="K210" s="359"/>
      <c r="L210" s="359"/>
      <c r="M210" s="351"/>
      <c r="N210" s="351"/>
      <c r="O210" s="351"/>
      <c r="P210" s="351"/>
      <c r="Q210" s="351"/>
      <c r="R210" s="351"/>
      <c r="S210" s="351"/>
      <c r="T210" s="351"/>
      <c r="U210" s="351"/>
      <c r="V210" s="351"/>
      <c r="W210" s="351"/>
      <c r="X210" s="359"/>
      <c r="Y210" s="359"/>
      <c r="Z210" s="359"/>
      <c r="AA210" s="351"/>
      <c r="AB210" s="351"/>
      <c r="AC210" s="359"/>
      <c r="AD210" s="359"/>
      <c r="AE210" s="351"/>
      <c r="AF210" s="333"/>
      <c r="AG210" s="333"/>
      <c r="AH210" s="351"/>
      <c r="AI210" s="351"/>
      <c r="AJ210" s="351"/>
      <c r="AK210" s="351"/>
      <c r="AL210" s="351"/>
      <c r="AM210" s="351"/>
      <c r="AN210" s="351"/>
      <c r="AO210" s="351"/>
      <c r="AP210" s="351"/>
      <c r="AQ210" s="351"/>
      <c r="AR210" s="351"/>
      <c r="AS210" s="351"/>
      <c r="AT210" s="351"/>
      <c r="AU210" s="351"/>
      <c r="AV210" s="351"/>
      <c r="AW210" s="351"/>
      <c r="AX210" s="351"/>
      <c r="AY210" s="351"/>
    </row>
    <row r="211" spans="1:51" ht="13">
      <c r="A211" s="333"/>
      <c r="B211" s="351"/>
      <c r="C211" s="351"/>
      <c r="D211" s="333"/>
      <c r="E211" s="333"/>
      <c r="F211" s="333"/>
      <c r="G211" s="359"/>
      <c r="H211" s="359"/>
      <c r="I211" s="351"/>
      <c r="J211" s="359"/>
      <c r="K211" s="359"/>
      <c r="L211" s="359"/>
      <c r="M211" s="351"/>
      <c r="N211" s="351"/>
      <c r="O211" s="351"/>
      <c r="P211" s="351"/>
      <c r="Q211" s="351"/>
      <c r="R211" s="351"/>
      <c r="S211" s="351"/>
      <c r="T211" s="351"/>
      <c r="U211" s="351"/>
      <c r="V211" s="351"/>
      <c r="W211" s="351"/>
      <c r="X211" s="359"/>
      <c r="Y211" s="359"/>
      <c r="Z211" s="359"/>
      <c r="AA211" s="351"/>
      <c r="AB211" s="351"/>
      <c r="AC211" s="359"/>
      <c r="AD211" s="359"/>
      <c r="AE211" s="351"/>
      <c r="AF211" s="333"/>
      <c r="AG211" s="333"/>
      <c r="AH211" s="351"/>
      <c r="AI211" s="351"/>
      <c r="AJ211" s="351"/>
      <c r="AK211" s="351"/>
      <c r="AL211" s="351"/>
      <c r="AM211" s="351"/>
      <c r="AN211" s="351"/>
      <c r="AO211" s="351"/>
      <c r="AP211" s="351"/>
      <c r="AQ211" s="351"/>
      <c r="AR211" s="351"/>
      <c r="AS211" s="351"/>
      <c r="AT211" s="351"/>
      <c r="AU211" s="351"/>
      <c r="AV211" s="351"/>
      <c r="AW211" s="351"/>
      <c r="AX211" s="351"/>
      <c r="AY211" s="351"/>
    </row>
    <row r="212" spans="1:51" ht="13">
      <c r="A212" s="333"/>
      <c r="B212" s="351"/>
      <c r="C212" s="351"/>
      <c r="D212" s="333"/>
      <c r="E212" s="333"/>
      <c r="F212" s="333"/>
      <c r="G212" s="359"/>
      <c r="H212" s="359"/>
      <c r="I212" s="351"/>
      <c r="J212" s="359"/>
      <c r="K212" s="359"/>
      <c r="L212" s="359"/>
      <c r="M212" s="351"/>
      <c r="N212" s="351"/>
      <c r="O212" s="351"/>
      <c r="P212" s="351"/>
      <c r="Q212" s="351"/>
      <c r="R212" s="351"/>
      <c r="S212" s="351"/>
      <c r="T212" s="351"/>
      <c r="U212" s="351"/>
      <c r="V212" s="351"/>
      <c r="W212" s="351"/>
      <c r="X212" s="359"/>
      <c r="Y212" s="359"/>
      <c r="Z212" s="359"/>
      <c r="AA212" s="351"/>
      <c r="AB212" s="351"/>
      <c r="AC212" s="359"/>
      <c r="AD212" s="359"/>
      <c r="AE212" s="351"/>
      <c r="AF212" s="333"/>
      <c r="AG212" s="333"/>
      <c r="AH212" s="351"/>
      <c r="AI212" s="351"/>
      <c r="AJ212" s="351"/>
      <c r="AK212" s="351"/>
      <c r="AL212" s="351"/>
      <c r="AM212" s="351"/>
      <c r="AN212" s="351"/>
      <c r="AO212" s="351"/>
      <c r="AP212" s="351"/>
      <c r="AQ212" s="351"/>
      <c r="AR212" s="351"/>
      <c r="AS212" s="351"/>
      <c r="AT212" s="351"/>
      <c r="AU212" s="351"/>
      <c r="AV212" s="351"/>
      <c r="AW212" s="351"/>
      <c r="AX212" s="351"/>
      <c r="AY212" s="351"/>
    </row>
    <row r="213" spans="1:51" ht="13">
      <c r="A213" s="333"/>
      <c r="B213" s="351"/>
      <c r="C213" s="351"/>
      <c r="D213" s="333"/>
      <c r="E213" s="333"/>
      <c r="F213" s="333"/>
      <c r="G213" s="359"/>
      <c r="H213" s="359"/>
      <c r="I213" s="351"/>
      <c r="J213" s="359"/>
      <c r="K213" s="359"/>
      <c r="L213" s="359"/>
      <c r="M213" s="351"/>
      <c r="N213" s="351"/>
      <c r="O213" s="351"/>
      <c r="P213" s="351"/>
      <c r="Q213" s="351"/>
      <c r="R213" s="351"/>
      <c r="S213" s="351"/>
      <c r="T213" s="351"/>
      <c r="U213" s="351"/>
      <c r="V213" s="351"/>
      <c r="W213" s="351"/>
      <c r="X213" s="359"/>
      <c r="Y213" s="359"/>
      <c r="Z213" s="359"/>
      <c r="AA213" s="351"/>
      <c r="AB213" s="351"/>
      <c r="AC213" s="359"/>
      <c r="AD213" s="359"/>
      <c r="AE213" s="351"/>
      <c r="AF213" s="333"/>
      <c r="AG213" s="333"/>
      <c r="AH213" s="351"/>
      <c r="AI213" s="351"/>
      <c r="AJ213" s="351"/>
      <c r="AK213" s="351"/>
      <c r="AL213" s="351"/>
      <c r="AM213" s="351"/>
      <c r="AN213" s="351"/>
      <c r="AO213" s="351"/>
      <c r="AP213" s="351"/>
      <c r="AQ213" s="351"/>
      <c r="AR213" s="351"/>
      <c r="AS213" s="351"/>
      <c r="AT213" s="351"/>
      <c r="AU213" s="351"/>
      <c r="AV213" s="351"/>
      <c r="AW213" s="351"/>
      <c r="AX213" s="351"/>
      <c r="AY213" s="351"/>
    </row>
    <row r="214" spans="1:51" ht="13">
      <c r="A214" s="333"/>
      <c r="B214" s="351"/>
      <c r="C214" s="351"/>
      <c r="D214" s="333"/>
      <c r="E214" s="333"/>
      <c r="F214" s="333"/>
      <c r="G214" s="359"/>
      <c r="H214" s="359"/>
      <c r="I214" s="351"/>
      <c r="J214" s="359"/>
      <c r="K214" s="359"/>
      <c r="L214" s="359"/>
      <c r="M214" s="351"/>
      <c r="N214" s="351"/>
      <c r="O214" s="351"/>
      <c r="P214" s="351"/>
      <c r="Q214" s="351"/>
      <c r="R214" s="351"/>
      <c r="S214" s="351"/>
      <c r="T214" s="351"/>
      <c r="U214" s="351"/>
      <c r="V214" s="351"/>
      <c r="W214" s="351"/>
      <c r="X214" s="359"/>
      <c r="Y214" s="359"/>
      <c r="Z214" s="359"/>
      <c r="AA214" s="351"/>
      <c r="AB214" s="351"/>
      <c r="AC214" s="359"/>
      <c r="AD214" s="359"/>
      <c r="AE214" s="351"/>
      <c r="AF214" s="333"/>
      <c r="AG214" s="333"/>
      <c r="AH214" s="351"/>
      <c r="AI214" s="351"/>
      <c r="AJ214" s="351"/>
      <c r="AK214" s="351"/>
      <c r="AL214" s="351"/>
      <c r="AM214" s="351"/>
      <c r="AN214" s="351"/>
      <c r="AO214" s="351"/>
      <c r="AP214" s="351"/>
      <c r="AQ214" s="351"/>
      <c r="AR214" s="351"/>
      <c r="AS214" s="351"/>
      <c r="AT214" s="351"/>
      <c r="AU214" s="351"/>
      <c r="AV214" s="351"/>
      <c r="AW214" s="351"/>
      <c r="AX214" s="351"/>
      <c r="AY214" s="351"/>
    </row>
    <row r="215" spans="1:51" ht="13">
      <c r="A215" s="333"/>
      <c r="B215" s="351"/>
      <c r="C215" s="351"/>
      <c r="D215" s="333"/>
      <c r="E215" s="333"/>
      <c r="F215" s="333"/>
      <c r="G215" s="359"/>
      <c r="H215" s="359"/>
      <c r="I215" s="351"/>
      <c r="J215" s="359"/>
      <c r="K215" s="359"/>
      <c r="L215" s="359"/>
      <c r="M215" s="351"/>
      <c r="N215" s="351"/>
      <c r="O215" s="351"/>
      <c r="P215" s="351"/>
      <c r="Q215" s="351"/>
      <c r="R215" s="351"/>
      <c r="S215" s="351"/>
      <c r="T215" s="351"/>
      <c r="U215" s="351"/>
      <c r="V215" s="351"/>
      <c r="W215" s="351"/>
      <c r="X215" s="359"/>
      <c r="Y215" s="359"/>
      <c r="Z215" s="359"/>
      <c r="AA215" s="351"/>
      <c r="AB215" s="351"/>
      <c r="AC215" s="359"/>
      <c r="AD215" s="359"/>
      <c r="AE215" s="351"/>
      <c r="AF215" s="333"/>
      <c r="AG215" s="333"/>
      <c r="AH215" s="351"/>
      <c r="AI215" s="351"/>
      <c r="AJ215" s="351"/>
      <c r="AK215" s="351"/>
      <c r="AL215" s="351"/>
      <c r="AM215" s="351"/>
      <c r="AN215" s="351"/>
      <c r="AO215" s="351"/>
      <c r="AP215" s="351"/>
      <c r="AQ215" s="351"/>
      <c r="AR215" s="351"/>
      <c r="AS215" s="351"/>
      <c r="AT215" s="351"/>
      <c r="AU215" s="351"/>
      <c r="AV215" s="351"/>
      <c r="AW215" s="351"/>
      <c r="AX215" s="351"/>
      <c r="AY215" s="351"/>
    </row>
    <row r="216" spans="1:51" ht="13">
      <c r="A216" s="333"/>
      <c r="B216" s="351"/>
      <c r="C216" s="351"/>
      <c r="D216" s="333"/>
      <c r="E216" s="333"/>
      <c r="F216" s="333"/>
      <c r="G216" s="359"/>
      <c r="H216" s="359"/>
      <c r="I216" s="351"/>
      <c r="J216" s="359"/>
      <c r="K216" s="359"/>
      <c r="L216" s="359"/>
      <c r="M216" s="351"/>
      <c r="N216" s="351"/>
      <c r="O216" s="351"/>
      <c r="P216" s="351"/>
      <c r="Q216" s="351"/>
      <c r="R216" s="351"/>
      <c r="S216" s="351"/>
      <c r="T216" s="351"/>
      <c r="U216" s="351"/>
      <c r="V216" s="351"/>
      <c r="W216" s="351"/>
      <c r="X216" s="359"/>
      <c r="Y216" s="359"/>
      <c r="Z216" s="359"/>
      <c r="AA216" s="351"/>
      <c r="AB216" s="351"/>
      <c r="AC216" s="359"/>
      <c r="AD216" s="359"/>
      <c r="AE216" s="351"/>
      <c r="AF216" s="333"/>
      <c r="AG216" s="333"/>
      <c r="AH216" s="351"/>
      <c r="AI216" s="351"/>
      <c r="AJ216" s="351"/>
      <c r="AK216" s="351"/>
      <c r="AL216" s="351"/>
      <c r="AM216" s="351"/>
      <c r="AN216" s="351"/>
      <c r="AO216" s="351"/>
      <c r="AP216" s="351"/>
      <c r="AQ216" s="351"/>
      <c r="AR216" s="351"/>
      <c r="AS216" s="351"/>
      <c r="AT216" s="351"/>
      <c r="AU216" s="351"/>
      <c r="AV216" s="351"/>
      <c r="AW216" s="351"/>
      <c r="AX216" s="351"/>
      <c r="AY216" s="351"/>
    </row>
    <row r="217" spans="1:51" ht="13">
      <c r="A217" s="333"/>
      <c r="B217" s="351"/>
      <c r="C217" s="351"/>
      <c r="D217" s="333"/>
      <c r="E217" s="333"/>
      <c r="F217" s="333"/>
      <c r="G217" s="359"/>
      <c r="H217" s="359"/>
      <c r="I217" s="351"/>
      <c r="J217" s="359"/>
      <c r="K217" s="359"/>
      <c r="L217" s="359"/>
      <c r="M217" s="351"/>
      <c r="N217" s="351"/>
      <c r="O217" s="351"/>
      <c r="P217" s="351"/>
      <c r="Q217" s="351"/>
      <c r="R217" s="351"/>
      <c r="S217" s="351"/>
      <c r="T217" s="351"/>
      <c r="U217" s="351"/>
      <c r="V217" s="351"/>
      <c r="W217" s="351"/>
      <c r="X217" s="359"/>
      <c r="Y217" s="359"/>
      <c r="Z217" s="359"/>
      <c r="AA217" s="351"/>
      <c r="AB217" s="351"/>
      <c r="AC217" s="359"/>
      <c r="AD217" s="359"/>
      <c r="AE217" s="351"/>
      <c r="AF217" s="333"/>
      <c r="AG217" s="333"/>
      <c r="AH217" s="351"/>
      <c r="AI217" s="351"/>
      <c r="AJ217" s="351"/>
      <c r="AK217" s="351"/>
      <c r="AL217" s="351"/>
      <c r="AM217" s="351"/>
      <c r="AN217" s="351"/>
      <c r="AO217" s="351"/>
      <c r="AP217" s="351"/>
      <c r="AQ217" s="351"/>
      <c r="AR217" s="351"/>
      <c r="AS217" s="351"/>
      <c r="AT217" s="351"/>
      <c r="AU217" s="351"/>
      <c r="AV217" s="351"/>
      <c r="AW217" s="351"/>
      <c r="AX217" s="351"/>
      <c r="AY217" s="351"/>
    </row>
    <row r="218" spans="1:51" ht="13">
      <c r="A218" s="333"/>
      <c r="B218" s="351"/>
      <c r="C218" s="351"/>
      <c r="D218" s="333"/>
      <c r="E218" s="333"/>
      <c r="F218" s="333"/>
      <c r="G218" s="359"/>
      <c r="H218" s="359"/>
      <c r="I218" s="351"/>
      <c r="J218" s="359"/>
      <c r="K218" s="359"/>
      <c r="L218" s="359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9"/>
      <c r="Y218" s="359"/>
      <c r="Z218" s="359"/>
      <c r="AA218" s="351"/>
      <c r="AB218" s="351"/>
      <c r="AC218" s="359"/>
      <c r="AD218" s="359"/>
      <c r="AE218" s="351"/>
      <c r="AF218" s="333"/>
      <c r="AG218" s="333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  <c r="AS218" s="351"/>
      <c r="AT218" s="351"/>
      <c r="AU218" s="351"/>
      <c r="AV218" s="351"/>
      <c r="AW218" s="351"/>
      <c r="AX218" s="351"/>
      <c r="AY218" s="351"/>
    </row>
    <row r="219" spans="1:51" ht="13">
      <c r="A219" s="333"/>
      <c r="B219" s="351"/>
      <c r="C219" s="351"/>
      <c r="D219" s="333"/>
      <c r="E219" s="333"/>
      <c r="F219" s="333"/>
      <c r="G219" s="359"/>
      <c r="H219" s="359"/>
      <c r="I219" s="351"/>
      <c r="J219" s="359"/>
      <c r="K219" s="359"/>
      <c r="L219" s="359"/>
      <c r="M219" s="351"/>
      <c r="N219" s="351"/>
      <c r="O219" s="351"/>
      <c r="P219" s="351"/>
      <c r="Q219" s="351"/>
      <c r="R219" s="351"/>
      <c r="S219" s="351"/>
      <c r="T219" s="351"/>
      <c r="U219" s="351"/>
      <c r="V219" s="351"/>
      <c r="W219" s="351"/>
      <c r="X219" s="359"/>
      <c r="Y219" s="359"/>
      <c r="Z219" s="359"/>
      <c r="AA219" s="351"/>
      <c r="AB219" s="351"/>
      <c r="AC219" s="359"/>
      <c r="AD219" s="359"/>
      <c r="AE219" s="351"/>
      <c r="AF219" s="333"/>
      <c r="AG219" s="333"/>
      <c r="AH219" s="351"/>
      <c r="AI219" s="351"/>
      <c r="AJ219" s="351"/>
      <c r="AK219" s="351"/>
      <c r="AL219" s="351"/>
      <c r="AM219" s="351"/>
      <c r="AN219" s="351"/>
      <c r="AO219" s="351"/>
      <c r="AP219" s="351"/>
      <c r="AQ219" s="351"/>
      <c r="AR219" s="351"/>
      <c r="AS219" s="351"/>
      <c r="AT219" s="351"/>
      <c r="AU219" s="351"/>
      <c r="AV219" s="351"/>
      <c r="AW219" s="351"/>
      <c r="AX219" s="351"/>
      <c r="AY219" s="351"/>
    </row>
    <row r="220" spans="1:51" ht="13">
      <c r="A220" s="333"/>
      <c r="B220" s="351"/>
      <c r="C220" s="351"/>
      <c r="D220" s="333"/>
      <c r="E220" s="333"/>
      <c r="F220" s="333"/>
      <c r="G220" s="359"/>
      <c r="H220" s="359"/>
      <c r="I220" s="351"/>
      <c r="J220" s="359"/>
      <c r="K220" s="359"/>
      <c r="L220" s="359"/>
      <c r="M220" s="351"/>
      <c r="N220" s="351"/>
      <c r="O220" s="351"/>
      <c r="P220" s="351"/>
      <c r="Q220" s="351"/>
      <c r="R220" s="351"/>
      <c r="S220" s="351"/>
      <c r="T220" s="351"/>
      <c r="U220" s="351"/>
      <c r="V220" s="351"/>
      <c r="W220" s="351"/>
      <c r="X220" s="359"/>
      <c r="Y220" s="359"/>
      <c r="Z220" s="359"/>
      <c r="AA220" s="351"/>
      <c r="AB220" s="351"/>
      <c r="AC220" s="359"/>
      <c r="AD220" s="359"/>
      <c r="AE220" s="351"/>
      <c r="AF220" s="333"/>
      <c r="AG220" s="333"/>
      <c r="AH220" s="351"/>
      <c r="AI220" s="351"/>
      <c r="AJ220" s="351"/>
      <c r="AK220" s="351"/>
      <c r="AL220" s="351"/>
      <c r="AM220" s="351"/>
      <c r="AN220" s="351"/>
      <c r="AO220" s="351"/>
      <c r="AP220" s="351"/>
      <c r="AQ220" s="351"/>
      <c r="AR220" s="351"/>
      <c r="AS220" s="351"/>
      <c r="AT220" s="351"/>
      <c r="AU220" s="351"/>
      <c r="AV220" s="351"/>
      <c r="AW220" s="351"/>
      <c r="AX220" s="351"/>
      <c r="AY220" s="351"/>
    </row>
    <row r="221" spans="1:51" ht="13">
      <c r="A221" s="333"/>
      <c r="B221" s="351"/>
      <c r="C221" s="351"/>
      <c r="D221" s="333"/>
      <c r="E221" s="333"/>
      <c r="F221" s="333"/>
      <c r="G221" s="359"/>
      <c r="H221" s="359"/>
      <c r="I221" s="351"/>
      <c r="J221" s="359"/>
      <c r="K221" s="359"/>
      <c r="L221" s="359"/>
      <c r="M221" s="351"/>
      <c r="N221" s="351"/>
      <c r="O221" s="351"/>
      <c r="P221" s="351"/>
      <c r="Q221" s="351"/>
      <c r="R221" s="351"/>
      <c r="S221" s="351"/>
      <c r="T221" s="351"/>
      <c r="U221" s="351"/>
      <c r="V221" s="351"/>
      <c r="W221" s="351"/>
      <c r="X221" s="359"/>
      <c r="Y221" s="359"/>
      <c r="Z221" s="359"/>
      <c r="AA221" s="351"/>
      <c r="AB221" s="351"/>
      <c r="AC221" s="359"/>
      <c r="AD221" s="359"/>
      <c r="AE221" s="351"/>
      <c r="AF221" s="333"/>
      <c r="AG221" s="333"/>
      <c r="AH221" s="351"/>
      <c r="AI221" s="351"/>
      <c r="AJ221" s="351"/>
      <c r="AK221" s="351"/>
      <c r="AL221" s="351"/>
      <c r="AM221" s="351"/>
      <c r="AN221" s="351"/>
      <c r="AO221" s="351"/>
      <c r="AP221" s="351"/>
      <c r="AQ221" s="351"/>
      <c r="AR221" s="351"/>
      <c r="AS221" s="351"/>
      <c r="AT221" s="351"/>
      <c r="AU221" s="351"/>
      <c r="AV221" s="351"/>
      <c r="AW221" s="351"/>
      <c r="AX221" s="351"/>
      <c r="AY221" s="351"/>
    </row>
    <row r="222" spans="1:51" ht="13">
      <c r="A222" s="333"/>
      <c r="B222" s="351"/>
      <c r="C222" s="351"/>
      <c r="D222" s="333"/>
      <c r="E222" s="333"/>
      <c r="F222" s="333"/>
      <c r="G222" s="359"/>
      <c r="H222" s="359"/>
      <c r="I222" s="351"/>
      <c r="J222" s="359"/>
      <c r="K222" s="359"/>
      <c r="L222" s="359"/>
      <c r="M222" s="351"/>
      <c r="N222" s="351"/>
      <c r="O222" s="351"/>
      <c r="P222" s="351"/>
      <c r="Q222" s="351"/>
      <c r="R222" s="351"/>
      <c r="S222" s="351"/>
      <c r="T222" s="351"/>
      <c r="U222" s="351"/>
      <c r="V222" s="351"/>
      <c r="W222" s="351"/>
      <c r="X222" s="359"/>
      <c r="Y222" s="359"/>
      <c r="Z222" s="359"/>
      <c r="AA222" s="351"/>
      <c r="AB222" s="351"/>
      <c r="AC222" s="359"/>
      <c r="AD222" s="359"/>
      <c r="AE222" s="351"/>
      <c r="AF222" s="333"/>
      <c r="AG222" s="333"/>
      <c r="AH222" s="351"/>
      <c r="AI222" s="351"/>
      <c r="AJ222" s="351"/>
      <c r="AK222" s="351"/>
      <c r="AL222" s="351"/>
      <c r="AM222" s="351"/>
      <c r="AN222" s="351"/>
      <c r="AO222" s="351"/>
      <c r="AP222" s="351"/>
      <c r="AQ222" s="351"/>
      <c r="AR222" s="351"/>
      <c r="AS222" s="351"/>
      <c r="AT222" s="351"/>
      <c r="AU222" s="351"/>
      <c r="AV222" s="351"/>
      <c r="AW222" s="351"/>
      <c r="AX222" s="351"/>
      <c r="AY222" s="351"/>
    </row>
    <row r="223" spans="1:51" ht="13">
      <c r="A223" s="333"/>
      <c r="B223" s="351"/>
      <c r="C223" s="351"/>
      <c r="D223" s="333"/>
      <c r="E223" s="333"/>
      <c r="F223" s="333"/>
      <c r="G223" s="359"/>
      <c r="H223" s="359"/>
      <c r="I223" s="351"/>
      <c r="J223" s="359"/>
      <c r="K223" s="359"/>
      <c r="L223" s="359"/>
      <c r="M223" s="351"/>
      <c r="N223" s="351"/>
      <c r="O223" s="351"/>
      <c r="P223" s="351"/>
      <c r="Q223" s="351"/>
      <c r="R223" s="351"/>
      <c r="S223" s="351"/>
      <c r="T223" s="351"/>
      <c r="U223" s="351"/>
      <c r="V223" s="351"/>
      <c r="W223" s="351"/>
      <c r="X223" s="359"/>
      <c r="Y223" s="359"/>
      <c r="Z223" s="359"/>
      <c r="AA223" s="351"/>
      <c r="AB223" s="351"/>
      <c r="AC223" s="359"/>
      <c r="AD223" s="359"/>
      <c r="AE223" s="351"/>
      <c r="AF223" s="333"/>
      <c r="AG223" s="333"/>
      <c r="AH223" s="351"/>
      <c r="AI223" s="351"/>
      <c r="AJ223" s="351"/>
      <c r="AK223" s="351"/>
      <c r="AL223" s="351"/>
      <c r="AM223" s="351"/>
      <c r="AN223" s="351"/>
      <c r="AO223" s="351"/>
      <c r="AP223" s="351"/>
      <c r="AQ223" s="351"/>
      <c r="AR223" s="351"/>
      <c r="AS223" s="351"/>
      <c r="AT223" s="351"/>
      <c r="AU223" s="351"/>
      <c r="AV223" s="351"/>
      <c r="AW223" s="351"/>
      <c r="AX223" s="351"/>
      <c r="AY223" s="351"/>
    </row>
    <row r="224" spans="1:51" ht="13">
      <c r="A224" s="333"/>
      <c r="B224" s="351"/>
      <c r="C224" s="351"/>
      <c r="D224" s="333"/>
      <c r="E224" s="333"/>
      <c r="F224" s="333"/>
      <c r="G224" s="359"/>
      <c r="H224" s="359"/>
      <c r="I224" s="351"/>
      <c r="J224" s="359"/>
      <c r="K224" s="359"/>
      <c r="L224" s="359"/>
      <c r="M224" s="351"/>
      <c r="N224" s="351"/>
      <c r="O224" s="351"/>
      <c r="P224" s="351"/>
      <c r="Q224" s="351"/>
      <c r="R224" s="351"/>
      <c r="S224" s="351"/>
      <c r="T224" s="351"/>
      <c r="U224" s="351"/>
      <c r="V224" s="351"/>
      <c r="W224" s="351"/>
      <c r="X224" s="359"/>
      <c r="Y224" s="359"/>
      <c r="Z224" s="359"/>
      <c r="AA224" s="351"/>
      <c r="AB224" s="351"/>
      <c r="AC224" s="359"/>
      <c r="AD224" s="359"/>
      <c r="AE224" s="351"/>
      <c r="AF224" s="333"/>
      <c r="AG224" s="333"/>
      <c r="AH224" s="351"/>
      <c r="AI224" s="351"/>
      <c r="AJ224" s="351"/>
      <c r="AK224" s="351"/>
      <c r="AL224" s="351"/>
      <c r="AM224" s="351"/>
      <c r="AN224" s="351"/>
      <c r="AO224" s="351"/>
      <c r="AP224" s="351"/>
      <c r="AQ224" s="351"/>
      <c r="AR224" s="351"/>
      <c r="AS224" s="351"/>
      <c r="AT224" s="351"/>
      <c r="AU224" s="351"/>
      <c r="AV224" s="351"/>
      <c r="AW224" s="351"/>
      <c r="AX224" s="351"/>
      <c r="AY224" s="351"/>
    </row>
    <row r="225" spans="1:51" ht="13">
      <c r="A225" s="333"/>
      <c r="B225" s="351"/>
      <c r="C225" s="351"/>
      <c r="D225" s="333"/>
      <c r="E225" s="333"/>
      <c r="F225" s="333"/>
      <c r="G225" s="359"/>
      <c r="H225" s="359"/>
      <c r="I225" s="351"/>
      <c r="J225" s="359"/>
      <c r="K225" s="359"/>
      <c r="L225" s="359"/>
      <c r="M225" s="351"/>
      <c r="N225" s="351"/>
      <c r="O225" s="351"/>
      <c r="P225" s="351"/>
      <c r="Q225" s="351"/>
      <c r="R225" s="351"/>
      <c r="S225" s="351"/>
      <c r="T225" s="351"/>
      <c r="U225" s="351"/>
      <c r="V225" s="351"/>
      <c r="W225" s="351"/>
      <c r="X225" s="359"/>
      <c r="Y225" s="359"/>
      <c r="Z225" s="359"/>
      <c r="AA225" s="351"/>
      <c r="AB225" s="351"/>
      <c r="AC225" s="359"/>
      <c r="AD225" s="359"/>
      <c r="AE225" s="351"/>
      <c r="AF225" s="333"/>
      <c r="AG225" s="333"/>
      <c r="AH225" s="351"/>
      <c r="AI225" s="351"/>
      <c r="AJ225" s="351"/>
      <c r="AK225" s="351"/>
      <c r="AL225" s="351"/>
      <c r="AM225" s="351"/>
      <c r="AN225" s="351"/>
      <c r="AO225" s="351"/>
      <c r="AP225" s="351"/>
      <c r="AQ225" s="351"/>
      <c r="AR225" s="351"/>
      <c r="AS225" s="351"/>
      <c r="AT225" s="351"/>
      <c r="AU225" s="351"/>
      <c r="AV225" s="351"/>
      <c r="AW225" s="351"/>
      <c r="AX225" s="351"/>
      <c r="AY225" s="351"/>
    </row>
    <row r="226" spans="1:51" ht="13">
      <c r="A226" s="333"/>
      <c r="B226" s="351"/>
      <c r="C226" s="351"/>
      <c r="D226" s="333"/>
      <c r="E226" s="333"/>
      <c r="F226" s="333"/>
      <c r="G226" s="359"/>
      <c r="H226" s="359"/>
      <c r="I226" s="351"/>
      <c r="J226" s="359"/>
      <c r="K226" s="359"/>
      <c r="L226" s="359"/>
      <c r="M226" s="351"/>
      <c r="N226" s="351"/>
      <c r="O226" s="351"/>
      <c r="P226" s="351"/>
      <c r="Q226" s="351"/>
      <c r="R226" s="351"/>
      <c r="S226" s="351"/>
      <c r="T226" s="351"/>
      <c r="U226" s="351"/>
      <c r="V226" s="351"/>
      <c r="W226" s="351"/>
      <c r="X226" s="359"/>
      <c r="Y226" s="359"/>
      <c r="Z226" s="359"/>
      <c r="AA226" s="351"/>
      <c r="AB226" s="351"/>
      <c r="AC226" s="359"/>
      <c r="AD226" s="359"/>
      <c r="AE226" s="351"/>
      <c r="AF226" s="333"/>
      <c r="AG226" s="333"/>
      <c r="AH226" s="351"/>
      <c r="AI226" s="351"/>
      <c r="AJ226" s="351"/>
      <c r="AK226" s="351"/>
      <c r="AL226" s="351"/>
      <c r="AM226" s="351"/>
      <c r="AN226" s="351"/>
      <c r="AO226" s="351"/>
      <c r="AP226" s="351"/>
      <c r="AQ226" s="351"/>
      <c r="AR226" s="351"/>
      <c r="AS226" s="351"/>
      <c r="AT226" s="351"/>
      <c r="AU226" s="351"/>
      <c r="AV226" s="351"/>
      <c r="AW226" s="351"/>
      <c r="AX226" s="351"/>
      <c r="AY226" s="351"/>
    </row>
    <row r="227" spans="1:51" ht="13">
      <c r="A227" s="333"/>
      <c r="B227" s="351"/>
      <c r="C227" s="351"/>
      <c r="D227" s="333"/>
      <c r="E227" s="333"/>
      <c r="F227" s="333"/>
      <c r="G227" s="359"/>
      <c r="H227" s="359"/>
      <c r="I227" s="351"/>
      <c r="J227" s="359"/>
      <c r="K227" s="359"/>
      <c r="L227" s="359"/>
      <c r="M227" s="351"/>
      <c r="N227" s="351"/>
      <c r="O227" s="351"/>
      <c r="P227" s="351"/>
      <c r="Q227" s="351"/>
      <c r="R227" s="351"/>
      <c r="S227" s="351"/>
      <c r="T227" s="351"/>
      <c r="U227" s="351"/>
      <c r="V227" s="351"/>
      <c r="W227" s="351"/>
      <c r="X227" s="359"/>
      <c r="Y227" s="359"/>
      <c r="Z227" s="359"/>
      <c r="AA227" s="351"/>
      <c r="AB227" s="351"/>
      <c r="AC227" s="359"/>
      <c r="AD227" s="359"/>
      <c r="AE227" s="351"/>
      <c r="AF227" s="333"/>
      <c r="AG227" s="333"/>
      <c r="AH227" s="351"/>
      <c r="AI227" s="351"/>
      <c r="AJ227" s="351"/>
      <c r="AK227" s="351"/>
      <c r="AL227" s="351"/>
      <c r="AM227" s="351"/>
      <c r="AN227" s="351"/>
      <c r="AO227" s="351"/>
      <c r="AP227" s="351"/>
      <c r="AQ227" s="351"/>
      <c r="AR227" s="351"/>
      <c r="AS227" s="351"/>
      <c r="AT227" s="351"/>
      <c r="AU227" s="351"/>
      <c r="AV227" s="351"/>
      <c r="AW227" s="351"/>
      <c r="AX227" s="351"/>
      <c r="AY227" s="351"/>
    </row>
    <row r="228" spans="1:51" ht="13">
      <c r="A228" s="333"/>
      <c r="B228" s="351"/>
      <c r="C228" s="351"/>
      <c r="D228" s="333"/>
      <c r="E228" s="333"/>
      <c r="F228" s="333"/>
      <c r="G228" s="359"/>
      <c r="H228" s="359"/>
      <c r="I228" s="351"/>
      <c r="J228" s="359"/>
      <c r="K228" s="359"/>
      <c r="L228" s="359"/>
      <c r="M228" s="351"/>
      <c r="N228" s="351"/>
      <c r="O228" s="351"/>
      <c r="P228" s="351"/>
      <c r="Q228" s="351"/>
      <c r="R228" s="351"/>
      <c r="S228" s="351"/>
      <c r="T228" s="351"/>
      <c r="U228" s="351"/>
      <c r="V228" s="351"/>
      <c r="W228" s="351"/>
      <c r="X228" s="359"/>
      <c r="Y228" s="359"/>
      <c r="Z228" s="359"/>
      <c r="AA228" s="351"/>
      <c r="AB228" s="351"/>
      <c r="AC228" s="359"/>
      <c r="AD228" s="359"/>
      <c r="AE228" s="351"/>
      <c r="AF228" s="333"/>
      <c r="AG228" s="333"/>
      <c r="AH228" s="351"/>
      <c r="AI228" s="351"/>
      <c r="AJ228" s="351"/>
      <c r="AK228" s="351"/>
      <c r="AL228" s="351"/>
      <c r="AM228" s="351"/>
      <c r="AN228" s="351"/>
      <c r="AO228" s="351"/>
      <c r="AP228" s="351"/>
      <c r="AQ228" s="351"/>
      <c r="AR228" s="351"/>
      <c r="AS228" s="351"/>
      <c r="AT228" s="351"/>
      <c r="AU228" s="351"/>
      <c r="AV228" s="351"/>
      <c r="AW228" s="351"/>
      <c r="AX228" s="351"/>
      <c r="AY228" s="351"/>
    </row>
    <row r="229" spans="1:51" ht="13">
      <c r="A229" s="333"/>
      <c r="B229" s="351"/>
      <c r="C229" s="351"/>
      <c r="D229" s="333"/>
      <c r="E229" s="333"/>
      <c r="F229" s="333"/>
      <c r="G229" s="359"/>
      <c r="H229" s="359"/>
      <c r="I229" s="351"/>
      <c r="J229" s="359"/>
      <c r="K229" s="359"/>
      <c r="L229" s="359"/>
      <c r="M229" s="351"/>
      <c r="N229" s="351"/>
      <c r="O229" s="351"/>
      <c r="P229" s="351"/>
      <c r="Q229" s="351"/>
      <c r="R229" s="351"/>
      <c r="S229" s="351"/>
      <c r="T229" s="351"/>
      <c r="U229" s="351"/>
      <c r="V229" s="351"/>
      <c r="W229" s="351"/>
      <c r="X229" s="359"/>
      <c r="Y229" s="359"/>
      <c r="Z229" s="359"/>
      <c r="AA229" s="351"/>
      <c r="AB229" s="351"/>
      <c r="AC229" s="359"/>
      <c r="AD229" s="359"/>
      <c r="AE229" s="351"/>
      <c r="AF229" s="333"/>
      <c r="AG229" s="333"/>
      <c r="AH229" s="351"/>
      <c r="AI229" s="351"/>
      <c r="AJ229" s="351"/>
      <c r="AK229" s="351"/>
      <c r="AL229" s="351"/>
      <c r="AM229" s="351"/>
      <c r="AN229" s="351"/>
      <c r="AO229" s="351"/>
      <c r="AP229" s="351"/>
      <c r="AQ229" s="351"/>
      <c r="AR229" s="351"/>
      <c r="AS229" s="351"/>
      <c r="AT229" s="351"/>
      <c r="AU229" s="351"/>
      <c r="AV229" s="351"/>
      <c r="AW229" s="351"/>
      <c r="AX229" s="351"/>
      <c r="AY229" s="351"/>
    </row>
    <row r="230" spans="1:51" ht="13">
      <c r="A230" s="333"/>
      <c r="B230" s="351"/>
      <c r="C230" s="351"/>
      <c r="D230" s="333"/>
      <c r="E230" s="333"/>
      <c r="F230" s="333"/>
      <c r="G230" s="359"/>
      <c r="H230" s="359"/>
      <c r="I230" s="351"/>
      <c r="J230" s="359"/>
      <c r="K230" s="359"/>
      <c r="L230" s="359"/>
      <c r="M230" s="351"/>
      <c r="N230" s="351"/>
      <c r="O230" s="351"/>
      <c r="P230" s="351"/>
      <c r="Q230" s="351"/>
      <c r="R230" s="351"/>
      <c r="S230" s="351"/>
      <c r="T230" s="351"/>
      <c r="U230" s="351"/>
      <c r="V230" s="351"/>
      <c r="W230" s="351"/>
      <c r="X230" s="359"/>
      <c r="Y230" s="359"/>
      <c r="Z230" s="359"/>
      <c r="AA230" s="351"/>
      <c r="AB230" s="351"/>
      <c r="AC230" s="359"/>
      <c r="AD230" s="359"/>
      <c r="AE230" s="351"/>
      <c r="AF230" s="333"/>
      <c r="AG230" s="333"/>
      <c r="AH230" s="351"/>
      <c r="AI230" s="351"/>
      <c r="AJ230" s="351"/>
      <c r="AK230" s="351"/>
      <c r="AL230" s="351"/>
      <c r="AM230" s="351"/>
      <c r="AN230" s="351"/>
      <c r="AO230" s="351"/>
      <c r="AP230" s="351"/>
      <c r="AQ230" s="351"/>
      <c r="AR230" s="351"/>
      <c r="AS230" s="351"/>
      <c r="AT230" s="351"/>
      <c r="AU230" s="351"/>
      <c r="AV230" s="351"/>
      <c r="AW230" s="351"/>
      <c r="AX230" s="351"/>
      <c r="AY230" s="351"/>
    </row>
    <row r="231" spans="1:51" ht="13">
      <c r="A231" s="333"/>
      <c r="B231" s="351"/>
      <c r="C231" s="351"/>
      <c r="D231" s="333"/>
      <c r="E231" s="333"/>
      <c r="F231" s="333"/>
      <c r="G231" s="359"/>
      <c r="H231" s="359"/>
      <c r="I231" s="351"/>
      <c r="J231" s="359"/>
      <c r="K231" s="359"/>
      <c r="L231" s="359"/>
      <c r="M231" s="351"/>
      <c r="N231" s="351"/>
      <c r="O231" s="351"/>
      <c r="P231" s="351"/>
      <c r="Q231" s="351"/>
      <c r="R231" s="351"/>
      <c r="S231" s="351"/>
      <c r="T231" s="351"/>
      <c r="U231" s="351"/>
      <c r="V231" s="351"/>
      <c r="W231" s="351"/>
      <c r="X231" s="359"/>
      <c r="Y231" s="359"/>
      <c r="Z231" s="359"/>
      <c r="AA231" s="351"/>
      <c r="AB231" s="351"/>
      <c r="AC231" s="359"/>
      <c r="AD231" s="359"/>
      <c r="AE231" s="351"/>
      <c r="AF231" s="333"/>
      <c r="AG231" s="333"/>
      <c r="AH231" s="351"/>
      <c r="AI231" s="351"/>
      <c r="AJ231" s="351"/>
      <c r="AK231" s="351"/>
      <c r="AL231" s="351"/>
      <c r="AM231" s="351"/>
      <c r="AN231" s="351"/>
      <c r="AO231" s="351"/>
      <c r="AP231" s="351"/>
      <c r="AQ231" s="351"/>
      <c r="AR231" s="351"/>
      <c r="AS231" s="351"/>
      <c r="AT231" s="351"/>
      <c r="AU231" s="351"/>
      <c r="AV231" s="351"/>
      <c r="AW231" s="351"/>
      <c r="AX231" s="351"/>
      <c r="AY231" s="351"/>
    </row>
    <row r="232" spans="1:51" ht="13">
      <c r="A232" s="333"/>
      <c r="B232" s="351"/>
      <c r="C232" s="351"/>
      <c r="D232" s="333"/>
      <c r="E232" s="333"/>
      <c r="F232" s="333"/>
      <c r="G232" s="359"/>
      <c r="H232" s="359"/>
      <c r="I232" s="351"/>
      <c r="J232" s="359"/>
      <c r="K232" s="359"/>
      <c r="L232" s="359"/>
      <c r="M232" s="351"/>
      <c r="N232" s="351"/>
      <c r="O232" s="351"/>
      <c r="P232" s="351"/>
      <c r="Q232" s="351"/>
      <c r="R232" s="351"/>
      <c r="S232" s="351"/>
      <c r="T232" s="351"/>
      <c r="U232" s="351"/>
      <c r="V232" s="351"/>
      <c r="W232" s="351"/>
      <c r="X232" s="359"/>
      <c r="Y232" s="359"/>
      <c r="Z232" s="359"/>
      <c r="AA232" s="351"/>
      <c r="AB232" s="351"/>
      <c r="AC232" s="359"/>
      <c r="AD232" s="359"/>
      <c r="AE232" s="351"/>
      <c r="AF232" s="333"/>
      <c r="AG232" s="333"/>
      <c r="AH232" s="351"/>
      <c r="AI232" s="351"/>
      <c r="AJ232" s="351"/>
      <c r="AK232" s="351"/>
      <c r="AL232" s="351"/>
      <c r="AM232" s="351"/>
      <c r="AN232" s="351"/>
      <c r="AO232" s="351"/>
      <c r="AP232" s="351"/>
      <c r="AQ232" s="351"/>
      <c r="AR232" s="351"/>
      <c r="AS232" s="351"/>
      <c r="AT232" s="351"/>
      <c r="AU232" s="351"/>
      <c r="AV232" s="351"/>
      <c r="AW232" s="351"/>
      <c r="AX232" s="351"/>
      <c r="AY232" s="351"/>
    </row>
    <row r="233" spans="1:51" ht="13">
      <c r="A233" s="333"/>
      <c r="B233" s="351"/>
      <c r="C233" s="351"/>
      <c r="D233" s="333"/>
      <c r="E233" s="333"/>
      <c r="F233" s="333"/>
      <c r="G233" s="359"/>
      <c r="H233" s="359"/>
      <c r="I233" s="351"/>
      <c r="J233" s="359"/>
      <c r="K233" s="359"/>
      <c r="L233" s="359"/>
      <c r="M233" s="351"/>
      <c r="N233" s="351"/>
      <c r="O233" s="351"/>
      <c r="P233" s="351"/>
      <c r="Q233" s="351"/>
      <c r="R233" s="351"/>
      <c r="S233" s="351"/>
      <c r="T233" s="351"/>
      <c r="U233" s="351"/>
      <c r="V233" s="351"/>
      <c r="W233" s="351"/>
      <c r="X233" s="359"/>
      <c r="Y233" s="359"/>
      <c r="Z233" s="359"/>
      <c r="AA233" s="351"/>
      <c r="AB233" s="351"/>
      <c r="AC233" s="359"/>
      <c r="AD233" s="359"/>
      <c r="AE233" s="351"/>
      <c r="AF233" s="333"/>
      <c r="AG233" s="333"/>
      <c r="AH233" s="351"/>
      <c r="AI233" s="351"/>
      <c r="AJ233" s="351"/>
      <c r="AK233" s="351"/>
      <c r="AL233" s="351"/>
      <c r="AM233" s="351"/>
      <c r="AN233" s="351"/>
      <c r="AO233" s="351"/>
      <c r="AP233" s="351"/>
      <c r="AQ233" s="351"/>
      <c r="AR233" s="351"/>
      <c r="AS233" s="351"/>
      <c r="AT233" s="351"/>
      <c r="AU233" s="351"/>
      <c r="AV233" s="351"/>
      <c r="AW233" s="351"/>
      <c r="AX233" s="351"/>
      <c r="AY233" s="351"/>
    </row>
    <row r="234" spans="1:51" ht="13">
      <c r="A234" s="333"/>
      <c r="B234" s="351"/>
      <c r="C234" s="351"/>
      <c r="D234" s="333"/>
      <c r="E234" s="333"/>
      <c r="F234" s="333"/>
      <c r="G234" s="359"/>
      <c r="H234" s="359"/>
      <c r="I234" s="351"/>
      <c r="J234" s="359"/>
      <c r="K234" s="359"/>
      <c r="L234" s="359"/>
      <c r="M234" s="351"/>
      <c r="N234" s="351"/>
      <c r="O234" s="351"/>
      <c r="P234" s="351"/>
      <c r="Q234" s="351"/>
      <c r="R234" s="351"/>
      <c r="S234" s="351"/>
      <c r="T234" s="351"/>
      <c r="U234" s="351"/>
      <c r="V234" s="351"/>
      <c r="W234" s="351"/>
      <c r="X234" s="359"/>
      <c r="Y234" s="359"/>
      <c r="Z234" s="359"/>
      <c r="AA234" s="351"/>
      <c r="AB234" s="351"/>
      <c r="AC234" s="359"/>
      <c r="AD234" s="359"/>
      <c r="AE234" s="351"/>
      <c r="AF234" s="333"/>
      <c r="AG234" s="333"/>
      <c r="AH234" s="351"/>
      <c r="AI234" s="351"/>
      <c r="AJ234" s="351"/>
      <c r="AK234" s="351"/>
      <c r="AL234" s="351"/>
      <c r="AM234" s="351"/>
      <c r="AN234" s="351"/>
      <c r="AO234" s="351"/>
      <c r="AP234" s="351"/>
      <c r="AQ234" s="351"/>
      <c r="AR234" s="351"/>
      <c r="AS234" s="351"/>
      <c r="AT234" s="351"/>
      <c r="AU234" s="351"/>
      <c r="AV234" s="351"/>
      <c r="AW234" s="351"/>
      <c r="AX234" s="351"/>
      <c r="AY234" s="351"/>
    </row>
    <row r="235" spans="1:51" ht="13">
      <c r="A235" s="333"/>
      <c r="B235" s="351"/>
      <c r="C235" s="351"/>
      <c r="D235" s="333"/>
      <c r="E235" s="333"/>
      <c r="F235" s="333"/>
      <c r="G235" s="359"/>
      <c r="H235" s="359"/>
      <c r="I235" s="351"/>
      <c r="J235" s="359"/>
      <c r="K235" s="359"/>
      <c r="L235" s="359"/>
      <c r="M235" s="351"/>
      <c r="N235" s="351"/>
      <c r="O235" s="351"/>
      <c r="P235" s="351"/>
      <c r="Q235" s="351"/>
      <c r="R235" s="351"/>
      <c r="S235" s="351"/>
      <c r="T235" s="351"/>
      <c r="U235" s="351"/>
      <c r="V235" s="351"/>
      <c r="W235" s="351"/>
      <c r="X235" s="359"/>
      <c r="Y235" s="359"/>
      <c r="Z235" s="359"/>
      <c r="AA235" s="351"/>
      <c r="AB235" s="351"/>
      <c r="AC235" s="359"/>
      <c r="AD235" s="359"/>
      <c r="AE235" s="351"/>
      <c r="AF235" s="333"/>
      <c r="AG235" s="333"/>
      <c r="AH235" s="351"/>
      <c r="AI235" s="351"/>
      <c r="AJ235" s="351"/>
      <c r="AK235" s="351"/>
      <c r="AL235" s="351"/>
      <c r="AM235" s="351"/>
      <c r="AN235" s="351"/>
      <c r="AO235" s="351"/>
      <c r="AP235" s="351"/>
      <c r="AQ235" s="351"/>
      <c r="AR235" s="351"/>
      <c r="AS235" s="351"/>
      <c r="AT235" s="351"/>
      <c r="AU235" s="351"/>
      <c r="AV235" s="351"/>
      <c r="AW235" s="351"/>
      <c r="AX235" s="351"/>
      <c r="AY235" s="351"/>
    </row>
    <row r="236" spans="1:51" ht="13">
      <c r="A236" s="333"/>
      <c r="B236" s="351"/>
      <c r="C236" s="351"/>
      <c r="D236" s="333"/>
      <c r="E236" s="333"/>
      <c r="F236" s="333"/>
      <c r="G236" s="359"/>
      <c r="H236" s="359"/>
      <c r="I236" s="351"/>
      <c r="J236" s="359"/>
      <c r="K236" s="359"/>
      <c r="L236" s="359"/>
      <c r="M236" s="351"/>
      <c r="N236" s="351"/>
      <c r="O236" s="351"/>
      <c r="P236" s="351"/>
      <c r="Q236" s="351"/>
      <c r="R236" s="351"/>
      <c r="S236" s="351"/>
      <c r="T236" s="351"/>
      <c r="U236" s="351"/>
      <c r="V236" s="351"/>
      <c r="W236" s="351"/>
      <c r="X236" s="359"/>
      <c r="Y236" s="359"/>
      <c r="Z236" s="359"/>
      <c r="AA236" s="351"/>
      <c r="AB236" s="351"/>
      <c r="AC236" s="359"/>
      <c r="AD236" s="359"/>
      <c r="AE236" s="351"/>
      <c r="AF236" s="333"/>
      <c r="AG236" s="333"/>
      <c r="AH236" s="351"/>
      <c r="AI236" s="351"/>
      <c r="AJ236" s="351"/>
      <c r="AK236" s="351"/>
      <c r="AL236" s="351"/>
      <c r="AM236" s="351"/>
      <c r="AN236" s="351"/>
      <c r="AO236" s="351"/>
      <c r="AP236" s="351"/>
      <c r="AQ236" s="351"/>
      <c r="AR236" s="351"/>
      <c r="AS236" s="351"/>
      <c r="AT236" s="351"/>
      <c r="AU236" s="351"/>
      <c r="AV236" s="351"/>
      <c r="AW236" s="351"/>
      <c r="AX236" s="351"/>
      <c r="AY236" s="351"/>
    </row>
    <row r="237" spans="1:51" ht="13">
      <c r="A237" s="333"/>
      <c r="B237" s="351"/>
      <c r="C237" s="351"/>
      <c r="D237" s="333"/>
      <c r="E237" s="333"/>
      <c r="F237" s="333"/>
      <c r="G237" s="359"/>
      <c r="H237" s="359"/>
      <c r="I237" s="351"/>
      <c r="J237" s="359"/>
      <c r="K237" s="359"/>
      <c r="L237" s="359"/>
      <c r="M237" s="351"/>
      <c r="N237" s="351"/>
      <c r="O237" s="351"/>
      <c r="P237" s="351"/>
      <c r="Q237" s="351"/>
      <c r="R237" s="351"/>
      <c r="S237" s="351"/>
      <c r="T237" s="351"/>
      <c r="U237" s="351"/>
      <c r="V237" s="351"/>
      <c r="W237" s="351"/>
      <c r="X237" s="359"/>
      <c r="Y237" s="359"/>
      <c r="Z237" s="359"/>
      <c r="AA237" s="351"/>
      <c r="AB237" s="351"/>
      <c r="AC237" s="359"/>
      <c r="AD237" s="359"/>
      <c r="AE237" s="351"/>
      <c r="AF237" s="333"/>
      <c r="AG237" s="333"/>
      <c r="AH237" s="351"/>
      <c r="AI237" s="351"/>
      <c r="AJ237" s="351"/>
      <c r="AK237" s="351"/>
      <c r="AL237" s="351"/>
      <c r="AM237" s="351"/>
      <c r="AN237" s="351"/>
      <c r="AO237" s="351"/>
      <c r="AP237" s="351"/>
      <c r="AQ237" s="351"/>
      <c r="AR237" s="351"/>
      <c r="AS237" s="351"/>
      <c r="AT237" s="351"/>
      <c r="AU237" s="351"/>
      <c r="AV237" s="351"/>
      <c r="AW237" s="351"/>
      <c r="AX237" s="351"/>
      <c r="AY237" s="351"/>
    </row>
    <row r="238" spans="1:51" ht="13">
      <c r="A238" s="333"/>
      <c r="B238" s="351"/>
      <c r="C238" s="351"/>
      <c r="D238" s="333"/>
      <c r="E238" s="333"/>
      <c r="F238" s="333"/>
      <c r="G238" s="359"/>
      <c r="H238" s="359"/>
      <c r="I238" s="351"/>
      <c r="J238" s="359"/>
      <c r="K238" s="359"/>
      <c r="L238" s="359"/>
      <c r="M238" s="351"/>
      <c r="N238" s="351"/>
      <c r="O238" s="351"/>
      <c r="P238" s="351"/>
      <c r="Q238" s="351"/>
      <c r="R238" s="351"/>
      <c r="S238" s="351"/>
      <c r="T238" s="351"/>
      <c r="U238" s="351"/>
      <c r="V238" s="351"/>
      <c r="W238" s="351"/>
      <c r="X238" s="359"/>
      <c r="Y238" s="359"/>
      <c r="Z238" s="359"/>
      <c r="AA238" s="351"/>
      <c r="AB238" s="351"/>
      <c r="AC238" s="359"/>
      <c r="AD238" s="359"/>
      <c r="AE238" s="351"/>
      <c r="AF238" s="333"/>
      <c r="AG238" s="333"/>
      <c r="AH238" s="351"/>
      <c r="AI238" s="351"/>
      <c r="AJ238" s="351"/>
      <c r="AK238" s="351"/>
      <c r="AL238" s="351"/>
      <c r="AM238" s="351"/>
      <c r="AN238" s="351"/>
      <c r="AO238" s="351"/>
      <c r="AP238" s="351"/>
      <c r="AQ238" s="351"/>
      <c r="AR238" s="351"/>
      <c r="AS238" s="351"/>
      <c r="AT238" s="351"/>
      <c r="AU238" s="351"/>
      <c r="AV238" s="351"/>
      <c r="AW238" s="351"/>
      <c r="AX238" s="351"/>
      <c r="AY238" s="351"/>
    </row>
    <row r="239" spans="1:51" ht="13">
      <c r="A239" s="333"/>
      <c r="B239" s="351"/>
      <c r="C239" s="351"/>
      <c r="D239" s="333"/>
      <c r="E239" s="333"/>
      <c r="F239" s="333"/>
      <c r="G239" s="359"/>
      <c r="H239" s="359"/>
      <c r="I239" s="351"/>
      <c r="J239" s="359"/>
      <c r="K239" s="359"/>
      <c r="L239" s="359"/>
      <c r="M239" s="351"/>
      <c r="N239" s="351"/>
      <c r="O239" s="351"/>
      <c r="P239" s="351"/>
      <c r="Q239" s="351"/>
      <c r="R239" s="351"/>
      <c r="S239" s="351"/>
      <c r="T239" s="351"/>
      <c r="U239" s="351"/>
      <c r="V239" s="351"/>
      <c r="W239" s="351"/>
      <c r="X239" s="359"/>
      <c r="Y239" s="359"/>
      <c r="Z239" s="359"/>
      <c r="AA239" s="351"/>
      <c r="AB239" s="351"/>
      <c r="AC239" s="359"/>
      <c r="AD239" s="359"/>
      <c r="AE239" s="351"/>
      <c r="AF239" s="333"/>
      <c r="AG239" s="333"/>
      <c r="AH239" s="351"/>
      <c r="AI239" s="351"/>
      <c r="AJ239" s="351"/>
      <c r="AK239" s="351"/>
      <c r="AL239" s="351"/>
      <c r="AM239" s="351"/>
      <c r="AN239" s="351"/>
      <c r="AO239" s="351"/>
      <c r="AP239" s="351"/>
      <c r="AQ239" s="351"/>
      <c r="AR239" s="351"/>
      <c r="AS239" s="351"/>
      <c r="AT239" s="351"/>
      <c r="AU239" s="351"/>
      <c r="AV239" s="351"/>
      <c r="AW239" s="351"/>
      <c r="AX239" s="351"/>
      <c r="AY239" s="351"/>
    </row>
    <row r="240" spans="1:51" ht="13">
      <c r="A240" s="333"/>
      <c r="B240" s="351"/>
      <c r="C240" s="351"/>
      <c r="D240" s="333"/>
      <c r="E240" s="333"/>
      <c r="F240" s="333"/>
      <c r="G240" s="359"/>
      <c r="H240" s="359"/>
      <c r="I240" s="351"/>
      <c r="J240" s="359"/>
      <c r="K240" s="359"/>
      <c r="L240" s="359"/>
      <c r="M240" s="351"/>
      <c r="N240" s="351"/>
      <c r="O240" s="351"/>
      <c r="P240" s="351"/>
      <c r="Q240" s="351"/>
      <c r="R240" s="351"/>
      <c r="S240" s="351"/>
      <c r="T240" s="351"/>
      <c r="U240" s="351"/>
      <c r="V240" s="351"/>
      <c r="W240" s="351"/>
      <c r="X240" s="359"/>
      <c r="Y240" s="359"/>
      <c r="Z240" s="359"/>
      <c r="AA240" s="351"/>
      <c r="AB240" s="351"/>
      <c r="AC240" s="359"/>
      <c r="AD240" s="359"/>
      <c r="AE240" s="351"/>
      <c r="AF240" s="333"/>
      <c r="AG240" s="333"/>
      <c r="AH240" s="351"/>
      <c r="AI240" s="351"/>
      <c r="AJ240" s="351"/>
      <c r="AK240" s="351"/>
      <c r="AL240" s="351"/>
      <c r="AM240" s="351"/>
      <c r="AN240" s="351"/>
      <c r="AO240" s="351"/>
      <c r="AP240" s="351"/>
      <c r="AQ240" s="351"/>
      <c r="AR240" s="351"/>
      <c r="AS240" s="351"/>
      <c r="AT240" s="351"/>
      <c r="AU240" s="351"/>
      <c r="AV240" s="351"/>
      <c r="AW240" s="351"/>
      <c r="AX240" s="351"/>
      <c r="AY240" s="351"/>
    </row>
    <row r="241" spans="1:51" ht="13">
      <c r="A241" s="333"/>
      <c r="B241" s="351"/>
      <c r="C241" s="351"/>
      <c r="D241" s="333"/>
      <c r="E241" s="333"/>
      <c r="F241" s="333"/>
      <c r="G241" s="359"/>
      <c r="H241" s="359"/>
      <c r="I241" s="351"/>
      <c r="J241" s="359"/>
      <c r="K241" s="359"/>
      <c r="L241" s="359"/>
      <c r="M241" s="351"/>
      <c r="N241" s="351"/>
      <c r="O241" s="351"/>
      <c r="P241" s="351"/>
      <c r="Q241" s="351"/>
      <c r="R241" s="351"/>
      <c r="S241" s="351"/>
      <c r="T241" s="351"/>
      <c r="U241" s="351"/>
      <c r="V241" s="351"/>
      <c r="W241" s="351"/>
      <c r="X241" s="359"/>
      <c r="Y241" s="359"/>
      <c r="Z241" s="359"/>
      <c r="AA241" s="351"/>
      <c r="AB241" s="351"/>
      <c r="AC241" s="359"/>
      <c r="AD241" s="359"/>
      <c r="AE241" s="351"/>
      <c r="AF241" s="333"/>
      <c r="AG241" s="333"/>
      <c r="AH241" s="351"/>
      <c r="AI241" s="351"/>
      <c r="AJ241" s="351"/>
      <c r="AK241" s="351"/>
      <c r="AL241" s="351"/>
      <c r="AM241" s="351"/>
      <c r="AN241" s="351"/>
      <c r="AO241" s="351"/>
      <c r="AP241" s="351"/>
      <c r="AQ241" s="351"/>
      <c r="AR241" s="351"/>
      <c r="AS241" s="351"/>
      <c r="AT241" s="351"/>
      <c r="AU241" s="351"/>
      <c r="AV241" s="351"/>
      <c r="AW241" s="351"/>
      <c r="AX241" s="351"/>
      <c r="AY241" s="351"/>
    </row>
    <row r="242" spans="1:51" ht="13">
      <c r="A242" s="333"/>
      <c r="B242" s="351"/>
      <c r="C242" s="351"/>
      <c r="D242" s="333"/>
      <c r="E242" s="333"/>
      <c r="F242" s="333"/>
      <c r="G242" s="359"/>
      <c r="H242" s="359"/>
      <c r="I242" s="351"/>
      <c r="J242" s="359"/>
      <c r="K242" s="359"/>
      <c r="L242" s="359"/>
      <c r="M242" s="351"/>
      <c r="N242" s="351"/>
      <c r="O242" s="351"/>
      <c r="P242" s="351"/>
      <c r="Q242" s="351"/>
      <c r="R242" s="351"/>
      <c r="S242" s="351"/>
      <c r="T242" s="351"/>
      <c r="U242" s="351"/>
      <c r="V242" s="351"/>
      <c r="W242" s="351"/>
      <c r="X242" s="359"/>
      <c r="Y242" s="359"/>
      <c r="Z242" s="359"/>
      <c r="AA242" s="351"/>
      <c r="AB242" s="351"/>
      <c r="AC242" s="359"/>
      <c r="AD242" s="359"/>
      <c r="AE242" s="351"/>
      <c r="AF242" s="333"/>
      <c r="AG242" s="333"/>
      <c r="AH242" s="351"/>
      <c r="AI242" s="351"/>
      <c r="AJ242" s="351"/>
      <c r="AK242" s="351"/>
      <c r="AL242" s="351"/>
      <c r="AM242" s="351"/>
      <c r="AN242" s="351"/>
      <c r="AO242" s="351"/>
      <c r="AP242" s="351"/>
      <c r="AQ242" s="351"/>
      <c r="AR242" s="351"/>
      <c r="AS242" s="351"/>
      <c r="AT242" s="351"/>
      <c r="AU242" s="351"/>
      <c r="AV242" s="351"/>
      <c r="AW242" s="351"/>
      <c r="AX242" s="351"/>
      <c r="AY242" s="351"/>
    </row>
    <row r="243" spans="1:51" ht="13">
      <c r="A243" s="333"/>
      <c r="B243" s="351"/>
      <c r="C243" s="351"/>
      <c r="D243" s="333"/>
      <c r="E243" s="333"/>
      <c r="F243" s="333"/>
      <c r="G243" s="359"/>
      <c r="H243" s="359"/>
      <c r="I243" s="351"/>
      <c r="J243" s="359"/>
      <c r="K243" s="359"/>
      <c r="L243" s="359"/>
      <c r="M243" s="351"/>
      <c r="N243" s="351"/>
      <c r="O243" s="351"/>
      <c r="P243" s="351"/>
      <c r="Q243" s="351"/>
      <c r="R243" s="351"/>
      <c r="S243" s="351"/>
      <c r="T243" s="351"/>
      <c r="U243" s="351"/>
      <c r="V243" s="351"/>
      <c r="W243" s="351"/>
      <c r="X243" s="359"/>
      <c r="Y243" s="359"/>
      <c r="Z243" s="359"/>
      <c r="AA243" s="351"/>
      <c r="AB243" s="351"/>
      <c r="AC243" s="359"/>
      <c r="AD243" s="359"/>
      <c r="AE243" s="351"/>
      <c r="AF243" s="333"/>
      <c r="AG243" s="333"/>
      <c r="AH243" s="351"/>
      <c r="AI243" s="351"/>
      <c r="AJ243" s="351"/>
      <c r="AK243" s="351"/>
      <c r="AL243" s="351"/>
      <c r="AM243" s="351"/>
      <c r="AN243" s="351"/>
      <c r="AO243" s="351"/>
      <c r="AP243" s="351"/>
      <c r="AQ243" s="351"/>
      <c r="AR243" s="351"/>
      <c r="AS243" s="351"/>
      <c r="AT243" s="351"/>
      <c r="AU243" s="351"/>
      <c r="AV243" s="351"/>
      <c r="AW243" s="351"/>
      <c r="AX243" s="351"/>
      <c r="AY243" s="351"/>
    </row>
    <row r="244" spans="1:51" ht="13">
      <c r="A244" s="333"/>
      <c r="B244" s="351"/>
      <c r="C244" s="351"/>
      <c r="D244" s="333"/>
      <c r="E244" s="333"/>
      <c r="F244" s="333"/>
      <c r="G244" s="359"/>
      <c r="H244" s="359"/>
      <c r="I244" s="351"/>
      <c r="J244" s="359"/>
      <c r="K244" s="359"/>
      <c r="L244" s="359"/>
      <c r="M244" s="351"/>
      <c r="N244" s="351"/>
      <c r="O244" s="351"/>
      <c r="P244" s="351"/>
      <c r="Q244" s="351"/>
      <c r="R244" s="351"/>
      <c r="S244" s="351"/>
      <c r="T244" s="351"/>
      <c r="U244" s="351"/>
      <c r="V244" s="351"/>
      <c r="W244" s="351"/>
      <c r="X244" s="359"/>
      <c r="Y244" s="359"/>
      <c r="Z244" s="359"/>
      <c r="AA244" s="351"/>
      <c r="AB244" s="351"/>
      <c r="AC244" s="359"/>
      <c r="AD244" s="359"/>
      <c r="AE244" s="351"/>
      <c r="AF244" s="333"/>
      <c r="AG244" s="333"/>
      <c r="AH244" s="351"/>
      <c r="AI244" s="351"/>
      <c r="AJ244" s="351"/>
      <c r="AK244" s="351"/>
      <c r="AL244" s="351"/>
      <c r="AM244" s="351"/>
      <c r="AN244" s="351"/>
      <c r="AO244" s="351"/>
      <c r="AP244" s="351"/>
      <c r="AQ244" s="351"/>
      <c r="AR244" s="351"/>
      <c r="AS244" s="351"/>
      <c r="AT244" s="351"/>
      <c r="AU244" s="351"/>
      <c r="AV244" s="351"/>
      <c r="AW244" s="351"/>
      <c r="AX244" s="351"/>
      <c r="AY244" s="351"/>
    </row>
    <row r="245" spans="1:51" ht="13">
      <c r="A245" s="333"/>
      <c r="B245" s="351"/>
      <c r="C245" s="351"/>
      <c r="D245" s="333"/>
      <c r="E245" s="333"/>
      <c r="F245" s="333"/>
      <c r="G245" s="359"/>
      <c r="H245" s="359"/>
      <c r="I245" s="351"/>
      <c r="J245" s="359"/>
      <c r="K245" s="359"/>
      <c r="L245" s="359"/>
      <c r="M245" s="351"/>
      <c r="N245" s="351"/>
      <c r="O245" s="351"/>
      <c r="P245" s="351"/>
      <c r="Q245" s="351"/>
      <c r="R245" s="351"/>
      <c r="S245" s="351"/>
      <c r="T245" s="351"/>
      <c r="U245" s="351"/>
      <c r="V245" s="351"/>
      <c r="W245" s="351"/>
      <c r="X245" s="359"/>
      <c r="Y245" s="359"/>
      <c r="Z245" s="359"/>
      <c r="AA245" s="351"/>
      <c r="AB245" s="351"/>
      <c r="AC245" s="359"/>
      <c r="AD245" s="359"/>
      <c r="AE245" s="351"/>
      <c r="AF245" s="333"/>
      <c r="AG245" s="333"/>
      <c r="AH245" s="351"/>
      <c r="AI245" s="351"/>
      <c r="AJ245" s="351"/>
      <c r="AK245" s="351"/>
      <c r="AL245" s="351"/>
      <c r="AM245" s="351"/>
      <c r="AN245" s="351"/>
      <c r="AO245" s="351"/>
      <c r="AP245" s="351"/>
      <c r="AQ245" s="351"/>
      <c r="AR245" s="351"/>
      <c r="AS245" s="351"/>
      <c r="AT245" s="351"/>
      <c r="AU245" s="351"/>
      <c r="AV245" s="351"/>
      <c r="AW245" s="351"/>
      <c r="AX245" s="351"/>
      <c r="AY245" s="351"/>
    </row>
    <row r="246" spans="1:51" ht="13">
      <c r="A246" s="333"/>
      <c r="B246" s="351"/>
      <c r="C246" s="351"/>
      <c r="D246" s="333"/>
      <c r="E246" s="333"/>
      <c r="F246" s="333"/>
      <c r="G246" s="359"/>
      <c r="H246" s="359"/>
      <c r="I246" s="351"/>
      <c r="J246" s="359"/>
      <c r="K246" s="359"/>
      <c r="L246" s="359"/>
      <c r="M246" s="351"/>
      <c r="N246" s="351"/>
      <c r="O246" s="351"/>
      <c r="P246" s="351"/>
      <c r="Q246" s="351"/>
      <c r="R246" s="351"/>
      <c r="S246" s="351"/>
      <c r="T246" s="351"/>
      <c r="U246" s="351"/>
      <c r="V246" s="351"/>
      <c r="W246" s="351"/>
      <c r="X246" s="359"/>
      <c r="Y246" s="359"/>
      <c r="Z246" s="359"/>
      <c r="AA246" s="351"/>
      <c r="AB246" s="351"/>
      <c r="AC246" s="359"/>
      <c r="AD246" s="359"/>
      <c r="AE246" s="351"/>
      <c r="AF246" s="333"/>
      <c r="AG246" s="333"/>
      <c r="AH246" s="351"/>
      <c r="AI246" s="351"/>
      <c r="AJ246" s="351"/>
      <c r="AK246" s="351"/>
      <c r="AL246" s="351"/>
      <c r="AM246" s="351"/>
      <c r="AN246" s="351"/>
      <c r="AO246" s="351"/>
      <c r="AP246" s="351"/>
      <c r="AQ246" s="351"/>
      <c r="AR246" s="351"/>
      <c r="AS246" s="351"/>
      <c r="AT246" s="351"/>
      <c r="AU246" s="351"/>
      <c r="AV246" s="351"/>
      <c r="AW246" s="351"/>
      <c r="AX246" s="351"/>
      <c r="AY246" s="351"/>
    </row>
    <row r="247" spans="1:51" ht="13">
      <c r="A247" s="333"/>
      <c r="B247" s="351"/>
      <c r="C247" s="351"/>
      <c r="D247" s="333"/>
      <c r="E247" s="333"/>
      <c r="F247" s="333"/>
      <c r="G247" s="359"/>
      <c r="H247" s="359"/>
      <c r="I247" s="351"/>
      <c r="J247" s="359"/>
      <c r="K247" s="359"/>
      <c r="L247" s="359"/>
      <c r="M247" s="351"/>
      <c r="N247" s="351"/>
      <c r="O247" s="351"/>
      <c r="P247" s="351"/>
      <c r="Q247" s="351"/>
      <c r="R247" s="351"/>
      <c r="S247" s="351"/>
      <c r="T247" s="351"/>
      <c r="U247" s="351"/>
      <c r="V247" s="351"/>
      <c r="W247" s="351"/>
      <c r="X247" s="359"/>
      <c r="Y247" s="359"/>
      <c r="Z247" s="359"/>
      <c r="AA247" s="351"/>
      <c r="AB247" s="351"/>
      <c r="AC247" s="359"/>
      <c r="AD247" s="359"/>
      <c r="AE247" s="351"/>
      <c r="AF247" s="333"/>
      <c r="AG247" s="333"/>
      <c r="AH247" s="351"/>
      <c r="AI247" s="351"/>
      <c r="AJ247" s="351"/>
      <c r="AK247" s="351"/>
      <c r="AL247" s="351"/>
      <c r="AM247" s="351"/>
      <c r="AN247" s="351"/>
      <c r="AO247" s="351"/>
      <c r="AP247" s="351"/>
      <c r="AQ247" s="351"/>
      <c r="AR247" s="351"/>
      <c r="AS247" s="351"/>
      <c r="AT247" s="351"/>
      <c r="AU247" s="351"/>
      <c r="AV247" s="351"/>
      <c r="AW247" s="351"/>
      <c r="AX247" s="351"/>
      <c r="AY247" s="351"/>
    </row>
    <row r="248" spans="1:51" ht="13">
      <c r="A248" s="333"/>
      <c r="B248" s="351"/>
      <c r="C248" s="351"/>
      <c r="D248" s="333"/>
      <c r="E248" s="333"/>
      <c r="F248" s="333"/>
      <c r="G248" s="359"/>
      <c r="H248" s="359"/>
      <c r="I248" s="351"/>
      <c r="J248" s="359"/>
      <c r="K248" s="359"/>
      <c r="L248" s="359"/>
      <c r="M248" s="351"/>
      <c r="N248" s="351"/>
      <c r="O248" s="351"/>
      <c r="P248" s="351"/>
      <c r="Q248" s="351"/>
      <c r="R248" s="351"/>
      <c r="S248" s="351"/>
      <c r="T248" s="351"/>
      <c r="U248" s="351"/>
      <c r="V248" s="351"/>
      <c r="W248" s="351"/>
      <c r="X248" s="359"/>
      <c r="Y248" s="359"/>
      <c r="Z248" s="359"/>
      <c r="AA248" s="351"/>
      <c r="AB248" s="351"/>
      <c r="AC248" s="359"/>
      <c r="AD248" s="359"/>
      <c r="AE248" s="351"/>
      <c r="AF248" s="333"/>
      <c r="AG248" s="333"/>
      <c r="AH248" s="351"/>
      <c r="AI248" s="351"/>
      <c r="AJ248" s="351"/>
      <c r="AK248" s="351"/>
      <c r="AL248" s="351"/>
      <c r="AM248" s="351"/>
      <c r="AN248" s="351"/>
      <c r="AO248" s="351"/>
      <c r="AP248" s="351"/>
      <c r="AQ248" s="351"/>
      <c r="AR248" s="351"/>
      <c r="AS248" s="351"/>
      <c r="AT248" s="351"/>
      <c r="AU248" s="351"/>
      <c r="AV248" s="351"/>
      <c r="AW248" s="351"/>
      <c r="AX248" s="351"/>
      <c r="AY248" s="351"/>
    </row>
    <row r="249" spans="1:51" ht="13">
      <c r="A249" s="333"/>
      <c r="B249" s="351"/>
      <c r="C249" s="351"/>
      <c r="D249" s="333"/>
      <c r="E249" s="333"/>
      <c r="F249" s="333"/>
      <c r="G249" s="359"/>
      <c r="H249" s="359"/>
      <c r="I249" s="351"/>
      <c r="J249" s="359"/>
      <c r="K249" s="359"/>
      <c r="L249" s="359"/>
      <c r="M249" s="351"/>
      <c r="N249" s="351"/>
      <c r="O249" s="351"/>
      <c r="P249" s="351"/>
      <c r="Q249" s="351"/>
      <c r="R249" s="351"/>
      <c r="S249" s="351"/>
      <c r="T249" s="351"/>
      <c r="U249" s="351"/>
      <c r="V249" s="351"/>
      <c r="W249" s="351"/>
      <c r="X249" s="359"/>
      <c r="Y249" s="359"/>
      <c r="Z249" s="359"/>
      <c r="AA249" s="351"/>
      <c r="AB249" s="351"/>
      <c r="AC249" s="359"/>
      <c r="AD249" s="359"/>
      <c r="AE249" s="351"/>
      <c r="AF249" s="333"/>
      <c r="AG249" s="333"/>
      <c r="AH249" s="351"/>
      <c r="AI249" s="351"/>
      <c r="AJ249" s="351"/>
      <c r="AK249" s="351"/>
      <c r="AL249" s="351"/>
      <c r="AM249" s="351"/>
      <c r="AN249" s="351"/>
      <c r="AO249" s="351"/>
      <c r="AP249" s="351"/>
      <c r="AQ249" s="351"/>
      <c r="AR249" s="351"/>
      <c r="AS249" s="351"/>
      <c r="AT249" s="351"/>
      <c r="AU249" s="351"/>
      <c r="AV249" s="351"/>
      <c r="AW249" s="351"/>
      <c r="AX249" s="351"/>
      <c r="AY249" s="351"/>
    </row>
    <row r="250" spans="1:51" ht="13">
      <c r="A250" s="333"/>
      <c r="B250" s="351"/>
      <c r="C250" s="351"/>
      <c r="D250" s="333"/>
      <c r="E250" s="333"/>
      <c r="F250" s="333"/>
      <c r="G250" s="359"/>
      <c r="H250" s="359"/>
      <c r="I250" s="351"/>
      <c r="J250" s="359"/>
      <c r="K250" s="359"/>
      <c r="L250" s="359"/>
      <c r="M250" s="351"/>
      <c r="N250" s="351"/>
      <c r="O250" s="351"/>
      <c r="P250" s="351"/>
      <c r="Q250" s="351"/>
      <c r="R250" s="351"/>
      <c r="S250" s="351"/>
      <c r="T250" s="351"/>
      <c r="U250" s="351"/>
      <c r="V250" s="351"/>
      <c r="W250" s="351"/>
      <c r="X250" s="359"/>
      <c r="Y250" s="359"/>
      <c r="Z250" s="359"/>
      <c r="AA250" s="351"/>
      <c r="AB250" s="351"/>
      <c r="AC250" s="359"/>
      <c r="AD250" s="359"/>
      <c r="AE250" s="351"/>
      <c r="AF250" s="333"/>
      <c r="AG250" s="333"/>
      <c r="AH250" s="351"/>
      <c r="AI250" s="351"/>
      <c r="AJ250" s="351"/>
      <c r="AK250" s="351"/>
      <c r="AL250" s="351"/>
      <c r="AM250" s="351"/>
      <c r="AN250" s="351"/>
      <c r="AO250" s="351"/>
      <c r="AP250" s="351"/>
      <c r="AQ250" s="351"/>
      <c r="AR250" s="351"/>
      <c r="AS250" s="351"/>
      <c r="AT250" s="351"/>
      <c r="AU250" s="351"/>
      <c r="AV250" s="351"/>
      <c r="AW250" s="351"/>
      <c r="AX250" s="351"/>
      <c r="AY250" s="351"/>
    </row>
    <row r="251" spans="1:51" ht="13">
      <c r="A251" s="333"/>
      <c r="B251" s="351"/>
      <c r="C251" s="351"/>
      <c r="D251" s="333"/>
      <c r="E251" s="333"/>
      <c r="F251" s="333"/>
      <c r="G251" s="359"/>
      <c r="H251" s="359"/>
      <c r="I251" s="351"/>
      <c r="J251" s="359"/>
      <c r="K251" s="359"/>
      <c r="L251" s="359"/>
      <c r="M251" s="351"/>
      <c r="N251" s="351"/>
      <c r="O251" s="351"/>
      <c r="P251" s="351"/>
      <c r="Q251" s="351"/>
      <c r="R251" s="351"/>
      <c r="S251" s="351"/>
      <c r="T251" s="351"/>
      <c r="U251" s="351"/>
      <c r="V251" s="351"/>
      <c r="W251" s="351"/>
      <c r="X251" s="359"/>
      <c r="Y251" s="359"/>
      <c r="Z251" s="359"/>
      <c r="AA251" s="351"/>
      <c r="AB251" s="351"/>
      <c r="AC251" s="359"/>
      <c r="AD251" s="359"/>
      <c r="AE251" s="351"/>
      <c r="AF251" s="333"/>
      <c r="AG251" s="333"/>
      <c r="AH251" s="351"/>
      <c r="AI251" s="351"/>
      <c r="AJ251" s="351"/>
      <c r="AK251" s="351"/>
      <c r="AL251" s="351"/>
      <c r="AM251" s="351"/>
      <c r="AN251" s="351"/>
      <c r="AO251" s="351"/>
      <c r="AP251" s="351"/>
      <c r="AQ251" s="351"/>
      <c r="AR251" s="351"/>
      <c r="AS251" s="351"/>
      <c r="AT251" s="351"/>
      <c r="AU251" s="351"/>
      <c r="AV251" s="351"/>
      <c r="AW251" s="351"/>
      <c r="AX251" s="351"/>
      <c r="AY251" s="351"/>
    </row>
    <row r="252" spans="1:51" ht="13">
      <c r="A252" s="333"/>
      <c r="B252" s="351"/>
      <c r="C252" s="351"/>
      <c r="D252" s="333"/>
      <c r="E252" s="333"/>
      <c r="F252" s="333"/>
      <c r="G252" s="359"/>
      <c r="H252" s="359"/>
      <c r="I252" s="351"/>
      <c r="J252" s="359"/>
      <c r="K252" s="359"/>
      <c r="L252" s="359"/>
      <c r="M252" s="351"/>
      <c r="N252" s="351"/>
      <c r="O252" s="351"/>
      <c r="P252" s="351"/>
      <c r="Q252" s="351"/>
      <c r="R252" s="351"/>
      <c r="S252" s="351"/>
      <c r="T252" s="351"/>
      <c r="U252" s="351"/>
      <c r="V252" s="351"/>
      <c r="W252" s="351"/>
      <c r="X252" s="359"/>
      <c r="Y252" s="359"/>
      <c r="Z252" s="359"/>
      <c r="AA252" s="351"/>
      <c r="AB252" s="351"/>
      <c r="AC252" s="359"/>
      <c r="AD252" s="359"/>
      <c r="AE252" s="351"/>
      <c r="AF252" s="333"/>
      <c r="AG252" s="333"/>
      <c r="AH252" s="351"/>
      <c r="AI252" s="351"/>
      <c r="AJ252" s="351"/>
      <c r="AK252" s="351"/>
      <c r="AL252" s="351"/>
      <c r="AM252" s="351"/>
      <c r="AN252" s="351"/>
      <c r="AO252" s="351"/>
      <c r="AP252" s="351"/>
      <c r="AQ252" s="351"/>
      <c r="AR252" s="351"/>
      <c r="AS252" s="351"/>
      <c r="AT252" s="351"/>
      <c r="AU252" s="351"/>
      <c r="AV252" s="351"/>
      <c r="AW252" s="351"/>
      <c r="AX252" s="351"/>
      <c r="AY252" s="351"/>
    </row>
    <row r="253" spans="1:51" ht="13">
      <c r="A253" s="333"/>
      <c r="B253" s="351"/>
      <c r="C253" s="351"/>
      <c r="D253" s="333"/>
      <c r="E253" s="333"/>
      <c r="F253" s="333"/>
      <c r="G253" s="359"/>
      <c r="H253" s="359"/>
      <c r="I253" s="351"/>
      <c r="J253" s="359"/>
      <c r="K253" s="359"/>
      <c r="L253" s="359"/>
      <c r="M253" s="351"/>
      <c r="N253" s="351"/>
      <c r="O253" s="351"/>
      <c r="P253" s="351"/>
      <c r="Q253" s="351"/>
      <c r="R253" s="351"/>
      <c r="S253" s="351"/>
      <c r="T253" s="351"/>
      <c r="U253" s="351"/>
      <c r="V253" s="351"/>
      <c r="W253" s="351"/>
      <c r="X253" s="359"/>
      <c r="Y253" s="359"/>
      <c r="Z253" s="359"/>
      <c r="AA253" s="351"/>
      <c r="AB253" s="351"/>
      <c r="AC253" s="359"/>
      <c r="AD253" s="359"/>
      <c r="AE253" s="351"/>
      <c r="AF253" s="333"/>
      <c r="AG253" s="333"/>
      <c r="AH253" s="351"/>
      <c r="AI253" s="351"/>
      <c r="AJ253" s="351"/>
      <c r="AK253" s="351"/>
      <c r="AL253" s="351"/>
      <c r="AM253" s="351"/>
      <c r="AN253" s="351"/>
      <c r="AO253" s="351"/>
      <c r="AP253" s="351"/>
      <c r="AQ253" s="351"/>
      <c r="AR253" s="351"/>
      <c r="AS253" s="351"/>
      <c r="AT253" s="351"/>
      <c r="AU253" s="351"/>
      <c r="AV253" s="351"/>
      <c r="AW253" s="351"/>
      <c r="AX253" s="351"/>
      <c r="AY253" s="351"/>
    </row>
    <row r="254" spans="1:51" ht="13">
      <c r="A254" s="333"/>
      <c r="B254" s="351"/>
      <c r="C254" s="351"/>
      <c r="D254" s="333"/>
      <c r="E254" s="333"/>
      <c r="F254" s="333"/>
      <c r="G254" s="359"/>
      <c r="H254" s="359"/>
      <c r="I254" s="351"/>
      <c r="J254" s="359"/>
      <c r="K254" s="359"/>
      <c r="L254" s="359"/>
      <c r="M254" s="351"/>
      <c r="N254" s="351"/>
      <c r="O254" s="351"/>
      <c r="P254" s="351"/>
      <c r="Q254" s="351"/>
      <c r="R254" s="351"/>
      <c r="S254" s="351"/>
      <c r="T254" s="351"/>
      <c r="U254" s="351"/>
      <c r="V254" s="351"/>
      <c r="W254" s="351"/>
      <c r="X254" s="359"/>
      <c r="Y254" s="359"/>
      <c r="Z254" s="359"/>
      <c r="AA254" s="351"/>
      <c r="AB254" s="351"/>
      <c r="AC254" s="359"/>
      <c r="AD254" s="359"/>
      <c r="AE254" s="351"/>
      <c r="AF254" s="333"/>
      <c r="AG254" s="333"/>
      <c r="AH254" s="351"/>
      <c r="AI254" s="351"/>
      <c r="AJ254" s="351"/>
      <c r="AK254" s="351"/>
      <c r="AL254" s="351"/>
      <c r="AM254" s="351"/>
      <c r="AN254" s="351"/>
      <c r="AO254" s="351"/>
      <c r="AP254" s="351"/>
      <c r="AQ254" s="351"/>
      <c r="AR254" s="351"/>
      <c r="AS254" s="351"/>
      <c r="AT254" s="351"/>
      <c r="AU254" s="351"/>
      <c r="AV254" s="351"/>
      <c r="AW254" s="351"/>
      <c r="AX254" s="351"/>
      <c r="AY254" s="351"/>
    </row>
    <row r="255" spans="1:51" ht="13">
      <c r="A255" s="333"/>
      <c r="B255" s="351"/>
      <c r="C255" s="351"/>
      <c r="D255" s="333"/>
      <c r="E255" s="333"/>
      <c r="F255" s="333"/>
      <c r="G255" s="359"/>
      <c r="H255" s="359"/>
      <c r="I255" s="351"/>
      <c r="J255" s="359"/>
      <c r="K255" s="359"/>
      <c r="L255" s="359"/>
      <c r="M255" s="351"/>
      <c r="N255" s="351"/>
      <c r="O255" s="351"/>
      <c r="P255" s="351"/>
      <c r="Q255" s="351"/>
      <c r="R255" s="351"/>
      <c r="S255" s="351"/>
      <c r="T255" s="351"/>
      <c r="U255" s="351"/>
      <c r="V255" s="351"/>
      <c r="W255" s="351"/>
      <c r="X255" s="359"/>
      <c r="Y255" s="359"/>
      <c r="Z255" s="359"/>
      <c r="AA255" s="351"/>
      <c r="AB255" s="351"/>
      <c r="AC255" s="359"/>
      <c r="AD255" s="359"/>
      <c r="AE255" s="351"/>
      <c r="AF255" s="333"/>
      <c r="AG255" s="333"/>
      <c r="AH255" s="351"/>
      <c r="AI255" s="351"/>
      <c r="AJ255" s="351"/>
      <c r="AK255" s="351"/>
      <c r="AL255" s="351"/>
      <c r="AM255" s="351"/>
      <c r="AN255" s="351"/>
      <c r="AO255" s="351"/>
      <c r="AP255" s="351"/>
      <c r="AQ255" s="351"/>
      <c r="AR255" s="351"/>
      <c r="AS255" s="351"/>
      <c r="AT255" s="351"/>
      <c r="AU255" s="351"/>
      <c r="AV255" s="351"/>
      <c r="AW255" s="351"/>
      <c r="AX255" s="351"/>
      <c r="AY255" s="351"/>
    </row>
    <row r="256" spans="1:51" ht="13">
      <c r="A256" s="333"/>
      <c r="B256" s="351"/>
      <c r="C256" s="351"/>
      <c r="D256" s="333"/>
      <c r="E256" s="333"/>
      <c r="F256" s="333"/>
      <c r="G256" s="359"/>
      <c r="H256" s="359"/>
      <c r="I256" s="351"/>
      <c r="J256" s="359"/>
      <c r="K256" s="359"/>
      <c r="L256" s="359"/>
      <c r="M256" s="351"/>
      <c r="N256" s="351"/>
      <c r="O256" s="351"/>
      <c r="P256" s="351"/>
      <c r="Q256" s="351"/>
      <c r="R256" s="351"/>
      <c r="S256" s="351"/>
      <c r="T256" s="351"/>
      <c r="U256" s="351"/>
      <c r="V256" s="351"/>
      <c r="W256" s="351"/>
      <c r="X256" s="359"/>
      <c r="Y256" s="359"/>
      <c r="Z256" s="359"/>
      <c r="AA256" s="351"/>
      <c r="AB256" s="351"/>
      <c r="AC256" s="359"/>
      <c r="AD256" s="359"/>
      <c r="AE256" s="351"/>
      <c r="AF256" s="333"/>
      <c r="AG256" s="333"/>
      <c r="AH256" s="351"/>
      <c r="AI256" s="351"/>
      <c r="AJ256" s="351"/>
      <c r="AK256" s="351"/>
      <c r="AL256" s="351"/>
      <c r="AM256" s="351"/>
      <c r="AN256" s="351"/>
      <c r="AO256" s="351"/>
      <c r="AP256" s="351"/>
      <c r="AQ256" s="351"/>
      <c r="AR256" s="351"/>
      <c r="AS256" s="351"/>
      <c r="AT256" s="351"/>
      <c r="AU256" s="351"/>
      <c r="AV256" s="351"/>
      <c r="AW256" s="351"/>
      <c r="AX256" s="351"/>
      <c r="AY256" s="351"/>
    </row>
    <row r="257" spans="1:51" ht="13">
      <c r="A257" s="333"/>
      <c r="B257" s="351"/>
      <c r="C257" s="351"/>
      <c r="D257" s="333"/>
      <c r="E257" s="333"/>
      <c r="F257" s="333"/>
      <c r="G257" s="359"/>
      <c r="H257" s="359"/>
      <c r="I257" s="351"/>
      <c r="J257" s="359"/>
      <c r="K257" s="359"/>
      <c r="L257" s="359"/>
      <c r="M257" s="351"/>
      <c r="N257" s="351"/>
      <c r="O257" s="351"/>
      <c r="P257" s="351"/>
      <c r="Q257" s="351"/>
      <c r="R257" s="351"/>
      <c r="S257" s="351"/>
      <c r="T257" s="351"/>
      <c r="U257" s="351"/>
      <c r="V257" s="351"/>
      <c r="W257" s="351"/>
      <c r="X257" s="359"/>
      <c r="Y257" s="359"/>
      <c r="Z257" s="359"/>
      <c r="AA257" s="351"/>
      <c r="AB257" s="351"/>
      <c r="AC257" s="359"/>
      <c r="AD257" s="359"/>
      <c r="AE257" s="351"/>
      <c r="AF257" s="333"/>
      <c r="AG257" s="333"/>
      <c r="AH257" s="351"/>
      <c r="AI257" s="351"/>
      <c r="AJ257" s="351"/>
      <c r="AK257" s="351"/>
      <c r="AL257" s="351"/>
      <c r="AM257" s="351"/>
      <c r="AN257" s="351"/>
      <c r="AO257" s="351"/>
      <c r="AP257" s="351"/>
      <c r="AQ257" s="351"/>
      <c r="AR257" s="351"/>
      <c r="AS257" s="351"/>
      <c r="AT257" s="351"/>
      <c r="AU257" s="351"/>
      <c r="AV257" s="351"/>
      <c r="AW257" s="351"/>
      <c r="AX257" s="351"/>
      <c r="AY257" s="351"/>
    </row>
    <row r="258" spans="1:51" ht="13">
      <c r="A258" s="333"/>
      <c r="B258" s="351"/>
      <c r="C258" s="351"/>
      <c r="D258" s="333"/>
      <c r="E258" s="333"/>
      <c r="F258" s="333"/>
      <c r="G258" s="359"/>
      <c r="H258" s="359"/>
      <c r="I258" s="351"/>
      <c r="J258" s="359"/>
      <c r="K258" s="359"/>
      <c r="L258" s="359"/>
      <c r="M258" s="351"/>
      <c r="N258" s="351"/>
      <c r="O258" s="351"/>
      <c r="P258" s="351"/>
      <c r="Q258" s="351"/>
      <c r="R258" s="351"/>
      <c r="S258" s="351"/>
      <c r="T258" s="351"/>
      <c r="U258" s="351"/>
      <c r="V258" s="351"/>
      <c r="W258" s="351"/>
      <c r="X258" s="359"/>
      <c r="Y258" s="359"/>
      <c r="Z258" s="359"/>
      <c r="AA258" s="351"/>
      <c r="AB258" s="351"/>
      <c r="AC258" s="359"/>
      <c r="AD258" s="359"/>
      <c r="AE258" s="351"/>
      <c r="AF258" s="333"/>
      <c r="AG258" s="333"/>
      <c r="AH258" s="351"/>
      <c r="AI258" s="351"/>
      <c r="AJ258" s="351"/>
      <c r="AK258" s="351"/>
      <c r="AL258" s="351"/>
      <c r="AM258" s="351"/>
      <c r="AN258" s="351"/>
      <c r="AO258" s="351"/>
      <c r="AP258" s="351"/>
      <c r="AQ258" s="351"/>
      <c r="AR258" s="351"/>
      <c r="AS258" s="351"/>
      <c r="AT258" s="351"/>
      <c r="AU258" s="351"/>
      <c r="AV258" s="351"/>
      <c r="AW258" s="351"/>
      <c r="AX258" s="351"/>
      <c r="AY258" s="351"/>
    </row>
    <row r="259" spans="1:51" ht="13">
      <c r="A259" s="333"/>
      <c r="B259" s="351"/>
      <c r="C259" s="351"/>
      <c r="D259" s="333"/>
      <c r="E259" s="333"/>
      <c r="F259" s="333"/>
      <c r="G259" s="359"/>
      <c r="H259" s="359"/>
      <c r="I259" s="351"/>
      <c r="J259" s="359"/>
      <c r="K259" s="359"/>
      <c r="L259" s="359"/>
      <c r="M259" s="351"/>
      <c r="N259" s="351"/>
      <c r="O259" s="351"/>
      <c r="P259" s="351"/>
      <c r="Q259" s="351"/>
      <c r="R259" s="351"/>
      <c r="S259" s="351"/>
      <c r="T259" s="351"/>
      <c r="U259" s="351"/>
      <c r="V259" s="351"/>
      <c r="W259" s="351"/>
      <c r="X259" s="359"/>
      <c r="Y259" s="359"/>
      <c r="Z259" s="359"/>
      <c r="AA259" s="351"/>
      <c r="AB259" s="351"/>
      <c r="AC259" s="359"/>
      <c r="AD259" s="359"/>
      <c r="AE259" s="351"/>
      <c r="AF259" s="333"/>
      <c r="AG259" s="333"/>
      <c r="AH259" s="351"/>
      <c r="AI259" s="351"/>
      <c r="AJ259" s="351"/>
      <c r="AK259" s="351"/>
      <c r="AL259" s="351"/>
      <c r="AM259" s="351"/>
      <c r="AN259" s="351"/>
      <c r="AO259" s="351"/>
      <c r="AP259" s="351"/>
      <c r="AQ259" s="351"/>
      <c r="AR259" s="351"/>
      <c r="AS259" s="351"/>
      <c r="AT259" s="351"/>
      <c r="AU259" s="351"/>
      <c r="AV259" s="351"/>
      <c r="AW259" s="351"/>
      <c r="AX259" s="351"/>
      <c r="AY259" s="351"/>
    </row>
    <row r="260" spans="1:51" ht="13">
      <c r="A260" s="333"/>
      <c r="B260" s="351"/>
      <c r="C260" s="351"/>
      <c r="D260" s="333"/>
      <c r="E260" s="333"/>
      <c r="F260" s="333"/>
      <c r="G260" s="359"/>
      <c r="H260" s="359"/>
      <c r="I260" s="351"/>
      <c r="J260" s="359"/>
      <c r="K260" s="359"/>
      <c r="L260" s="359"/>
      <c r="M260" s="351"/>
      <c r="N260" s="351"/>
      <c r="O260" s="351"/>
      <c r="P260" s="351"/>
      <c r="Q260" s="351"/>
      <c r="R260" s="351"/>
      <c r="S260" s="351"/>
      <c r="T260" s="351"/>
      <c r="U260" s="351"/>
      <c r="V260" s="351"/>
      <c r="W260" s="351"/>
      <c r="X260" s="359"/>
      <c r="Y260" s="359"/>
      <c r="Z260" s="359"/>
      <c r="AA260" s="351"/>
      <c r="AB260" s="351"/>
      <c r="AC260" s="359"/>
      <c r="AD260" s="359"/>
      <c r="AE260" s="351"/>
      <c r="AF260" s="333"/>
      <c r="AG260" s="333"/>
      <c r="AH260" s="351"/>
      <c r="AI260" s="351"/>
      <c r="AJ260" s="351"/>
      <c r="AK260" s="351"/>
      <c r="AL260" s="351"/>
      <c r="AM260" s="351"/>
      <c r="AN260" s="351"/>
      <c r="AO260" s="351"/>
      <c r="AP260" s="351"/>
      <c r="AQ260" s="351"/>
      <c r="AR260" s="351"/>
      <c r="AS260" s="351"/>
      <c r="AT260" s="351"/>
      <c r="AU260" s="351"/>
      <c r="AV260" s="351"/>
      <c r="AW260" s="351"/>
      <c r="AX260" s="351"/>
      <c r="AY260" s="351"/>
    </row>
    <row r="261" spans="1:51" ht="13">
      <c r="A261" s="333"/>
      <c r="B261" s="351"/>
      <c r="C261" s="351"/>
      <c r="D261" s="333"/>
      <c r="E261" s="333"/>
      <c r="F261" s="333"/>
      <c r="G261" s="359"/>
      <c r="H261" s="359"/>
      <c r="I261" s="351"/>
      <c r="J261" s="359"/>
      <c r="K261" s="359"/>
      <c r="L261" s="359"/>
      <c r="M261" s="351"/>
      <c r="N261" s="351"/>
      <c r="O261" s="351"/>
      <c r="P261" s="351"/>
      <c r="Q261" s="351"/>
      <c r="R261" s="351"/>
      <c r="S261" s="351"/>
      <c r="T261" s="351"/>
      <c r="U261" s="351"/>
      <c r="V261" s="351"/>
      <c r="W261" s="351"/>
      <c r="X261" s="359"/>
      <c r="Y261" s="359"/>
      <c r="Z261" s="359"/>
      <c r="AA261" s="351"/>
      <c r="AB261" s="351"/>
      <c r="AC261" s="359"/>
      <c r="AD261" s="359"/>
      <c r="AE261" s="351"/>
      <c r="AF261" s="333"/>
      <c r="AG261" s="333"/>
      <c r="AH261" s="351"/>
      <c r="AI261" s="351"/>
      <c r="AJ261" s="351"/>
      <c r="AK261" s="351"/>
      <c r="AL261" s="351"/>
      <c r="AM261" s="351"/>
      <c r="AN261" s="351"/>
      <c r="AO261" s="351"/>
      <c r="AP261" s="351"/>
      <c r="AQ261" s="351"/>
      <c r="AR261" s="351"/>
      <c r="AS261" s="351"/>
      <c r="AT261" s="351"/>
      <c r="AU261" s="351"/>
      <c r="AV261" s="351"/>
      <c r="AW261" s="351"/>
      <c r="AX261" s="351"/>
      <c r="AY261" s="351"/>
    </row>
    <row r="262" spans="1:51" ht="13">
      <c r="A262" s="333"/>
      <c r="B262" s="351"/>
      <c r="C262" s="351"/>
      <c r="D262" s="333"/>
      <c r="E262" s="333"/>
      <c r="F262" s="333"/>
      <c r="G262" s="359"/>
      <c r="H262" s="359"/>
      <c r="I262" s="351"/>
      <c r="J262" s="359"/>
      <c r="K262" s="359"/>
      <c r="L262" s="359"/>
      <c r="M262" s="351"/>
      <c r="N262" s="351"/>
      <c r="O262" s="351"/>
      <c r="P262" s="351"/>
      <c r="Q262" s="351"/>
      <c r="R262" s="351"/>
      <c r="S262" s="351"/>
      <c r="T262" s="351"/>
      <c r="U262" s="351"/>
      <c r="V262" s="351"/>
      <c r="W262" s="351"/>
      <c r="X262" s="359"/>
      <c r="Y262" s="359"/>
      <c r="Z262" s="359"/>
      <c r="AA262" s="351"/>
      <c r="AB262" s="351"/>
      <c r="AC262" s="359"/>
      <c r="AD262" s="359"/>
      <c r="AE262" s="351"/>
      <c r="AF262" s="333"/>
      <c r="AG262" s="333"/>
      <c r="AH262" s="351"/>
      <c r="AI262" s="351"/>
      <c r="AJ262" s="351"/>
      <c r="AK262" s="351"/>
      <c r="AL262" s="351"/>
      <c r="AM262" s="351"/>
      <c r="AN262" s="351"/>
      <c r="AO262" s="351"/>
      <c r="AP262" s="351"/>
      <c r="AQ262" s="351"/>
      <c r="AR262" s="351"/>
      <c r="AS262" s="351"/>
      <c r="AT262" s="351"/>
      <c r="AU262" s="351"/>
      <c r="AV262" s="351"/>
      <c r="AW262" s="351"/>
      <c r="AX262" s="351"/>
      <c r="AY262" s="351"/>
    </row>
    <row r="263" spans="1:51" ht="13">
      <c r="A263" s="333"/>
      <c r="B263" s="351"/>
      <c r="C263" s="351"/>
      <c r="D263" s="333"/>
      <c r="E263" s="333"/>
      <c r="F263" s="333"/>
      <c r="G263" s="359"/>
      <c r="H263" s="359"/>
      <c r="I263" s="351"/>
      <c r="J263" s="359"/>
      <c r="K263" s="359"/>
      <c r="L263" s="359"/>
      <c r="M263" s="351"/>
      <c r="N263" s="351"/>
      <c r="O263" s="351"/>
      <c r="P263" s="351"/>
      <c r="Q263" s="351"/>
      <c r="R263" s="351"/>
      <c r="S263" s="351"/>
      <c r="T263" s="351"/>
      <c r="U263" s="351"/>
      <c r="V263" s="351"/>
      <c r="W263" s="351"/>
      <c r="X263" s="359"/>
      <c r="Y263" s="359"/>
      <c r="Z263" s="359"/>
      <c r="AA263" s="351"/>
      <c r="AB263" s="351"/>
      <c r="AC263" s="359"/>
      <c r="AD263" s="359"/>
      <c r="AE263" s="351"/>
      <c r="AF263" s="333"/>
      <c r="AG263" s="333"/>
      <c r="AH263" s="351"/>
      <c r="AI263" s="351"/>
      <c r="AJ263" s="351"/>
      <c r="AK263" s="351"/>
      <c r="AL263" s="351"/>
      <c r="AM263" s="351"/>
      <c r="AN263" s="351"/>
      <c r="AO263" s="351"/>
      <c r="AP263" s="351"/>
      <c r="AQ263" s="351"/>
      <c r="AR263" s="351"/>
      <c r="AS263" s="351"/>
      <c r="AT263" s="351"/>
      <c r="AU263" s="351"/>
      <c r="AV263" s="351"/>
      <c r="AW263" s="351"/>
      <c r="AX263" s="351"/>
      <c r="AY263" s="351"/>
    </row>
    <row r="264" spans="1:51" ht="13">
      <c r="A264" s="333"/>
      <c r="B264" s="351"/>
      <c r="C264" s="351"/>
      <c r="D264" s="333"/>
      <c r="E264" s="333"/>
      <c r="F264" s="333"/>
      <c r="G264" s="359"/>
      <c r="H264" s="359"/>
      <c r="I264" s="351"/>
      <c r="J264" s="359"/>
      <c r="K264" s="359"/>
      <c r="L264" s="359"/>
      <c r="M264" s="351"/>
      <c r="N264" s="351"/>
      <c r="O264" s="351"/>
      <c r="P264" s="351"/>
      <c r="Q264" s="351"/>
      <c r="R264" s="351"/>
      <c r="S264" s="351"/>
      <c r="T264" s="351"/>
      <c r="U264" s="351"/>
      <c r="V264" s="351"/>
      <c r="W264" s="351"/>
      <c r="X264" s="359"/>
      <c r="Y264" s="359"/>
      <c r="Z264" s="359"/>
      <c r="AA264" s="351"/>
      <c r="AB264" s="351"/>
      <c r="AC264" s="359"/>
      <c r="AD264" s="359"/>
      <c r="AE264" s="351"/>
      <c r="AF264" s="333"/>
      <c r="AG264" s="333"/>
      <c r="AH264" s="351"/>
      <c r="AI264" s="351"/>
      <c r="AJ264" s="351"/>
      <c r="AK264" s="351"/>
      <c r="AL264" s="351"/>
      <c r="AM264" s="351"/>
      <c r="AN264" s="351"/>
      <c r="AO264" s="351"/>
      <c r="AP264" s="351"/>
      <c r="AQ264" s="351"/>
      <c r="AR264" s="351"/>
      <c r="AS264" s="351"/>
      <c r="AT264" s="351"/>
      <c r="AU264" s="351"/>
      <c r="AV264" s="351"/>
      <c r="AW264" s="351"/>
      <c r="AX264" s="351"/>
      <c r="AY264" s="351"/>
    </row>
    <row r="265" spans="1:51" ht="13">
      <c r="A265" s="333"/>
      <c r="B265" s="351"/>
      <c r="C265" s="351"/>
      <c r="D265" s="333"/>
      <c r="E265" s="333"/>
      <c r="F265" s="333"/>
      <c r="G265" s="359"/>
      <c r="H265" s="359"/>
      <c r="I265" s="351"/>
      <c r="J265" s="359"/>
      <c r="K265" s="359"/>
      <c r="L265" s="359"/>
      <c r="M265" s="351"/>
      <c r="N265" s="351"/>
      <c r="O265" s="351"/>
      <c r="P265" s="351"/>
      <c r="Q265" s="351"/>
      <c r="R265" s="351"/>
      <c r="S265" s="351"/>
      <c r="T265" s="351"/>
      <c r="U265" s="351"/>
      <c r="V265" s="351"/>
      <c r="W265" s="351"/>
      <c r="X265" s="359"/>
      <c r="Y265" s="359"/>
      <c r="Z265" s="359"/>
      <c r="AA265" s="351"/>
      <c r="AB265" s="351"/>
      <c r="AC265" s="359"/>
      <c r="AD265" s="359"/>
      <c r="AE265" s="351"/>
      <c r="AF265" s="333"/>
      <c r="AG265" s="333"/>
      <c r="AH265" s="351"/>
      <c r="AI265" s="351"/>
      <c r="AJ265" s="351"/>
      <c r="AK265" s="351"/>
      <c r="AL265" s="351"/>
      <c r="AM265" s="351"/>
      <c r="AN265" s="351"/>
      <c r="AO265" s="351"/>
      <c r="AP265" s="351"/>
      <c r="AQ265" s="351"/>
      <c r="AR265" s="351"/>
      <c r="AS265" s="351"/>
      <c r="AT265" s="351"/>
      <c r="AU265" s="351"/>
      <c r="AV265" s="351"/>
      <c r="AW265" s="351"/>
      <c r="AX265" s="351"/>
      <c r="AY265" s="351"/>
    </row>
    <row r="266" spans="1:51" ht="13">
      <c r="A266" s="333"/>
      <c r="B266" s="351"/>
      <c r="C266" s="351"/>
      <c r="D266" s="333"/>
      <c r="E266" s="333"/>
      <c r="F266" s="333"/>
      <c r="G266" s="359"/>
      <c r="H266" s="359"/>
      <c r="I266" s="351"/>
      <c r="J266" s="359"/>
      <c r="K266" s="359"/>
      <c r="L266" s="359"/>
      <c r="M266" s="351"/>
      <c r="N266" s="351"/>
      <c r="O266" s="351"/>
      <c r="P266" s="351"/>
      <c r="Q266" s="351"/>
      <c r="R266" s="351"/>
      <c r="S266" s="351"/>
      <c r="T266" s="351"/>
      <c r="U266" s="351"/>
      <c r="V266" s="351"/>
      <c r="W266" s="351"/>
      <c r="X266" s="359"/>
      <c r="Y266" s="359"/>
      <c r="Z266" s="359"/>
      <c r="AA266" s="351"/>
      <c r="AB266" s="351"/>
      <c r="AC266" s="359"/>
      <c r="AD266" s="359"/>
      <c r="AE266" s="351"/>
      <c r="AF266" s="333"/>
      <c r="AG266" s="333"/>
      <c r="AH266" s="351"/>
      <c r="AI266" s="351"/>
      <c r="AJ266" s="351"/>
      <c r="AK266" s="351"/>
      <c r="AL266" s="351"/>
      <c r="AM266" s="351"/>
      <c r="AN266" s="351"/>
      <c r="AO266" s="351"/>
      <c r="AP266" s="351"/>
      <c r="AQ266" s="351"/>
      <c r="AR266" s="351"/>
      <c r="AS266" s="351"/>
      <c r="AT266" s="351"/>
      <c r="AU266" s="351"/>
      <c r="AV266" s="351"/>
      <c r="AW266" s="351"/>
      <c r="AX266" s="351"/>
      <c r="AY266" s="351"/>
    </row>
    <row r="267" spans="1:51" ht="13">
      <c r="A267" s="333"/>
      <c r="B267" s="351"/>
      <c r="C267" s="351"/>
      <c r="D267" s="333"/>
      <c r="E267" s="333"/>
      <c r="F267" s="333"/>
      <c r="G267" s="359"/>
      <c r="H267" s="359"/>
      <c r="I267" s="351"/>
      <c r="J267" s="359"/>
      <c r="K267" s="359"/>
      <c r="L267" s="359"/>
      <c r="M267" s="351"/>
      <c r="N267" s="351"/>
      <c r="O267" s="351"/>
      <c r="P267" s="351"/>
      <c r="Q267" s="351"/>
      <c r="R267" s="351"/>
      <c r="S267" s="351"/>
      <c r="T267" s="351"/>
      <c r="U267" s="351"/>
      <c r="V267" s="351"/>
      <c r="W267" s="351"/>
      <c r="X267" s="359"/>
      <c r="Y267" s="359"/>
      <c r="Z267" s="359"/>
      <c r="AA267" s="351"/>
      <c r="AB267" s="351"/>
      <c r="AC267" s="359"/>
      <c r="AD267" s="359"/>
      <c r="AE267" s="351"/>
      <c r="AF267" s="333"/>
      <c r="AG267" s="333"/>
      <c r="AH267" s="351"/>
      <c r="AI267" s="351"/>
      <c r="AJ267" s="351"/>
      <c r="AK267" s="351"/>
      <c r="AL267" s="351"/>
      <c r="AM267" s="351"/>
      <c r="AN267" s="351"/>
      <c r="AO267" s="351"/>
      <c r="AP267" s="351"/>
      <c r="AQ267" s="351"/>
      <c r="AR267" s="351"/>
      <c r="AS267" s="351"/>
      <c r="AT267" s="351"/>
      <c r="AU267" s="351"/>
      <c r="AV267" s="351"/>
      <c r="AW267" s="351"/>
      <c r="AX267" s="351"/>
      <c r="AY267" s="351"/>
    </row>
    <row r="268" spans="1:51" ht="13">
      <c r="A268" s="333"/>
      <c r="B268" s="351"/>
      <c r="C268" s="351"/>
      <c r="D268" s="333"/>
      <c r="E268" s="333"/>
      <c r="F268" s="333"/>
      <c r="G268" s="359"/>
      <c r="H268" s="359"/>
      <c r="I268" s="351"/>
      <c r="J268" s="359"/>
      <c r="K268" s="359"/>
      <c r="L268" s="359"/>
      <c r="M268" s="351"/>
      <c r="N268" s="351"/>
      <c r="O268" s="351"/>
      <c r="P268" s="351"/>
      <c r="Q268" s="351"/>
      <c r="R268" s="351"/>
      <c r="S268" s="351"/>
      <c r="T268" s="351"/>
      <c r="U268" s="351"/>
      <c r="V268" s="351"/>
      <c r="W268" s="351"/>
      <c r="X268" s="359"/>
      <c r="Y268" s="359"/>
      <c r="Z268" s="359"/>
      <c r="AA268" s="351"/>
      <c r="AB268" s="351"/>
      <c r="AC268" s="359"/>
      <c r="AD268" s="359"/>
      <c r="AE268" s="351"/>
      <c r="AF268" s="333"/>
      <c r="AG268" s="333"/>
      <c r="AH268" s="351"/>
      <c r="AI268" s="351"/>
      <c r="AJ268" s="351"/>
      <c r="AK268" s="351"/>
      <c r="AL268" s="351"/>
      <c r="AM268" s="351"/>
      <c r="AN268" s="351"/>
      <c r="AO268" s="351"/>
      <c r="AP268" s="351"/>
      <c r="AQ268" s="351"/>
      <c r="AR268" s="351"/>
      <c r="AS268" s="351"/>
      <c r="AT268" s="351"/>
      <c r="AU268" s="351"/>
      <c r="AV268" s="351"/>
      <c r="AW268" s="351"/>
      <c r="AX268" s="351"/>
      <c r="AY268" s="351"/>
    </row>
    <row r="269" spans="1:51" ht="13">
      <c r="A269" s="333"/>
      <c r="B269" s="351"/>
      <c r="C269" s="351"/>
      <c r="D269" s="333"/>
      <c r="E269" s="333"/>
      <c r="F269" s="333"/>
      <c r="G269" s="359"/>
      <c r="H269" s="359"/>
      <c r="I269" s="351"/>
      <c r="J269" s="359"/>
      <c r="K269" s="359"/>
      <c r="L269" s="359"/>
      <c r="M269" s="351"/>
      <c r="N269" s="351"/>
      <c r="O269" s="351"/>
      <c r="P269" s="351"/>
      <c r="Q269" s="351"/>
      <c r="R269" s="351"/>
      <c r="S269" s="351"/>
      <c r="T269" s="351"/>
      <c r="U269" s="351"/>
      <c r="V269" s="351"/>
      <c r="W269" s="351"/>
      <c r="X269" s="359"/>
      <c r="Y269" s="359"/>
      <c r="Z269" s="359"/>
      <c r="AA269" s="351"/>
      <c r="AB269" s="351"/>
      <c r="AC269" s="359"/>
      <c r="AD269" s="359"/>
      <c r="AE269" s="351"/>
      <c r="AF269" s="333"/>
      <c r="AG269" s="333"/>
      <c r="AH269" s="351"/>
      <c r="AI269" s="351"/>
      <c r="AJ269" s="351"/>
      <c r="AK269" s="351"/>
      <c r="AL269" s="351"/>
      <c r="AM269" s="351"/>
      <c r="AN269" s="351"/>
      <c r="AO269" s="351"/>
      <c r="AP269" s="351"/>
      <c r="AQ269" s="351"/>
      <c r="AR269" s="351"/>
      <c r="AS269" s="351"/>
      <c r="AT269" s="351"/>
      <c r="AU269" s="351"/>
      <c r="AV269" s="351"/>
      <c r="AW269" s="351"/>
      <c r="AX269" s="351"/>
      <c r="AY269" s="351"/>
    </row>
    <row r="270" spans="1:51" ht="13">
      <c r="A270" s="333"/>
      <c r="B270" s="351"/>
      <c r="C270" s="351"/>
      <c r="D270" s="333"/>
      <c r="E270" s="333"/>
      <c r="F270" s="333"/>
      <c r="G270" s="359"/>
      <c r="H270" s="359"/>
      <c r="I270" s="351"/>
      <c r="J270" s="359"/>
      <c r="K270" s="359"/>
      <c r="L270" s="359"/>
      <c r="M270" s="351"/>
      <c r="N270" s="351"/>
      <c r="O270" s="351"/>
      <c r="P270" s="351"/>
      <c r="Q270" s="351"/>
      <c r="R270" s="351"/>
      <c r="S270" s="351"/>
      <c r="T270" s="351"/>
      <c r="U270" s="351"/>
      <c r="V270" s="351"/>
      <c r="W270" s="351"/>
      <c r="X270" s="359"/>
      <c r="Y270" s="359"/>
      <c r="Z270" s="359"/>
      <c r="AA270" s="351"/>
      <c r="AB270" s="351"/>
      <c r="AC270" s="359"/>
      <c r="AD270" s="359"/>
      <c r="AE270" s="351"/>
      <c r="AF270" s="333"/>
      <c r="AG270" s="333"/>
      <c r="AH270" s="351"/>
      <c r="AI270" s="351"/>
      <c r="AJ270" s="351"/>
      <c r="AK270" s="351"/>
      <c r="AL270" s="351"/>
      <c r="AM270" s="351"/>
      <c r="AN270" s="351"/>
      <c r="AO270" s="351"/>
      <c r="AP270" s="351"/>
      <c r="AQ270" s="351"/>
      <c r="AR270" s="351"/>
      <c r="AS270" s="351"/>
      <c r="AT270" s="351"/>
      <c r="AU270" s="351"/>
      <c r="AV270" s="351"/>
      <c r="AW270" s="351"/>
      <c r="AX270" s="351"/>
      <c r="AY270" s="351"/>
    </row>
    <row r="271" spans="1:51" ht="13">
      <c r="A271" s="333"/>
      <c r="B271" s="351"/>
      <c r="C271" s="351"/>
      <c r="D271" s="333"/>
      <c r="E271" s="333"/>
      <c r="F271" s="333"/>
      <c r="G271" s="359"/>
      <c r="H271" s="359"/>
      <c r="I271" s="351"/>
      <c r="J271" s="359"/>
      <c r="K271" s="359"/>
      <c r="L271" s="359"/>
      <c r="M271" s="351"/>
      <c r="N271" s="351"/>
      <c r="O271" s="351"/>
      <c r="P271" s="351"/>
      <c r="Q271" s="351"/>
      <c r="R271" s="351"/>
      <c r="S271" s="351"/>
      <c r="T271" s="351"/>
      <c r="U271" s="351"/>
      <c r="V271" s="351"/>
      <c r="W271" s="351"/>
      <c r="X271" s="359"/>
      <c r="Y271" s="359"/>
      <c r="Z271" s="359"/>
      <c r="AA271" s="351"/>
      <c r="AB271" s="351"/>
      <c r="AC271" s="359"/>
      <c r="AD271" s="359"/>
      <c r="AE271" s="351"/>
      <c r="AF271" s="333"/>
      <c r="AG271" s="333"/>
      <c r="AH271" s="351"/>
      <c r="AI271" s="351"/>
      <c r="AJ271" s="351"/>
      <c r="AK271" s="351"/>
      <c r="AL271" s="351"/>
      <c r="AM271" s="351"/>
      <c r="AN271" s="351"/>
      <c r="AO271" s="351"/>
      <c r="AP271" s="351"/>
      <c r="AQ271" s="351"/>
      <c r="AR271" s="351"/>
      <c r="AS271" s="351"/>
      <c r="AT271" s="351"/>
      <c r="AU271" s="351"/>
      <c r="AV271" s="351"/>
      <c r="AW271" s="351"/>
      <c r="AX271" s="351"/>
      <c r="AY271" s="351"/>
    </row>
    <row r="272" spans="1:51" ht="13">
      <c r="A272" s="333"/>
      <c r="B272" s="351"/>
      <c r="C272" s="351"/>
      <c r="D272" s="333"/>
      <c r="E272" s="333"/>
      <c r="F272" s="333"/>
      <c r="G272" s="359"/>
      <c r="H272" s="359"/>
      <c r="I272" s="351"/>
      <c r="J272" s="359"/>
      <c r="K272" s="359"/>
      <c r="L272" s="359"/>
      <c r="M272" s="351"/>
      <c r="N272" s="351"/>
      <c r="O272" s="351"/>
      <c r="P272" s="351"/>
      <c r="Q272" s="351"/>
      <c r="R272" s="351"/>
      <c r="S272" s="351"/>
      <c r="T272" s="351"/>
      <c r="U272" s="351"/>
      <c r="V272" s="351"/>
      <c r="W272" s="351"/>
      <c r="X272" s="359"/>
      <c r="Y272" s="359"/>
      <c r="Z272" s="359"/>
      <c r="AA272" s="351"/>
      <c r="AB272" s="351"/>
      <c r="AC272" s="359"/>
      <c r="AD272" s="359"/>
      <c r="AE272" s="351"/>
      <c r="AF272" s="333"/>
      <c r="AG272" s="333"/>
      <c r="AH272" s="351"/>
      <c r="AI272" s="351"/>
      <c r="AJ272" s="351"/>
      <c r="AK272" s="351"/>
      <c r="AL272" s="351"/>
      <c r="AM272" s="351"/>
      <c r="AN272" s="351"/>
      <c r="AO272" s="351"/>
      <c r="AP272" s="351"/>
      <c r="AQ272" s="351"/>
      <c r="AR272" s="351"/>
      <c r="AS272" s="351"/>
      <c r="AT272" s="351"/>
      <c r="AU272" s="351"/>
      <c r="AV272" s="351"/>
      <c r="AW272" s="351"/>
      <c r="AX272" s="351"/>
      <c r="AY272" s="351"/>
    </row>
    <row r="273" spans="1:51" ht="13">
      <c r="A273" s="333"/>
      <c r="B273" s="351"/>
      <c r="C273" s="351"/>
      <c r="D273" s="333"/>
      <c r="E273" s="333"/>
      <c r="F273" s="333"/>
      <c r="G273" s="359"/>
      <c r="H273" s="359"/>
      <c r="I273" s="351"/>
      <c r="J273" s="359"/>
      <c r="K273" s="359"/>
      <c r="L273" s="359"/>
      <c r="M273" s="351"/>
      <c r="N273" s="351"/>
      <c r="O273" s="351"/>
      <c r="P273" s="351"/>
      <c r="Q273" s="351"/>
      <c r="R273" s="351"/>
      <c r="S273" s="351"/>
      <c r="T273" s="351"/>
      <c r="U273" s="351"/>
      <c r="V273" s="351"/>
      <c r="W273" s="351"/>
      <c r="X273" s="359"/>
      <c r="Y273" s="359"/>
      <c r="Z273" s="359"/>
      <c r="AA273" s="351"/>
      <c r="AB273" s="351"/>
      <c r="AC273" s="359"/>
      <c r="AD273" s="359"/>
      <c r="AE273" s="351"/>
      <c r="AF273" s="333"/>
      <c r="AG273" s="333"/>
      <c r="AH273" s="351"/>
      <c r="AI273" s="351"/>
      <c r="AJ273" s="351"/>
      <c r="AK273" s="351"/>
      <c r="AL273" s="351"/>
      <c r="AM273" s="351"/>
      <c r="AN273" s="351"/>
      <c r="AO273" s="351"/>
      <c r="AP273" s="351"/>
      <c r="AQ273" s="351"/>
      <c r="AR273" s="351"/>
      <c r="AS273" s="351"/>
      <c r="AT273" s="351"/>
      <c r="AU273" s="351"/>
      <c r="AV273" s="351"/>
      <c r="AW273" s="351"/>
      <c r="AX273" s="351"/>
      <c r="AY273" s="351"/>
    </row>
    <row r="274" spans="1:51" ht="13">
      <c r="A274" s="333"/>
      <c r="B274" s="351"/>
      <c r="C274" s="351"/>
      <c r="D274" s="333"/>
      <c r="E274" s="333"/>
      <c r="F274" s="333"/>
      <c r="G274" s="359"/>
      <c r="H274" s="359"/>
      <c r="I274" s="351"/>
      <c r="J274" s="359"/>
      <c r="K274" s="359"/>
      <c r="L274" s="359"/>
      <c r="M274" s="351"/>
      <c r="N274" s="351"/>
      <c r="O274" s="351"/>
      <c r="P274" s="351"/>
      <c r="Q274" s="351"/>
      <c r="R274" s="351"/>
      <c r="S274" s="351"/>
      <c r="T274" s="351"/>
      <c r="U274" s="351"/>
      <c r="V274" s="351"/>
      <c r="W274" s="351"/>
      <c r="X274" s="359"/>
      <c r="Y274" s="359"/>
      <c r="Z274" s="359"/>
      <c r="AA274" s="351"/>
      <c r="AB274" s="351"/>
      <c r="AC274" s="359"/>
      <c r="AD274" s="359"/>
      <c r="AE274" s="351"/>
      <c r="AF274" s="333"/>
      <c r="AG274" s="333"/>
      <c r="AH274" s="351"/>
      <c r="AI274" s="351"/>
      <c r="AJ274" s="351"/>
      <c r="AK274" s="351"/>
      <c r="AL274" s="351"/>
      <c r="AM274" s="351"/>
      <c r="AN274" s="351"/>
      <c r="AO274" s="351"/>
      <c r="AP274" s="351"/>
      <c r="AQ274" s="351"/>
      <c r="AR274" s="351"/>
      <c r="AS274" s="351"/>
      <c r="AT274" s="351"/>
      <c r="AU274" s="351"/>
      <c r="AV274" s="351"/>
      <c r="AW274" s="351"/>
      <c r="AX274" s="351"/>
      <c r="AY274" s="351"/>
    </row>
    <row r="275" spans="1:51" ht="13">
      <c r="A275" s="333"/>
      <c r="B275" s="351"/>
      <c r="C275" s="351"/>
      <c r="D275" s="333"/>
      <c r="E275" s="333"/>
      <c r="F275" s="333"/>
      <c r="G275" s="359"/>
      <c r="H275" s="359"/>
      <c r="I275" s="351"/>
      <c r="J275" s="359"/>
      <c r="K275" s="359"/>
      <c r="L275" s="359"/>
      <c r="M275" s="351"/>
      <c r="N275" s="351"/>
      <c r="O275" s="351"/>
      <c r="P275" s="351"/>
      <c r="Q275" s="351"/>
      <c r="R275" s="351"/>
      <c r="S275" s="351"/>
      <c r="T275" s="351"/>
      <c r="U275" s="351"/>
      <c r="V275" s="351"/>
      <c r="W275" s="351"/>
      <c r="X275" s="359"/>
      <c r="Y275" s="359"/>
      <c r="Z275" s="359"/>
      <c r="AA275" s="351"/>
      <c r="AB275" s="351"/>
      <c r="AC275" s="359"/>
      <c r="AD275" s="359"/>
      <c r="AE275" s="351"/>
      <c r="AF275" s="333"/>
      <c r="AG275" s="333"/>
      <c r="AH275" s="351"/>
      <c r="AI275" s="351"/>
      <c r="AJ275" s="351"/>
      <c r="AK275" s="351"/>
      <c r="AL275" s="351"/>
      <c r="AM275" s="351"/>
      <c r="AN275" s="351"/>
      <c r="AO275" s="351"/>
      <c r="AP275" s="351"/>
      <c r="AQ275" s="351"/>
      <c r="AR275" s="351"/>
      <c r="AS275" s="351"/>
      <c r="AT275" s="351"/>
      <c r="AU275" s="351"/>
      <c r="AV275" s="351"/>
      <c r="AW275" s="351"/>
      <c r="AX275" s="351"/>
      <c r="AY275" s="351"/>
    </row>
    <row r="276" spans="1:51" ht="13">
      <c r="A276" s="333"/>
      <c r="B276" s="351"/>
      <c r="C276" s="351"/>
      <c r="D276" s="333"/>
      <c r="E276" s="333"/>
      <c r="F276" s="333"/>
      <c r="G276" s="359"/>
      <c r="H276" s="359"/>
      <c r="I276" s="351"/>
      <c r="J276" s="359"/>
      <c r="K276" s="359"/>
      <c r="L276" s="359"/>
      <c r="M276" s="351"/>
      <c r="N276" s="351"/>
      <c r="O276" s="351"/>
      <c r="P276" s="351"/>
      <c r="Q276" s="351"/>
      <c r="R276" s="351"/>
      <c r="S276" s="351"/>
      <c r="T276" s="351"/>
      <c r="U276" s="351"/>
      <c r="V276" s="351"/>
      <c r="W276" s="351"/>
      <c r="X276" s="359"/>
      <c r="Y276" s="359"/>
      <c r="Z276" s="359"/>
      <c r="AA276" s="351"/>
      <c r="AB276" s="351"/>
      <c r="AC276" s="359"/>
      <c r="AD276" s="359"/>
      <c r="AE276" s="351"/>
      <c r="AF276" s="333"/>
      <c r="AG276" s="333"/>
      <c r="AH276" s="351"/>
      <c r="AI276" s="351"/>
      <c r="AJ276" s="351"/>
      <c r="AK276" s="351"/>
      <c r="AL276" s="351"/>
      <c r="AM276" s="351"/>
      <c r="AN276" s="351"/>
      <c r="AO276" s="351"/>
      <c r="AP276" s="351"/>
      <c r="AQ276" s="351"/>
      <c r="AR276" s="351"/>
      <c r="AS276" s="351"/>
      <c r="AT276" s="351"/>
      <c r="AU276" s="351"/>
      <c r="AV276" s="351"/>
      <c r="AW276" s="351"/>
      <c r="AX276" s="351"/>
      <c r="AY276" s="351"/>
    </row>
    <row r="277" spans="1:51" ht="13">
      <c r="A277" s="333"/>
      <c r="B277" s="351"/>
      <c r="C277" s="351"/>
      <c r="D277" s="333"/>
      <c r="E277" s="333"/>
      <c r="F277" s="333"/>
      <c r="G277" s="359"/>
      <c r="H277" s="359"/>
      <c r="I277" s="351"/>
      <c r="J277" s="359"/>
      <c r="K277" s="359"/>
      <c r="L277" s="359"/>
      <c r="M277" s="351"/>
      <c r="N277" s="351"/>
      <c r="O277" s="351"/>
      <c r="P277" s="351"/>
      <c r="Q277" s="351"/>
      <c r="R277" s="351"/>
      <c r="S277" s="351"/>
      <c r="T277" s="351"/>
      <c r="U277" s="351"/>
      <c r="V277" s="351"/>
      <c r="W277" s="351"/>
      <c r="X277" s="359"/>
      <c r="Y277" s="359"/>
      <c r="Z277" s="359"/>
      <c r="AA277" s="351"/>
      <c r="AB277" s="351"/>
      <c r="AC277" s="359"/>
      <c r="AD277" s="359"/>
      <c r="AE277" s="351"/>
      <c r="AF277" s="333"/>
      <c r="AG277" s="333"/>
      <c r="AH277" s="351"/>
      <c r="AI277" s="351"/>
      <c r="AJ277" s="351"/>
      <c r="AK277" s="351"/>
      <c r="AL277" s="351"/>
      <c r="AM277" s="351"/>
      <c r="AN277" s="351"/>
      <c r="AO277" s="351"/>
      <c r="AP277" s="351"/>
      <c r="AQ277" s="351"/>
      <c r="AR277" s="351"/>
      <c r="AS277" s="351"/>
      <c r="AT277" s="351"/>
      <c r="AU277" s="351"/>
      <c r="AV277" s="351"/>
      <c r="AW277" s="351"/>
      <c r="AX277" s="351"/>
      <c r="AY277" s="351"/>
    </row>
    <row r="278" spans="1:51" ht="13">
      <c r="A278" s="333"/>
      <c r="B278" s="351"/>
      <c r="C278" s="351"/>
      <c r="D278" s="333"/>
      <c r="E278" s="333"/>
      <c r="F278" s="333"/>
      <c r="G278" s="359"/>
      <c r="H278" s="359"/>
      <c r="I278" s="351"/>
      <c r="J278" s="359"/>
      <c r="K278" s="359"/>
      <c r="L278" s="359"/>
      <c r="M278" s="351"/>
      <c r="N278" s="351"/>
      <c r="O278" s="351"/>
      <c r="P278" s="351"/>
      <c r="Q278" s="351"/>
      <c r="R278" s="351"/>
      <c r="S278" s="351"/>
      <c r="T278" s="351"/>
      <c r="U278" s="351"/>
      <c r="V278" s="351"/>
      <c r="W278" s="351"/>
      <c r="X278" s="359"/>
      <c r="Y278" s="359"/>
      <c r="Z278" s="359"/>
      <c r="AA278" s="351"/>
      <c r="AB278" s="351"/>
      <c r="AC278" s="359"/>
      <c r="AD278" s="359"/>
      <c r="AE278" s="351"/>
      <c r="AF278" s="333"/>
      <c r="AG278" s="333"/>
      <c r="AH278" s="351"/>
      <c r="AI278" s="351"/>
      <c r="AJ278" s="351"/>
      <c r="AK278" s="351"/>
      <c r="AL278" s="351"/>
      <c r="AM278" s="351"/>
      <c r="AN278" s="351"/>
      <c r="AO278" s="351"/>
      <c r="AP278" s="351"/>
      <c r="AQ278" s="351"/>
      <c r="AR278" s="351"/>
      <c r="AS278" s="351"/>
      <c r="AT278" s="351"/>
      <c r="AU278" s="351"/>
      <c r="AV278" s="351"/>
      <c r="AW278" s="351"/>
      <c r="AX278" s="351"/>
      <c r="AY278" s="351"/>
    </row>
    <row r="279" spans="1:51" ht="13">
      <c r="A279" s="333"/>
      <c r="B279" s="351"/>
      <c r="C279" s="351"/>
      <c r="D279" s="333"/>
      <c r="E279" s="333"/>
      <c r="F279" s="333"/>
      <c r="G279" s="359"/>
      <c r="H279" s="359"/>
      <c r="I279" s="351"/>
      <c r="J279" s="359"/>
      <c r="K279" s="359"/>
      <c r="L279" s="359"/>
      <c r="M279" s="351"/>
      <c r="N279" s="351"/>
      <c r="O279" s="351"/>
      <c r="P279" s="351"/>
      <c r="Q279" s="351"/>
      <c r="R279" s="351"/>
      <c r="S279" s="351"/>
      <c r="T279" s="351"/>
      <c r="U279" s="351"/>
      <c r="V279" s="351"/>
      <c r="W279" s="351"/>
      <c r="X279" s="359"/>
      <c r="Y279" s="359"/>
      <c r="Z279" s="359"/>
      <c r="AA279" s="351"/>
      <c r="AB279" s="351"/>
      <c r="AC279" s="359"/>
      <c r="AD279" s="359"/>
      <c r="AE279" s="351"/>
      <c r="AF279" s="333"/>
      <c r="AG279" s="333"/>
      <c r="AH279" s="351"/>
      <c r="AI279" s="351"/>
      <c r="AJ279" s="351"/>
      <c r="AK279" s="351"/>
      <c r="AL279" s="351"/>
      <c r="AM279" s="351"/>
      <c r="AN279" s="351"/>
      <c r="AO279" s="351"/>
      <c r="AP279" s="351"/>
      <c r="AQ279" s="351"/>
      <c r="AR279" s="351"/>
      <c r="AS279" s="351"/>
      <c r="AT279" s="351"/>
      <c r="AU279" s="351"/>
      <c r="AV279" s="351"/>
      <c r="AW279" s="351"/>
      <c r="AX279" s="351"/>
      <c r="AY279" s="351"/>
    </row>
    <row r="280" spans="1:51" ht="13">
      <c r="A280" s="333"/>
      <c r="B280" s="351"/>
      <c r="C280" s="351"/>
      <c r="D280" s="333"/>
      <c r="E280" s="333"/>
      <c r="F280" s="333"/>
      <c r="G280" s="359"/>
      <c r="H280" s="359"/>
      <c r="I280" s="351"/>
      <c r="J280" s="359"/>
      <c r="K280" s="359"/>
      <c r="L280" s="359"/>
      <c r="M280" s="351"/>
      <c r="N280" s="351"/>
      <c r="O280" s="351"/>
      <c r="P280" s="351"/>
      <c r="Q280" s="351"/>
      <c r="R280" s="351"/>
      <c r="S280" s="351"/>
      <c r="T280" s="351"/>
      <c r="U280" s="351"/>
      <c r="V280" s="351"/>
      <c r="W280" s="351"/>
      <c r="X280" s="359"/>
      <c r="Y280" s="359"/>
      <c r="Z280" s="359"/>
      <c r="AA280" s="351"/>
      <c r="AB280" s="351"/>
      <c r="AC280" s="359"/>
      <c r="AD280" s="359"/>
      <c r="AE280" s="351"/>
      <c r="AF280" s="333"/>
      <c r="AG280" s="333"/>
      <c r="AH280" s="351"/>
      <c r="AI280" s="351"/>
      <c r="AJ280" s="351"/>
      <c r="AK280" s="351"/>
      <c r="AL280" s="351"/>
      <c r="AM280" s="351"/>
      <c r="AN280" s="351"/>
      <c r="AO280" s="351"/>
      <c r="AP280" s="351"/>
      <c r="AQ280" s="351"/>
      <c r="AR280" s="351"/>
      <c r="AS280" s="351"/>
      <c r="AT280" s="351"/>
      <c r="AU280" s="351"/>
      <c r="AV280" s="351"/>
      <c r="AW280" s="351"/>
      <c r="AX280" s="351"/>
      <c r="AY280" s="351"/>
    </row>
    <row r="281" spans="1:51" ht="13">
      <c r="A281" s="333"/>
      <c r="B281" s="351"/>
      <c r="C281" s="351"/>
      <c r="D281" s="333"/>
      <c r="E281" s="333"/>
      <c r="F281" s="333"/>
      <c r="G281" s="359"/>
      <c r="H281" s="359"/>
      <c r="I281" s="351"/>
      <c r="J281" s="359"/>
      <c r="K281" s="359"/>
      <c r="L281" s="359"/>
      <c r="M281" s="351"/>
      <c r="N281" s="351"/>
      <c r="O281" s="351"/>
      <c r="P281" s="351"/>
      <c r="Q281" s="351"/>
      <c r="R281" s="351"/>
      <c r="S281" s="351"/>
      <c r="T281" s="351"/>
      <c r="U281" s="351"/>
      <c r="V281" s="351"/>
      <c r="W281" s="351"/>
      <c r="X281" s="359"/>
      <c r="Y281" s="359"/>
      <c r="Z281" s="359"/>
      <c r="AA281" s="351"/>
      <c r="AB281" s="351"/>
      <c r="AC281" s="359"/>
      <c r="AD281" s="359"/>
      <c r="AE281" s="351"/>
      <c r="AF281" s="333"/>
      <c r="AG281" s="333"/>
      <c r="AH281" s="351"/>
      <c r="AI281" s="351"/>
      <c r="AJ281" s="351"/>
      <c r="AK281" s="351"/>
      <c r="AL281" s="351"/>
      <c r="AM281" s="351"/>
      <c r="AN281" s="351"/>
      <c r="AO281" s="351"/>
      <c r="AP281" s="351"/>
      <c r="AQ281" s="351"/>
      <c r="AR281" s="351"/>
      <c r="AS281" s="351"/>
      <c r="AT281" s="351"/>
      <c r="AU281" s="351"/>
      <c r="AV281" s="351"/>
      <c r="AW281" s="351"/>
      <c r="AX281" s="351"/>
      <c r="AY281" s="351"/>
    </row>
    <row r="282" spans="1:51" ht="13">
      <c r="A282" s="333"/>
      <c r="B282" s="351"/>
      <c r="C282" s="351"/>
      <c r="D282" s="333"/>
      <c r="E282" s="333"/>
      <c r="F282" s="333"/>
      <c r="G282" s="359"/>
      <c r="H282" s="359"/>
      <c r="I282" s="351"/>
      <c r="J282" s="359"/>
      <c r="K282" s="359"/>
      <c r="L282" s="359"/>
      <c r="M282" s="351"/>
      <c r="N282" s="351"/>
      <c r="O282" s="351"/>
      <c r="P282" s="351"/>
      <c r="Q282" s="351"/>
      <c r="R282" s="351"/>
      <c r="S282" s="351"/>
      <c r="T282" s="351"/>
      <c r="U282" s="351"/>
      <c r="V282" s="351"/>
      <c r="W282" s="351"/>
      <c r="X282" s="359"/>
      <c r="Y282" s="359"/>
      <c r="Z282" s="359"/>
      <c r="AA282" s="351"/>
      <c r="AB282" s="351"/>
      <c r="AC282" s="359"/>
      <c r="AD282" s="359"/>
      <c r="AE282" s="351"/>
      <c r="AF282" s="333"/>
      <c r="AG282" s="333"/>
      <c r="AH282" s="351"/>
      <c r="AI282" s="351"/>
      <c r="AJ282" s="351"/>
      <c r="AK282" s="351"/>
      <c r="AL282" s="351"/>
      <c r="AM282" s="351"/>
      <c r="AN282" s="351"/>
      <c r="AO282" s="351"/>
      <c r="AP282" s="351"/>
      <c r="AQ282" s="351"/>
      <c r="AR282" s="351"/>
      <c r="AS282" s="351"/>
      <c r="AT282" s="351"/>
      <c r="AU282" s="351"/>
      <c r="AV282" s="351"/>
      <c r="AW282" s="351"/>
      <c r="AX282" s="351"/>
      <c r="AY282" s="351"/>
    </row>
    <row r="283" spans="1:51" ht="13">
      <c r="A283" s="333"/>
      <c r="B283" s="351"/>
      <c r="C283" s="351"/>
      <c r="D283" s="333"/>
      <c r="E283" s="333"/>
      <c r="F283" s="333"/>
      <c r="G283" s="359"/>
      <c r="H283" s="359"/>
      <c r="I283" s="351"/>
      <c r="J283" s="359"/>
      <c r="K283" s="359"/>
      <c r="L283" s="359"/>
      <c r="M283" s="351"/>
      <c r="N283" s="351"/>
      <c r="O283" s="351"/>
      <c r="P283" s="351"/>
      <c r="Q283" s="351"/>
      <c r="R283" s="351"/>
      <c r="S283" s="351"/>
      <c r="T283" s="351"/>
      <c r="U283" s="351"/>
      <c r="V283" s="351"/>
      <c r="W283" s="351"/>
      <c r="X283" s="359"/>
      <c r="Y283" s="359"/>
      <c r="Z283" s="359"/>
      <c r="AA283" s="351"/>
      <c r="AB283" s="351"/>
      <c r="AC283" s="359"/>
      <c r="AD283" s="359"/>
      <c r="AE283" s="351"/>
      <c r="AF283" s="333"/>
      <c r="AG283" s="333"/>
      <c r="AH283" s="351"/>
      <c r="AI283" s="351"/>
      <c r="AJ283" s="351"/>
      <c r="AK283" s="351"/>
      <c r="AL283" s="351"/>
      <c r="AM283" s="351"/>
      <c r="AN283" s="351"/>
      <c r="AO283" s="351"/>
      <c r="AP283" s="351"/>
      <c r="AQ283" s="351"/>
      <c r="AR283" s="351"/>
      <c r="AS283" s="351"/>
      <c r="AT283" s="351"/>
      <c r="AU283" s="351"/>
      <c r="AV283" s="351"/>
      <c r="AW283" s="351"/>
      <c r="AX283" s="351"/>
      <c r="AY283" s="351"/>
    </row>
    <row r="284" spans="1:51" ht="13">
      <c r="A284" s="333"/>
      <c r="B284" s="351"/>
      <c r="C284" s="351"/>
      <c r="D284" s="333"/>
      <c r="E284" s="333"/>
      <c r="F284" s="333"/>
      <c r="G284" s="359"/>
      <c r="H284" s="359"/>
      <c r="I284" s="351"/>
      <c r="J284" s="359"/>
      <c r="K284" s="359"/>
      <c r="L284" s="359"/>
      <c r="M284" s="351"/>
      <c r="N284" s="351"/>
      <c r="O284" s="351"/>
      <c r="P284" s="351"/>
      <c r="Q284" s="351"/>
      <c r="R284" s="351"/>
      <c r="S284" s="351"/>
      <c r="T284" s="351"/>
      <c r="U284" s="351"/>
      <c r="V284" s="351"/>
      <c r="W284" s="351"/>
      <c r="X284" s="359"/>
      <c r="Y284" s="359"/>
      <c r="Z284" s="359"/>
      <c r="AA284" s="351"/>
      <c r="AB284" s="351"/>
      <c r="AC284" s="359"/>
      <c r="AD284" s="359"/>
      <c r="AE284" s="351"/>
      <c r="AF284" s="333"/>
      <c r="AG284" s="333"/>
      <c r="AH284" s="351"/>
      <c r="AI284" s="351"/>
      <c r="AJ284" s="351"/>
      <c r="AK284" s="351"/>
      <c r="AL284" s="351"/>
      <c r="AM284" s="351"/>
      <c r="AN284" s="351"/>
      <c r="AO284" s="351"/>
      <c r="AP284" s="351"/>
      <c r="AQ284" s="351"/>
      <c r="AR284" s="351"/>
      <c r="AS284" s="351"/>
      <c r="AT284" s="351"/>
      <c r="AU284" s="351"/>
      <c r="AV284" s="351"/>
      <c r="AW284" s="351"/>
      <c r="AX284" s="351"/>
      <c r="AY284" s="351"/>
    </row>
    <row r="285" spans="1:51" ht="13">
      <c r="A285" s="333"/>
      <c r="B285" s="351"/>
      <c r="C285" s="351"/>
      <c r="D285" s="333"/>
      <c r="E285" s="333"/>
      <c r="F285" s="333"/>
      <c r="G285" s="359"/>
      <c r="H285" s="359"/>
      <c r="I285" s="351"/>
      <c r="J285" s="359"/>
      <c r="K285" s="359"/>
      <c r="L285" s="359"/>
      <c r="M285" s="351"/>
      <c r="N285" s="351"/>
      <c r="O285" s="351"/>
      <c r="P285" s="351"/>
      <c r="Q285" s="351"/>
      <c r="R285" s="351"/>
      <c r="S285" s="351"/>
      <c r="T285" s="351"/>
      <c r="U285" s="351"/>
      <c r="V285" s="351"/>
      <c r="W285" s="351"/>
      <c r="X285" s="359"/>
      <c r="Y285" s="359"/>
      <c r="Z285" s="359"/>
      <c r="AA285" s="351"/>
      <c r="AB285" s="351"/>
      <c r="AC285" s="359"/>
      <c r="AD285" s="359"/>
      <c r="AE285" s="351"/>
      <c r="AF285" s="333"/>
      <c r="AG285" s="333"/>
      <c r="AH285" s="351"/>
      <c r="AI285" s="351"/>
      <c r="AJ285" s="351"/>
      <c r="AK285" s="351"/>
      <c r="AL285" s="351"/>
      <c r="AM285" s="351"/>
      <c r="AN285" s="351"/>
      <c r="AO285" s="351"/>
      <c r="AP285" s="351"/>
      <c r="AQ285" s="351"/>
      <c r="AR285" s="351"/>
      <c r="AS285" s="351"/>
      <c r="AT285" s="351"/>
      <c r="AU285" s="351"/>
      <c r="AV285" s="351"/>
      <c r="AW285" s="351"/>
      <c r="AX285" s="351"/>
      <c r="AY285" s="351"/>
    </row>
    <row r="286" spans="1:51" ht="13">
      <c r="A286" s="333"/>
      <c r="B286" s="351"/>
      <c r="C286" s="351"/>
      <c r="D286" s="333"/>
      <c r="E286" s="333"/>
      <c r="F286" s="333"/>
      <c r="G286" s="359"/>
      <c r="H286" s="359"/>
      <c r="I286" s="351"/>
      <c r="J286" s="359"/>
      <c r="K286" s="359"/>
      <c r="L286" s="359"/>
      <c r="M286" s="351"/>
      <c r="N286" s="351"/>
      <c r="O286" s="351"/>
      <c r="P286" s="351"/>
      <c r="Q286" s="351"/>
      <c r="R286" s="351"/>
      <c r="S286" s="351"/>
      <c r="T286" s="351"/>
      <c r="U286" s="351"/>
      <c r="V286" s="351"/>
      <c r="W286" s="351"/>
      <c r="X286" s="359"/>
      <c r="Y286" s="359"/>
      <c r="Z286" s="359"/>
      <c r="AA286" s="351"/>
      <c r="AB286" s="351"/>
      <c r="AC286" s="359"/>
      <c r="AD286" s="359"/>
      <c r="AE286" s="351"/>
      <c r="AF286" s="333"/>
      <c r="AG286" s="333"/>
      <c r="AH286" s="351"/>
      <c r="AI286" s="351"/>
      <c r="AJ286" s="351"/>
      <c r="AK286" s="351"/>
      <c r="AL286" s="351"/>
      <c r="AM286" s="351"/>
      <c r="AN286" s="351"/>
      <c r="AO286" s="351"/>
      <c r="AP286" s="351"/>
      <c r="AQ286" s="351"/>
      <c r="AR286" s="351"/>
      <c r="AS286" s="351"/>
      <c r="AT286" s="351"/>
      <c r="AU286" s="351"/>
      <c r="AV286" s="351"/>
      <c r="AW286" s="351"/>
      <c r="AX286" s="351"/>
      <c r="AY286" s="351"/>
    </row>
    <row r="287" spans="1:51" ht="13">
      <c r="A287" s="333"/>
      <c r="B287" s="351"/>
      <c r="C287" s="351"/>
      <c r="D287" s="333"/>
      <c r="E287" s="333"/>
      <c r="F287" s="333"/>
      <c r="G287" s="359"/>
      <c r="H287" s="359"/>
      <c r="I287" s="351"/>
      <c r="J287" s="359"/>
      <c r="K287" s="359"/>
      <c r="L287" s="359"/>
      <c r="M287" s="351"/>
      <c r="N287" s="351"/>
      <c r="O287" s="351"/>
      <c r="P287" s="351"/>
      <c r="Q287" s="351"/>
      <c r="R287" s="351"/>
      <c r="S287" s="351"/>
      <c r="T287" s="351"/>
      <c r="U287" s="351"/>
      <c r="V287" s="351"/>
      <c r="W287" s="351"/>
      <c r="X287" s="359"/>
      <c r="Y287" s="359"/>
      <c r="Z287" s="359"/>
      <c r="AA287" s="351"/>
      <c r="AB287" s="351"/>
      <c r="AC287" s="359"/>
      <c r="AD287" s="359"/>
      <c r="AE287" s="351"/>
      <c r="AF287" s="333"/>
      <c r="AG287" s="333"/>
      <c r="AH287" s="351"/>
      <c r="AI287" s="351"/>
      <c r="AJ287" s="351"/>
      <c r="AK287" s="351"/>
      <c r="AL287" s="351"/>
      <c r="AM287" s="351"/>
      <c r="AN287" s="351"/>
      <c r="AO287" s="351"/>
      <c r="AP287" s="351"/>
      <c r="AQ287" s="351"/>
      <c r="AR287" s="351"/>
      <c r="AS287" s="351"/>
      <c r="AT287" s="351"/>
      <c r="AU287" s="351"/>
      <c r="AV287" s="351"/>
      <c r="AW287" s="351"/>
      <c r="AX287" s="351"/>
      <c r="AY287" s="351"/>
    </row>
    <row r="288" spans="1:51" ht="13">
      <c r="A288" s="333"/>
      <c r="B288" s="351"/>
      <c r="C288" s="351"/>
      <c r="D288" s="333"/>
      <c r="E288" s="333"/>
      <c r="F288" s="333"/>
      <c r="G288" s="359"/>
      <c r="H288" s="359"/>
      <c r="I288" s="351"/>
      <c r="J288" s="359"/>
      <c r="K288" s="359"/>
      <c r="L288" s="359"/>
      <c r="M288" s="351"/>
      <c r="N288" s="351"/>
      <c r="O288" s="351"/>
      <c r="P288" s="351"/>
      <c r="Q288" s="351"/>
      <c r="R288" s="351"/>
      <c r="S288" s="351"/>
      <c r="T288" s="351"/>
      <c r="U288" s="351"/>
      <c r="V288" s="351"/>
      <c r="W288" s="351"/>
      <c r="X288" s="359"/>
      <c r="Y288" s="359"/>
      <c r="Z288" s="359"/>
      <c r="AA288" s="351"/>
      <c r="AB288" s="351"/>
      <c r="AC288" s="359"/>
      <c r="AD288" s="359"/>
      <c r="AE288" s="351"/>
      <c r="AF288" s="333"/>
      <c r="AG288" s="333"/>
      <c r="AH288" s="351"/>
      <c r="AI288" s="351"/>
      <c r="AJ288" s="351"/>
      <c r="AK288" s="351"/>
      <c r="AL288" s="351"/>
      <c r="AM288" s="351"/>
      <c r="AN288" s="351"/>
      <c r="AO288" s="351"/>
      <c r="AP288" s="351"/>
      <c r="AQ288" s="351"/>
      <c r="AR288" s="351"/>
      <c r="AS288" s="351"/>
      <c r="AT288" s="351"/>
      <c r="AU288" s="351"/>
      <c r="AV288" s="351"/>
      <c r="AW288" s="351"/>
      <c r="AX288" s="351"/>
      <c r="AY288" s="351"/>
    </row>
    <row r="289" spans="1:51" ht="13">
      <c r="A289" s="333"/>
      <c r="B289" s="351"/>
      <c r="C289" s="351"/>
      <c r="D289" s="333"/>
      <c r="E289" s="333"/>
      <c r="F289" s="333"/>
      <c r="G289" s="359"/>
      <c r="H289" s="359"/>
      <c r="I289" s="351"/>
      <c r="J289" s="359"/>
      <c r="K289" s="359"/>
      <c r="L289" s="359"/>
      <c r="M289" s="351"/>
      <c r="N289" s="351"/>
      <c r="O289" s="351"/>
      <c r="P289" s="351"/>
      <c r="Q289" s="351"/>
      <c r="R289" s="351"/>
      <c r="S289" s="351"/>
      <c r="T289" s="351"/>
      <c r="U289" s="351"/>
      <c r="V289" s="351"/>
      <c r="W289" s="351"/>
      <c r="X289" s="359"/>
      <c r="Y289" s="359"/>
      <c r="Z289" s="359"/>
      <c r="AA289" s="351"/>
      <c r="AB289" s="351"/>
      <c r="AC289" s="359"/>
      <c r="AD289" s="359"/>
      <c r="AE289" s="351"/>
      <c r="AF289" s="333"/>
      <c r="AG289" s="333"/>
      <c r="AH289" s="351"/>
      <c r="AI289" s="351"/>
      <c r="AJ289" s="351"/>
      <c r="AK289" s="351"/>
      <c r="AL289" s="351"/>
      <c r="AM289" s="351"/>
      <c r="AN289" s="351"/>
      <c r="AO289" s="351"/>
      <c r="AP289" s="351"/>
      <c r="AQ289" s="351"/>
      <c r="AR289" s="351"/>
      <c r="AS289" s="351"/>
      <c r="AT289" s="351"/>
      <c r="AU289" s="351"/>
      <c r="AV289" s="351"/>
      <c r="AW289" s="351"/>
      <c r="AX289" s="351"/>
      <c r="AY289" s="351"/>
    </row>
    <row r="290" spans="1:51" ht="13">
      <c r="A290" s="333"/>
      <c r="B290" s="351"/>
      <c r="C290" s="351"/>
      <c r="D290" s="333"/>
      <c r="E290" s="333"/>
      <c r="F290" s="333"/>
      <c r="G290" s="359"/>
      <c r="H290" s="359"/>
      <c r="I290" s="351"/>
      <c r="J290" s="359"/>
      <c r="K290" s="359"/>
      <c r="L290" s="359"/>
      <c r="M290" s="351"/>
      <c r="N290" s="351"/>
      <c r="O290" s="351"/>
      <c r="P290" s="351"/>
      <c r="Q290" s="351"/>
      <c r="R290" s="351"/>
      <c r="S290" s="351"/>
      <c r="T290" s="351"/>
      <c r="U290" s="351"/>
      <c r="V290" s="351"/>
      <c r="W290" s="351"/>
      <c r="X290" s="359"/>
      <c r="Y290" s="359"/>
      <c r="Z290" s="359"/>
      <c r="AA290" s="351"/>
      <c r="AB290" s="351"/>
      <c r="AC290" s="359"/>
      <c r="AD290" s="359"/>
      <c r="AE290" s="351"/>
      <c r="AF290" s="333"/>
      <c r="AG290" s="333"/>
      <c r="AH290" s="351"/>
      <c r="AI290" s="351"/>
      <c r="AJ290" s="351"/>
      <c r="AK290" s="351"/>
      <c r="AL290" s="351"/>
      <c r="AM290" s="351"/>
      <c r="AN290" s="351"/>
      <c r="AO290" s="351"/>
      <c r="AP290" s="351"/>
      <c r="AQ290" s="351"/>
      <c r="AR290" s="351"/>
      <c r="AS290" s="351"/>
      <c r="AT290" s="351"/>
      <c r="AU290" s="351"/>
      <c r="AV290" s="351"/>
      <c r="AW290" s="351"/>
      <c r="AX290" s="351"/>
      <c r="AY290" s="351"/>
    </row>
    <row r="291" spans="1:51" ht="13">
      <c r="A291" s="333"/>
      <c r="B291" s="351"/>
      <c r="C291" s="351"/>
      <c r="D291" s="333"/>
      <c r="E291" s="333"/>
      <c r="F291" s="333"/>
      <c r="G291" s="359"/>
      <c r="H291" s="359"/>
      <c r="I291" s="351"/>
      <c r="J291" s="359"/>
      <c r="K291" s="359"/>
      <c r="L291" s="359"/>
      <c r="M291" s="351"/>
      <c r="N291" s="351"/>
      <c r="O291" s="351"/>
      <c r="P291" s="351"/>
      <c r="Q291" s="351"/>
      <c r="R291" s="351"/>
      <c r="S291" s="351"/>
      <c r="T291" s="351"/>
      <c r="U291" s="351"/>
      <c r="V291" s="351"/>
      <c r="W291" s="351"/>
      <c r="X291" s="359"/>
      <c r="Y291" s="359"/>
      <c r="Z291" s="359"/>
      <c r="AA291" s="351"/>
      <c r="AB291" s="351"/>
      <c r="AC291" s="359"/>
      <c r="AD291" s="359"/>
      <c r="AE291" s="351"/>
      <c r="AF291" s="333"/>
      <c r="AG291" s="333"/>
      <c r="AH291" s="351"/>
      <c r="AI291" s="351"/>
      <c r="AJ291" s="351"/>
      <c r="AK291" s="351"/>
      <c r="AL291" s="351"/>
      <c r="AM291" s="351"/>
      <c r="AN291" s="351"/>
      <c r="AO291" s="351"/>
      <c r="AP291" s="351"/>
      <c r="AQ291" s="351"/>
      <c r="AR291" s="351"/>
      <c r="AS291" s="351"/>
      <c r="AT291" s="351"/>
      <c r="AU291" s="351"/>
      <c r="AV291" s="351"/>
      <c r="AW291" s="351"/>
      <c r="AX291" s="351"/>
      <c r="AY291" s="351"/>
    </row>
    <row r="292" spans="1:51" ht="13">
      <c r="A292" s="333"/>
      <c r="B292" s="351"/>
      <c r="C292" s="351"/>
      <c r="D292" s="333"/>
      <c r="E292" s="333"/>
      <c r="F292" s="333"/>
      <c r="G292" s="359"/>
      <c r="H292" s="359"/>
      <c r="I292" s="351"/>
      <c r="J292" s="359"/>
      <c r="K292" s="359"/>
      <c r="L292" s="359"/>
      <c r="M292" s="351"/>
      <c r="N292" s="351"/>
      <c r="O292" s="351"/>
      <c r="P292" s="351"/>
      <c r="Q292" s="351"/>
      <c r="R292" s="351"/>
      <c r="S292" s="351"/>
      <c r="T292" s="351"/>
      <c r="U292" s="351"/>
      <c r="V292" s="351"/>
      <c r="W292" s="351"/>
      <c r="X292" s="359"/>
      <c r="Y292" s="359"/>
      <c r="Z292" s="359"/>
      <c r="AA292" s="351"/>
      <c r="AB292" s="351"/>
      <c r="AC292" s="359"/>
      <c r="AD292" s="359"/>
      <c r="AE292" s="351"/>
      <c r="AF292" s="333"/>
      <c r="AG292" s="333"/>
      <c r="AH292" s="351"/>
      <c r="AI292" s="351"/>
      <c r="AJ292" s="351"/>
      <c r="AK292" s="351"/>
      <c r="AL292" s="351"/>
      <c r="AM292" s="351"/>
      <c r="AN292" s="351"/>
      <c r="AO292" s="351"/>
      <c r="AP292" s="351"/>
      <c r="AQ292" s="351"/>
      <c r="AR292" s="351"/>
      <c r="AS292" s="351"/>
      <c r="AT292" s="351"/>
      <c r="AU292" s="351"/>
      <c r="AV292" s="351"/>
      <c r="AW292" s="351"/>
      <c r="AX292" s="351"/>
      <c r="AY292" s="351"/>
    </row>
    <row r="293" spans="1:51" ht="13">
      <c r="A293" s="333"/>
      <c r="B293" s="351"/>
      <c r="C293" s="351"/>
      <c r="D293" s="333"/>
      <c r="E293" s="333"/>
      <c r="F293" s="333"/>
      <c r="G293" s="359"/>
      <c r="H293" s="359"/>
      <c r="I293" s="351"/>
      <c r="J293" s="359"/>
      <c r="K293" s="359"/>
      <c r="L293" s="359"/>
      <c r="M293" s="351"/>
      <c r="N293" s="351"/>
      <c r="O293" s="351"/>
      <c r="P293" s="351"/>
      <c r="Q293" s="351"/>
      <c r="R293" s="351"/>
      <c r="S293" s="351"/>
      <c r="T293" s="351"/>
      <c r="U293" s="351"/>
      <c r="V293" s="351"/>
      <c r="W293" s="351"/>
      <c r="X293" s="359"/>
      <c r="Y293" s="359"/>
      <c r="Z293" s="359"/>
      <c r="AA293" s="351"/>
      <c r="AB293" s="351"/>
      <c r="AC293" s="359"/>
      <c r="AD293" s="359"/>
      <c r="AE293" s="351"/>
      <c r="AF293" s="333"/>
      <c r="AG293" s="333"/>
      <c r="AH293" s="351"/>
      <c r="AI293" s="351"/>
      <c r="AJ293" s="351"/>
      <c r="AK293" s="351"/>
      <c r="AL293" s="351"/>
      <c r="AM293" s="351"/>
      <c r="AN293" s="351"/>
      <c r="AO293" s="351"/>
      <c r="AP293" s="351"/>
      <c r="AQ293" s="351"/>
      <c r="AR293" s="351"/>
      <c r="AS293" s="351"/>
      <c r="AT293" s="351"/>
      <c r="AU293" s="351"/>
      <c r="AV293" s="351"/>
      <c r="AW293" s="351"/>
      <c r="AX293" s="351"/>
      <c r="AY293" s="351"/>
    </row>
    <row r="294" spans="1:51" ht="13">
      <c r="A294" s="333"/>
      <c r="B294" s="351"/>
      <c r="C294" s="351"/>
      <c r="D294" s="333"/>
      <c r="E294" s="333"/>
      <c r="F294" s="333"/>
      <c r="G294" s="359"/>
      <c r="H294" s="359"/>
      <c r="I294" s="351"/>
      <c r="J294" s="359"/>
      <c r="K294" s="359"/>
      <c r="L294" s="359"/>
      <c r="M294" s="351"/>
      <c r="N294" s="351"/>
      <c r="O294" s="351"/>
      <c r="P294" s="351"/>
      <c r="Q294" s="351"/>
      <c r="R294" s="351"/>
      <c r="S294" s="351"/>
      <c r="T294" s="351"/>
      <c r="U294" s="351"/>
      <c r="V294" s="351"/>
      <c r="W294" s="351"/>
      <c r="X294" s="359"/>
      <c r="Y294" s="359"/>
      <c r="Z294" s="359"/>
      <c r="AA294" s="351"/>
      <c r="AB294" s="351"/>
      <c r="AC294" s="359"/>
      <c r="AD294" s="359"/>
      <c r="AE294" s="351"/>
      <c r="AF294" s="333"/>
      <c r="AG294" s="333"/>
      <c r="AH294" s="351"/>
      <c r="AI294" s="351"/>
      <c r="AJ294" s="351"/>
      <c r="AK294" s="351"/>
      <c r="AL294" s="351"/>
      <c r="AM294" s="351"/>
      <c r="AN294" s="351"/>
      <c r="AO294" s="351"/>
      <c r="AP294" s="351"/>
      <c r="AQ294" s="351"/>
      <c r="AR294" s="351"/>
      <c r="AS294" s="351"/>
      <c r="AT294" s="351"/>
      <c r="AU294" s="351"/>
      <c r="AV294" s="351"/>
      <c r="AW294" s="351"/>
      <c r="AX294" s="351"/>
      <c r="AY294" s="351"/>
    </row>
    <row r="295" spans="1:51" ht="13">
      <c r="A295" s="333"/>
      <c r="B295" s="351"/>
      <c r="C295" s="351"/>
      <c r="D295" s="333"/>
      <c r="E295" s="333"/>
      <c r="F295" s="333"/>
      <c r="G295" s="359"/>
      <c r="H295" s="359"/>
      <c r="I295" s="351"/>
      <c r="J295" s="359"/>
      <c r="K295" s="359"/>
      <c r="L295" s="359"/>
      <c r="M295" s="351"/>
      <c r="N295" s="351"/>
      <c r="O295" s="351"/>
      <c r="P295" s="351"/>
      <c r="Q295" s="351"/>
      <c r="R295" s="351"/>
      <c r="S295" s="351"/>
      <c r="T295" s="351"/>
      <c r="U295" s="351"/>
      <c r="V295" s="351"/>
      <c r="W295" s="351"/>
      <c r="X295" s="359"/>
      <c r="Y295" s="359"/>
      <c r="Z295" s="359"/>
      <c r="AA295" s="351"/>
      <c r="AB295" s="351"/>
      <c r="AC295" s="359"/>
      <c r="AD295" s="359"/>
      <c r="AE295" s="351"/>
      <c r="AF295" s="333"/>
      <c r="AG295" s="333"/>
      <c r="AH295" s="351"/>
      <c r="AI295" s="351"/>
      <c r="AJ295" s="351"/>
      <c r="AK295" s="351"/>
      <c r="AL295" s="351"/>
      <c r="AM295" s="351"/>
      <c r="AN295" s="351"/>
      <c r="AO295" s="351"/>
      <c r="AP295" s="351"/>
      <c r="AQ295" s="351"/>
      <c r="AR295" s="351"/>
      <c r="AS295" s="351"/>
      <c r="AT295" s="351"/>
      <c r="AU295" s="351"/>
      <c r="AV295" s="351"/>
      <c r="AW295" s="351"/>
      <c r="AX295" s="351"/>
      <c r="AY295" s="351"/>
    </row>
    <row r="296" spans="1:51" ht="13">
      <c r="A296" s="333"/>
      <c r="B296" s="351"/>
      <c r="C296" s="351"/>
      <c r="D296" s="333"/>
      <c r="E296" s="333"/>
      <c r="F296" s="333"/>
      <c r="G296" s="359"/>
      <c r="H296" s="359"/>
      <c r="I296" s="351"/>
      <c r="J296" s="359"/>
      <c r="K296" s="359"/>
      <c r="L296" s="359"/>
      <c r="M296" s="351"/>
      <c r="N296" s="351"/>
      <c r="O296" s="351"/>
      <c r="P296" s="351"/>
      <c r="Q296" s="351"/>
      <c r="R296" s="351"/>
      <c r="S296" s="351"/>
      <c r="T296" s="351"/>
      <c r="U296" s="351"/>
      <c r="V296" s="351"/>
      <c r="W296" s="351"/>
      <c r="X296" s="359"/>
      <c r="Y296" s="359"/>
      <c r="Z296" s="359"/>
      <c r="AA296" s="351"/>
      <c r="AB296" s="351"/>
      <c r="AC296" s="359"/>
      <c r="AD296" s="359"/>
      <c r="AE296" s="351"/>
      <c r="AF296" s="333"/>
      <c r="AG296" s="333"/>
      <c r="AH296" s="351"/>
      <c r="AI296" s="351"/>
      <c r="AJ296" s="351"/>
      <c r="AK296" s="351"/>
      <c r="AL296" s="351"/>
      <c r="AM296" s="351"/>
      <c r="AN296" s="351"/>
      <c r="AO296" s="351"/>
      <c r="AP296" s="351"/>
      <c r="AQ296" s="351"/>
      <c r="AR296" s="351"/>
      <c r="AS296" s="351"/>
      <c r="AT296" s="351"/>
      <c r="AU296" s="351"/>
      <c r="AV296" s="351"/>
      <c r="AW296" s="351"/>
      <c r="AX296" s="351"/>
      <c r="AY296" s="351"/>
    </row>
    <row r="297" spans="1:51" ht="13">
      <c r="A297" s="333"/>
      <c r="B297" s="351"/>
      <c r="C297" s="351"/>
      <c r="D297" s="333"/>
      <c r="E297" s="333"/>
      <c r="F297" s="333"/>
      <c r="G297" s="359"/>
      <c r="H297" s="359"/>
      <c r="I297" s="351"/>
      <c r="J297" s="359"/>
      <c r="K297" s="359"/>
      <c r="L297" s="359"/>
      <c r="M297" s="351"/>
      <c r="N297" s="351"/>
      <c r="O297" s="351"/>
      <c r="P297" s="351"/>
      <c r="Q297" s="351"/>
      <c r="R297" s="351"/>
      <c r="S297" s="351"/>
      <c r="T297" s="351"/>
      <c r="U297" s="351"/>
      <c r="V297" s="351"/>
      <c r="W297" s="351"/>
      <c r="X297" s="359"/>
      <c r="Y297" s="359"/>
      <c r="Z297" s="359"/>
      <c r="AA297" s="351"/>
      <c r="AB297" s="351"/>
      <c r="AC297" s="359"/>
      <c r="AD297" s="359"/>
      <c r="AE297" s="351"/>
      <c r="AF297" s="333"/>
      <c r="AG297" s="333"/>
      <c r="AH297" s="351"/>
      <c r="AI297" s="351"/>
      <c r="AJ297" s="351"/>
      <c r="AK297" s="351"/>
      <c r="AL297" s="351"/>
      <c r="AM297" s="351"/>
      <c r="AN297" s="351"/>
      <c r="AO297" s="351"/>
      <c r="AP297" s="351"/>
      <c r="AQ297" s="351"/>
      <c r="AR297" s="351"/>
      <c r="AS297" s="351"/>
      <c r="AT297" s="351"/>
      <c r="AU297" s="351"/>
      <c r="AV297" s="351"/>
      <c r="AW297" s="351"/>
      <c r="AX297" s="351"/>
      <c r="AY297" s="351"/>
    </row>
    <row r="298" spans="1:51" ht="13">
      <c r="A298" s="333"/>
      <c r="B298" s="351"/>
      <c r="C298" s="351"/>
      <c r="D298" s="333"/>
      <c r="E298" s="333"/>
      <c r="F298" s="333"/>
      <c r="G298" s="359"/>
      <c r="H298" s="359"/>
      <c r="I298" s="351"/>
      <c r="J298" s="359"/>
      <c r="K298" s="359"/>
      <c r="L298" s="359"/>
      <c r="M298" s="351"/>
      <c r="N298" s="351"/>
      <c r="O298" s="351"/>
      <c r="P298" s="351"/>
      <c r="Q298" s="351"/>
      <c r="R298" s="351"/>
      <c r="S298" s="351"/>
      <c r="T298" s="351"/>
      <c r="U298" s="351"/>
      <c r="V298" s="351"/>
      <c r="W298" s="351"/>
      <c r="X298" s="359"/>
      <c r="Y298" s="359"/>
      <c r="Z298" s="359"/>
      <c r="AA298" s="351"/>
      <c r="AB298" s="351"/>
      <c r="AC298" s="359"/>
      <c r="AD298" s="359"/>
      <c r="AE298" s="351"/>
      <c r="AF298" s="333"/>
      <c r="AG298" s="333"/>
      <c r="AH298" s="351"/>
      <c r="AI298" s="351"/>
      <c r="AJ298" s="351"/>
      <c r="AK298" s="351"/>
      <c r="AL298" s="351"/>
      <c r="AM298" s="351"/>
      <c r="AN298" s="351"/>
      <c r="AO298" s="351"/>
      <c r="AP298" s="351"/>
      <c r="AQ298" s="351"/>
      <c r="AR298" s="351"/>
      <c r="AS298" s="351"/>
      <c r="AT298" s="351"/>
      <c r="AU298" s="351"/>
      <c r="AV298" s="351"/>
      <c r="AW298" s="351"/>
      <c r="AX298" s="351"/>
      <c r="AY298" s="351"/>
    </row>
    <row r="299" spans="1:51" ht="13">
      <c r="A299" s="333"/>
      <c r="B299" s="351"/>
      <c r="C299" s="351"/>
      <c r="D299" s="333"/>
      <c r="E299" s="333"/>
      <c r="F299" s="333"/>
      <c r="G299" s="359"/>
      <c r="H299" s="359"/>
      <c r="I299" s="351"/>
      <c r="J299" s="359"/>
      <c r="K299" s="359"/>
      <c r="L299" s="359"/>
      <c r="M299" s="351"/>
      <c r="N299" s="351"/>
      <c r="O299" s="351"/>
      <c r="P299" s="351"/>
      <c r="Q299" s="351"/>
      <c r="R299" s="351"/>
      <c r="S299" s="351"/>
      <c r="T299" s="351"/>
      <c r="U299" s="351"/>
      <c r="V299" s="351"/>
      <c r="W299" s="351"/>
      <c r="X299" s="359"/>
      <c r="Y299" s="359"/>
      <c r="Z299" s="359"/>
      <c r="AA299" s="351"/>
      <c r="AB299" s="351"/>
      <c r="AC299" s="359"/>
      <c r="AD299" s="359"/>
      <c r="AE299" s="351"/>
      <c r="AF299" s="333"/>
      <c r="AG299" s="333"/>
      <c r="AH299" s="351"/>
      <c r="AI299" s="351"/>
      <c r="AJ299" s="351"/>
      <c r="AK299" s="351"/>
      <c r="AL299" s="351"/>
      <c r="AM299" s="351"/>
      <c r="AN299" s="351"/>
      <c r="AO299" s="351"/>
      <c r="AP299" s="351"/>
      <c r="AQ299" s="351"/>
      <c r="AR299" s="351"/>
      <c r="AS299" s="351"/>
      <c r="AT299" s="351"/>
      <c r="AU299" s="351"/>
      <c r="AV299" s="351"/>
      <c r="AW299" s="351"/>
      <c r="AX299" s="351"/>
      <c r="AY299" s="351"/>
    </row>
    <row r="300" spans="1:51" ht="13">
      <c r="A300" s="333"/>
      <c r="B300" s="351"/>
      <c r="C300" s="351"/>
      <c r="D300" s="333"/>
      <c r="E300" s="333"/>
      <c r="F300" s="333"/>
      <c r="G300" s="359"/>
      <c r="H300" s="359"/>
      <c r="I300" s="351"/>
      <c r="J300" s="359"/>
      <c r="K300" s="359"/>
      <c r="L300" s="359"/>
      <c r="M300" s="351"/>
      <c r="N300" s="351"/>
      <c r="O300" s="351"/>
      <c r="P300" s="351"/>
      <c r="Q300" s="351"/>
      <c r="R300" s="351"/>
      <c r="S300" s="351"/>
      <c r="T300" s="351"/>
      <c r="U300" s="351"/>
      <c r="V300" s="351"/>
      <c r="W300" s="351"/>
      <c r="X300" s="359"/>
      <c r="Y300" s="359"/>
      <c r="Z300" s="359"/>
      <c r="AA300" s="351"/>
      <c r="AB300" s="351"/>
      <c r="AC300" s="359"/>
      <c r="AD300" s="359"/>
      <c r="AE300" s="351"/>
      <c r="AF300" s="333"/>
      <c r="AG300" s="333"/>
      <c r="AH300" s="351"/>
      <c r="AI300" s="351"/>
      <c r="AJ300" s="351"/>
      <c r="AK300" s="351"/>
      <c r="AL300" s="351"/>
      <c r="AM300" s="351"/>
      <c r="AN300" s="351"/>
      <c r="AO300" s="351"/>
      <c r="AP300" s="351"/>
      <c r="AQ300" s="351"/>
      <c r="AR300" s="351"/>
      <c r="AS300" s="351"/>
      <c r="AT300" s="351"/>
      <c r="AU300" s="351"/>
      <c r="AV300" s="351"/>
      <c r="AW300" s="351"/>
      <c r="AX300" s="351"/>
      <c r="AY300" s="351"/>
    </row>
    <row r="301" spans="1:51" ht="13">
      <c r="A301" s="333"/>
      <c r="B301" s="351"/>
      <c r="C301" s="351"/>
      <c r="D301" s="333"/>
      <c r="E301" s="333"/>
      <c r="F301" s="333"/>
      <c r="G301" s="359"/>
      <c r="H301" s="359"/>
      <c r="I301" s="351"/>
      <c r="J301" s="359"/>
      <c r="K301" s="359"/>
      <c r="L301" s="359"/>
      <c r="M301" s="351"/>
      <c r="N301" s="351"/>
      <c r="O301" s="351"/>
      <c r="P301" s="351"/>
      <c r="Q301" s="351"/>
      <c r="R301" s="351"/>
      <c r="S301" s="351"/>
      <c r="T301" s="351"/>
      <c r="U301" s="351"/>
      <c r="V301" s="351"/>
      <c r="W301" s="351"/>
      <c r="X301" s="359"/>
      <c r="Y301" s="359"/>
      <c r="Z301" s="359"/>
      <c r="AA301" s="351"/>
      <c r="AB301" s="351"/>
      <c r="AC301" s="359"/>
      <c r="AD301" s="359"/>
      <c r="AE301" s="351"/>
      <c r="AF301" s="333"/>
      <c r="AG301" s="333"/>
      <c r="AH301" s="351"/>
      <c r="AI301" s="351"/>
      <c r="AJ301" s="351"/>
      <c r="AK301" s="351"/>
      <c r="AL301" s="351"/>
      <c r="AM301" s="351"/>
      <c r="AN301" s="351"/>
      <c r="AO301" s="351"/>
      <c r="AP301" s="351"/>
      <c r="AQ301" s="351"/>
      <c r="AR301" s="351"/>
      <c r="AS301" s="351"/>
      <c r="AT301" s="351"/>
      <c r="AU301" s="351"/>
      <c r="AV301" s="351"/>
      <c r="AW301" s="351"/>
      <c r="AX301" s="351"/>
      <c r="AY301" s="351"/>
    </row>
    <row r="302" spans="1:51" ht="13">
      <c r="A302" s="333"/>
      <c r="B302" s="351"/>
      <c r="C302" s="351"/>
      <c r="D302" s="333"/>
      <c r="E302" s="333"/>
      <c r="F302" s="333"/>
      <c r="G302" s="359"/>
      <c r="H302" s="359"/>
      <c r="I302" s="351"/>
      <c r="J302" s="359"/>
      <c r="K302" s="359"/>
      <c r="L302" s="359"/>
      <c r="M302" s="351"/>
      <c r="N302" s="351"/>
      <c r="O302" s="351"/>
      <c r="P302" s="351"/>
      <c r="Q302" s="351"/>
      <c r="R302" s="351"/>
      <c r="S302" s="351"/>
      <c r="T302" s="351"/>
      <c r="U302" s="351"/>
      <c r="V302" s="351"/>
      <c r="W302" s="351"/>
      <c r="X302" s="359"/>
      <c r="Y302" s="359"/>
      <c r="Z302" s="359"/>
      <c r="AA302" s="351"/>
      <c r="AB302" s="351"/>
      <c r="AC302" s="359"/>
      <c r="AD302" s="359"/>
      <c r="AE302" s="351"/>
      <c r="AF302" s="333"/>
      <c r="AG302" s="333"/>
      <c r="AH302" s="351"/>
      <c r="AI302" s="351"/>
      <c r="AJ302" s="351"/>
      <c r="AK302" s="351"/>
      <c r="AL302" s="351"/>
      <c r="AM302" s="351"/>
      <c r="AN302" s="351"/>
      <c r="AO302" s="351"/>
      <c r="AP302" s="351"/>
      <c r="AQ302" s="351"/>
      <c r="AR302" s="351"/>
      <c r="AS302" s="351"/>
      <c r="AT302" s="351"/>
      <c r="AU302" s="351"/>
      <c r="AV302" s="351"/>
      <c r="AW302" s="351"/>
      <c r="AX302" s="351"/>
      <c r="AY302" s="351"/>
    </row>
    <row r="303" spans="1:51" ht="13">
      <c r="A303" s="333"/>
      <c r="B303" s="351"/>
      <c r="C303" s="351"/>
      <c r="D303" s="333"/>
      <c r="E303" s="333"/>
      <c r="F303" s="333"/>
      <c r="G303" s="359"/>
      <c r="H303" s="359"/>
      <c r="I303" s="351"/>
      <c r="J303" s="359"/>
      <c r="K303" s="359"/>
      <c r="L303" s="359"/>
      <c r="M303" s="351"/>
      <c r="N303" s="351"/>
      <c r="O303" s="351"/>
      <c r="P303" s="351"/>
      <c r="Q303" s="351"/>
      <c r="R303" s="351"/>
      <c r="S303" s="351"/>
      <c r="T303" s="351"/>
      <c r="U303" s="351"/>
      <c r="V303" s="351"/>
      <c r="W303" s="351"/>
      <c r="X303" s="359"/>
      <c r="Y303" s="359"/>
      <c r="Z303" s="359"/>
      <c r="AA303" s="351"/>
      <c r="AB303" s="351"/>
      <c r="AC303" s="359"/>
      <c r="AD303" s="359"/>
      <c r="AE303" s="351"/>
      <c r="AF303" s="333"/>
      <c r="AG303" s="333"/>
      <c r="AH303" s="351"/>
      <c r="AI303" s="351"/>
      <c r="AJ303" s="351"/>
      <c r="AK303" s="351"/>
      <c r="AL303" s="351"/>
      <c r="AM303" s="351"/>
      <c r="AN303" s="351"/>
      <c r="AO303" s="351"/>
      <c r="AP303" s="351"/>
      <c r="AQ303" s="351"/>
      <c r="AR303" s="351"/>
      <c r="AS303" s="351"/>
      <c r="AT303" s="351"/>
      <c r="AU303" s="351"/>
      <c r="AV303" s="351"/>
      <c r="AW303" s="351"/>
      <c r="AX303" s="351"/>
      <c r="AY303" s="351"/>
    </row>
    <row r="304" spans="1:51" ht="13">
      <c r="A304" s="333"/>
      <c r="B304" s="351"/>
      <c r="C304" s="351"/>
      <c r="D304" s="333"/>
      <c r="E304" s="333"/>
      <c r="F304" s="333"/>
      <c r="G304" s="359"/>
      <c r="H304" s="359"/>
      <c r="I304" s="351"/>
      <c r="J304" s="359"/>
      <c r="K304" s="359"/>
      <c r="L304" s="359"/>
      <c r="M304" s="351"/>
      <c r="N304" s="351"/>
      <c r="O304" s="351"/>
      <c r="P304" s="351"/>
      <c r="Q304" s="351"/>
      <c r="R304" s="351"/>
      <c r="S304" s="351"/>
      <c r="T304" s="351"/>
      <c r="U304" s="351"/>
      <c r="V304" s="351"/>
      <c r="W304" s="351"/>
      <c r="X304" s="359"/>
      <c r="Y304" s="359"/>
      <c r="Z304" s="359"/>
      <c r="AA304" s="351"/>
      <c r="AB304" s="351"/>
      <c r="AC304" s="359"/>
      <c r="AD304" s="359"/>
      <c r="AE304" s="351"/>
      <c r="AF304" s="333"/>
      <c r="AG304" s="333"/>
      <c r="AH304" s="351"/>
      <c r="AI304" s="351"/>
      <c r="AJ304" s="351"/>
      <c r="AK304" s="351"/>
      <c r="AL304" s="351"/>
      <c r="AM304" s="351"/>
      <c r="AN304" s="351"/>
      <c r="AO304" s="351"/>
      <c r="AP304" s="351"/>
      <c r="AQ304" s="351"/>
      <c r="AR304" s="351"/>
      <c r="AS304" s="351"/>
      <c r="AT304" s="351"/>
      <c r="AU304" s="351"/>
      <c r="AV304" s="351"/>
      <c r="AW304" s="351"/>
      <c r="AX304" s="351"/>
      <c r="AY304" s="351"/>
    </row>
    <row r="305" spans="1:51" ht="13">
      <c r="A305" s="333"/>
      <c r="B305" s="351"/>
      <c r="C305" s="351"/>
      <c r="D305" s="333"/>
      <c r="E305" s="333"/>
      <c r="F305" s="333"/>
      <c r="G305" s="359"/>
      <c r="H305" s="359"/>
      <c r="I305" s="351"/>
      <c r="J305" s="359"/>
      <c r="K305" s="359"/>
      <c r="L305" s="359"/>
      <c r="M305" s="351"/>
      <c r="N305" s="351"/>
      <c r="O305" s="351"/>
      <c r="P305" s="351"/>
      <c r="Q305" s="351"/>
      <c r="R305" s="351"/>
      <c r="S305" s="351"/>
      <c r="T305" s="351"/>
      <c r="U305" s="351"/>
      <c r="V305" s="351"/>
      <c r="W305" s="351"/>
      <c r="X305" s="359"/>
      <c r="Y305" s="359"/>
      <c r="Z305" s="359"/>
      <c r="AA305" s="351"/>
      <c r="AB305" s="351"/>
      <c r="AC305" s="359"/>
      <c r="AD305" s="359"/>
      <c r="AE305" s="351"/>
      <c r="AF305" s="333"/>
      <c r="AG305" s="333"/>
      <c r="AH305" s="351"/>
      <c r="AI305" s="351"/>
      <c r="AJ305" s="351"/>
      <c r="AK305" s="351"/>
      <c r="AL305" s="351"/>
      <c r="AM305" s="351"/>
      <c r="AN305" s="351"/>
      <c r="AO305" s="351"/>
      <c r="AP305" s="351"/>
      <c r="AQ305" s="351"/>
      <c r="AR305" s="351"/>
      <c r="AS305" s="351"/>
      <c r="AT305" s="351"/>
      <c r="AU305" s="351"/>
      <c r="AV305" s="351"/>
      <c r="AW305" s="351"/>
      <c r="AX305" s="351"/>
      <c r="AY305" s="351"/>
    </row>
    <row r="306" spans="1:51" ht="13">
      <c r="A306" s="333"/>
      <c r="B306" s="351"/>
      <c r="C306" s="351"/>
      <c r="D306" s="333"/>
      <c r="E306" s="333"/>
      <c r="F306" s="333"/>
      <c r="G306" s="359"/>
      <c r="H306" s="359"/>
      <c r="I306" s="351"/>
      <c r="J306" s="359"/>
      <c r="K306" s="359"/>
      <c r="L306" s="359"/>
      <c r="M306" s="351"/>
      <c r="N306" s="351"/>
      <c r="O306" s="351"/>
      <c r="P306" s="351"/>
      <c r="Q306" s="351"/>
      <c r="R306" s="351"/>
      <c r="S306" s="351"/>
      <c r="T306" s="351"/>
      <c r="U306" s="351"/>
      <c r="V306" s="351"/>
      <c r="W306" s="351"/>
      <c r="X306" s="359"/>
      <c r="Y306" s="359"/>
      <c r="Z306" s="359"/>
      <c r="AA306" s="351"/>
      <c r="AB306" s="351"/>
      <c r="AC306" s="359"/>
      <c r="AD306" s="359"/>
      <c r="AE306" s="351"/>
      <c r="AF306" s="333"/>
      <c r="AG306" s="333"/>
      <c r="AH306" s="351"/>
      <c r="AI306" s="351"/>
      <c r="AJ306" s="351"/>
      <c r="AK306" s="351"/>
      <c r="AL306" s="351"/>
      <c r="AM306" s="351"/>
      <c r="AN306" s="351"/>
      <c r="AO306" s="351"/>
      <c r="AP306" s="351"/>
      <c r="AQ306" s="351"/>
      <c r="AR306" s="351"/>
      <c r="AS306" s="351"/>
      <c r="AT306" s="351"/>
      <c r="AU306" s="351"/>
      <c r="AV306" s="351"/>
      <c r="AW306" s="351"/>
      <c r="AX306" s="351"/>
      <c r="AY306" s="351"/>
    </row>
    <row r="307" spans="1:51" ht="13">
      <c r="A307" s="333"/>
      <c r="B307" s="351"/>
      <c r="C307" s="351"/>
      <c r="D307" s="333"/>
      <c r="E307" s="333"/>
      <c r="F307" s="333"/>
      <c r="G307" s="359"/>
      <c r="H307" s="359"/>
      <c r="I307" s="351"/>
      <c r="J307" s="359"/>
      <c r="K307" s="359"/>
      <c r="L307" s="359"/>
      <c r="M307" s="351"/>
      <c r="N307" s="351"/>
      <c r="O307" s="351"/>
      <c r="P307" s="351"/>
      <c r="Q307" s="351"/>
      <c r="R307" s="351"/>
      <c r="S307" s="351"/>
      <c r="T307" s="351"/>
      <c r="U307" s="351"/>
      <c r="V307" s="351"/>
      <c r="W307" s="351"/>
      <c r="X307" s="359"/>
      <c r="Y307" s="359"/>
      <c r="Z307" s="359"/>
      <c r="AA307" s="351"/>
      <c r="AB307" s="351"/>
      <c r="AC307" s="359"/>
      <c r="AD307" s="359"/>
      <c r="AE307" s="351"/>
      <c r="AF307" s="333"/>
      <c r="AG307" s="333"/>
      <c r="AH307" s="351"/>
      <c r="AI307" s="351"/>
      <c r="AJ307" s="351"/>
      <c r="AK307" s="351"/>
      <c r="AL307" s="351"/>
      <c r="AM307" s="351"/>
      <c r="AN307" s="351"/>
      <c r="AO307" s="351"/>
      <c r="AP307" s="351"/>
      <c r="AQ307" s="351"/>
      <c r="AR307" s="351"/>
      <c r="AS307" s="351"/>
      <c r="AT307" s="351"/>
      <c r="AU307" s="351"/>
      <c r="AV307" s="351"/>
      <c r="AW307" s="351"/>
      <c r="AX307" s="351"/>
      <c r="AY307" s="351"/>
    </row>
    <row r="308" spans="1:51" ht="13">
      <c r="A308" s="333"/>
      <c r="B308" s="351"/>
      <c r="C308" s="351"/>
      <c r="D308" s="333"/>
      <c r="E308" s="333"/>
      <c r="F308" s="333"/>
      <c r="G308" s="359"/>
      <c r="H308" s="359"/>
      <c r="I308" s="351"/>
      <c r="J308" s="359"/>
      <c r="K308" s="359"/>
      <c r="L308" s="359"/>
      <c r="M308" s="351"/>
      <c r="N308" s="351"/>
      <c r="O308" s="351"/>
      <c r="P308" s="351"/>
      <c r="Q308" s="351"/>
      <c r="R308" s="351"/>
      <c r="S308" s="351"/>
      <c r="T308" s="351"/>
      <c r="U308" s="351"/>
      <c r="V308" s="351"/>
      <c r="W308" s="351"/>
      <c r="X308" s="359"/>
      <c r="Y308" s="359"/>
      <c r="Z308" s="359"/>
      <c r="AA308" s="351"/>
      <c r="AB308" s="351"/>
      <c r="AC308" s="359"/>
      <c r="AD308" s="359"/>
      <c r="AE308" s="351"/>
      <c r="AF308" s="333"/>
      <c r="AG308" s="333"/>
      <c r="AH308" s="351"/>
      <c r="AI308" s="351"/>
      <c r="AJ308" s="351"/>
      <c r="AK308" s="351"/>
      <c r="AL308" s="351"/>
      <c r="AM308" s="351"/>
      <c r="AN308" s="351"/>
      <c r="AO308" s="351"/>
      <c r="AP308" s="351"/>
      <c r="AQ308" s="351"/>
      <c r="AR308" s="351"/>
      <c r="AS308" s="351"/>
      <c r="AT308" s="351"/>
      <c r="AU308" s="351"/>
      <c r="AV308" s="351"/>
      <c r="AW308" s="351"/>
      <c r="AX308" s="351"/>
      <c r="AY308" s="351"/>
    </row>
    <row r="309" spans="1:51" ht="13">
      <c r="A309" s="333"/>
      <c r="B309" s="351"/>
      <c r="C309" s="351"/>
      <c r="D309" s="333"/>
      <c r="E309" s="333"/>
      <c r="F309" s="333"/>
      <c r="G309" s="359"/>
      <c r="H309" s="359"/>
      <c r="I309" s="351"/>
      <c r="J309" s="359"/>
      <c r="K309" s="359"/>
      <c r="L309" s="359"/>
      <c r="M309" s="351"/>
      <c r="N309" s="351"/>
      <c r="O309" s="351"/>
      <c r="P309" s="351"/>
      <c r="Q309" s="351"/>
      <c r="R309" s="351"/>
      <c r="S309" s="351"/>
      <c r="T309" s="351"/>
      <c r="U309" s="351"/>
      <c r="V309" s="351"/>
      <c r="W309" s="351"/>
      <c r="X309" s="359"/>
      <c r="Y309" s="359"/>
      <c r="Z309" s="359"/>
      <c r="AA309" s="351"/>
      <c r="AB309" s="351"/>
      <c r="AC309" s="359"/>
      <c r="AD309" s="359"/>
      <c r="AE309" s="351"/>
      <c r="AF309" s="333"/>
      <c r="AG309" s="333"/>
      <c r="AH309" s="351"/>
      <c r="AI309" s="351"/>
      <c r="AJ309" s="351"/>
      <c r="AK309" s="351"/>
      <c r="AL309" s="351"/>
      <c r="AM309" s="351"/>
      <c r="AN309" s="351"/>
      <c r="AO309" s="351"/>
      <c r="AP309" s="351"/>
      <c r="AQ309" s="351"/>
      <c r="AR309" s="351"/>
      <c r="AS309" s="351"/>
      <c r="AT309" s="351"/>
      <c r="AU309" s="351"/>
      <c r="AV309" s="351"/>
      <c r="AW309" s="351"/>
      <c r="AX309" s="351"/>
      <c r="AY309" s="351"/>
    </row>
    <row r="310" spans="1:51" ht="13">
      <c r="A310" s="333"/>
      <c r="B310" s="351"/>
      <c r="C310" s="351"/>
      <c r="D310" s="333"/>
      <c r="E310" s="333"/>
      <c r="F310" s="333"/>
      <c r="G310" s="359"/>
      <c r="H310" s="359"/>
      <c r="I310" s="351"/>
      <c r="J310" s="359"/>
      <c r="K310" s="359"/>
      <c r="L310" s="359"/>
      <c r="M310" s="351"/>
      <c r="N310" s="351"/>
      <c r="O310" s="351"/>
      <c r="P310" s="351"/>
      <c r="Q310" s="351"/>
      <c r="R310" s="351"/>
      <c r="S310" s="351"/>
      <c r="T310" s="351"/>
      <c r="U310" s="351"/>
      <c r="V310" s="351"/>
      <c r="W310" s="351"/>
      <c r="X310" s="359"/>
      <c r="Y310" s="359"/>
      <c r="Z310" s="359"/>
      <c r="AA310" s="351"/>
      <c r="AB310" s="351"/>
      <c r="AC310" s="359"/>
      <c r="AD310" s="359"/>
      <c r="AE310" s="351"/>
      <c r="AF310" s="333"/>
      <c r="AG310" s="333"/>
      <c r="AH310" s="351"/>
      <c r="AI310" s="351"/>
      <c r="AJ310" s="351"/>
      <c r="AK310" s="351"/>
      <c r="AL310" s="351"/>
      <c r="AM310" s="351"/>
      <c r="AN310" s="351"/>
      <c r="AO310" s="351"/>
      <c r="AP310" s="351"/>
      <c r="AQ310" s="351"/>
      <c r="AR310" s="351"/>
      <c r="AS310" s="351"/>
      <c r="AT310" s="351"/>
      <c r="AU310" s="351"/>
      <c r="AV310" s="351"/>
      <c r="AW310" s="351"/>
      <c r="AX310" s="351"/>
      <c r="AY310" s="351"/>
    </row>
    <row r="311" spans="1:51" ht="13">
      <c r="A311" s="333"/>
      <c r="B311" s="351"/>
      <c r="C311" s="351"/>
      <c r="D311" s="333"/>
      <c r="E311" s="333"/>
      <c r="F311" s="333"/>
      <c r="G311" s="359"/>
      <c r="H311" s="359"/>
      <c r="I311" s="351"/>
      <c r="J311" s="359"/>
      <c r="K311" s="359"/>
      <c r="L311" s="359"/>
      <c r="M311" s="351"/>
      <c r="N311" s="351"/>
      <c r="O311" s="351"/>
      <c r="P311" s="351"/>
      <c r="Q311" s="351"/>
      <c r="R311" s="351"/>
      <c r="S311" s="351"/>
      <c r="T311" s="351"/>
      <c r="U311" s="351"/>
      <c r="V311" s="351"/>
      <c r="W311" s="351"/>
      <c r="X311" s="359"/>
      <c r="Y311" s="359"/>
      <c r="Z311" s="359"/>
      <c r="AA311" s="351"/>
      <c r="AB311" s="351"/>
      <c r="AC311" s="359"/>
      <c r="AD311" s="359"/>
      <c r="AE311" s="351"/>
      <c r="AF311" s="333"/>
      <c r="AG311" s="333"/>
      <c r="AH311" s="351"/>
      <c r="AI311" s="351"/>
      <c r="AJ311" s="351"/>
      <c r="AK311" s="351"/>
      <c r="AL311" s="351"/>
      <c r="AM311" s="351"/>
      <c r="AN311" s="351"/>
      <c r="AO311" s="351"/>
      <c r="AP311" s="351"/>
      <c r="AQ311" s="351"/>
      <c r="AR311" s="351"/>
      <c r="AS311" s="351"/>
      <c r="AT311" s="351"/>
      <c r="AU311" s="351"/>
      <c r="AV311" s="351"/>
      <c r="AW311" s="351"/>
      <c r="AX311" s="351"/>
      <c r="AY311" s="351"/>
    </row>
    <row r="312" spans="1:51" ht="13">
      <c r="A312" s="333"/>
      <c r="B312" s="351"/>
      <c r="C312" s="351"/>
      <c r="D312" s="333"/>
      <c r="E312" s="333"/>
      <c r="F312" s="333"/>
      <c r="G312" s="359"/>
      <c r="H312" s="359"/>
      <c r="I312" s="351"/>
      <c r="J312" s="359"/>
      <c r="K312" s="359"/>
      <c r="L312" s="359"/>
      <c r="M312" s="351"/>
      <c r="N312" s="351"/>
      <c r="O312" s="351"/>
      <c r="P312" s="351"/>
      <c r="Q312" s="351"/>
      <c r="R312" s="351"/>
      <c r="S312" s="351"/>
      <c r="T312" s="351"/>
      <c r="U312" s="351"/>
      <c r="V312" s="351"/>
      <c r="W312" s="351"/>
      <c r="X312" s="359"/>
      <c r="Y312" s="359"/>
      <c r="Z312" s="359"/>
      <c r="AA312" s="351"/>
      <c r="AB312" s="351"/>
      <c r="AC312" s="359"/>
      <c r="AD312" s="359"/>
      <c r="AE312" s="351"/>
      <c r="AF312" s="333"/>
      <c r="AG312" s="333"/>
      <c r="AH312" s="351"/>
      <c r="AI312" s="351"/>
      <c r="AJ312" s="351"/>
      <c r="AK312" s="351"/>
      <c r="AL312" s="351"/>
      <c r="AM312" s="351"/>
      <c r="AN312" s="351"/>
      <c r="AO312" s="351"/>
      <c r="AP312" s="351"/>
      <c r="AQ312" s="351"/>
      <c r="AR312" s="351"/>
      <c r="AS312" s="351"/>
      <c r="AT312" s="351"/>
      <c r="AU312" s="351"/>
      <c r="AV312" s="351"/>
      <c r="AW312" s="351"/>
      <c r="AX312" s="351"/>
      <c r="AY312" s="351"/>
    </row>
    <row r="313" spans="1:51" ht="13">
      <c r="A313" s="333"/>
      <c r="B313" s="351"/>
      <c r="C313" s="351"/>
      <c r="D313" s="333"/>
      <c r="E313" s="333"/>
      <c r="F313" s="333"/>
      <c r="G313" s="359"/>
      <c r="H313" s="359"/>
      <c r="I313" s="351"/>
      <c r="J313" s="359"/>
      <c r="K313" s="359"/>
      <c r="L313" s="359"/>
      <c r="M313" s="351"/>
      <c r="N313" s="351"/>
      <c r="O313" s="351"/>
      <c r="P313" s="351"/>
      <c r="Q313" s="351"/>
      <c r="R313" s="351"/>
      <c r="S313" s="351"/>
      <c r="T313" s="351"/>
      <c r="U313" s="351"/>
      <c r="V313" s="351"/>
      <c r="W313" s="351"/>
      <c r="X313" s="359"/>
      <c r="Y313" s="359"/>
      <c r="Z313" s="359"/>
      <c r="AA313" s="351"/>
      <c r="AB313" s="351"/>
      <c r="AC313" s="359"/>
      <c r="AD313" s="359"/>
      <c r="AE313" s="351"/>
      <c r="AF313" s="333"/>
      <c r="AG313" s="333"/>
      <c r="AH313" s="351"/>
      <c r="AI313" s="351"/>
      <c r="AJ313" s="351"/>
      <c r="AK313" s="351"/>
      <c r="AL313" s="351"/>
      <c r="AM313" s="351"/>
      <c r="AN313" s="351"/>
      <c r="AO313" s="351"/>
      <c r="AP313" s="351"/>
      <c r="AQ313" s="351"/>
      <c r="AR313" s="351"/>
      <c r="AS313" s="351"/>
      <c r="AT313" s="351"/>
      <c r="AU313" s="351"/>
      <c r="AV313" s="351"/>
      <c r="AW313" s="351"/>
      <c r="AX313" s="351"/>
      <c r="AY313" s="351"/>
    </row>
    <row r="314" spans="1:51" ht="13">
      <c r="A314" s="333"/>
      <c r="B314" s="351"/>
      <c r="C314" s="351"/>
      <c r="D314" s="333"/>
      <c r="E314" s="333"/>
      <c r="F314" s="333"/>
      <c r="G314" s="359"/>
      <c r="H314" s="359"/>
      <c r="I314" s="351"/>
      <c r="J314" s="359"/>
      <c r="K314" s="359"/>
      <c r="L314" s="359"/>
      <c r="M314" s="351"/>
      <c r="N314" s="351"/>
      <c r="O314" s="351"/>
      <c r="P314" s="351"/>
      <c r="Q314" s="351"/>
      <c r="R314" s="351"/>
      <c r="S314" s="351"/>
      <c r="T314" s="351"/>
      <c r="U314" s="351"/>
      <c r="V314" s="351"/>
      <c r="W314" s="351"/>
      <c r="X314" s="359"/>
      <c r="Y314" s="359"/>
      <c r="Z314" s="359"/>
      <c r="AA314" s="351"/>
      <c r="AB314" s="351"/>
      <c r="AC314" s="359"/>
      <c r="AD314" s="359"/>
      <c r="AE314" s="351"/>
      <c r="AF314" s="333"/>
      <c r="AG314" s="333"/>
      <c r="AH314" s="351"/>
      <c r="AI314" s="351"/>
      <c r="AJ314" s="351"/>
      <c r="AK314" s="351"/>
      <c r="AL314" s="351"/>
      <c r="AM314" s="351"/>
      <c r="AN314" s="351"/>
      <c r="AO314" s="351"/>
      <c r="AP314" s="351"/>
      <c r="AQ314" s="351"/>
      <c r="AR314" s="351"/>
      <c r="AS314" s="351"/>
      <c r="AT314" s="351"/>
      <c r="AU314" s="351"/>
      <c r="AV314" s="351"/>
      <c r="AW314" s="351"/>
      <c r="AX314" s="351"/>
      <c r="AY314" s="351"/>
    </row>
    <row r="315" spans="1:51" ht="13">
      <c r="A315" s="333"/>
      <c r="B315" s="351"/>
      <c r="C315" s="351"/>
      <c r="D315" s="333"/>
      <c r="E315" s="333"/>
      <c r="F315" s="333"/>
      <c r="G315" s="359"/>
      <c r="H315" s="359"/>
      <c r="I315" s="351"/>
      <c r="J315" s="359"/>
      <c r="K315" s="359"/>
      <c r="L315" s="359"/>
      <c r="M315" s="351"/>
      <c r="N315" s="351"/>
      <c r="O315" s="351"/>
      <c r="P315" s="351"/>
      <c r="Q315" s="351"/>
      <c r="R315" s="351"/>
      <c r="S315" s="351"/>
      <c r="T315" s="351"/>
      <c r="U315" s="351"/>
      <c r="V315" s="351"/>
      <c r="W315" s="351"/>
      <c r="X315" s="359"/>
      <c r="Y315" s="359"/>
      <c r="Z315" s="359"/>
      <c r="AA315" s="351"/>
      <c r="AB315" s="351"/>
      <c r="AC315" s="359"/>
      <c r="AD315" s="359"/>
      <c r="AE315" s="351"/>
      <c r="AF315" s="333"/>
      <c r="AG315" s="333"/>
      <c r="AH315" s="351"/>
      <c r="AI315" s="351"/>
      <c r="AJ315" s="351"/>
      <c r="AK315" s="351"/>
      <c r="AL315" s="351"/>
      <c r="AM315" s="351"/>
      <c r="AN315" s="351"/>
      <c r="AO315" s="351"/>
      <c r="AP315" s="351"/>
      <c r="AQ315" s="351"/>
      <c r="AR315" s="351"/>
      <c r="AS315" s="351"/>
      <c r="AT315" s="351"/>
      <c r="AU315" s="351"/>
      <c r="AV315" s="351"/>
      <c r="AW315" s="351"/>
      <c r="AX315" s="351"/>
      <c r="AY315" s="351"/>
    </row>
    <row r="316" spans="1:51" ht="13">
      <c r="A316" s="333"/>
      <c r="B316" s="351"/>
      <c r="C316" s="351"/>
      <c r="D316" s="333"/>
      <c r="E316" s="333"/>
      <c r="F316" s="333"/>
      <c r="G316" s="359"/>
      <c r="H316" s="359"/>
      <c r="I316" s="351"/>
      <c r="J316" s="359"/>
      <c r="K316" s="359"/>
      <c r="L316" s="359"/>
      <c r="M316" s="351"/>
      <c r="N316" s="351"/>
      <c r="O316" s="351"/>
      <c r="P316" s="351"/>
      <c r="Q316" s="351"/>
      <c r="R316" s="351"/>
      <c r="S316" s="351"/>
      <c r="T316" s="351"/>
      <c r="U316" s="351"/>
      <c r="V316" s="351"/>
      <c r="W316" s="351"/>
      <c r="X316" s="359"/>
      <c r="Y316" s="359"/>
      <c r="Z316" s="359"/>
      <c r="AA316" s="351"/>
      <c r="AB316" s="351"/>
      <c r="AC316" s="359"/>
      <c r="AD316" s="359"/>
      <c r="AE316" s="351"/>
      <c r="AF316" s="333"/>
      <c r="AG316" s="333"/>
      <c r="AH316" s="351"/>
      <c r="AI316" s="351"/>
      <c r="AJ316" s="351"/>
      <c r="AK316" s="351"/>
      <c r="AL316" s="351"/>
      <c r="AM316" s="351"/>
      <c r="AN316" s="351"/>
      <c r="AO316" s="351"/>
      <c r="AP316" s="351"/>
      <c r="AQ316" s="351"/>
      <c r="AR316" s="351"/>
      <c r="AS316" s="351"/>
      <c r="AT316" s="351"/>
      <c r="AU316" s="351"/>
      <c r="AV316" s="351"/>
      <c r="AW316" s="351"/>
      <c r="AX316" s="351"/>
      <c r="AY316" s="351"/>
    </row>
    <row r="317" spans="1:51" ht="13">
      <c r="A317" s="333"/>
      <c r="B317" s="351"/>
      <c r="C317" s="351"/>
      <c r="D317" s="333"/>
      <c r="E317" s="333"/>
      <c r="F317" s="333"/>
      <c r="G317" s="359"/>
      <c r="H317" s="359"/>
      <c r="I317" s="351"/>
      <c r="J317" s="359"/>
      <c r="K317" s="359"/>
      <c r="L317" s="359"/>
      <c r="M317" s="351"/>
      <c r="N317" s="351"/>
      <c r="O317" s="351"/>
      <c r="P317" s="351"/>
      <c r="Q317" s="351"/>
      <c r="R317" s="351"/>
      <c r="S317" s="351"/>
      <c r="T317" s="351"/>
      <c r="U317" s="351"/>
      <c r="V317" s="351"/>
      <c r="W317" s="351"/>
      <c r="X317" s="359"/>
      <c r="Y317" s="359"/>
      <c r="Z317" s="359"/>
      <c r="AA317" s="351"/>
      <c r="AB317" s="351"/>
      <c r="AC317" s="359"/>
      <c r="AD317" s="359"/>
      <c r="AE317" s="351"/>
      <c r="AF317" s="333"/>
      <c r="AG317" s="333"/>
      <c r="AH317" s="351"/>
      <c r="AI317" s="351"/>
      <c r="AJ317" s="351"/>
      <c r="AK317" s="351"/>
      <c r="AL317" s="351"/>
      <c r="AM317" s="351"/>
      <c r="AN317" s="351"/>
      <c r="AO317" s="351"/>
      <c r="AP317" s="351"/>
      <c r="AQ317" s="351"/>
      <c r="AR317" s="351"/>
      <c r="AS317" s="351"/>
      <c r="AT317" s="351"/>
      <c r="AU317" s="351"/>
      <c r="AV317" s="351"/>
      <c r="AW317" s="351"/>
      <c r="AX317" s="351"/>
      <c r="AY317" s="351"/>
    </row>
    <row r="318" spans="1:51" ht="13">
      <c r="A318" s="333"/>
      <c r="B318" s="351"/>
      <c r="C318" s="351"/>
      <c r="D318" s="333"/>
      <c r="E318" s="333"/>
      <c r="F318" s="333"/>
      <c r="G318" s="359"/>
      <c r="H318" s="359"/>
      <c r="I318" s="351"/>
      <c r="J318" s="359"/>
      <c r="K318" s="359"/>
      <c r="L318" s="359"/>
      <c r="M318" s="351"/>
      <c r="N318" s="351"/>
      <c r="O318" s="351"/>
      <c r="P318" s="351"/>
      <c r="Q318" s="351"/>
      <c r="R318" s="351"/>
      <c r="S318" s="351"/>
      <c r="T318" s="351"/>
      <c r="U318" s="351"/>
      <c r="V318" s="351"/>
      <c r="W318" s="351"/>
      <c r="X318" s="359"/>
      <c r="Y318" s="359"/>
      <c r="Z318" s="359"/>
      <c r="AA318" s="351"/>
      <c r="AB318" s="351"/>
      <c r="AC318" s="359"/>
      <c r="AD318" s="359"/>
      <c r="AE318" s="351"/>
      <c r="AF318" s="333"/>
      <c r="AG318" s="333"/>
      <c r="AH318" s="351"/>
      <c r="AI318" s="351"/>
      <c r="AJ318" s="351"/>
      <c r="AK318" s="351"/>
      <c r="AL318" s="351"/>
      <c r="AM318" s="351"/>
      <c r="AN318" s="351"/>
      <c r="AO318" s="351"/>
      <c r="AP318" s="351"/>
      <c r="AQ318" s="351"/>
      <c r="AR318" s="351"/>
      <c r="AS318" s="351"/>
      <c r="AT318" s="351"/>
      <c r="AU318" s="351"/>
      <c r="AV318" s="351"/>
      <c r="AW318" s="351"/>
      <c r="AX318" s="351"/>
      <c r="AY318" s="351"/>
    </row>
    <row r="319" spans="1:51" ht="13">
      <c r="A319" s="333"/>
      <c r="B319" s="351"/>
      <c r="C319" s="351"/>
      <c r="D319" s="333"/>
      <c r="E319" s="333"/>
      <c r="F319" s="333"/>
      <c r="G319" s="359"/>
      <c r="H319" s="359"/>
      <c r="I319" s="351"/>
      <c r="J319" s="359"/>
      <c r="K319" s="359"/>
      <c r="L319" s="359"/>
      <c r="M319" s="351"/>
      <c r="N319" s="351"/>
      <c r="O319" s="351"/>
      <c r="P319" s="351"/>
      <c r="Q319" s="351"/>
      <c r="R319" s="351"/>
      <c r="S319" s="351"/>
      <c r="T319" s="351"/>
      <c r="U319" s="351"/>
      <c r="V319" s="351"/>
      <c r="W319" s="351"/>
      <c r="X319" s="359"/>
      <c r="Y319" s="359"/>
      <c r="Z319" s="359"/>
      <c r="AA319" s="351"/>
      <c r="AB319" s="351"/>
      <c r="AC319" s="359"/>
      <c r="AD319" s="359"/>
      <c r="AE319" s="351"/>
      <c r="AF319" s="333"/>
      <c r="AG319" s="333"/>
      <c r="AH319" s="351"/>
      <c r="AI319" s="351"/>
      <c r="AJ319" s="351"/>
      <c r="AK319" s="351"/>
      <c r="AL319" s="351"/>
      <c r="AM319" s="351"/>
      <c r="AN319" s="351"/>
      <c r="AO319" s="351"/>
      <c r="AP319" s="351"/>
      <c r="AQ319" s="351"/>
      <c r="AR319" s="351"/>
      <c r="AS319" s="351"/>
      <c r="AT319" s="351"/>
      <c r="AU319" s="351"/>
      <c r="AV319" s="351"/>
      <c r="AW319" s="351"/>
      <c r="AX319" s="351"/>
      <c r="AY319" s="351"/>
    </row>
    <row r="320" spans="1:51" ht="13">
      <c r="A320" s="333"/>
      <c r="B320" s="351"/>
      <c r="C320" s="351"/>
      <c r="D320" s="333"/>
      <c r="E320" s="333"/>
      <c r="F320" s="333"/>
      <c r="G320" s="359"/>
      <c r="H320" s="359"/>
      <c r="I320" s="351"/>
      <c r="J320" s="359"/>
      <c r="K320" s="359"/>
      <c r="L320" s="359"/>
      <c r="M320" s="351"/>
      <c r="N320" s="351"/>
      <c r="O320" s="351"/>
      <c r="P320" s="351"/>
      <c r="Q320" s="351"/>
      <c r="R320" s="351"/>
      <c r="S320" s="351"/>
      <c r="T320" s="351"/>
      <c r="U320" s="351"/>
      <c r="V320" s="351"/>
      <c r="W320" s="351"/>
      <c r="X320" s="359"/>
      <c r="Y320" s="359"/>
      <c r="Z320" s="359"/>
      <c r="AA320" s="351"/>
      <c r="AB320" s="351"/>
      <c r="AC320" s="359"/>
      <c r="AD320" s="359"/>
      <c r="AE320" s="351"/>
      <c r="AF320" s="333"/>
      <c r="AG320" s="333"/>
      <c r="AH320" s="351"/>
      <c r="AI320" s="351"/>
      <c r="AJ320" s="351"/>
      <c r="AK320" s="351"/>
      <c r="AL320" s="351"/>
      <c r="AM320" s="351"/>
      <c r="AN320" s="351"/>
      <c r="AO320" s="351"/>
      <c r="AP320" s="351"/>
      <c r="AQ320" s="351"/>
      <c r="AR320" s="351"/>
      <c r="AS320" s="351"/>
      <c r="AT320" s="351"/>
      <c r="AU320" s="351"/>
      <c r="AV320" s="351"/>
      <c r="AW320" s="351"/>
      <c r="AX320" s="351"/>
      <c r="AY320" s="351"/>
    </row>
    <row r="321" spans="1:51" ht="13">
      <c r="A321" s="333"/>
      <c r="B321" s="351"/>
      <c r="C321" s="351"/>
      <c r="D321" s="333"/>
      <c r="E321" s="333"/>
      <c r="F321" s="333"/>
      <c r="G321" s="359"/>
      <c r="H321" s="359"/>
      <c r="I321" s="351"/>
      <c r="J321" s="359"/>
      <c r="K321" s="359"/>
      <c r="L321" s="359"/>
      <c r="M321" s="351"/>
      <c r="N321" s="351"/>
      <c r="O321" s="351"/>
      <c r="P321" s="351"/>
      <c r="Q321" s="351"/>
      <c r="R321" s="351"/>
      <c r="S321" s="351"/>
      <c r="T321" s="351"/>
      <c r="U321" s="351"/>
      <c r="V321" s="351"/>
      <c r="W321" s="351"/>
      <c r="X321" s="359"/>
      <c r="Y321" s="359"/>
      <c r="Z321" s="359"/>
      <c r="AA321" s="351"/>
      <c r="AB321" s="351"/>
      <c r="AC321" s="359"/>
      <c r="AD321" s="359"/>
      <c r="AE321" s="351"/>
      <c r="AF321" s="333"/>
      <c r="AG321" s="333"/>
      <c r="AH321" s="351"/>
      <c r="AI321" s="351"/>
      <c r="AJ321" s="351"/>
      <c r="AK321" s="351"/>
      <c r="AL321" s="351"/>
      <c r="AM321" s="351"/>
      <c r="AN321" s="351"/>
      <c r="AO321" s="351"/>
      <c r="AP321" s="351"/>
      <c r="AQ321" s="351"/>
      <c r="AR321" s="351"/>
      <c r="AS321" s="351"/>
      <c r="AT321" s="351"/>
      <c r="AU321" s="351"/>
      <c r="AV321" s="351"/>
      <c r="AW321" s="351"/>
      <c r="AX321" s="351"/>
      <c r="AY321" s="351"/>
    </row>
    <row r="322" spans="1:51" ht="13">
      <c r="A322" s="333"/>
      <c r="B322" s="351"/>
      <c r="C322" s="351"/>
      <c r="D322" s="333"/>
      <c r="E322" s="333"/>
      <c r="F322" s="333"/>
      <c r="G322" s="359"/>
      <c r="H322" s="359"/>
      <c r="I322" s="351"/>
      <c r="J322" s="359"/>
      <c r="K322" s="359"/>
      <c r="L322" s="359"/>
      <c r="M322" s="351"/>
      <c r="N322" s="351"/>
      <c r="O322" s="351"/>
      <c r="P322" s="351"/>
      <c r="Q322" s="351"/>
      <c r="R322" s="351"/>
      <c r="S322" s="351"/>
      <c r="T322" s="351"/>
      <c r="U322" s="351"/>
      <c r="V322" s="351"/>
      <c r="W322" s="351"/>
      <c r="X322" s="359"/>
      <c r="Y322" s="359"/>
      <c r="Z322" s="359"/>
      <c r="AA322" s="351"/>
      <c r="AB322" s="351"/>
      <c r="AC322" s="359"/>
      <c r="AD322" s="359"/>
      <c r="AE322" s="351"/>
      <c r="AF322" s="333"/>
      <c r="AG322" s="333"/>
      <c r="AH322" s="351"/>
      <c r="AI322" s="351"/>
      <c r="AJ322" s="351"/>
      <c r="AK322" s="351"/>
      <c r="AL322" s="351"/>
      <c r="AM322" s="351"/>
      <c r="AN322" s="351"/>
      <c r="AO322" s="351"/>
      <c r="AP322" s="351"/>
      <c r="AQ322" s="351"/>
      <c r="AR322" s="351"/>
      <c r="AS322" s="351"/>
      <c r="AT322" s="351"/>
      <c r="AU322" s="351"/>
      <c r="AV322" s="351"/>
      <c r="AW322" s="351"/>
      <c r="AX322" s="351"/>
      <c r="AY322" s="351"/>
    </row>
    <row r="323" spans="1:51" ht="13">
      <c r="A323" s="333"/>
      <c r="B323" s="351"/>
      <c r="C323" s="351"/>
      <c r="D323" s="333"/>
      <c r="E323" s="333"/>
      <c r="F323" s="333"/>
      <c r="G323" s="359"/>
      <c r="H323" s="359"/>
      <c r="I323" s="351"/>
      <c r="J323" s="359"/>
      <c r="K323" s="359"/>
      <c r="L323" s="359"/>
      <c r="M323" s="351"/>
      <c r="N323" s="351"/>
      <c r="O323" s="351"/>
      <c r="P323" s="351"/>
      <c r="Q323" s="351"/>
      <c r="R323" s="351"/>
      <c r="S323" s="351"/>
      <c r="T323" s="351"/>
      <c r="U323" s="351"/>
      <c r="V323" s="351"/>
      <c r="W323" s="351"/>
      <c r="X323" s="359"/>
      <c r="Y323" s="359"/>
      <c r="Z323" s="359"/>
      <c r="AA323" s="351"/>
      <c r="AB323" s="351"/>
      <c r="AC323" s="359"/>
      <c r="AD323" s="359"/>
      <c r="AE323" s="351"/>
      <c r="AF323" s="333"/>
      <c r="AG323" s="333"/>
      <c r="AH323" s="351"/>
      <c r="AI323" s="351"/>
      <c r="AJ323" s="351"/>
      <c r="AK323" s="351"/>
      <c r="AL323" s="351"/>
      <c r="AM323" s="351"/>
      <c r="AN323" s="351"/>
      <c r="AO323" s="351"/>
      <c r="AP323" s="351"/>
      <c r="AQ323" s="351"/>
      <c r="AR323" s="351"/>
      <c r="AS323" s="351"/>
      <c r="AT323" s="351"/>
      <c r="AU323" s="351"/>
      <c r="AV323" s="351"/>
      <c r="AW323" s="351"/>
      <c r="AX323" s="351"/>
      <c r="AY323" s="351"/>
    </row>
    <row r="324" spans="1:51" ht="13">
      <c r="A324" s="333"/>
      <c r="B324" s="351"/>
      <c r="C324" s="351"/>
      <c r="D324" s="333"/>
      <c r="E324" s="333"/>
      <c r="F324" s="333"/>
      <c r="G324" s="359"/>
      <c r="H324" s="359"/>
      <c r="I324" s="351"/>
      <c r="J324" s="359"/>
      <c r="K324" s="359"/>
      <c r="L324" s="359"/>
      <c r="M324" s="351"/>
      <c r="N324" s="351"/>
      <c r="O324" s="351"/>
      <c r="P324" s="351"/>
      <c r="Q324" s="351"/>
      <c r="R324" s="351"/>
      <c r="S324" s="351"/>
      <c r="T324" s="351"/>
      <c r="U324" s="351"/>
      <c r="V324" s="351"/>
      <c r="W324" s="351"/>
      <c r="X324" s="359"/>
      <c r="Y324" s="359"/>
      <c r="Z324" s="359"/>
      <c r="AA324" s="351"/>
      <c r="AB324" s="351"/>
      <c r="AC324" s="359"/>
      <c r="AD324" s="359"/>
      <c r="AE324" s="351"/>
      <c r="AF324" s="333"/>
      <c r="AG324" s="333"/>
      <c r="AH324" s="351"/>
      <c r="AI324" s="351"/>
      <c r="AJ324" s="351"/>
      <c r="AK324" s="351"/>
      <c r="AL324" s="351"/>
      <c r="AM324" s="351"/>
      <c r="AN324" s="351"/>
      <c r="AO324" s="351"/>
      <c r="AP324" s="351"/>
      <c r="AQ324" s="351"/>
      <c r="AR324" s="351"/>
      <c r="AS324" s="351"/>
      <c r="AT324" s="351"/>
      <c r="AU324" s="351"/>
      <c r="AV324" s="351"/>
      <c r="AW324" s="351"/>
      <c r="AX324" s="351"/>
      <c r="AY324" s="351"/>
    </row>
    <row r="325" spans="1:51" ht="13">
      <c r="A325" s="333"/>
      <c r="B325" s="351"/>
      <c r="C325" s="351"/>
      <c r="D325" s="333"/>
      <c r="E325" s="333"/>
      <c r="F325" s="333"/>
      <c r="G325" s="359"/>
      <c r="H325" s="359"/>
      <c r="I325" s="351"/>
      <c r="J325" s="359"/>
      <c r="K325" s="359"/>
      <c r="L325" s="359"/>
      <c r="M325" s="351"/>
      <c r="N325" s="351"/>
      <c r="O325" s="351"/>
      <c r="P325" s="351"/>
      <c r="Q325" s="351"/>
      <c r="R325" s="351"/>
      <c r="S325" s="351"/>
      <c r="T325" s="351"/>
      <c r="U325" s="351"/>
      <c r="V325" s="351"/>
      <c r="W325" s="351"/>
      <c r="X325" s="359"/>
      <c r="Y325" s="359"/>
      <c r="Z325" s="359"/>
      <c r="AA325" s="351"/>
      <c r="AB325" s="351"/>
      <c r="AC325" s="359"/>
      <c r="AD325" s="359"/>
      <c r="AE325" s="351"/>
      <c r="AF325" s="333"/>
      <c r="AG325" s="333"/>
      <c r="AH325" s="351"/>
      <c r="AI325" s="351"/>
      <c r="AJ325" s="351"/>
      <c r="AK325" s="351"/>
      <c r="AL325" s="351"/>
      <c r="AM325" s="351"/>
      <c r="AN325" s="351"/>
      <c r="AO325" s="351"/>
      <c r="AP325" s="351"/>
      <c r="AQ325" s="351"/>
      <c r="AR325" s="351"/>
      <c r="AS325" s="351"/>
      <c r="AT325" s="351"/>
      <c r="AU325" s="351"/>
      <c r="AV325" s="351"/>
      <c r="AW325" s="351"/>
      <c r="AX325" s="351"/>
      <c r="AY325" s="351"/>
    </row>
    <row r="326" spans="1:51" ht="13">
      <c r="A326" s="333"/>
      <c r="B326" s="351"/>
      <c r="C326" s="351"/>
      <c r="D326" s="333"/>
      <c r="E326" s="333"/>
      <c r="F326" s="333"/>
      <c r="G326" s="359"/>
      <c r="H326" s="359"/>
      <c r="I326" s="351"/>
      <c r="J326" s="359"/>
      <c r="K326" s="359"/>
      <c r="L326" s="359"/>
      <c r="M326" s="351"/>
      <c r="N326" s="351"/>
      <c r="O326" s="351"/>
      <c r="P326" s="351"/>
      <c r="Q326" s="351"/>
      <c r="R326" s="351"/>
      <c r="S326" s="351"/>
      <c r="T326" s="351"/>
      <c r="U326" s="351"/>
      <c r="V326" s="351"/>
      <c r="W326" s="351"/>
      <c r="X326" s="359"/>
      <c r="Y326" s="359"/>
      <c r="Z326" s="359"/>
      <c r="AA326" s="351"/>
      <c r="AB326" s="351"/>
      <c r="AC326" s="359"/>
      <c r="AD326" s="359"/>
      <c r="AE326" s="351"/>
      <c r="AF326" s="333"/>
      <c r="AG326" s="333"/>
      <c r="AH326" s="351"/>
      <c r="AI326" s="351"/>
      <c r="AJ326" s="351"/>
      <c r="AK326" s="351"/>
      <c r="AL326" s="351"/>
      <c r="AM326" s="351"/>
      <c r="AN326" s="351"/>
      <c r="AO326" s="351"/>
      <c r="AP326" s="351"/>
      <c r="AQ326" s="351"/>
      <c r="AR326" s="351"/>
      <c r="AS326" s="351"/>
      <c r="AT326" s="351"/>
      <c r="AU326" s="351"/>
      <c r="AV326" s="351"/>
      <c r="AW326" s="351"/>
      <c r="AX326" s="351"/>
      <c r="AY326" s="351"/>
    </row>
    <row r="327" spans="1:51" ht="13">
      <c r="A327" s="333"/>
      <c r="B327" s="351"/>
      <c r="C327" s="351"/>
      <c r="D327" s="333"/>
      <c r="E327" s="333"/>
      <c r="F327" s="333"/>
      <c r="G327" s="359"/>
      <c r="H327" s="359"/>
      <c r="I327" s="351"/>
      <c r="J327" s="359"/>
      <c r="K327" s="359"/>
      <c r="L327" s="359"/>
      <c r="M327" s="351"/>
      <c r="N327" s="351"/>
      <c r="O327" s="351"/>
      <c r="P327" s="351"/>
      <c r="Q327" s="351"/>
      <c r="R327" s="351"/>
      <c r="S327" s="351"/>
      <c r="T327" s="351"/>
      <c r="U327" s="351"/>
      <c r="V327" s="351"/>
      <c r="W327" s="351"/>
      <c r="X327" s="359"/>
      <c r="Y327" s="359"/>
      <c r="Z327" s="359"/>
      <c r="AA327" s="351"/>
      <c r="AB327" s="351"/>
      <c r="AC327" s="359"/>
      <c r="AD327" s="359"/>
      <c r="AE327" s="351"/>
      <c r="AF327" s="333"/>
      <c r="AG327" s="333"/>
      <c r="AH327" s="351"/>
      <c r="AI327" s="351"/>
      <c r="AJ327" s="351"/>
      <c r="AK327" s="351"/>
      <c r="AL327" s="351"/>
      <c r="AM327" s="351"/>
      <c r="AN327" s="351"/>
      <c r="AO327" s="351"/>
      <c r="AP327" s="351"/>
      <c r="AQ327" s="351"/>
      <c r="AR327" s="351"/>
      <c r="AS327" s="351"/>
      <c r="AT327" s="351"/>
      <c r="AU327" s="351"/>
      <c r="AV327" s="351"/>
      <c r="AW327" s="351"/>
      <c r="AX327" s="351"/>
      <c r="AY327" s="351"/>
    </row>
    <row r="328" spans="1:51" ht="13">
      <c r="A328" s="333"/>
      <c r="B328" s="351"/>
      <c r="C328" s="351"/>
      <c r="D328" s="333"/>
      <c r="E328" s="333"/>
      <c r="F328" s="333"/>
      <c r="G328" s="359"/>
      <c r="H328" s="359"/>
      <c r="I328" s="351"/>
      <c r="J328" s="359"/>
      <c r="K328" s="359"/>
      <c r="L328" s="359"/>
      <c r="M328" s="351"/>
      <c r="N328" s="351"/>
      <c r="O328" s="351"/>
      <c r="P328" s="351"/>
      <c r="Q328" s="351"/>
      <c r="R328" s="351"/>
      <c r="S328" s="351"/>
      <c r="T328" s="351"/>
      <c r="U328" s="351"/>
      <c r="V328" s="351"/>
      <c r="W328" s="351"/>
      <c r="X328" s="359"/>
      <c r="Y328" s="359"/>
      <c r="Z328" s="359"/>
      <c r="AA328" s="351"/>
      <c r="AB328" s="351"/>
      <c r="AC328" s="359"/>
      <c r="AD328" s="359"/>
      <c r="AE328" s="351"/>
      <c r="AF328" s="333"/>
      <c r="AG328" s="333"/>
      <c r="AH328" s="351"/>
      <c r="AI328" s="351"/>
      <c r="AJ328" s="351"/>
      <c r="AK328" s="351"/>
      <c r="AL328" s="351"/>
      <c r="AM328" s="351"/>
      <c r="AN328" s="351"/>
      <c r="AO328" s="351"/>
      <c r="AP328" s="351"/>
      <c r="AQ328" s="351"/>
      <c r="AR328" s="351"/>
      <c r="AS328" s="351"/>
      <c r="AT328" s="351"/>
      <c r="AU328" s="351"/>
      <c r="AV328" s="351"/>
      <c r="AW328" s="351"/>
      <c r="AX328" s="351"/>
      <c r="AY328" s="351"/>
    </row>
    <row r="329" spans="1:51" ht="13">
      <c r="A329" s="333"/>
      <c r="B329" s="351"/>
      <c r="C329" s="351"/>
      <c r="D329" s="333"/>
      <c r="E329" s="333"/>
      <c r="F329" s="333"/>
      <c r="G329" s="359"/>
      <c r="H329" s="359"/>
      <c r="I329" s="351"/>
      <c r="J329" s="359"/>
      <c r="K329" s="359"/>
      <c r="L329" s="359"/>
      <c r="M329" s="351"/>
      <c r="N329" s="351"/>
      <c r="O329" s="351"/>
      <c r="P329" s="351"/>
      <c r="Q329" s="351"/>
      <c r="R329" s="351"/>
      <c r="S329" s="351"/>
      <c r="T329" s="351"/>
      <c r="U329" s="351"/>
      <c r="V329" s="351"/>
      <c r="W329" s="351"/>
      <c r="X329" s="359"/>
      <c r="Y329" s="359"/>
      <c r="Z329" s="359"/>
      <c r="AA329" s="351"/>
      <c r="AB329" s="351"/>
      <c r="AC329" s="359"/>
      <c r="AD329" s="359"/>
      <c r="AE329" s="351"/>
      <c r="AF329" s="333"/>
      <c r="AG329" s="333"/>
      <c r="AH329" s="351"/>
      <c r="AI329" s="351"/>
      <c r="AJ329" s="351"/>
      <c r="AK329" s="351"/>
      <c r="AL329" s="351"/>
      <c r="AM329" s="351"/>
      <c r="AN329" s="351"/>
      <c r="AO329" s="351"/>
      <c r="AP329" s="351"/>
      <c r="AQ329" s="351"/>
      <c r="AR329" s="351"/>
      <c r="AS329" s="351"/>
      <c r="AT329" s="351"/>
      <c r="AU329" s="351"/>
      <c r="AV329" s="351"/>
      <c r="AW329" s="351"/>
      <c r="AX329" s="351"/>
      <c r="AY329" s="351"/>
    </row>
    <row r="330" spans="1:51" ht="13">
      <c r="A330" s="333"/>
      <c r="B330" s="351"/>
      <c r="C330" s="351"/>
      <c r="D330" s="333"/>
      <c r="E330" s="333"/>
      <c r="F330" s="333"/>
      <c r="G330" s="359"/>
      <c r="H330" s="359"/>
      <c r="I330" s="351"/>
      <c r="J330" s="359"/>
      <c r="K330" s="359"/>
      <c r="L330" s="359"/>
      <c r="M330" s="351"/>
      <c r="N330" s="351"/>
      <c r="O330" s="351"/>
      <c r="P330" s="351"/>
      <c r="Q330" s="351"/>
      <c r="R330" s="351"/>
      <c r="S330" s="351"/>
      <c r="T330" s="351"/>
      <c r="U330" s="351"/>
      <c r="V330" s="351"/>
      <c r="W330" s="351"/>
      <c r="X330" s="359"/>
      <c r="Y330" s="359"/>
      <c r="Z330" s="359"/>
      <c r="AA330" s="351"/>
      <c r="AB330" s="351"/>
      <c r="AC330" s="359"/>
      <c r="AD330" s="359"/>
      <c r="AE330" s="351"/>
      <c r="AF330" s="333"/>
      <c r="AG330" s="333"/>
      <c r="AH330" s="351"/>
      <c r="AI330" s="351"/>
      <c r="AJ330" s="351"/>
      <c r="AK330" s="351"/>
      <c r="AL330" s="351"/>
      <c r="AM330" s="351"/>
      <c r="AN330" s="351"/>
      <c r="AO330" s="351"/>
      <c r="AP330" s="351"/>
      <c r="AQ330" s="351"/>
      <c r="AR330" s="351"/>
      <c r="AS330" s="351"/>
      <c r="AT330" s="351"/>
      <c r="AU330" s="351"/>
      <c r="AV330" s="351"/>
      <c r="AW330" s="351"/>
      <c r="AX330" s="351"/>
      <c r="AY330" s="351"/>
    </row>
    <row r="331" spans="1:51" ht="13">
      <c r="A331" s="333"/>
      <c r="B331" s="351"/>
      <c r="C331" s="351"/>
      <c r="D331" s="333"/>
      <c r="E331" s="333"/>
      <c r="F331" s="333"/>
      <c r="G331" s="359"/>
      <c r="H331" s="359"/>
      <c r="I331" s="351"/>
      <c r="J331" s="359"/>
      <c r="K331" s="359"/>
      <c r="L331" s="359"/>
      <c r="M331" s="351"/>
      <c r="N331" s="351"/>
      <c r="O331" s="351"/>
      <c r="P331" s="351"/>
      <c r="Q331" s="351"/>
      <c r="R331" s="351"/>
      <c r="S331" s="351"/>
      <c r="T331" s="351"/>
      <c r="U331" s="351"/>
      <c r="V331" s="351"/>
      <c r="W331" s="351"/>
      <c r="X331" s="359"/>
      <c r="Y331" s="359"/>
      <c r="Z331" s="359"/>
      <c r="AA331" s="351"/>
      <c r="AB331" s="351"/>
      <c r="AC331" s="359"/>
      <c r="AD331" s="359"/>
      <c r="AE331" s="351"/>
      <c r="AF331" s="333"/>
      <c r="AG331" s="333"/>
      <c r="AH331" s="351"/>
      <c r="AI331" s="351"/>
      <c r="AJ331" s="351"/>
      <c r="AK331" s="351"/>
      <c r="AL331" s="351"/>
      <c r="AM331" s="351"/>
      <c r="AN331" s="351"/>
      <c r="AO331" s="351"/>
      <c r="AP331" s="351"/>
      <c r="AQ331" s="351"/>
      <c r="AR331" s="351"/>
      <c r="AS331" s="351"/>
      <c r="AT331" s="351"/>
      <c r="AU331" s="351"/>
      <c r="AV331" s="351"/>
      <c r="AW331" s="351"/>
      <c r="AX331" s="351"/>
      <c r="AY331" s="351"/>
    </row>
    <row r="332" spans="1:51" ht="13">
      <c r="A332" s="333"/>
      <c r="B332" s="351"/>
      <c r="C332" s="351"/>
      <c r="D332" s="333"/>
      <c r="E332" s="333"/>
      <c r="F332" s="333"/>
      <c r="G332" s="359"/>
      <c r="H332" s="359"/>
      <c r="I332" s="351"/>
      <c r="J332" s="359"/>
      <c r="K332" s="359"/>
      <c r="L332" s="359"/>
      <c r="M332" s="351"/>
      <c r="N332" s="351"/>
      <c r="O332" s="351"/>
      <c r="P332" s="351"/>
      <c r="Q332" s="351"/>
      <c r="R332" s="351"/>
      <c r="S332" s="351"/>
      <c r="T332" s="351"/>
      <c r="U332" s="351"/>
      <c r="V332" s="351"/>
      <c r="W332" s="351"/>
      <c r="X332" s="359"/>
      <c r="Y332" s="359"/>
      <c r="Z332" s="359"/>
      <c r="AA332" s="351"/>
      <c r="AB332" s="351"/>
      <c r="AC332" s="359"/>
      <c r="AD332" s="359"/>
      <c r="AE332" s="351"/>
      <c r="AF332" s="333"/>
      <c r="AG332" s="333"/>
      <c r="AH332" s="351"/>
      <c r="AI332" s="351"/>
      <c r="AJ332" s="351"/>
      <c r="AK332" s="351"/>
      <c r="AL332" s="351"/>
      <c r="AM332" s="351"/>
      <c r="AN332" s="351"/>
      <c r="AO332" s="351"/>
      <c r="AP332" s="351"/>
      <c r="AQ332" s="351"/>
      <c r="AR332" s="351"/>
      <c r="AS332" s="351"/>
      <c r="AT332" s="351"/>
      <c r="AU332" s="351"/>
      <c r="AV332" s="351"/>
      <c r="AW332" s="351"/>
      <c r="AX332" s="351"/>
      <c r="AY332" s="351"/>
    </row>
    <row r="333" spans="1:51" ht="13">
      <c r="A333" s="333"/>
      <c r="B333" s="351"/>
      <c r="C333" s="351"/>
      <c r="D333" s="333"/>
      <c r="E333" s="333"/>
      <c r="F333" s="333"/>
      <c r="G333" s="359"/>
      <c r="H333" s="359"/>
      <c r="I333" s="351"/>
      <c r="J333" s="359"/>
      <c r="K333" s="359"/>
      <c r="L333" s="359"/>
      <c r="M333" s="351"/>
      <c r="N333" s="351"/>
      <c r="O333" s="351"/>
      <c r="P333" s="351"/>
      <c r="Q333" s="351"/>
      <c r="R333" s="351"/>
      <c r="S333" s="351"/>
      <c r="T333" s="351"/>
      <c r="U333" s="351"/>
      <c r="V333" s="351"/>
      <c r="W333" s="351"/>
      <c r="X333" s="359"/>
      <c r="Y333" s="359"/>
      <c r="Z333" s="359"/>
      <c r="AA333" s="351"/>
      <c r="AB333" s="351"/>
      <c r="AC333" s="359"/>
      <c r="AD333" s="359"/>
      <c r="AE333" s="351"/>
      <c r="AF333" s="333"/>
      <c r="AG333" s="333"/>
      <c r="AH333" s="351"/>
      <c r="AI333" s="351"/>
      <c r="AJ333" s="351"/>
      <c r="AK333" s="351"/>
      <c r="AL333" s="351"/>
      <c r="AM333" s="351"/>
      <c r="AN333" s="351"/>
      <c r="AO333" s="351"/>
      <c r="AP333" s="351"/>
      <c r="AQ333" s="351"/>
      <c r="AR333" s="351"/>
      <c r="AS333" s="351"/>
      <c r="AT333" s="351"/>
      <c r="AU333" s="351"/>
      <c r="AV333" s="351"/>
      <c r="AW333" s="351"/>
      <c r="AX333" s="351"/>
      <c r="AY333" s="351"/>
    </row>
    <row r="334" spans="1:51" ht="13">
      <c r="A334" s="333"/>
      <c r="B334" s="351"/>
      <c r="C334" s="351"/>
      <c r="D334" s="333"/>
      <c r="E334" s="333"/>
      <c r="F334" s="333"/>
      <c r="G334" s="359"/>
      <c r="H334" s="359"/>
      <c r="I334" s="351"/>
      <c r="J334" s="359"/>
      <c r="K334" s="359"/>
      <c r="L334" s="359"/>
      <c r="M334" s="351"/>
      <c r="N334" s="351"/>
      <c r="O334" s="351"/>
      <c r="P334" s="351"/>
      <c r="Q334" s="351"/>
      <c r="R334" s="351"/>
      <c r="S334" s="351"/>
      <c r="T334" s="351"/>
      <c r="U334" s="351"/>
      <c r="V334" s="351"/>
      <c r="W334" s="351"/>
      <c r="X334" s="359"/>
      <c r="Y334" s="359"/>
      <c r="Z334" s="359"/>
      <c r="AA334" s="351"/>
      <c r="AB334" s="351"/>
      <c r="AC334" s="359"/>
      <c r="AD334" s="359"/>
      <c r="AE334" s="351"/>
      <c r="AF334" s="333"/>
      <c r="AG334" s="333"/>
      <c r="AH334" s="351"/>
      <c r="AI334" s="351"/>
      <c r="AJ334" s="351"/>
      <c r="AK334" s="351"/>
      <c r="AL334" s="351"/>
      <c r="AM334" s="351"/>
      <c r="AN334" s="351"/>
      <c r="AO334" s="351"/>
      <c r="AP334" s="351"/>
      <c r="AQ334" s="351"/>
      <c r="AR334" s="351"/>
      <c r="AS334" s="351"/>
      <c r="AT334" s="351"/>
      <c r="AU334" s="351"/>
      <c r="AV334" s="351"/>
      <c r="AW334" s="351"/>
      <c r="AX334" s="351"/>
      <c r="AY334" s="351"/>
    </row>
    <row r="335" spans="1:51" ht="13">
      <c r="A335" s="333"/>
      <c r="B335" s="351"/>
      <c r="C335" s="351"/>
      <c r="D335" s="333"/>
      <c r="E335" s="333"/>
      <c r="F335" s="333"/>
      <c r="G335" s="359"/>
      <c r="H335" s="359"/>
      <c r="I335" s="351"/>
      <c r="J335" s="359"/>
      <c r="K335" s="359"/>
      <c r="L335" s="359"/>
      <c r="M335" s="351"/>
      <c r="N335" s="351"/>
      <c r="O335" s="351"/>
      <c r="P335" s="351"/>
      <c r="Q335" s="351"/>
      <c r="R335" s="351"/>
      <c r="S335" s="351"/>
      <c r="T335" s="351"/>
      <c r="U335" s="351"/>
      <c r="V335" s="351"/>
      <c r="W335" s="351"/>
      <c r="X335" s="359"/>
      <c r="Y335" s="359"/>
      <c r="Z335" s="359"/>
      <c r="AA335" s="351"/>
      <c r="AB335" s="351"/>
      <c r="AC335" s="359"/>
      <c r="AD335" s="359"/>
      <c r="AE335" s="351"/>
      <c r="AF335" s="333"/>
      <c r="AG335" s="333"/>
      <c r="AH335" s="351"/>
      <c r="AI335" s="351"/>
      <c r="AJ335" s="351"/>
      <c r="AK335" s="351"/>
      <c r="AL335" s="351"/>
      <c r="AM335" s="351"/>
      <c r="AN335" s="351"/>
      <c r="AO335" s="351"/>
      <c r="AP335" s="351"/>
      <c r="AQ335" s="351"/>
      <c r="AR335" s="351"/>
      <c r="AS335" s="351"/>
      <c r="AT335" s="351"/>
      <c r="AU335" s="351"/>
      <c r="AV335" s="351"/>
      <c r="AW335" s="351"/>
      <c r="AX335" s="351"/>
      <c r="AY335" s="351"/>
    </row>
    <row r="336" spans="1:51" ht="13">
      <c r="A336" s="333"/>
      <c r="B336" s="351"/>
      <c r="C336" s="351"/>
      <c r="D336" s="333"/>
      <c r="E336" s="333"/>
      <c r="F336" s="333"/>
      <c r="G336" s="359"/>
      <c r="H336" s="359"/>
      <c r="I336" s="351"/>
      <c r="J336" s="359"/>
      <c r="K336" s="359"/>
      <c r="L336" s="359"/>
      <c r="M336" s="351"/>
      <c r="N336" s="351"/>
      <c r="O336" s="351"/>
      <c r="P336" s="351"/>
      <c r="Q336" s="351"/>
      <c r="R336" s="351"/>
      <c r="S336" s="351"/>
      <c r="T336" s="351"/>
      <c r="U336" s="351"/>
      <c r="V336" s="351"/>
      <c r="W336" s="351"/>
      <c r="X336" s="359"/>
      <c r="Y336" s="359"/>
      <c r="Z336" s="359"/>
      <c r="AA336" s="351"/>
      <c r="AB336" s="351"/>
      <c r="AC336" s="359"/>
      <c r="AD336" s="359"/>
      <c r="AE336" s="351"/>
      <c r="AF336" s="333"/>
      <c r="AG336" s="333"/>
      <c r="AH336" s="351"/>
      <c r="AI336" s="351"/>
      <c r="AJ336" s="351"/>
      <c r="AK336" s="351"/>
      <c r="AL336" s="351"/>
      <c r="AM336" s="351"/>
      <c r="AN336" s="351"/>
      <c r="AO336" s="351"/>
      <c r="AP336" s="351"/>
      <c r="AQ336" s="351"/>
      <c r="AR336" s="351"/>
      <c r="AS336" s="351"/>
      <c r="AT336" s="351"/>
      <c r="AU336" s="351"/>
      <c r="AV336" s="351"/>
      <c r="AW336" s="351"/>
      <c r="AX336" s="351"/>
      <c r="AY336" s="351"/>
    </row>
    <row r="337" spans="1:51" ht="13">
      <c r="A337" s="333"/>
      <c r="B337" s="351"/>
      <c r="C337" s="351"/>
      <c r="D337" s="333"/>
      <c r="E337" s="333"/>
      <c r="F337" s="333"/>
      <c r="G337" s="359"/>
      <c r="H337" s="359"/>
      <c r="I337" s="351"/>
      <c r="J337" s="359"/>
      <c r="K337" s="359"/>
      <c r="L337" s="359"/>
      <c r="M337" s="351"/>
      <c r="N337" s="351"/>
      <c r="O337" s="351"/>
      <c r="P337" s="351"/>
      <c r="Q337" s="351"/>
      <c r="R337" s="351"/>
      <c r="S337" s="351"/>
      <c r="T337" s="351"/>
      <c r="U337" s="351"/>
      <c r="V337" s="351"/>
      <c r="W337" s="351"/>
      <c r="X337" s="359"/>
      <c r="Y337" s="359"/>
      <c r="Z337" s="359"/>
      <c r="AA337" s="351"/>
      <c r="AB337" s="351"/>
      <c r="AC337" s="359"/>
      <c r="AD337" s="359"/>
      <c r="AE337" s="351"/>
      <c r="AF337" s="333"/>
      <c r="AG337" s="333"/>
      <c r="AH337" s="351"/>
      <c r="AI337" s="351"/>
      <c r="AJ337" s="351"/>
      <c r="AK337" s="351"/>
      <c r="AL337" s="351"/>
      <c r="AM337" s="351"/>
      <c r="AN337" s="351"/>
      <c r="AO337" s="351"/>
      <c r="AP337" s="351"/>
      <c r="AQ337" s="351"/>
      <c r="AR337" s="351"/>
      <c r="AS337" s="351"/>
      <c r="AT337" s="351"/>
      <c r="AU337" s="351"/>
      <c r="AV337" s="351"/>
      <c r="AW337" s="351"/>
      <c r="AX337" s="351"/>
      <c r="AY337" s="351"/>
    </row>
    <row r="338" spans="1:51" ht="13">
      <c r="A338" s="333"/>
      <c r="B338" s="351"/>
      <c r="C338" s="351"/>
      <c r="D338" s="333"/>
      <c r="E338" s="333"/>
      <c r="F338" s="333"/>
      <c r="G338" s="359"/>
      <c r="H338" s="359"/>
      <c r="I338" s="351"/>
      <c r="J338" s="359"/>
      <c r="K338" s="359"/>
      <c r="L338" s="359"/>
      <c r="M338" s="351"/>
      <c r="N338" s="351"/>
      <c r="O338" s="351"/>
      <c r="P338" s="351"/>
      <c r="Q338" s="351"/>
      <c r="R338" s="351"/>
      <c r="S338" s="351"/>
      <c r="T338" s="351"/>
      <c r="U338" s="351"/>
      <c r="V338" s="351"/>
      <c r="W338" s="351"/>
      <c r="X338" s="359"/>
      <c r="Y338" s="359"/>
      <c r="Z338" s="359"/>
      <c r="AA338" s="351"/>
      <c r="AB338" s="351"/>
      <c r="AC338" s="359"/>
      <c r="AD338" s="359"/>
      <c r="AE338" s="351"/>
      <c r="AF338" s="333"/>
      <c r="AG338" s="333"/>
      <c r="AH338" s="351"/>
      <c r="AI338" s="351"/>
      <c r="AJ338" s="351"/>
      <c r="AK338" s="351"/>
      <c r="AL338" s="351"/>
      <c r="AM338" s="351"/>
      <c r="AN338" s="351"/>
      <c r="AO338" s="351"/>
      <c r="AP338" s="351"/>
      <c r="AQ338" s="351"/>
      <c r="AR338" s="351"/>
      <c r="AS338" s="351"/>
      <c r="AT338" s="351"/>
      <c r="AU338" s="351"/>
      <c r="AV338" s="351"/>
      <c r="AW338" s="351"/>
      <c r="AX338" s="351"/>
      <c r="AY338" s="351"/>
    </row>
    <row r="339" spans="1:51" ht="13">
      <c r="A339" s="333"/>
      <c r="B339" s="351"/>
      <c r="C339" s="351"/>
      <c r="D339" s="333"/>
      <c r="E339" s="333"/>
      <c r="F339" s="333"/>
      <c r="G339" s="359"/>
      <c r="H339" s="359"/>
      <c r="I339" s="351"/>
      <c r="J339" s="359"/>
      <c r="K339" s="359"/>
      <c r="L339" s="359"/>
      <c r="M339" s="351"/>
      <c r="N339" s="351"/>
      <c r="O339" s="351"/>
      <c r="P339" s="351"/>
      <c r="Q339" s="351"/>
      <c r="R339" s="351"/>
      <c r="S339" s="351"/>
      <c r="T339" s="351"/>
      <c r="U339" s="351"/>
      <c r="V339" s="351"/>
      <c r="W339" s="351"/>
      <c r="X339" s="359"/>
      <c r="Y339" s="359"/>
      <c r="Z339" s="359"/>
      <c r="AA339" s="351"/>
      <c r="AB339" s="351"/>
      <c r="AC339" s="359"/>
      <c r="AD339" s="359"/>
      <c r="AE339" s="351"/>
      <c r="AF339" s="333"/>
      <c r="AG339" s="333"/>
      <c r="AH339" s="351"/>
      <c r="AI339" s="351"/>
      <c r="AJ339" s="351"/>
      <c r="AK339" s="351"/>
      <c r="AL339" s="351"/>
      <c r="AM339" s="351"/>
      <c r="AN339" s="351"/>
      <c r="AO339" s="351"/>
      <c r="AP339" s="351"/>
      <c r="AQ339" s="351"/>
      <c r="AR339" s="351"/>
      <c r="AS339" s="351"/>
      <c r="AT339" s="351"/>
      <c r="AU339" s="351"/>
      <c r="AV339" s="351"/>
      <c r="AW339" s="351"/>
      <c r="AX339" s="351"/>
      <c r="AY339" s="351"/>
    </row>
    <row r="340" spans="1:51" ht="13">
      <c r="A340" s="333"/>
      <c r="B340" s="351"/>
      <c r="C340" s="351"/>
      <c r="D340" s="333"/>
      <c r="E340" s="333"/>
      <c r="F340" s="333"/>
      <c r="G340" s="359"/>
      <c r="H340" s="359"/>
      <c r="I340" s="351"/>
      <c r="J340" s="359"/>
      <c r="K340" s="359"/>
      <c r="L340" s="359"/>
      <c r="M340" s="351"/>
      <c r="N340" s="351"/>
      <c r="O340" s="351"/>
      <c r="P340" s="351"/>
      <c r="Q340" s="351"/>
      <c r="R340" s="351"/>
      <c r="S340" s="351"/>
      <c r="T340" s="351"/>
      <c r="U340" s="351"/>
      <c r="V340" s="351"/>
      <c r="W340" s="351"/>
      <c r="X340" s="359"/>
      <c r="Y340" s="359"/>
      <c r="Z340" s="359"/>
      <c r="AA340" s="351"/>
      <c r="AB340" s="351"/>
      <c r="AC340" s="359"/>
      <c r="AD340" s="359"/>
      <c r="AE340" s="351"/>
      <c r="AF340" s="333"/>
      <c r="AG340" s="333"/>
      <c r="AH340" s="351"/>
      <c r="AI340" s="351"/>
      <c r="AJ340" s="351"/>
      <c r="AK340" s="351"/>
      <c r="AL340" s="351"/>
      <c r="AM340" s="351"/>
      <c r="AN340" s="351"/>
      <c r="AO340" s="351"/>
      <c r="AP340" s="351"/>
      <c r="AQ340" s="351"/>
      <c r="AR340" s="351"/>
      <c r="AS340" s="351"/>
      <c r="AT340" s="351"/>
      <c r="AU340" s="351"/>
      <c r="AV340" s="351"/>
      <c r="AW340" s="351"/>
      <c r="AX340" s="351"/>
      <c r="AY340" s="351"/>
    </row>
    <row r="341" spans="1:51" ht="13">
      <c r="A341" s="333"/>
      <c r="B341" s="351"/>
      <c r="C341" s="351"/>
      <c r="D341" s="333"/>
      <c r="E341" s="333"/>
      <c r="F341" s="333"/>
      <c r="G341" s="359"/>
      <c r="H341" s="359"/>
      <c r="I341" s="351"/>
      <c r="J341" s="359"/>
      <c r="K341" s="359"/>
      <c r="L341" s="359"/>
      <c r="M341" s="351"/>
      <c r="N341" s="351"/>
      <c r="O341" s="351"/>
      <c r="P341" s="351"/>
      <c r="Q341" s="351"/>
      <c r="R341" s="351"/>
      <c r="S341" s="351"/>
      <c r="T341" s="351"/>
      <c r="U341" s="351"/>
      <c r="V341" s="351"/>
      <c r="W341" s="351"/>
      <c r="X341" s="359"/>
      <c r="Y341" s="359"/>
      <c r="Z341" s="359"/>
      <c r="AA341" s="351"/>
      <c r="AB341" s="351"/>
      <c r="AC341" s="359"/>
      <c r="AD341" s="359"/>
      <c r="AE341" s="351"/>
      <c r="AF341" s="333"/>
      <c r="AG341" s="333"/>
      <c r="AH341" s="351"/>
      <c r="AI341" s="351"/>
      <c r="AJ341" s="351"/>
      <c r="AK341" s="351"/>
      <c r="AL341" s="351"/>
      <c r="AM341" s="351"/>
      <c r="AN341" s="351"/>
      <c r="AO341" s="351"/>
      <c r="AP341" s="351"/>
      <c r="AQ341" s="351"/>
      <c r="AR341" s="351"/>
      <c r="AS341" s="351"/>
      <c r="AT341" s="351"/>
      <c r="AU341" s="351"/>
      <c r="AV341" s="351"/>
      <c r="AW341" s="351"/>
      <c r="AX341" s="351"/>
      <c r="AY341" s="351"/>
    </row>
    <row r="342" spans="1:51" ht="13">
      <c r="A342" s="333"/>
      <c r="B342" s="351"/>
      <c r="C342" s="351"/>
      <c r="D342" s="333"/>
      <c r="E342" s="333"/>
      <c r="F342" s="333"/>
      <c r="G342" s="359"/>
      <c r="H342" s="359"/>
      <c r="I342" s="351"/>
      <c r="J342" s="359"/>
      <c r="K342" s="359"/>
      <c r="L342" s="359"/>
      <c r="M342" s="351"/>
      <c r="N342" s="351"/>
      <c r="O342" s="351"/>
      <c r="P342" s="351"/>
      <c r="Q342" s="351"/>
      <c r="R342" s="351"/>
      <c r="S342" s="351"/>
      <c r="T342" s="351"/>
      <c r="U342" s="351"/>
      <c r="V342" s="351"/>
      <c r="W342" s="351"/>
      <c r="X342" s="359"/>
      <c r="Y342" s="359"/>
      <c r="Z342" s="359"/>
      <c r="AA342" s="351"/>
      <c r="AB342" s="351"/>
      <c r="AC342" s="359"/>
      <c r="AD342" s="359"/>
      <c r="AE342" s="351"/>
      <c r="AF342" s="333"/>
      <c r="AG342" s="333"/>
      <c r="AH342" s="351"/>
      <c r="AI342" s="351"/>
      <c r="AJ342" s="351"/>
      <c r="AK342" s="351"/>
      <c r="AL342" s="351"/>
      <c r="AM342" s="351"/>
      <c r="AN342" s="351"/>
      <c r="AO342" s="351"/>
      <c r="AP342" s="351"/>
      <c r="AQ342" s="351"/>
      <c r="AR342" s="351"/>
      <c r="AS342" s="351"/>
      <c r="AT342" s="351"/>
      <c r="AU342" s="351"/>
      <c r="AV342" s="351"/>
      <c r="AW342" s="351"/>
      <c r="AX342" s="351"/>
      <c r="AY342" s="351"/>
    </row>
    <row r="343" spans="1:51" ht="13">
      <c r="A343" s="333"/>
      <c r="B343" s="351"/>
      <c r="C343" s="351"/>
      <c r="D343" s="333"/>
      <c r="E343" s="333"/>
      <c r="F343" s="333"/>
      <c r="G343" s="359"/>
      <c r="H343" s="359"/>
      <c r="I343" s="351"/>
      <c r="J343" s="359"/>
      <c r="K343" s="359"/>
      <c r="L343" s="359"/>
      <c r="M343" s="351"/>
      <c r="N343" s="351"/>
      <c r="O343" s="351"/>
      <c r="P343" s="351"/>
      <c r="Q343" s="351"/>
      <c r="R343" s="351"/>
      <c r="S343" s="351"/>
      <c r="T343" s="351"/>
      <c r="U343" s="351"/>
      <c r="V343" s="351"/>
      <c r="W343" s="351"/>
      <c r="X343" s="359"/>
      <c r="Y343" s="359"/>
      <c r="Z343" s="359"/>
      <c r="AA343" s="351"/>
      <c r="AB343" s="351"/>
      <c r="AC343" s="359"/>
      <c r="AD343" s="359"/>
      <c r="AE343" s="351"/>
      <c r="AF343" s="333"/>
      <c r="AG343" s="333"/>
      <c r="AH343" s="351"/>
      <c r="AI343" s="351"/>
      <c r="AJ343" s="351"/>
      <c r="AK343" s="351"/>
      <c r="AL343" s="351"/>
      <c r="AM343" s="351"/>
      <c r="AN343" s="351"/>
      <c r="AO343" s="351"/>
      <c r="AP343" s="351"/>
      <c r="AQ343" s="351"/>
      <c r="AR343" s="351"/>
      <c r="AS343" s="351"/>
      <c r="AT343" s="351"/>
      <c r="AU343" s="351"/>
      <c r="AV343" s="351"/>
      <c r="AW343" s="351"/>
      <c r="AX343" s="351"/>
      <c r="AY343" s="351"/>
    </row>
    <row r="344" spans="1:51" ht="13">
      <c r="A344" s="333"/>
      <c r="B344" s="351"/>
      <c r="C344" s="351"/>
      <c r="D344" s="333"/>
      <c r="E344" s="333"/>
      <c r="F344" s="333"/>
      <c r="G344" s="359"/>
      <c r="H344" s="359"/>
      <c r="I344" s="351"/>
      <c r="J344" s="359"/>
      <c r="K344" s="359"/>
      <c r="L344" s="359"/>
      <c r="M344" s="351"/>
      <c r="N344" s="351"/>
      <c r="O344" s="351"/>
      <c r="P344" s="351"/>
      <c r="Q344" s="351"/>
      <c r="R344" s="351"/>
      <c r="S344" s="351"/>
      <c r="T344" s="351"/>
      <c r="U344" s="351"/>
      <c r="V344" s="351"/>
      <c r="W344" s="351"/>
      <c r="X344" s="359"/>
      <c r="Y344" s="359"/>
      <c r="Z344" s="359"/>
      <c r="AA344" s="351"/>
      <c r="AB344" s="351"/>
      <c r="AC344" s="359"/>
      <c r="AD344" s="359"/>
      <c r="AE344" s="351"/>
      <c r="AF344" s="333"/>
      <c r="AG344" s="333"/>
      <c r="AH344" s="351"/>
      <c r="AI344" s="351"/>
      <c r="AJ344" s="351"/>
      <c r="AK344" s="351"/>
      <c r="AL344" s="351"/>
      <c r="AM344" s="351"/>
      <c r="AN344" s="351"/>
      <c r="AO344" s="351"/>
      <c r="AP344" s="351"/>
      <c r="AQ344" s="351"/>
      <c r="AR344" s="351"/>
      <c r="AS344" s="351"/>
      <c r="AT344" s="351"/>
      <c r="AU344" s="351"/>
      <c r="AV344" s="351"/>
      <c r="AW344" s="351"/>
      <c r="AX344" s="351"/>
      <c r="AY344" s="351"/>
    </row>
    <row r="345" spans="1:51" ht="13">
      <c r="A345" s="333"/>
      <c r="B345" s="351"/>
      <c r="C345" s="351"/>
      <c r="D345" s="333"/>
      <c r="E345" s="333"/>
      <c r="F345" s="333"/>
      <c r="G345" s="359"/>
      <c r="H345" s="359"/>
      <c r="I345" s="351"/>
      <c r="J345" s="359"/>
      <c r="K345" s="359"/>
      <c r="L345" s="359"/>
      <c r="M345" s="351"/>
      <c r="N345" s="351"/>
      <c r="O345" s="351"/>
      <c r="P345" s="351"/>
      <c r="Q345" s="351"/>
      <c r="R345" s="351"/>
      <c r="S345" s="351"/>
      <c r="T345" s="351"/>
      <c r="U345" s="351"/>
      <c r="V345" s="351"/>
      <c r="W345" s="351"/>
      <c r="X345" s="359"/>
      <c r="Y345" s="359"/>
      <c r="Z345" s="359"/>
      <c r="AA345" s="351"/>
      <c r="AB345" s="351"/>
      <c r="AC345" s="359"/>
      <c r="AD345" s="359"/>
      <c r="AE345" s="351"/>
      <c r="AF345" s="333"/>
      <c r="AG345" s="333"/>
      <c r="AH345" s="351"/>
      <c r="AI345" s="351"/>
      <c r="AJ345" s="351"/>
      <c r="AK345" s="351"/>
      <c r="AL345" s="351"/>
      <c r="AM345" s="351"/>
      <c r="AN345" s="351"/>
      <c r="AO345" s="351"/>
      <c r="AP345" s="351"/>
      <c r="AQ345" s="351"/>
      <c r="AR345" s="351"/>
      <c r="AS345" s="351"/>
      <c r="AT345" s="351"/>
      <c r="AU345" s="351"/>
      <c r="AV345" s="351"/>
      <c r="AW345" s="351"/>
      <c r="AX345" s="351"/>
      <c r="AY345" s="351"/>
    </row>
    <row r="346" spans="1:51" ht="13">
      <c r="A346" s="333"/>
      <c r="B346" s="351"/>
      <c r="C346" s="351"/>
      <c r="D346" s="333"/>
      <c r="E346" s="333"/>
      <c r="F346" s="333"/>
      <c r="G346" s="359"/>
      <c r="H346" s="359"/>
      <c r="I346" s="351"/>
      <c r="J346" s="359"/>
      <c r="K346" s="359"/>
      <c r="L346" s="359"/>
      <c r="M346" s="351"/>
      <c r="N346" s="351"/>
      <c r="O346" s="351"/>
      <c r="P346" s="351"/>
      <c r="Q346" s="351"/>
      <c r="R346" s="351"/>
      <c r="S346" s="351"/>
      <c r="T346" s="351"/>
      <c r="U346" s="351"/>
      <c r="V346" s="351"/>
      <c r="W346" s="351"/>
      <c r="X346" s="359"/>
      <c r="Y346" s="359"/>
      <c r="Z346" s="359"/>
      <c r="AA346" s="351"/>
      <c r="AB346" s="351"/>
      <c r="AC346" s="359"/>
      <c r="AD346" s="359"/>
      <c r="AE346" s="351"/>
      <c r="AF346" s="333"/>
      <c r="AG346" s="333"/>
      <c r="AH346" s="351"/>
      <c r="AI346" s="351"/>
      <c r="AJ346" s="351"/>
      <c r="AK346" s="351"/>
      <c r="AL346" s="351"/>
      <c r="AM346" s="351"/>
      <c r="AN346" s="351"/>
      <c r="AO346" s="351"/>
      <c r="AP346" s="351"/>
      <c r="AQ346" s="351"/>
      <c r="AR346" s="351"/>
      <c r="AS346" s="351"/>
      <c r="AT346" s="351"/>
      <c r="AU346" s="351"/>
      <c r="AV346" s="351"/>
      <c r="AW346" s="351"/>
      <c r="AX346" s="351"/>
      <c r="AY346" s="351"/>
    </row>
    <row r="347" spans="1:51" ht="13">
      <c r="A347" s="333"/>
      <c r="B347" s="351"/>
      <c r="C347" s="351"/>
      <c r="D347" s="333"/>
      <c r="E347" s="333"/>
      <c r="F347" s="333"/>
      <c r="G347" s="359"/>
      <c r="H347" s="359"/>
      <c r="I347" s="351"/>
      <c r="J347" s="359"/>
      <c r="K347" s="359"/>
      <c r="L347" s="359"/>
      <c r="M347" s="351"/>
      <c r="N347" s="351"/>
      <c r="O347" s="351"/>
      <c r="P347" s="351"/>
      <c r="Q347" s="351"/>
      <c r="R347" s="351"/>
      <c r="S347" s="351"/>
      <c r="T347" s="351"/>
      <c r="U347" s="351"/>
      <c r="V347" s="351"/>
      <c r="W347" s="351"/>
      <c r="X347" s="359"/>
      <c r="Y347" s="359"/>
      <c r="Z347" s="359"/>
      <c r="AA347" s="351"/>
      <c r="AB347" s="351"/>
      <c r="AC347" s="359"/>
      <c r="AD347" s="359"/>
      <c r="AE347" s="351"/>
      <c r="AF347" s="333"/>
      <c r="AG347" s="333"/>
      <c r="AH347" s="351"/>
      <c r="AI347" s="351"/>
      <c r="AJ347" s="351"/>
      <c r="AK347" s="351"/>
      <c r="AL347" s="351"/>
      <c r="AM347" s="351"/>
      <c r="AN347" s="351"/>
      <c r="AO347" s="351"/>
      <c r="AP347" s="351"/>
      <c r="AQ347" s="351"/>
      <c r="AR347" s="351"/>
      <c r="AS347" s="351"/>
      <c r="AT347" s="351"/>
      <c r="AU347" s="351"/>
      <c r="AV347" s="351"/>
      <c r="AW347" s="351"/>
      <c r="AX347" s="351"/>
      <c r="AY347" s="351"/>
    </row>
    <row r="348" spans="1:51" ht="13">
      <c r="A348" s="333"/>
      <c r="B348" s="351"/>
      <c r="C348" s="351"/>
      <c r="D348" s="333"/>
      <c r="E348" s="333"/>
      <c r="F348" s="333"/>
      <c r="G348" s="359"/>
      <c r="H348" s="359"/>
      <c r="I348" s="351"/>
      <c r="J348" s="359"/>
      <c r="K348" s="359"/>
      <c r="L348" s="359"/>
      <c r="M348" s="351"/>
      <c r="N348" s="351"/>
      <c r="O348" s="351"/>
      <c r="P348" s="351"/>
      <c r="Q348" s="351"/>
      <c r="R348" s="351"/>
      <c r="S348" s="351"/>
      <c r="T348" s="351"/>
      <c r="U348" s="351"/>
      <c r="V348" s="351"/>
      <c r="W348" s="351"/>
      <c r="X348" s="359"/>
      <c r="Y348" s="359"/>
      <c r="Z348" s="359"/>
      <c r="AA348" s="351"/>
      <c r="AB348" s="351"/>
      <c r="AC348" s="359"/>
      <c r="AD348" s="359"/>
      <c r="AE348" s="351"/>
      <c r="AF348" s="333"/>
      <c r="AG348" s="333"/>
      <c r="AH348" s="351"/>
      <c r="AI348" s="351"/>
      <c r="AJ348" s="351"/>
      <c r="AK348" s="351"/>
      <c r="AL348" s="351"/>
      <c r="AM348" s="351"/>
      <c r="AN348" s="351"/>
      <c r="AO348" s="351"/>
      <c r="AP348" s="351"/>
      <c r="AQ348" s="351"/>
      <c r="AR348" s="351"/>
      <c r="AS348" s="351"/>
      <c r="AT348" s="351"/>
      <c r="AU348" s="351"/>
      <c r="AV348" s="351"/>
      <c r="AW348" s="351"/>
      <c r="AX348" s="351"/>
      <c r="AY348" s="351"/>
    </row>
    <row r="349" spans="1:51" ht="13">
      <c r="A349" s="333"/>
      <c r="B349" s="351"/>
      <c r="C349" s="351"/>
      <c r="D349" s="333"/>
      <c r="E349" s="333"/>
      <c r="F349" s="333"/>
      <c r="G349" s="359"/>
      <c r="H349" s="359"/>
      <c r="I349" s="351"/>
      <c r="J349" s="359"/>
      <c r="K349" s="359"/>
      <c r="L349" s="359"/>
      <c r="M349" s="351"/>
      <c r="N349" s="351"/>
      <c r="O349" s="351"/>
      <c r="P349" s="351"/>
      <c r="Q349" s="351"/>
      <c r="R349" s="351"/>
      <c r="S349" s="351"/>
      <c r="T349" s="351"/>
      <c r="U349" s="351"/>
      <c r="V349" s="351"/>
      <c r="W349" s="351"/>
      <c r="X349" s="359"/>
      <c r="Y349" s="359"/>
      <c r="Z349" s="359"/>
      <c r="AA349" s="351"/>
      <c r="AB349" s="351"/>
      <c r="AC349" s="359"/>
      <c r="AD349" s="359"/>
      <c r="AE349" s="351"/>
      <c r="AF349" s="333"/>
      <c r="AG349" s="333"/>
      <c r="AH349" s="351"/>
      <c r="AI349" s="351"/>
      <c r="AJ349" s="351"/>
      <c r="AK349" s="351"/>
      <c r="AL349" s="351"/>
      <c r="AM349" s="351"/>
      <c r="AN349" s="351"/>
      <c r="AO349" s="351"/>
      <c r="AP349" s="351"/>
      <c r="AQ349" s="351"/>
      <c r="AR349" s="351"/>
      <c r="AS349" s="351"/>
      <c r="AT349" s="351"/>
      <c r="AU349" s="351"/>
      <c r="AV349" s="351"/>
      <c r="AW349" s="351"/>
      <c r="AX349" s="351"/>
      <c r="AY349" s="351"/>
    </row>
    <row r="350" spans="1:51" ht="13">
      <c r="A350" s="333"/>
      <c r="B350" s="351"/>
      <c r="C350" s="351"/>
      <c r="D350" s="333"/>
      <c r="E350" s="333"/>
      <c r="F350" s="333"/>
      <c r="G350" s="359"/>
      <c r="H350" s="359"/>
      <c r="I350" s="351"/>
      <c r="J350" s="359"/>
      <c r="K350" s="359"/>
      <c r="L350" s="359"/>
      <c r="M350" s="351"/>
      <c r="N350" s="351"/>
      <c r="O350" s="351"/>
      <c r="P350" s="351"/>
      <c r="Q350" s="351"/>
      <c r="R350" s="351"/>
      <c r="S350" s="351"/>
      <c r="T350" s="351"/>
      <c r="U350" s="351"/>
      <c r="V350" s="351"/>
      <c r="W350" s="351"/>
      <c r="X350" s="359"/>
      <c r="Y350" s="359"/>
      <c r="Z350" s="359"/>
      <c r="AA350" s="351"/>
      <c r="AB350" s="351"/>
      <c r="AC350" s="359"/>
      <c r="AD350" s="359"/>
      <c r="AE350" s="351"/>
      <c r="AF350" s="333"/>
      <c r="AG350" s="333"/>
      <c r="AH350" s="351"/>
      <c r="AI350" s="351"/>
      <c r="AJ350" s="351"/>
      <c r="AK350" s="351"/>
      <c r="AL350" s="351"/>
      <c r="AM350" s="351"/>
      <c r="AN350" s="351"/>
      <c r="AO350" s="351"/>
      <c r="AP350" s="351"/>
      <c r="AQ350" s="351"/>
      <c r="AR350" s="351"/>
      <c r="AS350" s="351"/>
      <c r="AT350" s="351"/>
      <c r="AU350" s="351"/>
      <c r="AV350" s="351"/>
      <c r="AW350" s="351"/>
      <c r="AX350" s="351"/>
      <c r="AY350" s="351"/>
    </row>
    <row r="351" spans="1:51" ht="13">
      <c r="A351" s="333"/>
      <c r="B351" s="351"/>
      <c r="C351" s="351"/>
      <c r="D351" s="333"/>
      <c r="E351" s="333"/>
      <c r="F351" s="333"/>
      <c r="G351" s="359"/>
      <c r="H351" s="359"/>
      <c r="I351" s="351"/>
      <c r="J351" s="359"/>
      <c r="K351" s="359"/>
      <c r="L351" s="359"/>
      <c r="M351" s="351"/>
      <c r="N351" s="351"/>
      <c r="O351" s="351"/>
      <c r="P351" s="351"/>
      <c r="Q351" s="351"/>
      <c r="R351" s="351"/>
      <c r="S351" s="351"/>
      <c r="T351" s="351"/>
      <c r="U351" s="351"/>
      <c r="V351" s="351"/>
      <c r="W351" s="351"/>
      <c r="X351" s="359"/>
      <c r="Y351" s="359"/>
      <c r="Z351" s="359"/>
      <c r="AA351" s="351"/>
      <c r="AB351" s="351"/>
      <c r="AC351" s="359"/>
      <c r="AD351" s="359"/>
      <c r="AE351" s="351"/>
      <c r="AF351" s="333"/>
      <c r="AG351" s="333"/>
      <c r="AH351" s="351"/>
      <c r="AI351" s="351"/>
      <c r="AJ351" s="351"/>
      <c r="AK351" s="351"/>
      <c r="AL351" s="351"/>
      <c r="AM351" s="351"/>
      <c r="AN351" s="351"/>
      <c r="AO351" s="351"/>
      <c r="AP351" s="351"/>
      <c r="AQ351" s="351"/>
      <c r="AR351" s="351"/>
      <c r="AS351" s="351"/>
      <c r="AT351" s="351"/>
      <c r="AU351" s="351"/>
      <c r="AV351" s="351"/>
      <c r="AW351" s="351"/>
      <c r="AX351" s="351"/>
      <c r="AY351" s="351"/>
    </row>
    <row r="352" spans="1:51" ht="13">
      <c r="A352" s="333"/>
      <c r="B352" s="351"/>
      <c r="C352" s="351"/>
      <c r="D352" s="333"/>
      <c r="E352" s="333"/>
      <c r="F352" s="333"/>
      <c r="G352" s="359"/>
      <c r="H352" s="359"/>
      <c r="I352" s="351"/>
      <c r="J352" s="359"/>
      <c r="K352" s="359"/>
      <c r="L352" s="359"/>
      <c r="M352" s="351"/>
      <c r="N352" s="351"/>
      <c r="O352" s="351"/>
      <c r="P352" s="351"/>
      <c r="Q352" s="351"/>
      <c r="R352" s="351"/>
      <c r="S352" s="351"/>
      <c r="T352" s="351"/>
      <c r="U352" s="351"/>
      <c r="V352" s="351"/>
      <c r="W352" s="351"/>
      <c r="X352" s="359"/>
      <c r="Y352" s="359"/>
      <c r="Z352" s="359"/>
      <c r="AA352" s="351"/>
      <c r="AB352" s="351"/>
      <c r="AC352" s="359"/>
      <c r="AD352" s="359"/>
      <c r="AE352" s="351"/>
      <c r="AF352" s="333"/>
      <c r="AG352" s="333"/>
      <c r="AH352" s="351"/>
      <c r="AI352" s="351"/>
      <c r="AJ352" s="351"/>
      <c r="AK352" s="351"/>
      <c r="AL352" s="351"/>
      <c r="AM352" s="351"/>
      <c r="AN352" s="351"/>
      <c r="AO352" s="351"/>
      <c r="AP352" s="351"/>
      <c r="AQ352" s="351"/>
      <c r="AR352" s="351"/>
      <c r="AS352" s="351"/>
      <c r="AT352" s="351"/>
      <c r="AU352" s="351"/>
      <c r="AV352" s="351"/>
      <c r="AW352" s="351"/>
      <c r="AX352" s="351"/>
      <c r="AY352" s="351"/>
    </row>
    <row r="353" spans="1:51" ht="13">
      <c r="A353" s="333"/>
      <c r="B353" s="351"/>
      <c r="C353" s="351"/>
      <c r="D353" s="333"/>
      <c r="E353" s="333"/>
      <c r="F353" s="333"/>
      <c r="G353" s="359"/>
      <c r="H353" s="359"/>
      <c r="I353" s="351"/>
      <c r="J353" s="359"/>
      <c r="K353" s="359"/>
      <c r="L353" s="359"/>
      <c r="M353" s="351"/>
      <c r="N353" s="351"/>
      <c r="O353" s="351"/>
      <c r="P353" s="351"/>
      <c r="Q353" s="351"/>
      <c r="R353" s="351"/>
      <c r="S353" s="351"/>
      <c r="T353" s="351"/>
      <c r="U353" s="351"/>
      <c r="V353" s="351"/>
      <c r="W353" s="351"/>
      <c r="X353" s="359"/>
      <c r="Y353" s="359"/>
      <c r="Z353" s="359"/>
      <c r="AA353" s="351"/>
      <c r="AB353" s="351"/>
      <c r="AC353" s="359"/>
      <c r="AD353" s="359"/>
      <c r="AE353" s="351"/>
      <c r="AF353" s="333"/>
      <c r="AG353" s="333"/>
      <c r="AH353" s="351"/>
      <c r="AI353" s="351"/>
      <c r="AJ353" s="351"/>
      <c r="AK353" s="351"/>
      <c r="AL353" s="351"/>
      <c r="AM353" s="351"/>
      <c r="AN353" s="351"/>
      <c r="AO353" s="351"/>
      <c r="AP353" s="351"/>
      <c r="AQ353" s="351"/>
      <c r="AR353" s="351"/>
      <c r="AS353" s="351"/>
      <c r="AT353" s="351"/>
      <c r="AU353" s="351"/>
      <c r="AV353" s="351"/>
      <c r="AW353" s="351"/>
      <c r="AX353" s="351"/>
      <c r="AY353" s="351"/>
    </row>
    <row r="354" spans="1:51" ht="13">
      <c r="A354" s="333"/>
      <c r="B354" s="351"/>
      <c r="C354" s="351"/>
      <c r="D354" s="333"/>
      <c r="E354" s="333"/>
      <c r="F354" s="333"/>
      <c r="G354" s="359"/>
      <c r="H354" s="359"/>
      <c r="I354" s="351"/>
      <c r="J354" s="359"/>
      <c r="K354" s="359"/>
      <c r="L354" s="359"/>
      <c r="M354" s="351"/>
      <c r="N354" s="351"/>
      <c r="O354" s="351"/>
      <c r="P354" s="351"/>
      <c r="Q354" s="351"/>
      <c r="R354" s="351"/>
      <c r="S354" s="351"/>
      <c r="T354" s="351"/>
      <c r="U354" s="351"/>
      <c r="V354" s="351"/>
      <c r="W354" s="351"/>
      <c r="X354" s="359"/>
      <c r="Y354" s="359"/>
      <c r="Z354" s="359"/>
      <c r="AA354" s="351"/>
      <c r="AB354" s="351"/>
      <c r="AC354" s="359"/>
      <c r="AD354" s="359"/>
      <c r="AE354" s="351"/>
      <c r="AF354" s="333"/>
      <c r="AG354" s="333"/>
      <c r="AH354" s="351"/>
      <c r="AI354" s="351"/>
      <c r="AJ354" s="351"/>
      <c r="AK354" s="351"/>
      <c r="AL354" s="351"/>
      <c r="AM354" s="351"/>
      <c r="AN354" s="351"/>
      <c r="AO354" s="351"/>
      <c r="AP354" s="351"/>
      <c r="AQ354" s="351"/>
      <c r="AR354" s="351"/>
      <c r="AS354" s="351"/>
      <c r="AT354" s="351"/>
      <c r="AU354" s="351"/>
      <c r="AV354" s="351"/>
      <c r="AW354" s="351"/>
      <c r="AX354" s="351"/>
      <c r="AY354" s="351"/>
    </row>
    <row r="355" spans="1:51" ht="13">
      <c r="A355" s="333"/>
      <c r="B355" s="351"/>
      <c r="C355" s="351"/>
      <c r="D355" s="333"/>
      <c r="E355" s="333"/>
      <c r="F355" s="333"/>
      <c r="G355" s="359"/>
      <c r="H355" s="359"/>
      <c r="I355" s="351"/>
      <c r="J355" s="359"/>
      <c r="K355" s="359"/>
      <c r="L355" s="359"/>
      <c r="M355" s="351"/>
      <c r="N355" s="351"/>
      <c r="O355" s="351"/>
      <c r="P355" s="351"/>
      <c r="Q355" s="351"/>
      <c r="R355" s="351"/>
      <c r="S355" s="351"/>
      <c r="T355" s="351"/>
      <c r="U355" s="351"/>
      <c r="V355" s="351"/>
      <c r="W355" s="351"/>
      <c r="X355" s="359"/>
      <c r="Y355" s="359"/>
      <c r="Z355" s="359"/>
      <c r="AA355" s="351"/>
      <c r="AB355" s="351"/>
      <c r="AC355" s="359"/>
      <c r="AD355" s="359"/>
      <c r="AE355" s="351"/>
      <c r="AF355" s="333"/>
      <c r="AG355" s="333"/>
      <c r="AH355" s="351"/>
      <c r="AI355" s="351"/>
      <c r="AJ355" s="351"/>
      <c r="AK355" s="351"/>
      <c r="AL355" s="351"/>
      <c r="AM355" s="351"/>
      <c r="AN355" s="351"/>
      <c r="AO355" s="351"/>
      <c r="AP355" s="351"/>
      <c r="AQ355" s="351"/>
      <c r="AR355" s="351"/>
      <c r="AS355" s="351"/>
      <c r="AT355" s="351"/>
      <c r="AU355" s="351"/>
      <c r="AV355" s="351"/>
      <c r="AW355" s="351"/>
      <c r="AX355" s="351"/>
      <c r="AY355" s="351"/>
    </row>
    <row r="356" spans="1:51" ht="13">
      <c r="A356" s="333"/>
      <c r="B356" s="351"/>
      <c r="C356" s="351"/>
      <c r="D356" s="333"/>
      <c r="E356" s="333"/>
      <c r="F356" s="333"/>
      <c r="G356" s="359"/>
      <c r="H356" s="359"/>
      <c r="I356" s="351"/>
      <c r="J356" s="359"/>
      <c r="K356" s="359"/>
      <c r="L356" s="359"/>
      <c r="M356" s="351"/>
      <c r="N356" s="351"/>
      <c r="O356" s="351"/>
      <c r="P356" s="351"/>
      <c r="Q356" s="351"/>
      <c r="R356" s="351"/>
      <c r="S356" s="351"/>
      <c r="T356" s="351"/>
      <c r="U356" s="351"/>
      <c r="V356" s="351"/>
      <c r="W356" s="351"/>
      <c r="X356" s="359"/>
      <c r="Y356" s="359"/>
      <c r="Z356" s="359"/>
      <c r="AA356" s="351"/>
      <c r="AB356" s="351"/>
      <c r="AC356" s="359"/>
      <c r="AD356" s="359"/>
      <c r="AE356" s="351"/>
      <c r="AF356" s="333"/>
      <c r="AG356" s="333"/>
      <c r="AH356" s="351"/>
      <c r="AI356" s="351"/>
      <c r="AJ356" s="351"/>
      <c r="AK356" s="351"/>
      <c r="AL356" s="351"/>
      <c r="AM356" s="351"/>
      <c r="AN356" s="351"/>
      <c r="AO356" s="351"/>
      <c r="AP356" s="351"/>
      <c r="AQ356" s="351"/>
      <c r="AR356" s="351"/>
      <c r="AS356" s="351"/>
      <c r="AT356" s="351"/>
      <c r="AU356" s="351"/>
      <c r="AV356" s="351"/>
      <c r="AW356" s="351"/>
      <c r="AX356" s="351"/>
      <c r="AY356" s="351"/>
    </row>
    <row r="357" spans="1:51" ht="13">
      <c r="A357" s="333"/>
      <c r="B357" s="351"/>
      <c r="C357" s="351"/>
      <c r="D357" s="333"/>
      <c r="E357" s="333"/>
      <c r="F357" s="333"/>
      <c r="G357" s="359"/>
      <c r="H357" s="359"/>
      <c r="I357" s="351"/>
      <c r="J357" s="359"/>
      <c r="K357" s="359"/>
      <c r="L357" s="359"/>
      <c r="M357" s="351"/>
      <c r="N357" s="351"/>
      <c r="O357" s="351"/>
      <c r="P357" s="351"/>
      <c r="Q357" s="351"/>
      <c r="R357" s="351"/>
      <c r="S357" s="351"/>
      <c r="T357" s="351"/>
      <c r="U357" s="351"/>
      <c r="V357" s="351"/>
      <c r="W357" s="351"/>
      <c r="X357" s="359"/>
      <c r="Y357" s="359"/>
      <c r="Z357" s="359"/>
      <c r="AA357" s="351"/>
      <c r="AB357" s="351"/>
      <c r="AC357" s="359"/>
      <c r="AD357" s="359"/>
      <c r="AE357" s="351"/>
      <c r="AF357" s="333"/>
      <c r="AG357" s="333"/>
      <c r="AH357" s="351"/>
      <c r="AI357" s="351"/>
      <c r="AJ357" s="351"/>
      <c r="AK357" s="351"/>
      <c r="AL357" s="351"/>
      <c r="AM357" s="351"/>
      <c r="AN357" s="351"/>
      <c r="AO357" s="351"/>
      <c r="AP357" s="351"/>
      <c r="AQ357" s="351"/>
      <c r="AR357" s="351"/>
      <c r="AS357" s="351"/>
      <c r="AT357" s="351"/>
      <c r="AU357" s="351"/>
      <c r="AV357" s="351"/>
      <c r="AW357" s="351"/>
      <c r="AX357" s="351"/>
      <c r="AY357" s="351"/>
    </row>
    <row r="358" spans="1:51" ht="13">
      <c r="A358" s="333"/>
      <c r="B358" s="351"/>
      <c r="C358" s="351"/>
      <c r="D358" s="333"/>
      <c r="E358" s="333"/>
      <c r="F358" s="333"/>
      <c r="G358" s="359"/>
      <c r="H358" s="359"/>
      <c r="I358" s="351"/>
      <c r="J358" s="359"/>
      <c r="K358" s="359"/>
      <c r="L358" s="359"/>
      <c r="M358" s="351"/>
      <c r="N358" s="351"/>
      <c r="O358" s="351"/>
      <c r="P358" s="351"/>
      <c r="Q358" s="351"/>
      <c r="R358" s="351"/>
      <c r="S358" s="351"/>
      <c r="T358" s="351"/>
      <c r="U358" s="351"/>
      <c r="V358" s="351"/>
      <c r="W358" s="351"/>
      <c r="X358" s="359"/>
      <c r="Y358" s="359"/>
      <c r="Z358" s="359"/>
      <c r="AA358" s="351"/>
      <c r="AB358" s="351"/>
      <c r="AC358" s="359"/>
      <c r="AD358" s="359"/>
      <c r="AE358" s="351"/>
      <c r="AF358" s="333"/>
      <c r="AG358" s="333"/>
      <c r="AH358" s="351"/>
      <c r="AI358" s="351"/>
      <c r="AJ358" s="351"/>
      <c r="AK358" s="351"/>
      <c r="AL358" s="351"/>
      <c r="AM358" s="351"/>
      <c r="AN358" s="351"/>
      <c r="AO358" s="351"/>
      <c r="AP358" s="351"/>
      <c r="AQ358" s="351"/>
      <c r="AR358" s="351"/>
      <c r="AS358" s="351"/>
      <c r="AT358" s="351"/>
      <c r="AU358" s="351"/>
      <c r="AV358" s="351"/>
      <c r="AW358" s="351"/>
      <c r="AX358" s="351"/>
      <c r="AY358" s="351"/>
    </row>
    <row r="359" spans="1:51" ht="13">
      <c r="A359" s="333"/>
      <c r="B359" s="351"/>
      <c r="C359" s="351"/>
      <c r="D359" s="333"/>
      <c r="E359" s="333"/>
      <c r="F359" s="333"/>
      <c r="G359" s="359"/>
      <c r="H359" s="359"/>
      <c r="I359" s="351"/>
      <c r="J359" s="359"/>
      <c r="K359" s="359"/>
      <c r="L359" s="359"/>
      <c r="M359" s="351"/>
      <c r="N359" s="351"/>
      <c r="O359" s="351"/>
      <c r="P359" s="351"/>
      <c r="Q359" s="351"/>
      <c r="R359" s="351"/>
      <c r="S359" s="351"/>
      <c r="T359" s="351"/>
      <c r="U359" s="351"/>
      <c r="V359" s="351"/>
      <c r="W359" s="351"/>
      <c r="X359" s="359"/>
      <c r="Y359" s="359"/>
      <c r="Z359" s="359"/>
      <c r="AA359" s="351"/>
      <c r="AB359" s="351"/>
      <c r="AC359" s="359"/>
      <c r="AD359" s="359"/>
      <c r="AE359" s="351"/>
      <c r="AF359" s="333"/>
      <c r="AG359" s="333"/>
      <c r="AH359" s="351"/>
      <c r="AI359" s="351"/>
      <c r="AJ359" s="351"/>
      <c r="AK359" s="351"/>
      <c r="AL359" s="351"/>
      <c r="AM359" s="351"/>
      <c r="AN359" s="351"/>
      <c r="AO359" s="351"/>
      <c r="AP359" s="351"/>
      <c r="AQ359" s="351"/>
      <c r="AR359" s="351"/>
      <c r="AS359" s="351"/>
      <c r="AT359" s="351"/>
      <c r="AU359" s="351"/>
      <c r="AV359" s="351"/>
      <c r="AW359" s="351"/>
      <c r="AX359" s="351"/>
      <c r="AY359" s="351"/>
    </row>
    <row r="360" spans="1:51" ht="13">
      <c r="A360" s="333"/>
      <c r="B360" s="351"/>
      <c r="C360" s="351"/>
      <c r="D360" s="333"/>
      <c r="E360" s="333"/>
      <c r="F360" s="333"/>
      <c r="G360" s="359"/>
      <c r="H360" s="359"/>
      <c r="I360" s="351"/>
      <c r="J360" s="359"/>
      <c r="K360" s="359"/>
      <c r="L360" s="359"/>
      <c r="M360" s="351"/>
      <c r="N360" s="351"/>
      <c r="O360" s="351"/>
      <c r="P360" s="351"/>
      <c r="Q360" s="351"/>
      <c r="R360" s="351"/>
      <c r="S360" s="351"/>
      <c r="T360" s="351"/>
      <c r="U360" s="351"/>
      <c r="V360" s="351"/>
      <c r="W360" s="351"/>
      <c r="X360" s="359"/>
      <c r="Y360" s="359"/>
      <c r="Z360" s="359"/>
      <c r="AA360" s="351"/>
      <c r="AB360" s="351"/>
      <c r="AC360" s="359"/>
      <c r="AD360" s="359"/>
      <c r="AE360" s="351"/>
      <c r="AF360" s="333"/>
      <c r="AG360" s="333"/>
      <c r="AH360" s="351"/>
      <c r="AI360" s="351"/>
      <c r="AJ360" s="351"/>
      <c r="AK360" s="351"/>
      <c r="AL360" s="351"/>
      <c r="AM360" s="351"/>
      <c r="AN360" s="351"/>
      <c r="AO360" s="351"/>
      <c r="AP360" s="351"/>
      <c r="AQ360" s="351"/>
      <c r="AR360" s="351"/>
      <c r="AS360" s="351"/>
      <c r="AT360" s="351"/>
      <c r="AU360" s="351"/>
      <c r="AV360" s="351"/>
      <c r="AW360" s="351"/>
      <c r="AX360" s="351"/>
      <c r="AY360" s="351"/>
    </row>
    <row r="361" spans="1:51" ht="13">
      <c r="A361" s="333"/>
      <c r="B361" s="351"/>
      <c r="C361" s="351"/>
      <c r="D361" s="333"/>
      <c r="E361" s="333"/>
      <c r="F361" s="333"/>
      <c r="G361" s="359"/>
      <c r="H361" s="359"/>
      <c r="I361" s="351"/>
      <c r="J361" s="359"/>
      <c r="K361" s="359"/>
      <c r="L361" s="359"/>
      <c r="M361" s="351"/>
      <c r="N361" s="351"/>
      <c r="O361" s="351"/>
      <c r="P361" s="351"/>
      <c r="Q361" s="351"/>
      <c r="R361" s="351"/>
      <c r="S361" s="351"/>
      <c r="T361" s="351"/>
      <c r="U361" s="351"/>
      <c r="V361" s="351"/>
      <c r="W361" s="351"/>
      <c r="X361" s="359"/>
      <c r="Y361" s="359"/>
      <c r="Z361" s="359"/>
      <c r="AA361" s="351"/>
      <c r="AB361" s="351"/>
      <c r="AC361" s="359"/>
      <c r="AD361" s="359"/>
      <c r="AE361" s="351"/>
      <c r="AF361" s="333"/>
      <c r="AG361" s="333"/>
      <c r="AH361" s="351"/>
      <c r="AI361" s="351"/>
      <c r="AJ361" s="351"/>
      <c r="AK361" s="351"/>
      <c r="AL361" s="351"/>
      <c r="AM361" s="351"/>
      <c r="AN361" s="351"/>
      <c r="AO361" s="351"/>
      <c r="AP361" s="351"/>
      <c r="AQ361" s="351"/>
      <c r="AR361" s="351"/>
      <c r="AS361" s="351"/>
      <c r="AT361" s="351"/>
      <c r="AU361" s="351"/>
      <c r="AV361" s="351"/>
      <c r="AW361" s="351"/>
      <c r="AX361" s="351"/>
      <c r="AY361" s="351"/>
    </row>
    <row r="362" spans="1:51" ht="13">
      <c r="A362" s="333"/>
      <c r="B362" s="351"/>
      <c r="C362" s="351"/>
      <c r="D362" s="333"/>
      <c r="E362" s="333"/>
      <c r="F362" s="333"/>
      <c r="G362" s="359"/>
      <c r="H362" s="359"/>
      <c r="I362" s="351"/>
      <c r="J362" s="359"/>
      <c r="K362" s="359"/>
      <c r="L362" s="359"/>
      <c r="M362" s="351"/>
      <c r="N362" s="351"/>
      <c r="O362" s="351"/>
      <c r="P362" s="351"/>
      <c r="Q362" s="351"/>
      <c r="R362" s="351"/>
      <c r="S362" s="351"/>
      <c r="T362" s="351"/>
      <c r="U362" s="351"/>
      <c r="V362" s="351"/>
      <c r="W362" s="351"/>
      <c r="X362" s="359"/>
      <c r="Y362" s="359"/>
      <c r="Z362" s="359"/>
      <c r="AA362" s="351"/>
      <c r="AB362" s="351"/>
      <c r="AC362" s="359"/>
      <c r="AD362" s="359"/>
      <c r="AE362" s="351"/>
      <c r="AF362" s="333"/>
      <c r="AG362" s="333"/>
      <c r="AH362" s="351"/>
      <c r="AI362" s="351"/>
      <c r="AJ362" s="351"/>
      <c r="AK362" s="351"/>
      <c r="AL362" s="351"/>
      <c r="AM362" s="351"/>
      <c r="AN362" s="351"/>
      <c r="AO362" s="351"/>
      <c r="AP362" s="351"/>
      <c r="AQ362" s="351"/>
      <c r="AR362" s="351"/>
      <c r="AS362" s="351"/>
      <c r="AT362" s="351"/>
      <c r="AU362" s="351"/>
      <c r="AV362" s="351"/>
      <c r="AW362" s="351"/>
      <c r="AX362" s="351"/>
      <c r="AY362" s="351"/>
    </row>
    <row r="363" spans="1:51" ht="13">
      <c r="A363" s="333"/>
      <c r="B363" s="351"/>
      <c r="C363" s="351"/>
      <c r="D363" s="333"/>
      <c r="E363" s="333"/>
      <c r="F363" s="333"/>
      <c r="G363" s="359"/>
      <c r="H363" s="359"/>
      <c r="I363" s="351"/>
      <c r="J363" s="359"/>
      <c r="K363" s="359"/>
      <c r="L363" s="359"/>
      <c r="M363" s="351"/>
      <c r="N363" s="351"/>
      <c r="O363" s="351"/>
      <c r="P363" s="351"/>
      <c r="Q363" s="351"/>
      <c r="R363" s="351"/>
      <c r="S363" s="351"/>
      <c r="T363" s="351"/>
      <c r="U363" s="351"/>
      <c r="V363" s="351"/>
      <c r="W363" s="351"/>
      <c r="X363" s="359"/>
      <c r="Y363" s="359"/>
      <c r="Z363" s="359"/>
      <c r="AA363" s="351"/>
      <c r="AB363" s="351"/>
      <c r="AC363" s="359"/>
      <c r="AD363" s="359"/>
      <c r="AE363" s="351"/>
      <c r="AF363" s="333"/>
      <c r="AG363" s="333"/>
      <c r="AH363" s="351"/>
      <c r="AI363" s="351"/>
      <c r="AJ363" s="351"/>
      <c r="AK363" s="351"/>
      <c r="AL363" s="351"/>
      <c r="AM363" s="351"/>
      <c r="AN363" s="351"/>
      <c r="AO363" s="351"/>
      <c r="AP363" s="351"/>
      <c r="AQ363" s="351"/>
      <c r="AR363" s="351"/>
      <c r="AS363" s="351"/>
      <c r="AT363" s="351"/>
      <c r="AU363" s="351"/>
      <c r="AV363" s="351"/>
      <c r="AW363" s="351"/>
      <c r="AX363" s="351"/>
      <c r="AY363" s="351"/>
    </row>
    <row r="364" spans="1:51" ht="13">
      <c r="A364" s="333"/>
      <c r="B364" s="351"/>
      <c r="C364" s="351"/>
      <c r="D364" s="333"/>
      <c r="E364" s="333"/>
      <c r="F364" s="333"/>
      <c r="G364" s="359"/>
      <c r="H364" s="359"/>
      <c r="I364" s="351"/>
      <c r="J364" s="359"/>
      <c r="K364" s="359"/>
      <c r="L364" s="359"/>
      <c r="M364" s="351"/>
      <c r="N364" s="351"/>
      <c r="O364" s="351"/>
      <c r="P364" s="351"/>
      <c r="Q364" s="351"/>
      <c r="R364" s="351"/>
      <c r="S364" s="351"/>
      <c r="T364" s="351"/>
      <c r="U364" s="351"/>
      <c r="V364" s="351"/>
      <c r="W364" s="351"/>
      <c r="X364" s="359"/>
      <c r="Y364" s="359"/>
      <c r="Z364" s="359"/>
      <c r="AA364" s="351"/>
      <c r="AB364" s="351"/>
      <c r="AC364" s="359"/>
      <c r="AD364" s="359"/>
      <c r="AE364" s="351"/>
      <c r="AF364" s="333"/>
      <c r="AG364" s="333"/>
      <c r="AH364" s="351"/>
      <c r="AI364" s="351"/>
      <c r="AJ364" s="351"/>
      <c r="AK364" s="351"/>
      <c r="AL364" s="351"/>
      <c r="AM364" s="351"/>
      <c r="AN364" s="351"/>
      <c r="AO364" s="351"/>
      <c r="AP364" s="351"/>
      <c r="AQ364" s="351"/>
      <c r="AR364" s="351"/>
      <c r="AS364" s="351"/>
      <c r="AT364" s="351"/>
      <c r="AU364" s="351"/>
      <c r="AV364" s="351"/>
      <c r="AW364" s="351"/>
      <c r="AX364" s="351"/>
      <c r="AY364" s="351"/>
    </row>
    <row r="365" spans="1:51" ht="13">
      <c r="A365" s="333"/>
      <c r="B365" s="351"/>
      <c r="C365" s="351"/>
      <c r="D365" s="333"/>
      <c r="E365" s="333"/>
      <c r="F365" s="333"/>
      <c r="G365" s="359"/>
      <c r="H365" s="359"/>
      <c r="I365" s="351"/>
      <c r="J365" s="359"/>
      <c r="K365" s="359"/>
      <c r="L365" s="359"/>
      <c r="M365" s="351"/>
      <c r="N365" s="351"/>
      <c r="O365" s="351"/>
      <c r="P365" s="351"/>
      <c r="Q365" s="351"/>
      <c r="R365" s="351"/>
      <c r="S365" s="351"/>
      <c r="T365" s="351"/>
      <c r="U365" s="351"/>
      <c r="V365" s="351"/>
      <c r="W365" s="351"/>
      <c r="X365" s="359"/>
      <c r="Y365" s="359"/>
      <c r="Z365" s="359"/>
      <c r="AA365" s="351"/>
      <c r="AB365" s="351"/>
      <c r="AC365" s="359"/>
      <c r="AD365" s="359"/>
      <c r="AE365" s="351"/>
      <c r="AF365" s="333"/>
      <c r="AG365" s="333"/>
      <c r="AH365" s="351"/>
      <c r="AI365" s="351"/>
      <c r="AJ365" s="351"/>
      <c r="AK365" s="351"/>
      <c r="AL365" s="351"/>
      <c r="AM365" s="351"/>
      <c r="AN365" s="351"/>
      <c r="AO365" s="351"/>
      <c r="AP365" s="351"/>
      <c r="AQ365" s="351"/>
      <c r="AR365" s="351"/>
      <c r="AS365" s="351"/>
      <c r="AT365" s="351"/>
      <c r="AU365" s="351"/>
      <c r="AV365" s="351"/>
      <c r="AW365" s="351"/>
      <c r="AX365" s="351"/>
      <c r="AY365" s="351"/>
    </row>
    <row r="366" spans="1:51" ht="13">
      <c r="A366" s="333"/>
      <c r="B366" s="351"/>
      <c r="C366" s="351"/>
      <c r="D366" s="333"/>
      <c r="E366" s="333"/>
      <c r="F366" s="333"/>
      <c r="G366" s="359"/>
      <c r="H366" s="359"/>
      <c r="I366" s="351"/>
      <c r="J366" s="359"/>
      <c r="K366" s="359"/>
      <c r="L366" s="359"/>
      <c r="M366" s="351"/>
      <c r="N366" s="351"/>
      <c r="O366" s="351"/>
      <c r="P366" s="351"/>
      <c r="Q366" s="351"/>
      <c r="R366" s="351"/>
      <c r="S366" s="351"/>
      <c r="T366" s="351"/>
      <c r="U366" s="351"/>
      <c r="V366" s="351"/>
      <c r="W366" s="351"/>
      <c r="X366" s="359"/>
      <c r="Y366" s="359"/>
      <c r="Z366" s="359"/>
      <c r="AA366" s="351"/>
      <c r="AB366" s="351"/>
      <c r="AC366" s="359"/>
      <c r="AD366" s="359"/>
      <c r="AE366" s="351"/>
      <c r="AF366" s="333"/>
      <c r="AG366" s="333"/>
      <c r="AH366" s="351"/>
      <c r="AI366" s="351"/>
      <c r="AJ366" s="351"/>
      <c r="AK366" s="351"/>
      <c r="AL366" s="351"/>
      <c r="AM366" s="351"/>
      <c r="AN366" s="351"/>
      <c r="AO366" s="351"/>
      <c r="AP366" s="351"/>
      <c r="AQ366" s="351"/>
      <c r="AR366" s="351"/>
      <c r="AS366" s="351"/>
      <c r="AT366" s="351"/>
      <c r="AU366" s="351"/>
      <c r="AV366" s="351"/>
      <c r="AW366" s="351"/>
      <c r="AX366" s="351"/>
      <c r="AY366" s="351"/>
    </row>
    <row r="367" spans="1:51" ht="13">
      <c r="A367" s="333"/>
      <c r="B367" s="351"/>
      <c r="C367" s="351"/>
      <c r="D367" s="333"/>
      <c r="E367" s="333"/>
      <c r="F367" s="333"/>
      <c r="G367" s="359"/>
      <c r="H367" s="359"/>
      <c r="I367" s="351"/>
      <c r="J367" s="359"/>
      <c r="K367" s="359"/>
      <c r="L367" s="359"/>
      <c r="M367" s="351"/>
      <c r="N367" s="351"/>
      <c r="O367" s="351"/>
      <c r="P367" s="351"/>
      <c r="Q367" s="351"/>
      <c r="R367" s="351"/>
      <c r="S367" s="351"/>
      <c r="T367" s="351"/>
      <c r="U367" s="351"/>
      <c r="V367" s="351"/>
      <c r="W367" s="351"/>
      <c r="X367" s="359"/>
      <c r="Y367" s="359"/>
      <c r="Z367" s="359"/>
      <c r="AA367" s="351"/>
      <c r="AB367" s="351"/>
      <c r="AC367" s="359"/>
      <c r="AD367" s="359"/>
      <c r="AE367" s="351"/>
      <c r="AF367" s="333"/>
      <c r="AG367" s="333"/>
      <c r="AH367" s="351"/>
      <c r="AI367" s="351"/>
      <c r="AJ367" s="351"/>
      <c r="AK367" s="351"/>
      <c r="AL367" s="351"/>
      <c r="AM367" s="351"/>
      <c r="AN367" s="351"/>
      <c r="AO367" s="351"/>
      <c r="AP367" s="351"/>
      <c r="AQ367" s="351"/>
      <c r="AR367" s="351"/>
      <c r="AS367" s="351"/>
      <c r="AT367" s="351"/>
      <c r="AU367" s="351"/>
      <c r="AV367" s="351"/>
      <c r="AW367" s="351"/>
      <c r="AX367" s="351"/>
      <c r="AY367" s="351"/>
    </row>
    <row r="368" spans="1:51" ht="13">
      <c r="A368" s="333"/>
      <c r="B368" s="351"/>
      <c r="C368" s="351"/>
      <c r="D368" s="333"/>
      <c r="E368" s="333"/>
      <c r="F368" s="333"/>
      <c r="G368" s="359"/>
      <c r="H368" s="359"/>
      <c r="I368" s="351"/>
      <c r="J368" s="359"/>
      <c r="K368" s="359"/>
      <c r="L368" s="359"/>
      <c r="M368" s="351"/>
      <c r="N368" s="351"/>
      <c r="O368" s="351"/>
      <c r="P368" s="351"/>
      <c r="Q368" s="351"/>
      <c r="R368" s="351"/>
      <c r="S368" s="351"/>
      <c r="T368" s="351"/>
      <c r="U368" s="351"/>
      <c r="V368" s="351"/>
      <c r="W368" s="351"/>
      <c r="X368" s="359"/>
      <c r="Y368" s="359"/>
      <c r="Z368" s="359"/>
      <c r="AA368" s="351"/>
      <c r="AB368" s="351"/>
      <c r="AC368" s="359"/>
      <c r="AD368" s="359"/>
      <c r="AE368" s="351"/>
      <c r="AF368" s="333"/>
      <c r="AG368" s="333"/>
      <c r="AH368" s="351"/>
      <c r="AI368" s="351"/>
      <c r="AJ368" s="351"/>
      <c r="AK368" s="351"/>
      <c r="AL368" s="351"/>
      <c r="AM368" s="351"/>
      <c r="AN368" s="351"/>
      <c r="AO368" s="351"/>
      <c r="AP368" s="351"/>
      <c r="AQ368" s="351"/>
      <c r="AR368" s="351"/>
      <c r="AS368" s="351"/>
      <c r="AT368" s="351"/>
      <c r="AU368" s="351"/>
      <c r="AV368" s="351"/>
      <c r="AW368" s="351"/>
      <c r="AX368" s="351"/>
      <c r="AY368" s="351"/>
    </row>
    <row r="369" spans="1:51" ht="13">
      <c r="A369" s="333"/>
      <c r="B369" s="351"/>
      <c r="C369" s="351"/>
      <c r="D369" s="333"/>
      <c r="E369" s="333"/>
      <c r="F369" s="333"/>
      <c r="G369" s="359"/>
      <c r="H369" s="359"/>
      <c r="I369" s="351"/>
      <c r="J369" s="359"/>
      <c r="K369" s="359"/>
      <c r="L369" s="359"/>
      <c r="M369" s="351"/>
      <c r="N369" s="351"/>
      <c r="O369" s="351"/>
      <c r="P369" s="351"/>
      <c r="Q369" s="351"/>
      <c r="R369" s="351"/>
      <c r="S369" s="351"/>
      <c r="T369" s="351"/>
      <c r="U369" s="351"/>
      <c r="V369" s="351"/>
      <c r="W369" s="351"/>
      <c r="X369" s="359"/>
      <c r="Y369" s="359"/>
      <c r="Z369" s="359"/>
      <c r="AA369" s="351"/>
      <c r="AB369" s="351"/>
      <c r="AC369" s="359"/>
      <c r="AD369" s="359"/>
      <c r="AE369" s="351"/>
      <c r="AF369" s="333"/>
      <c r="AG369" s="333"/>
      <c r="AH369" s="351"/>
      <c r="AI369" s="351"/>
      <c r="AJ369" s="351"/>
      <c r="AK369" s="351"/>
      <c r="AL369" s="351"/>
      <c r="AM369" s="351"/>
      <c r="AN369" s="351"/>
      <c r="AO369" s="351"/>
      <c r="AP369" s="351"/>
      <c r="AQ369" s="351"/>
      <c r="AR369" s="351"/>
      <c r="AS369" s="351"/>
      <c r="AT369" s="351"/>
      <c r="AU369" s="351"/>
      <c r="AV369" s="351"/>
      <c r="AW369" s="351"/>
      <c r="AX369" s="351"/>
      <c r="AY369" s="351"/>
    </row>
    <row r="370" spans="1:51" ht="13">
      <c r="A370" s="333"/>
      <c r="B370" s="351"/>
      <c r="C370" s="351"/>
      <c r="D370" s="333"/>
      <c r="E370" s="333"/>
      <c r="F370" s="333"/>
      <c r="G370" s="359"/>
      <c r="H370" s="359"/>
      <c r="I370" s="351"/>
      <c r="J370" s="359"/>
      <c r="K370" s="359"/>
      <c r="L370" s="359"/>
      <c r="M370" s="351"/>
      <c r="N370" s="351"/>
      <c r="O370" s="351"/>
      <c r="P370" s="351"/>
      <c r="Q370" s="351"/>
      <c r="R370" s="351"/>
      <c r="S370" s="351"/>
      <c r="T370" s="351"/>
      <c r="U370" s="351"/>
      <c r="V370" s="351"/>
      <c r="W370" s="351"/>
      <c r="X370" s="359"/>
      <c r="Y370" s="359"/>
      <c r="Z370" s="359"/>
      <c r="AA370" s="351"/>
      <c r="AB370" s="351"/>
      <c r="AC370" s="359"/>
      <c r="AD370" s="359"/>
      <c r="AE370" s="351"/>
      <c r="AF370" s="333"/>
      <c r="AG370" s="333"/>
      <c r="AH370" s="351"/>
      <c r="AI370" s="351"/>
      <c r="AJ370" s="351"/>
      <c r="AK370" s="351"/>
      <c r="AL370" s="351"/>
      <c r="AM370" s="351"/>
      <c r="AN370" s="351"/>
      <c r="AO370" s="351"/>
      <c r="AP370" s="351"/>
      <c r="AQ370" s="351"/>
      <c r="AR370" s="351"/>
      <c r="AS370" s="351"/>
      <c r="AT370" s="351"/>
      <c r="AU370" s="351"/>
      <c r="AV370" s="351"/>
      <c r="AW370" s="351"/>
      <c r="AX370" s="351"/>
      <c r="AY370" s="351"/>
    </row>
    <row r="371" spans="1:51" ht="13">
      <c r="A371" s="333"/>
      <c r="B371" s="351"/>
      <c r="C371" s="351"/>
      <c r="D371" s="333"/>
      <c r="E371" s="333"/>
      <c r="F371" s="333"/>
      <c r="G371" s="359"/>
      <c r="H371" s="359"/>
      <c r="I371" s="351"/>
      <c r="J371" s="359"/>
      <c r="K371" s="359"/>
      <c r="L371" s="359"/>
      <c r="M371" s="351"/>
      <c r="N371" s="351"/>
      <c r="O371" s="351"/>
      <c r="P371" s="351"/>
      <c r="Q371" s="351"/>
      <c r="R371" s="351"/>
      <c r="S371" s="351"/>
      <c r="T371" s="351"/>
      <c r="U371" s="351"/>
      <c r="V371" s="351"/>
      <c r="W371" s="351"/>
      <c r="X371" s="359"/>
      <c r="Y371" s="359"/>
      <c r="Z371" s="359"/>
      <c r="AA371" s="351"/>
      <c r="AB371" s="351"/>
      <c r="AC371" s="359"/>
      <c r="AD371" s="359"/>
      <c r="AE371" s="351"/>
      <c r="AF371" s="333"/>
      <c r="AG371" s="333"/>
      <c r="AH371" s="351"/>
      <c r="AI371" s="351"/>
      <c r="AJ371" s="351"/>
      <c r="AK371" s="351"/>
      <c r="AL371" s="351"/>
      <c r="AM371" s="351"/>
      <c r="AN371" s="351"/>
      <c r="AO371" s="351"/>
      <c r="AP371" s="351"/>
      <c r="AQ371" s="351"/>
      <c r="AR371" s="351"/>
      <c r="AS371" s="351"/>
      <c r="AT371" s="351"/>
      <c r="AU371" s="351"/>
      <c r="AV371" s="351"/>
      <c r="AW371" s="351"/>
      <c r="AX371" s="351"/>
      <c r="AY371" s="351"/>
    </row>
    <row r="372" spans="1:51" ht="13">
      <c r="A372" s="333"/>
      <c r="B372" s="351"/>
      <c r="C372" s="351"/>
      <c r="D372" s="333"/>
      <c r="E372" s="333"/>
      <c r="F372" s="333"/>
      <c r="G372" s="359"/>
      <c r="H372" s="359"/>
      <c r="I372" s="351"/>
      <c r="J372" s="359"/>
      <c r="K372" s="359"/>
      <c r="L372" s="359"/>
      <c r="M372" s="351"/>
      <c r="N372" s="351"/>
      <c r="O372" s="351"/>
      <c r="P372" s="351"/>
      <c r="Q372" s="351"/>
      <c r="R372" s="351"/>
      <c r="S372" s="351"/>
      <c r="T372" s="351"/>
      <c r="U372" s="351"/>
      <c r="V372" s="351"/>
      <c r="W372" s="351"/>
      <c r="X372" s="359"/>
      <c r="Y372" s="359"/>
      <c r="Z372" s="359"/>
      <c r="AA372" s="351"/>
      <c r="AB372" s="351"/>
      <c r="AC372" s="359"/>
      <c r="AD372" s="359"/>
      <c r="AE372" s="351"/>
      <c r="AF372" s="333"/>
      <c r="AG372" s="333"/>
      <c r="AH372" s="351"/>
      <c r="AI372" s="351"/>
      <c r="AJ372" s="351"/>
      <c r="AK372" s="351"/>
      <c r="AL372" s="351"/>
      <c r="AM372" s="351"/>
      <c r="AN372" s="351"/>
      <c r="AO372" s="351"/>
      <c r="AP372" s="351"/>
      <c r="AQ372" s="351"/>
      <c r="AR372" s="351"/>
      <c r="AS372" s="351"/>
      <c r="AT372" s="351"/>
      <c r="AU372" s="351"/>
      <c r="AV372" s="351"/>
      <c r="AW372" s="351"/>
      <c r="AX372" s="351"/>
      <c r="AY372" s="351"/>
    </row>
    <row r="373" spans="1:51" ht="13">
      <c r="A373" s="333"/>
      <c r="B373" s="351"/>
      <c r="C373" s="351"/>
      <c r="D373" s="333"/>
      <c r="E373" s="333"/>
      <c r="F373" s="333"/>
      <c r="G373" s="359"/>
      <c r="H373" s="359"/>
      <c r="I373" s="351"/>
      <c r="J373" s="359"/>
      <c r="K373" s="359"/>
      <c r="L373" s="359"/>
      <c r="M373" s="351"/>
      <c r="N373" s="351"/>
      <c r="O373" s="351"/>
      <c r="P373" s="351"/>
      <c r="Q373" s="351"/>
      <c r="R373" s="351"/>
      <c r="S373" s="351"/>
      <c r="T373" s="351"/>
      <c r="U373" s="351"/>
      <c r="V373" s="351"/>
      <c r="W373" s="351"/>
      <c r="X373" s="359"/>
      <c r="Y373" s="359"/>
      <c r="Z373" s="359"/>
      <c r="AA373" s="351"/>
      <c r="AB373" s="351"/>
      <c r="AC373" s="359"/>
      <c r="AD373" s="359"/>
      <c r="AE373" s="351"/>
      <c r="AF373" s="333"/>
      <c r="AG373" s="333"/>
      <c r="AH373" s="351"/>
      <c r="AI373" s="351"/>
      <c r="AJ373" s="351"/>
      <c r="AK373" s="351"/>
      <c r="AL373" s="351"/>
      <c r="AM373" s="351"/>
      <c r="AN373" s="351"/>
      <c r="AO373" s="351"/>
      <c r="AP373" s="351"/>
      <c r="AQ373" s="351"/>
      <c r="AR373" s="351"/>
      <c r="AS373" s="351"/>
      <c r="AT373" s="351"/>
      <c r="AU373" s="351"/>
      <c r="AV373" s="351"/>
      <c r="AW373" s="351"/>
      <c r="AX373" s="351"/>
      <c r="AY373" s="351"/>
    </row>
    <row r="374" spans="1:51" ht="13">
      <c r="A374" s="333"/>
      <c r="B374" s="351"/>
      <c r="C374" s="351"/>
      <c r="D374" s="333"/>
      <c r="E374" s="333"/>
      <c r="F374" s="333"/>
      <c r="G374" s="359"/>
      <c r="H374" s="359"/>
      <c r="I374" s="351"/>
      <c r="J374" s="359"/>
      <c r="K374" s="359"/>
      <c r="L374" s="359"/>
      <c r="M374" s="351"/>
      <c r="N374" s="351"/>
      <c r="O374" s="351"/>
      <c r="P374" s="351"/>
      <c r="Q374" s="351"/>
      <c r="R374" s="351"/>
      <c r="S374" s="351"/>
      <c r="T374" s="351"/>
      <c r="U374" s="351"/>
      <c r="V374" s="351"/>
      <c r="W374" s="351"/>
      <c r="X374" s="359"/>
      <c r="Y374" s="359"/>
      <c r="Z374" s="359"/>
      <c r="AA374" s="351"/>
      <c r="AB374" s="351"/>
      <c r="AC374" s="359"/>
      <c r="AD374" s="359"/>
      <c r="AE374" s="351"/>
      <c r="AF374" s="333"/>
      <c r="AG374" s="333"/>
      <c r="AH374" s="351"/>
      <c r="AI374" s="351"/>
      <c r="AJ374" s="351"/>
      <c r="AK374" s="351"/>
      <c r="AL374" s="351"/>
      <c r="AM374" s="351"/>
      <c r="AN374" s="351"/>
      <c r="AO374" s="351"/>
      <c r="AP374" s="351"/>
      <c r="AQ374" s="351"/>
      <c r="AR374" s="351"/>
      <c r="AS374" s="351"/>
      <c r="AT374" s="351"/>
      <c r="AU374" s="351"/>
      <c r="AV374" s="351"/>
      <c r="AW374" s="351"/>
      <c r="AX374" s="351"/>
      <c r="AY374" s="351"/>
    </row>
    <row r="375" spans="1:51" ht="13">
      <c r="A375" s="333"/>
      <c r="B375" s="351"/>
      <c r="C375" s="351"/>
      <c r="D375" s="333"/>
      <c r="E375" s="333"/>
      <c r="F375" s="333"/>
      <c r="G375" s="359"/>
      <c r="H375" s="359"/>
      <c r="I375" s="351"/>
      <c r="J375" s="359"/>
      <c r="K375" s="359"/>
      <c r="L375" s="359"/>
      <c r="M375" s="351"/>
      <c r="N375" s="351"/>
      <c r="O375" s="351"/>
      <c r="P375" s="351"/>
      <c r="Q375" s="351"/>
      <c r="R375" s="351"/>
      <c r="S375" s="351"/>
      <c r="T375" s="351"/>
      <c r="U375" s="351"/>
      <c r="V375" s="351"/>
      <c r="W375" s="351"/>
      <c r="X375" s="359"/>
      <c r="Y375" s="359"/>
      <c r="Z375" s="359"/>
      <c r="AA375" s="351"/>
      <c r="AB375" s="351"/>
      <c r="AC375" s="359"/>
      <c r="AD375" s="359"/>
      <c r="AE375" s="351"/>
      <c r="AF375" s="333"/>
      <c r="AG375" s="333"/>
      <c r="AH375" s="351"/>
      <c r="AI375" s="351"/>
      <c r="AJ375" s="351"/>
      <c r="AK375" s="351"/>
      <c r="AL375" s="351"/>
      <c r="AM375" s="351"/>
      <c r="AN375" s="351"/>
      <c r="AO375" s="351"/>
      <c r="AP375" s="351"/>
      <c r="AQ375" s="351"/>
      <c r="AR375" s="351"/>
      <c r="AS375" s="351"/>
      <c r="AT375" s="351"/>
      <c r="AU375" s="351"/>
      <c r="AV375" s="351"/>
      <c r="AW375" s="351"/>
      <c r="AX375" s="351"/>
      <c r="AY375" s="351"/>
    </row>
    <row r="376" spans="1:51" ht="13">
      <c r="A376" s="333"/>
      <c r="B376" s="351"/>
      <c r="C376" s="351"/>
      <c r="D376" s="333"/>
      <c r="E376" s="333"/>
      <c r="F376" s="333"/>
      <c r="G376" s="359"/>
      <c r="H376" s="359"/>
      <c r="I376" s="351"/>
      <c r="J376" s="359"/>
      <c r="K376" s="359"/>
      <c r="L376" s="359"/>
      <c r="M376" s="351"/>
      <c r="N376" s="351"/>
      <c r="O376" s="351"/>
      <c r="P376" s="351"/>
      <c r="Q376" s="351"/>
      <c r="R376" s="351"/>
      <c r="S376" s="351"/>
      <c r="T376" s="351"/>
      <c r="U376" s="351"/>
      <c r="V376" s="351"/>
      <c r="W376" s="351"/>
      <c r="X376" s="359"/>
      <c r="Y376" s="359"/>
      <c r="Z376" s="359"/>
      <c r="AA376" s="351"/>
      <c r="AB376" s="351"/>
      <c r="AC376" s="359"/>
      <c r="AD376" s="359"/>
      <c r="AE376" s="351"/>
      <c r="AF376" s="333"/>
      <c r="AG376" s="333"/>
      <c r="AH376" s="351"/>
      <c r="AI376" s="351"/>
      <c r="AJ376" s="351"/>
      <c r="AK376" s="351"/>
      <c r="AL376" s="351"/>
      <c r="AM376" s="351"/>
      <c r="AN376" s="351"/>
      <c r="AO376" s="351"/>
      <c r="AP376" s="351"/>
      <c r="AQ376" s="351"/>
      <c r="AR376" s="351"/>
      <c r="AS376" s="351"/>
      <c r="AT376" s="351"/>
      <c r="AU376" s="351"/>
      <c r="AV376" s="351"/>
      <c r="AW376" s="351"/>
      <c r="AX376" s="351"/>
      <c r="AY376" s="351"/>
    </row>
    <row r="377" spans="1:51" ht="13">
      <c r="A377" s="333"/>
      <c r="B377" s="351"/>
      <c r="C377" s="351"/>
      <c r="D377" s="333"/>
      <c r="E377" s="333"/>
      <c r="F377" s="333"/>
      <c r="G377" s="359"/>
      <c r="H377" s="359"/>
      <c r="I377" s="351"/>
      <c r="J377" s="359"/>
      <c r="K377" s="359"/>
      <c r="L377" s="359"/>
      <c r="M377" s="351"/>
      <c r="N377" s="351"/>
      <c r="O377" s="351"/>
      <c r="P377" s="351"/>
      <c r="Q377" s="351"/>
      <c r="R377" s="351"/>
      <c r="S377" s="351"/>
      <c r="T377" s="351"/>
      <c r="U377" s="351"/>
      <c r="V377" s="351"/>
      <c r="W377" s="351"/>
      <c r="X377" s="359"/>
      <c r="Y377" s="359"/>
      <c r="Z377" s="359"/>
      <c r="AA377" s="351"/>
      <c r="AB377" s="351"/>
      <c r="AC377" s="359"/>
      <c r="AD377" s="359"/>
      <c r="AE377" s="351"/>
      <c r="AF377" s="333"/>
      <c r="AG377" s="333"/>
      <c r="AH377" s="351"/>
      <c r="AI377" s="351"/>
      <c r="AJ377" s="351"/>
      <c r="AK377" s="351"/>
      <c r="AL377" s="351"/>
      <c r="AM377" s="351"/>
      <c r="AN377" s="351"/>
      <c r="AO377" s="351"/>
      <c r="AP377" s="351"/>
      <c r="AQ377" s="351"/>
      <c r="AR377" s="351"/>
      <c r="AS377" s="351"/>
      <c r="AT377" s="351"/>
      <c r="AU377" s="351"/>
      <c r="AV377" s="351"/>
      <c r="AW377" s="351"/>
      <c r="AX377" s="351"/>
      <c r="AY377" s="351"/>
    </row>
    <row r="378" spans="1:51" ht="13">
      <c r="A378" s="333"/>
      <c r="B378" s="351"/>
      <c r="C378" s="351"/>
      <c r="D378" s="333"/>
      <c r="E378" s="333"/>
      <c r="F378" s="333"/>
      <c r="G378" s="359"/>
      <c r="H378" s="359"/>
      <c r="I378" s="351"/>
      <c r="J378" s="359"/>
      <c r="K378" s="359"/>
      <c r="L378" s="359"/>
      <c r="M378" s="351"/>
      <c r="N378" s="351"/>
      <c r="O378" s="351"/>
      <c r="P378" s="351"/>
      <c r="Q378" s="351"/>
      <c r="R378" s="351"/>
      <c r="S378" s="351"/>
      <c r="T378" s="351"/>
      <c r="U378" s="351"/>
      <c r="V378" s="351"/>
      <c r="W378" s="351"/>
      <c r="X378" s="359"/>
      <c r="Y378" s="359"/>
      <c r="Z378" s="359"/>
      <c r="AA378" s="351"/>
      <c r="AB378" s="351"/>
      <c r="AC378" s="359"/>
      <c r="AD378" s="359"/>
      <c r="AE378" s="351"/>
      <c r="AF378" s="333"/>
      <c r="AG378" s="333"/>
      <c r="AH378" s="351"/>
      <c r="AI378" s="351"/>
      <c r="AJ378" s="351"/>
      <c r="AK378" s="351"/>
      <c r="AL378" s="351"/>
      <c r="AM378" s="351"/>
      <c r="AN378" s="351"/>
      <c r="AO378" s="351"/>
      <c r="AP378" s="351"/>
      <c r="AQ378" s="351"/>
      <c r="AR378" s="351"/>
      <c r="AS378" s="351"/>
      <c r="AT378" s="351"/>
      <c r="AU378" s="351"/>
      <c r="AV378" s="351"/>
      <c r="AW378" s="351"/>
      <c r="AX378" s="351"/>
      <c r="AY378" s="351"/>
    </row>
    <row r="379" spans="1:51" ht="13">
      <c r="A379" s="333"/>
      <c r="B379" s="351"/>
      <c r="C379" s="351"/>
      <c r="D379" s="333"/>
      <c r="E379" s="333"/>
      <c r="F379" s="333"/>
      <c r="G379" s="359"/>
      <c r="H379" s="359"/>
      <c r="I379" s="351"/>
      <c r="J379" s="359"/>
      <c r="K379" s="359"/>
      <c r="L379" s="359"/>
      <c r="M379" s="351"/>
      <c r="N379" s="351"/>
      <c r="O379" s="351"/>
      <c r="P379" s="351"/>
      <c r="Q379" s="351"/>
      <c r="R379" s="351"/>
      <c r="S379" s="351"/>
      <c r="T379" s="351"/>
      <c r="U379" s="351"/>
      <c r="V379" s="351"/>
      <c r="W379" s="351"/>
      <c r="X379" s="359"/>
      <c r="Y379" s="359"/>
      <c r="Z379" s="359"/>
      <c r="AA379" s="351"/>
      <c r="AB379" s="351"/>
      <c r="AC379" s="359"/>
      <c r="AD379" s="359"/>
      <c r="AE379" s="351"/>
      <c r="AF379" s="333"/>
      <c r="AG379" s="333"/>
      <c r="AH379" s="351"/>
      <c r="AI379" s="351"/>
      <c r="AJ379" s="351"/>
      <c r="AK379" s="351"/>
      <c r="AL379" s="351"/>
      <c r="AM379" s="351"/>
      <c r="AN379" s="351"/>
      <c r="AO379" s="351"/>
      <c r="AP379" s="351"/>
      <c r="AQ379" s="351"/>
      <c r="AR379" s="351"/>
      <c r="AS379" s="351"/>
      <c r="AT379" s="351"/>
      <c r="AU379" s="351"/>
      <c r="AV379" s="351"/>
      <c r="AW379" s="351"/>
      <c r="AX379" s="351"/>
      <c r="AY379" s="351"/>
    </row>
    <row r="380" spans="1:51" ht="13">
      <c r="A380" s="333"/>
      <c r="B380" s="351"/>
      <c r="C380" s="351"/>
      <c r="D380" s="333"/>
      <c r="E380" s="333"/>
      <c r="F380" s="333"/>
      <c r="G380" s="359"/>
      <c r="H380" s="359"/>
      <c r="I380" s="351"/>
      <c r="J380" s="359"/>
      <c r="K380" s="359"/>
      <c r="L380" s="359"/>
      <c r="M380" s="351"/>
      <c r="N380" s="351"/>
      <c r="O380" s="351"/>
      <c r="P380" s="351"/>
      <c r="Q380" s="351"/>
      <c r="R380" s="351"/>
      <c r="S380" s="351"/>
      <c r="T380" s="351"/>
      <c r="U380" s="351"/>
      <c r="V380" s="351"/>
      <c r="W380" s="351"/>
      <c r="X380" s="359"/>
      <c r="Y380" s="359"/>
      <c r="Z380" s="359"/>
      <c r="AA380" s="351"/>
      <c r="AB380" s="351"/>
      <c r="AC380" s="359"/>
      <c r="AD380" s="359"/>
      <c r="AE380" s="351"/>
      <c r="AF380" s="333"/>
      <c r="AG380" s="333"/>
      <c r="AH380" s="351"/>
      <c r="AI380" s="351"/>
      <c r="AJ380" s="351"/>
      <c r="AK380" s="351"/>
      <c r="AL380" s="351"/>
      <c r="AM380" s="351"/>
      <c r="AN380" s="351"/>
      <c r="AO380" s="351"/>
      <c r="AP380" s="351"/>
      <c r="AQ380" s="351"/>
      <c r="AR380" s="351"/>
      <c r="AS380" s="351"/>
      <c r="AT380" s="351"/>
      <c r="AU380" s="351"/>
      <c r="AV380" s="351"/>
      <c r="AW380" s="351"/>
      <c r="AX380" s="351"/>
      <c r="AY380" s="351"/>
    </row>
    <row r="381" spans="1:51" ht="13">
      <c r="A381" s="333"/>
      <c r="B381" s="351"/>
      <c r="C381" s="351"/>
      <c r="D381" s="333"/>
      <c r="E381" s="333"/>
      <c r="F381" s="333"/>
      <c r="G381" s="359"/>
      <c r="H381" s="359"/>
      <c r="I381" s="351"/>
      <c r="J381" s="359"/>
      <c r="K381" s="359"/>
      <c r="L381" s="359"/>
      <c r="M381" s="351"/>
      <c r="N381" s="351"/>
      <c r="O381" s="351"/>
      <c r="P381" s="351"/>
      <c r="Q381" s="351"/>
      <c r="R381" s="351"/>
      <c r="S381" s="351"/>
      <c r="T381" s="351"/>
      <c r="U381" s="351"/>
      <c r="V381" s="351"/>
      <c r="W381" s="351"/>
      <c r="X381" s="359"/>
      <c r="Y381" s="359"/>
      <c r="Z381" s="359"/>
      <c r="AA381" s="351"/>
      <c r="AB381" s="351"/>
      <c r="AC381" s="359"/>
      <c r="AD381" s="359"/>
      <c r="AE381" s="351"/>
      <c r="AF381" s="333"/>
      <c r="AG381" s="333"/>
      <c r="AH381" s="351"/>
      <c r="AI381" s="351"/>
      <c r="AJ381" s="351"/>
      <c r="AK381" s="351"/>
      <c r="AL381" s="351"/>
      <c r="AM381" s="351"/>
      <c r="AN381" s="351"/>
      <c r="AO381" s="351"/>
      <c r="AP381" s="351"/>
      <c r="AQ381" s="351"/>
      <c r="AR381" s="351"/>
      <c r="AS381" s="351"/>
      <c r="AT381" s="351"/>
      <c r="AU381" s="351"/>
      <c r="AV381" s="351"/>
      <c r="AW381" s="351"/>
      <c r="AX381" s="351"/>
      <c r="AY381" s="351"/>
    </row>
    <row r="382" spans="1:51" ht="13">
      <c r="A382" s="333"/>
      <c r="B382" s="351"/>
      <c r="C382" s="351"/>
      <c r="D382" s="333"/>
      <c r="E382" s="333"/>
      <c r="F382" s="333"/>
      <c r="G382" s="359"/>
      <c r="H382" s="359"/>
      <c r="I382" s="351"/>
      <c r="J382" s="359"/>
      <c r="K382" s="359"/>
      <c r="L382" s="359"/>
      <c r="M382" s="351"/>
      <c r="N382" s="351"/>
      <c r="O382" s="351"/>
      <c r="P382" s="351"/>
      <c r="Q382" s="351"/>
      <c r="R382" s="351"/>
      <c r="S382" s="351"/>
      <c r="T382" s="351"/>
      <c r="U382" s="351"/>
      <c r="V382" s="351"/>
      <c r="W382" s="351"/>
      <c r="X382" s="359"/>
      <c r="Y382" s="359"/>
      <c r="Z382" s="359"/>
      <c r="AA382" s="351"/>
      <c r="AB382" s="351"/>
      <c r="AC382" s="359"/>
      <c r="AD382" s="359"/>
      <c r="AE382" s="351"/>
      <c r="AF382" s="333"/>
      <c r="AG382" s="333"/>
      <c r="AH382" s="351"/>
      <c r="AI382" s="351"/>
      <c r="AJ382" s="351"/>
      <c r="AK382" s="351"/>
      <c r="AL382" s="351"/>
      <c r="AM382" s="351"/>
      <c r="AN382" s="351"/>
      <c r="AO382" s="351"/>
      <c r="AP382" s="351"/>
      <c r="AQ382" s="351"/>
      <c r="AR382" s="351"/>
      <c r="AS382" s="351"/>
      <c r="AT382" s="351"/>
      <c r="AU382" s="351"/>
      <c r="AV382" s="351"/>
      <c r="AW382" s="351"/>
      <c r="AX382" s="351"/>
      <c r="AY382" s="351"/>
    </row>
    <row r="383" spans="1:51" ht="13">
      <c r="A383" s="333"/>
      <c r="B383" s="351"/>
      <c r="C383" s="351"/>
      <c r="D383" s="333"/>
      <c r="E383" s="333"/>
      <c r="F383" s="333"/>
      <c r="G383" s="359"/>
      <c r="H383" s="359"/>
      <c r="I383" s="351"/>
      <c r="J383" s="359"/>
      <c r="K383" s="359"/>
      <c r="L383" s="359"/>
      <c r="M383" s="351"/>
      <c r="N383" s="351"/>
      <c r="O383" s="351"/>
      <c r="P383" s="351"/>
      <c r="Q383" s="351"/>
      <c r="R383" s="351"/>
      <c r="S383" s="351"/>
      <c r="T383" s="351"/>
      <c r="U383" s="351"/>
      <c r="V383" s="351"/>
      <c r="W383" s="351"/>
      <c r="X383" s="359"/>
      <c r="Y383" s="359"/>
      <c r="Z383" s="359"/>
      <c r="AA383" s="351"/>
      <c r="AB383" s="351"/>
      <c r="AC383" s="359"/>
      <c r="AD383" s="359"/>
      <c r="AE383" s="351"/>
      <c r="AF383" s="333"/>
      <c r="AG383" s="333"/>
      <c r="AH383" s="351"/>
      <c r="AI383" s="351"/>
      <c r="AJ383" s="351"/>
      <c r="AK383" s="351"/>
      <c r="AL383" s="351"/>
      <c r="AM383" s="351"/>
      <c r="AN383" s="351"/>
      <c r="AO383" s="351"/>
      <c r="AP383" s="351"/>
      <c r="AQ383" s="351"/>
      <c r="AR383" s="351"/>
      <c r="AS383" s="351"/>
      <c r="AT383" s="351"/>
      <c r="AU383" s="351"/>
      <c r="AV383" s="351"/>
      <c r="AW383" s="351"/>
      <c r="AX383" s="351"/>
      <c r="AY383" s="351"/>
    </row>
    <row r="384" spans="1:51" ht="13">
      <c r="A384" s="333"/>
      <c r="B384" s="351"/>
      <c r="C384" s="351"/>
      <c r="D384" s="333"/>
      <c r="E384" s="333"/>
      <c r="F384" s="333"/>
      <c r="G384" s="359"/>
      <c r="H384" s="359"/>
      <c r="I384" s="351"/>
      <c r="J384" s="359"/>
      <c r="K384" s="359"/>
      <c r="L384" s="359"/>
      <c r="M384" s="351"/>
      <c r="N384" s="351"/>
      <c r="O384" s="351"/>
      <c r="P384" s="351"/>
      <c r="Q384" s="351"/>
      <c r="R384" s="351"/>
      <c r="S384" s="351"/>
      <c r="T384" s="351"/>
      <c r="U384" s="351"/>
      <c r="V384" s="351"/>
      <c r="W384" s="351"/>
      <c r="X384" s="359"/>
      <c r="Y384" s="359"/>
      <c r="Z384" s="359"/>
      <c r="AA384" s="351"/>
      <c r="AB384" s="351"/>
      <c r="AC384" s="359"/>
      <c r="AD384" s="359"/>
      <c r="AE384" s="351"/>
      <c r="AF384" s="333"/>
      <c r="AG384" s="333"/>
      <c r="AH384" s="351"/>
      <c r="AI384" s="351"/>
      <c r="AJ384" s="351"/>
      <c r="AK384" s="351"/>
      <c r="AL384" s="351"/>
      <c r="AM384" s="351"/>
      <c r="AN384" s="351"/>
      <c r="AO384" s="351"/>
      <c r="AP384" s="351"/>
      <c r="AQ384" s="351"/>
      <c r="AR384" s="351"/>
      <c r="AS384" s="351"/>
      <c r="AT384" s="351"/>
      <c r="AU384" s="351"/>
      <c r="AV384" s="351"/>
      <c r="AW384" s="351"/>
      <c r="AX384" s="351"/>
      <c r="AY384" s="351"/>
    </row>
    <row r="385" spans="1:51" ht="13">
      <c r="A385" s="333"/>
      <c r="B385" s="351"/>
      <c r="C385" s="351"/>
      <c r="D385" s="333"/>
      <c r="E385" s="333"/>
      <c r="F385" s="333"/>
      <c r="G385" s="359"/>
      <c r="H385" s="359"/>
      <c r="I385" s="351"/>
      <c r="J385" s="359"/>
      <c r="K385" s="359"/>
      <c r="L385" s="359"/>
      <c r="M385" s="351"/>
      <c r="N385" s="351"/>
      <c r="O385" s="351"/>
      <c r="P385" s="351"/>
      <c r="Q385" s="351"/>
      <c r="R385" s="351"/>
      <c r="S385" s="351"/>
      <c r="T385" s="351"/>
      <c r="U385" s="351"/>
      <c r="V385" s="351"/>
      <c r="W385" s="351"/>
      <c r="X385" s="359"/>
      <c r="Y385" s="359"/>
      <c r="Z385" s="359"/>
      <c r="AA385" s="351"/>
      <c r="AB385" s="351"/>
      <c r="AC385" s="359"/>
      <c r="AD385" s="359"/>
      <c r="AE385" s="351"/>
      <c r="AF385" s="333"/>
      <c r="AG385" s="333"/>
      <c r="AH385" s="351"/>
      <c r="AI385" s="351"/>
      <c r="AJ385" s="351"/>
      <c r="AK385" s="351"/>
      <c r="AL385" s="351"/>
      <c r="AM385" s="351"/>
      <c r="AN385" s="351"/>
      <c r="AO385" s="351"/>
      <c r="AP385" s="351"/>
      <c r="AQ385" s="351"/>
      <c r="AR385" s="351"/>
      <c r="AS385" s="351"/>
      <c r="AT385" s="351"/>
      <c r="AU385" s="351"/>
      <c r="AV385" s="351"/>
      <c r="AW385" s="351"/>
      <c r="AX385" s="351"/>
      <c r="AY385" s="351"/>
    </row>
    <row r="386" spans="1:51" ht="13">
      <c r="A386" s="333"/>
      <c r="B386" s="351"/>
      <c r="C386" s="351"/>
      <c r="D386" s="333"/>
      <c r="E386" s="333"/>
      <c r="F386" s="333"/>
      <c r="G386" s="359"/>
      <c r="H386" s="359"/>
      <c r="I386" s="351"/>
      <c r="J386" s="359"/>
      <c r="K386" s="359"/>
      <c r="L386" s="359"/>
      <c r="M386" s="351"/>
      <c r="N386" s="351"/>
      <c r="O386" s="351"/>
      <c r="P386" s="351"/>
      <c r="Q386" s="351"/>
      <c r="R386" s="351"/>
      <c r="S386" s="351"/>
      <c r="T386" s="351"/>
      <c r="U386" s="351"/>
      <c r="V386" s="351"/>
      <c r="W386" s="351"/>
      <c r="X386" s="359"/>
      <c r="Y386" s="359"/>
      <c r="Z386" s="359"/>
      <c r="AA386" s="351"/>
      <c r="AB386" s="351"/>
      <c r="AC386" s="359"/>
      <c r="AD386" s="359"/>
      <c r="AE386" s="351"/>
      <c r="AF386" s="333"/>
      <c r="AG386" s="333"/>
      <c r="AH386" s="351"/>
      <c r="AI386" s="351"/>
      <c r="AJ386" s="351"/>
      <c r="AK386" s="351"/>
      <c r="AL386" s="351"/>
      <c r="AM386" s="351"/>
      <c r="AN386" s="351"/>
      <c r="AO386" s="351"/>
      <c r="AP386" s="351"/>
      <c r="AQ386" s="351"/>
      <c r="AR386" s="351"/>
      <c r="AS386" s="351"/>
      <c r="AT386" s="351"/>
      <c r="AU386" s="351"/>
      <c r="AV386" s="351"/>
      <c r="AW386" s="351"/>
      <c r="AX386" s="351"/>
      <c r="AY386" s="351"/>
    </row>
    <row r="387" spans="1:51" ht="13">
      <c r="A387" s="333"/>
      <c r="B387" s="351"/>
      <c r="C387" s="351"/>
      <c r="D387" s="333"/>
      <c r="E387" s="333"/>
      <c r="F387" s="333"/>
      <c r="G387" s="359"/>
      <c r="H387" s="359"/>
      <c r="I387" s="351"/>
      <c r="J387" s="359"/>
      <c r="K387" s="359"/>
      <c r="L387" s="359"/>
      <c r="M387" s="351"/>
      <c r="N387" s="351"/>
      <c r="O387" s="351"/>
      <c r="P387" s="351"/>
      <c r="Q387" s="351"/>
      <c r="R387" s="351"/>
      <c r="S387" s="351"/>
      <c r="T387" s="351"/>
      <c r="U387" s="351"/>
      <c r="V387" s="351"/>
      <c r="W387" s="351"/>
      <c r="X387" s="359"/>
      <c r="Y387" s="359"/>
      <c r="Z387" s="359"/>
      <c r="AA387" s="351"/>
      <c r="AB387" s="351"/>
      <c r="AC387" s="359"/>
      <c r="AD387" s="359"/>
      <c r="AE387" s="351"/>
      <c r="AF387" s="333"/>
      <c r="AG387" s="333"/>
      <c r="AH387" s="351"/>
      <c r="AI387" s="351"/>
      <c r="AJ387" s="351"/>
      <c r="AK387" s="351"/>
      <c r="AL387" s="351"/>
      <c r="AM387" s="351"/>
      <c r="AN387" s="351"/>
      <c r="AO387" s="351"/>
      <c r="AP387" s="351"/>
      <c r="AQ387" s="351"/>
      <c r="AR387" s="351"/>
      <c r="AS387" s="351"/>
      <c r="AT387" s="351"/>
      <c r="AU387" s="351"/>
      <c r="AV387" s="351"/>
      <c r="AW387" s="351"/>
      <c r="AX387" s="351"/>
      <c r="AY387" s="351"/>
    </row>
    <row r="388" spans="1:51" ht="13">
      <c r="A388" s="333"/>
      <c r="B388" s="351"/>
      <c r="C388" s="351"/>
      <c r="D388" s="333"/>
      <c r="E388" s="333"/>
      <c r="F388" s="333"/>
      <c r="G388" s="359"/>
      <c r="H388" s="359"/>
      <c r="I388" s="351"/>
      <c r="J388" s="359"/>
      <c r="K388" s="359"/>
      <c r="L388" s="359"/>
      <c r="M388" s="351"/>
      <c r="N388" s="351"/>
      <c r="O388" s="351"/>
      <c r="P388" s="351"/>
      <c r="Q388" s="351"/>
      <c r="R388" s="351"/>
      <c r="S388" s="351"/>
      <c r="T388" s="351"/>
      <c r="U388" s="351"/>
      <c r="V388" s="351"/>
      <c r="W388" s="351"/>
      <c r="X388" s="359"/>
      <c r="Y388" s="359"/>
      <c r="Z388" s="359"/>
      <c r="AA388" s="351"/>
      <c r="AB388" s="351"/>
      <c r="AC388" s="359"/>
      <c r="AD388" s="359"/>
      <c r="AE388" s="351"/>
      <c r="AF388" s="333"/>
      <c r="AG388" s="333"/>
      <c r="AH388" s="351"/>
      <c r="AI388" s="351"/>
      <c r="AJ388" s="351"/>
      <c r="AK388" s="351"/>
      <c r="AL388" s="351"/>
      <c r="AM388" s="351"/>
      <c r="AN388" s="351"/>
      <c r="AO388" s="351"/>
      <c r="AP388" s="351"/>
      <c r="AQ388" s="351"/>
      <c r="AR388" s="351"/>
      <c r="AS388" s="351"/>
      <c r="AT388" s="351"/>
      <c r="AU388" s="351"/>
      <c r="AV388" s="351"/>
      <c r="AW388" s="351"/>
      <c r="AX388" s="351"/>
      <c r="AY388" s="351"/>
    </row>
    <row r="389" spans="1:51" ht="13">
      <c r="A389" s="333"/>
      <c r="B389" s="351"/>
      <c r="C389" s="351"/>
      <c r="D389" s="333"/>
      <c r="E389" s="333"/>
      <c r="F389" s="333"/>
      <c r="G389" s="359"/>
      <c r="H389" s="359"/>
      <c r="I389" s="351"/>
      <c r="J389" s="359"/>
      <c r="K389" s="359"/>
      <c r="L389" s="359"/>
      <c r="M389" s="351"/>
      <c r="N389" s="351"/>
      <c r="O389" s="351"/>
      <c r="P389" s="351"/>
      <c r="Q389" s="351"/>
      <c r="R389" s="351"/>
      <c r="S389" s="351"/>
      <c r="T389" s="351"/>
      <c r="U389" s="351"/>
      <c r="V389" s="351"/>
      <c r="W389" s="351"/>
      <c r="X389" s="359"/>
      <c r="Y389" s="359"/>
      <c r="Z389" s="359"/>
      <c r="AA389" s="351"/>
      <c r="AB389" s="351"/>
      <c r="AC389" s="359"/>
      <c r="AD389" s="359"/>
      <c r="AE389" s="351"/>
      <c r="AF389" s="333"/>
      <c r="AG389" s="333"/>
      <c r="AH389" s="351"/>
      <c r="AI389" s="351"/>
      <c r="AJ389" s="351"/>
      <c r="AK389" s="351"/>
      <c r="AL389" s="351"/>
      <c r="AM389" s="351"/>
      <c r="AN389" s="351"/>
      <c r="AO389" s="351"/>
      <c r="AP389" s="351"/>
      <c r="AQ389" s="351"/>
      <c r="AR389" s="351"/>
      <c r="AS389" s="351"/>
      <c r="AT389" s="351"/>
      <c r="AU389" s="351"/>
      <c r="AV389" s="351"/>
      <c r="AW389" s="351"/>
      <c r="AX389" s="351"/>
      <c r="AY389" s="351"/>
    </row>
    <row r="390" spans="1:51" ht="13">
      <c r="A390" s="333"/>
      <c r="B390" s="351"/>
      <c r="C390" s="351"/>
      <c r="D390" s="333"/>
      <c r="E390" s="333"/>
      <c r="F390" s="333"/>
      <c r="G390" s="359"/>
      <c r="H390" s="359"/>
      <c r="I390" s="351"/>
      <c r="J390" s="359"/>
      <c r="K390" s="359"/>
      <c r="L390" s="359"/>
      <c r="M390" s="351"/>
      <c r="N390" s="351"/>
      <c r="O390" s="351"/>
      <c r="P390" s="351"/>
      <c r="Q390" s="351"/>
      <c r="R390" s="351"/>
      <c r="S390" s="351"/>
      <c r="T390" s="351"/>
      <c r="U390" s="351"/>
      <c r="V390" s="351"/>
      <c r="W390" s="351"/>
      <c r="X390" s="359"/>
      <c r="Y390" s="359"/>
      <c r="Z390" s="359"/>
      <c r="AA390" s="351"/>
      <c r="AB390" s="351"/>
      <c r="AC390" s="359"/>
      <c r="AD390" s="359"/>
      <c r="AE390" s="351"/>
      <c r="AF390" s="333"/>
      <c r="AG390" s="333"/>
      <c r="AH390" s="351"/>
      <c r="AI390" s="351"/>
      <c r="AJ390" s="351"/>
      <c r="AK390" s="351"/>
      <c r="AL390" s="351"/>
      <c r="AM390" s="351"/>
      <c r="AN390" s="351"/>
      <c r="AO390" s="351"/>
      <c r="AP390" s="351"/>
      <c r="AQ390" s="351"/>
      <c r="AR390" s="351"/>
      <c r="AS390" s="351"/>
      <c r="AT390" s="351"/>
      <c r="AU390" s="351"/>
      <c r="AV390" s="351"/>
      <c r="AW390" s="351"/>
      <c r="AX390" s="351"/>
      <c r="AY390" s="351"/>
    </row>
    <row r="391" spans="1:51" ht="13">
      <c r="A391" s="333"/>
      <c r="B391" s="351"/>
      <c r="C391" s="351"/>
      <c r="D391" s="333"/>
      <c r="E391" s="333"/>
      <c r="F391" s="333"/>
      <c r="G391" s="359"/>
      <c r="H391" s="359"/>
      <c r="I391" s="351"/>
      <c r="J391" s="359"/>
      <c r="K391" s="359"/>
      <c r="L391" s="359"/>
      <c r="M391" s="351"/>
      <c r="N391" s="351"/>
      <c r="O391" s="351"/>
      <c r="P391" s="351"/>
      <c r="Q391" s="351"/>
      <c r="R391" s="351"/>
      <c r="S391" s="351"/>
      <c r="T391" s="351"/>
      <c r="U391" s="351"/>
      <c r="V391" s="351"/>
      <c r="W391" s="351"/>
      <c r="X391" s="359"/>
      <c r="Y391" s="359"/>
      <c r="Z391" s="359"/>
      <c r="AA391" s="351"/>
      <c r="AB391" s="351"/>
      <c r="AC391" s="359"/>
      <c r="AD391" s="359"/>
      <c r="AE391" s="351"/>
      <c r="AF391" s="333"/>
      <c r="AG391" s="333"/>
      <c r="AH391" s="351"/>
      <c r="AI391" s="351"/>
      <c r="AJ391" s="351"/>
      <c r="AK391" s="351"/>
      <c r="AL391" s="351"/>
      <c r="AM391" s="351"/>
      <c r="AN391" s="351"/>
      <c r="AO391" s="351"/>
      <c r="AP391" s="351"/>
      <c r="AQ391" s="351"/>
      <c r="AR391" s="351"/>
      <c r="AS391" s="351"/>
      <c r="AT391" s="351"/>
      <c r="AU391" s="351"/>
      <c r="AV391" s="351"/>
      <c r="AW391" s="351"/>
      <c r="AX391" s="351"/>
      <c r="AY391" s="351"/>
    </row>
    <row r="392" spans="1:51" ht="13">
      <c r="A392" s="333"/>
      <c r="B392" s="351"/>
      <c r="C392" s="351"/>
      <c r="D392" s="333"/>
      <c r="E392" s="333"/>
      <c r="F392" s="333"/>
      <c r="G392" s="359"/>
      <c r="H392" s="359"/>
      <c r="I392" s="351"/>
      <c r="J392" s="359"/>
      <c r="K392" s="359"/>
      <c r="L392" s="359"/>
      <c r="M392" s="351"/>
      <c r="N392" s="351"/>
      <c r="O392" s="351"/>
      <c r="P392" s="351"/>
      <c r="Q392" s="351"/>
      <c r="R392" s="351"/>
      <c r="S392" s="351"/>
      <c r="T392" s="351"/>
      <c r="U392" s="351"/>
      <c r="V392" s="351"/>
      <c r="W392" s="351"/>
      <c r="X392" s="359"/>
      <c r="Y392" s="359"/>
      <c r="Z392" s="359"/>
      <c r="AA392" s="351"/>
      <c r="AB392" s="351"/>
      <c r="AC392" s="359"/>
      <c r="AD392" s="359"/>
      <c r="AE392" s="351"/>
      <c r="AF392" s="333"/>
      <c r="AG392" s="333"/>
      <c r="AH392" s="351"/>
      <c r="AI392" s="351"/>
      <c r="AJ392" s="351"/>
      <c r="AK392" s="351"/>
      <c r="AL392" s="351"/>
      <c r="AM392" s="351"/>
      <c r="AN392" s="351"/>
      <c r="AO392" s="351"/>
      <c r="AP392" s="351"/>
      <c r="AQ392" s="351"/>
      <c r="AR392" s="351"/>
      <c r="AS392" s="351"/>
      <c r="AT392" s="351"/>
      <c r="AU392" s="351"/>
      <c r="AV392" s="351"/>
      <c r="AW392" s="351"/>
      <c r="AX392" s="351"/>
      <c r="AY392" s="351"/>
    </row>
    <row r="393" spans="1:51" ht="13">
      <c r="A393" s="333"/>
      <c r="B393" s="351"/>
      <c r="C393" s="351"/>
      <c r="D393" s="333"/>
      <c r="E393" s="333"/>
      <c r="F393" s="333"/>
      <c r="G393" s="359"/>
      <c r="H393" s="359"/>
      <c r="I393" s="351"/>
      <c r="J393" s="359"/>
      <c r="K393" s="359"/>
      <c r="L393" s="359"/>
      <c r="M393" s="351"/>
      <c r="N393" s="351"/>
      <c r="O393" s="351"/>
      <c r="P393" s="351"/>
      <c r="Q393" s="351"/>
      <c r="R393" s="351"/>
      <c r="S393" s="351"/>
      <c r="T393" s="351"/>
      <c r="U393" s="351"/>
      <c r="V393" s="351"/>
      <c r="W393" s="351"/>
      <c r="X393" s="359"/>
      <c r="Y393" s="359"/>
      <c r="Z393" s="359"/>
      <c r="AA393" s="351"/>
      <c r="AB393" s="351"/>
      <c r="AC393" s="359"/>
      <c r="AD393" s="359"/>
      <c r="AE393" s="351"/>
      <c r="AF393" s="333"/>
      <c r="AG393" s="333"/>
      <c r="AH393" s="351"/>
      <c r="AI393" s="351"/>
      <c r="AJ393" s="351"/>
      <c r="AK393" s="351"/>
      <c r="AL393" s="351"/>
      <c r="AM393" s="351"/>
      <c r="AN393" s="351"/>
      <c r="AO393" s="351"/>
      <c r="AP393" s="351"/>
      <c r="AQ393" s="351"/>
      <c r="AR393" s="351"/>
      <c r="AS393" s="351"/>
      <c r="AT393" s="351"/>
      <c r="AU393" s="351"/>
      <c r="AV393" s="351"/>
      <c r="AW393" s="351"/>
      <c r="AX393" s="351"/>
      <c r="AY393" s="351"/>
    </row>
    <row r="394" spans="1:51" ht="13">
      <c r="A394" s="333"/>
      <c r="B394" s="351"/>
      <c r="C394" s="351"/>
      <c r="D394" s="333"/>
      <c r="E394" s="333"/>
      <c r="F394" s="333"/>
      <c r="G394" s="359"/>
      <c r="H394" s="359"/>
      <c r="I394" s="351"/>
      <c r="J394" s="359"/>
      <c r="K394" s="359"/>
      <c r="L394" s="359"/>
      <c r="M394" s="351"/>
      <c r="N394" s="351"/>
      <c r="O394" s="351"/>
      <c r="P394" s="351"/>
      <c r="Q394" s="351"/>
      <c r="R394" s="351"/>
      <c r="S394" s="351"/>
      <c r="T394" s="351"/>
      <c r="U394" s="351"/>
      <c r="V394" s="351"/>
      <c r="W394" s="351"/>
      <c r="X394" s="359"/>
      <c r="Y394" s="359"/>
      <c r="Z394" s="359"/>
      <c r="AA394" s="351"/>
      <c r="AB394" s="351"/>
      <c r="AC394" s="359"/>
      <c r="AD394" s="359"/>
      <c r="AE394" s="351"/>
      <c r="AF394" s="333"/>
      <c r="AG394" s="333"/>
      <c r="AH394" s="351"/>
      <c r="AI394" s="351"/>
      <c r="AJ394" s="351"/>
      <c r="AK394" s="351"/>
      <c r="AL394" s="351"/>
      <c r="AM394" s="351"/>
      <c r="AN394" s="351"/>
      <c r="AO394" s="351"/>
      <c r="AP394" s="351"/>
      <c r="AQ394" s="351"/>
      <c r="AR394" s="351"/>
      <c r="AS394" s="351"/>
      <c r="AT394" s="351"/>
      <c r="AU394" s="351"/>
      <c r="AV394" s="351"/>
      <c r="AW394" s="351"/>
      <c r="AX394" s="351"/>
      <c r="AY394" s="351"/>
    </row>
    <row r="395" spans="1:51" ht="13">
      <c r="A395" s="333"/>
      <c r="B395" s="351"/>
      <c r="C395" s="351"/>
      <c r="D395" s="333"/>
      <c r="E395" s="333"/>
      <c r="F395" s="333"/>
      <c r="G395" s="359"/>
      <c r="H395" s="359"/>
      <c r="I395" s="351"/>
      <c r="J395" s="359"/>
      <c r="K395" s="359"/>
      <c r="L395" s="359"/>
      <c r="M395" s="351"/>
      <c r="N395" s="351"/>
      <c r="O395" s="351"/>
      <c r="P395" s="351"/>
      <c r="Q395" s="351"/>
      <c r="R395" s="351"/>
      <c r="S395" s="351"/>
      <c r="T395" s="351"/>
      <c r="U395" s="351"/>
      <c r="V395" s="351"/>
      <c r="W395" s="351"/>
      <c r="X395" s="359"/>
      <c r="Y395" s="359"/>
      <c r="Z395" s="359"/>
      <c r="AA395" s="351"/>
      <c r="AB395" s="351"/>
      <c r="AC395" s="359"/>
      <c r="AD395" s="359"/>
      <c r="AE395" s="351"/>
      <c r="AF395" s="333"/>
      <c r="AG395" s="333"/>
      <c r="AH395" s="351"/>
      <c r="AI395" s="351"/>
      <c r="AJ395" s="351"/>
      <c r="AK395" s="351"/>
      <c r="AL395" s="351"/>
      <c r="AM395" s="351"/>
      <c r="AN395" s="351"/>
      <c r="AO395" s="351"/>
      <c r="AP395" s="351"/>
      <c r="AQ395" s="351"/>
      <c r="AR395" s="351"/>
      <c r="AS395" s="351"/>
      <c r="AT395" s="351"/>
      <c r="AU395" s="351"/>
      <c r="AV395" s="351"/>
      <c r="AW395" s="351"/>
      <c r="AX395" s="351"/>
      <c r="AY395" s="351"/>
    </row>
    <row r="396" spans="1:51" ht="13">
      <c r="A396" s="333"/>
      <c r="B396" s="351"/>
      <c r="C396" s="351"/>
      <c r="D396" s="333"/>
      <c r="E396" s="333"/>
      <c r="F396" s="333"/>
      <c r="G396" s="359"/>
      <c r="H396" s="359"/>
      <c r="I396" s="351"/>
      <c r="J396" s="359"/>
      <c r="K396" s="359"/>
      <c r="L396" s="359"/>
      <c r="M396" s="351"/>
      <c r="N396" s="351"/>
      <c r="O396" s="351"/>
      <c r="P396" s="351"/>
      <c r="Q396" s="351"/>
      <c r="R396" s="351"/>
      <c r="S396" s="351"/>
      <c r="T396" s="351"/>
      <c r="U396" s="351"/>
      <c r="V396" s="351"/>
      <c r="W396" s="351"/>
      <c r="X396" s="359"/>
      <c r="Y396" s="359"/>
      <c r="Z396" s="359"/>
      <c r="AA396" s="351"/>
      <c r="AB396" s="351"/>
      <c r="AC396" s="359"/>
      <c r="AD396" s="359"/>
      <c r="AE396" s="351"/>
      <c r="AF396" s="333"/>
      <c r="AG396" s="333"/>
      <c r="AH396" s="351"/>
      <c r="AI396" s="351"/>
      <c r="AJ396" s="351"/>
      <c r="AK396" s="351"/>
      <c r="AL396" s="351"/>
      <c r="AM396" s="351"/>
      <c r="AN396" s="351"/>
      <c r="AO396" s="351"/>
      <c r="AP396" s="351"/>
      <c r="AQ396" s="351"/>
      <c r="AR396" s="351"/>
      <c r="AS396" s="351"/>
      <c r="AT396" s="351"/>
      <c r="AU396" s="351"/>
      <c r="AV396" s="351"/>
      <c r="AW396" s="351"/>
      <c r="AX396" s="351"/>
      <c r="AY396" s="351"/>
    </row>
    <row r="397" spans="1:51" ht="13">
      <c r="A397" s="333"/>
      <c r="B397" s="351"/>
      <c r="C397" s="351"/>
      <c r="D397" s="333"/>
      <c r="E397" s="333"/>
      <c r="F397" s="333"/>
      <c r="G397" s="359"/>
      <c r="H397" s="359"/>
      <c r="I397" s="351"/>
      <c r="J397" s="359"/>
      <c r="K397" s="359"/>
      <c r="L397" s="359"/>
      <c r="M397" s="351"/>
      <c r="N397" s="351"/>
      <c r="O397" s="351"/>
      <c r="P397" s="351"/>
      <c r="Q397" s="351"/>
      <c r="R397" s="351"/>
      <c r="S397" s="351"/>
      <c r="T397" s="351"/>
      <c r="U397" s="351"/>
      <c r="V397" s="351"/>
      <c r="W397" s="351"/>
      <c r="X397" s="359"/>
      <c r="Y397" s="359"/>
      <c r="Z397" s="359"/>
      <c r="AA397" s="351"/>
      <c r="AB397" s="351"/>
      <c r="AC397" s="359"/>
      <c r="AD397" s="359"/>
      <c r="AE397" s="351"/>
      <c r="AF397" s="333"/>
      <c r="AG397" s="333"/>
      <c r="AH397" s="351"/>
      <c r="AI397" s="351"/>
      <c r="AJ397" s="351"/>
      <c r="AK397" s="351"/>
      <c r="AL397" s="351"/>
      <c r="AM397" s="351"/>
      <c r="AN397" s="351"/>
      <c r="AO397" s="351"/>
      <c r="AP397" s="351"/>
      <c r="AQ397" s="351"/>
      <c r="AR397" s="351"/>
      <c r="AS397" s="351"/>
      <c r="AT397" s="351"/>
      <c r="AU397" s="351"/>
      <c r="AV397" s="351"/>
      <c r="AW397" s="351"/>
      <c r="AX397" s="351"/>
      <c r="AY397" s="351"/>
    </row>
    <row r="398" spans="1:51" ht="13">
      <c r="A398" s="333"/>
      <c r="B398" s="351"/>
      <c r="C398" s="351"/>
      <c r="D398" s="333"/>
      <c r="E398" s="333"/>
      <c r="F398" s="333"/>
      <c r="G398" s="359"/>
      <c r="H398" s="359"/>
      <c r="I398" s="351"/>
      <c r="J398" s="359"/>
      <c r="K398" s="359"/>
      <c r="L398" s="359"/>
      <c r="M398" s="351"/>
      <c r="N398" s="351"/>
      <c r="O398" s="351"/>
      <c r="P398" s="351"/>
      <c r="Q398" s="351"/>
      <c r="R398" s="351"/>
      <c r="S398" s="351"/>
      <c r="T398" s="351"/>
      <c r="U398" s="351"/>
      <c r="V398" s="351"/>
      <c r="W398" s="351"/>
      <c r="X398" s="359"/>
      <c r="Y398" s="359"/>
      <c r="Z398" s="359"/>
      <c r="AA398" s="351"/>
      <c r="AB398" s="351"/>
      <c r="AC398" s="359"/>
      <c r="AD398" s="359"/>
      <c r="AE398" s="351"/>
      <c r="AF398" s="333"/>
      <c r="AG398" s="333"/>
      <c r="AH398" s="351"/>
      <c r="AI398" s="351"/>
      <c r="AJ398" s="351"/>
      <c r="AK398" s="351"/>
      <c r="AL398" s="351"/>
      <c r="AM398" s="351"/>
      <c r="AN398" s="351"/>
      <c r="AO398" s="351"/>
      <c r="AP398" s="351"/>
      <c r="AQ398" s="351"/>
      <c r="AR398" s="351"/>
      <c r="AS398" s="351"/>
      <c r="AT398" s="351"/>
      <c r="AU398" s="351"/>
      <c r="AV398" s="351"/>
      <c r="AW398" s="351"/>
      <c r="AX398" s="351"/>
      <c r="AY398" s="351"/>
    </row>
    <row r="399" spans="1:51" ht="13">
      <c r="A399" s="333"/>
      <c r="B399" s="351"/>
      <c r="C399" s="351"/>
      <c r="D399" s="333"/>
      <c r="E399" s="333"/>
      <c r="F399" s="333"/>
      <c r="G399" s="359"/>
      <c r="H399" s="359"/>
      <c r="I399" s="351"/>
      <c r="J399" s="359"/>
      <c r="K399" s="359"/>
      <c r="L399" s="359"/>
      <c r="M399" s="351"/>
      <c r="N399" s="351"/>
      <c r="O399" s="351"/>
      <c r="P399" s="351"/>
      <c r="Q399" s="351"/>
      <c r="R399" s="351"/>
      <c r="S399" s="351"/>
      <c r="T399" s="351"/>
      <c r="U399" s="351"/>
      <c r="V399" s="351"/>
      <c r="W399" s="351"/>
      <c r="X399" s="359"/>
      <c r="Y399" s="359"/>
      <c r="Z399" s="359"/>
      <c r="AA399" s="351"/>
      <c r="AB399" s="351"/>
      <c r="AC399" s="359"/>
      <c r="AD399" s="359"/>
      <c r="AE399" s="351"/>
      <c r="AF399" s="333"/>
      <c r="AG399" s="333"/>
      <c r="AH399" s="351"/>
      <c r="AI399" s="351"/>
      <c r="AJ399" s="351"/>
      <c r="AK399" s="351"/>
      <c r="AL399" s="351"/>
      <c r="AM399" s="351"/>
      <c r="AN399" s="351"/>
      <c r="AO399" s="351"/>
      <c r="AP399" s="351"/>
      <c r="AQ399" s="351"/>
      <c r="AR399" s="351"/>
      <c r="AS399" s="351"/>
      <c r="AT399" s="351"/>
      <c r="AU399" s="351"/>
      <c r="AV399" s="351"/>
      <c r="AW399" s="351"/>
      <c r="AX399" s="351"/>
      <c r="AY399" s="351"/>
    </row>
    <row r="400" spans="1:51" ht="13">
      <c r="A400" s="333"/>
      <c r="B400" s="351"/>
      <c r="C400" s="351"/>
      <c r="D400" s="333"/>
      <c r="E400" s="333"/>
      <c r="F400" s="333"/>
      <c r="G400" s="359"/>
      <c r="H400" s="359"/>
      <c r="I400" s="351"/>
      <c r="J400" s="359"/>
      <c r="K400" s="359"/>
      <c r="L400" s="359"/>
      <c r="M400" s="351"/>
      <c r="N400" s="351"/>
      <c r="O400" s="351"/>
      <c r="P400" s="351"/>
      <c r="Q400" s="351"/>
      <c r="R400" s="351"/>
      <c r="S400" s="351"/>
      <c r="T400" s="351"/>
      <c r="U400" s="351"/>
      <c r="V400" s="351"/>
      <c r="W400" s="351"/>
      <c r="X400" s="359"/>
      <c r="Y400" s="359"/>
      <c r="Z400" s="359"/>
      <c r="AA400" s="351"/>
      <c r="AB400" s="351"/>
      <c r="AC400" s="359"/>
      <c r="AD400" s="359"/>
      <c r="AE400" s="351"/>
      <c r="AF400" s="333"/>
      <c r="AG400" s="333"/>
      <c r="AH400" s="351"/>
      <c r="AI400" s="351"/>
      <c r="AJ400" s="351"/>
      <c r="AK400" s="351"/>
      <c r="AL400" s="351"/>
      <c r="AM400" s="351"/>
      <c r="AN400" s="351"/>
      <c r="AO400" s="351"/>
      <c r="AP400" s="351"/>
      <c r="AQ400" s="351"/>
      <c r="AR400" s="351"/>
      <c r="AS400" s="351"/>
      <c r="AT400" s="351"/>
      <c r="AU400" s="351"/>
      <c r="AV400" s="351"/>
      <c r="AW400" s="351"/>
      <c r="AX400" s="351"/>
      <c r="AY400" s="351"/>
    </row>
    <row r="401" spans="1:51" ht="13">
      <c r="A401" s="333"/>
      <c r="B401" s="351"/>
      <c r="C401" s="351"/>
      <c r="D401" s="333"/>
      <c r="E401" s="333"/>
      <c r="F401" s="333"/>
      <c r="G401" s="359"/>
      <c r="H401" s="359"/>
      <c r="I401" s="351"/>
      <c r="J401" s="359"/>
      <c r="K401" s="359"/>
      <c r="L401" s="359"/>
      <c r="M401" s="351"/>
      <c r="N401" s="351"/>
      <c r="O401" s="351"/>
      <c r="P401" s="351"/>
      <c r="Q401" s="351"/>
      <c r="R401" s="351"/>
      <c r="S401" s="351"/>
      <c r="T401" s="351"/>
      <c r="U401" s="351"/>
      <c r="V401" s="351"/>
      <c r="W401" s="351"/>
      <c r="X401" s="359"/>
      <c r="Y401" s="359"/>
      <c r="Z401" s="359"/>
      <c r="AA401" s="351"/>
      <c r="AB401" s="351"/>
      <c r="AC401" s="359"/>
      <c r="AD401" s="359"/>
      <c r="AE401" s="351"/>
      <c r="AF401" s="333"/>
      <c r="AG401" s="333"/>
      <c r="AH401" s="351"/>
      <c r="AI401" s="351"/>
      <c r="AJ401" s="351"/>
      <c r="AK401" s="351"/>
      <c r="AL401" s="351"/>
      <c r="AM401" s="351"/>
      <c r="AN401" s="351"/>
      <c r="AO401" s="351"/>
      <c r="AP401" s="351"/>
      <c r="AQ401" s="351"/>
      <c r="AR401" s="351"/>
      <c r="AS401" s="351"/>
      <c r="AT401" s="351"/>
      <c r="AU401" s="351"/>
      <c r="AV401" s="351"/>
      <c r="AW401" s="351"/>
      <c r="AX401" s="351"/>
      <c r="AY401" s="351"/>
    </row>
    <row r="402" spans="1:51" ht="13">
      <c r="A402" s="333"/>
      <c r="B402" s="351"/>
      <c r="C402" s="351"/>
      <c r="D402" s="333"/>
      <c r="E402" s="333"/>
      <c r="F402" s="333"/>
      <c r="G402" s="359"/>
      <c r="H402" s="359"/>
      <c r="I402" s="351"/>
      <c r="J402" s="359"/>
      <c r="K402" s="359"/>
      <c r="L402" s="359"/>
      <c r="M402" s="351"/>
      <c r="N402" s="351"/>
      <c r="O402" s="351"/>
      <c r="P402" s="351"/>
      <c r="Q402" s="351"/>
      <c r="R402" s="351"/>
      <c r="S402" s="351"/>
      <c r="T402" s="351"/>
      <c r="U402" s="351"/>
      <c r="V402" s="351"/>
      <c r="W402" s="351"/>
      <c r="X402" s="359"/>
      <c r="Y402" s="359"/>
      <c r="Z402" s="359"/>
      <c r="AA402" s="351"/>
      <c r="AB402" s="351"/>
      <c r="AC402" s="359"/>
      <c r="AD402" s="359"/>
      <c r="AE402" s="351"/>
      <c r="AF402" s="333"/>
      <c r="AG402" s="333"/>
      <c r="AH402" s="351"/>
      <c r="AI402" s="351"/>
      <c r="AJ402" s="351"/>
      <c r="AK402" s="351"/>
      <c r="AL402" s="351"/>
      <c r="AM402" s="351"/>
      <c r="AN402" s="351"/>
      <c r="AO402" s="351"/>
      <c r="AP402" s="351"/>
      <c r="AQ402" s="351"/>
      <c r="AR402" s="351"/>
      <c r="AS402" s="351"/>
      <c r="AT402" s="351"/>
      <c r="AU402" s="351"/>
      <c r="AV402" s="351"/>
      <c r="AW402" s="351"/>
      <c r="AX402" s="351"/>
      <c r="AY402" s="351"/>
    </row>
    <row r="403" spans="1:51" ht="13">
      <c r="A403" s="333"/>
      <c r="B403" s="351"/>
      <c r="C403" s="351"/>
      <c r="D403" s="333"/>
      <c r="E403" s="333"/>
      <c r="F403" s="333"/>
      <c r="G403" s="359"/>
      <c r="H403" s="359"/>
      <c r="I403" s="351"/>
      <c r="J403" s="359"/>
      <c r="K403" s="359"/>
      <c r="L403" s="359"/>
      <c r="M403" s="351"/>
      <c r="N403" s="351"/>
      <c r="O403" s="351"/>
      <c r="P403" s="351"/>
      <c r="Q403" s="351"/>
      <c r="R403" s="351"/>
      <c r="S403" s="351"/>
      <c r="T403" s="351"/>
      <c r="U403" s="351"/>
      <c r="V403" s="351"/>
      <c r="W403" s="351"/>
      <c r="X403" s="359"/>
      <c r="Y403" s="359"/>
      <c r="Z403" s="359"/>
      <c r="AA403" s="351"/>
      <c r="AB403" s="351"/>
      <c r="AC403" s="359"/>
      <c r="AD403" s="359"/>
      <c r="AE403" s="351"/>
      <c r="AF403" s="333"/>
      <c r="AG403" s="333"/>
      <c r="AH403" s="351"/>
      <c r="AI403" s="351"/>
      <c r="AJ403" s="351"/>
      <c r="AK403" s="351"/>
      <c r="AL403" s="351"/>
      <c r="AM403" s="351"/>
      <c r="AN403" s="351"/>
      <c r="AO403" s="351"/>
      <c r="AP403" s="351"/>
      <c r="AQ403" s="351"/>
      <c r="AR403" s="351"/>
      <c r="AS403" s="351"/>
      <c r="AT403" s="351"/>
      <c r="AU403" s="351"/>
      <c r="AV403" s="351"/>
      <c r="AW403" s="351"/>
      <c r="AX403" s="351"/>
      <c r="AY403" s="351"/>
    </row>
    <row r="404" spans="1:51" ht="13">
      <c r="A404" s="333"/>
      <c r="B404" s="351"/>
      <c r="C404" s="351"/>
      <c r="D404" s="333"/>
      <c r="E404" s="333"/>
      <c r="F404" s="333"/>
      <c r="G404" s="359"/>
      <c r="H404" s="359"/>
      <c r="I404" s="351"/>
      <c r="J404" s="359"/>
      <c r="K404" s="359"/>
      <c r="L404" s="359"/>
      <c r="M404" s="351"/>
      <c r="N404" s="351"/>
      <c r="O404" s="351"/>
      <c r="P404" s="351"/>
      <c r="Q404" s="351"/>
      <c r="R404" s="351"/>
      <c r="S404" s="351"/>
      <c r="T404" s="351"/>
      <c r="U404" s="351"/>
      <c r="V404" s="351"/>
      <c r="W404" s="351"/>
      <c r="X404" s="359"/>
      <c r="Y404" s="359"/>
      <c r="Z404" s="359"/>
      <c r="AA404" s="351"/>
      <c r="AB404" s="351"/>
      <c r="AC404" s="359"/>
      <c r="AD404" s="359"/>
      <c r="AE404" s="351"/>
      <c r="AF404" s="333"/>
      <c r="AG404" s="333"/>
      <c r="AH404" s="351"/>
      <c r="AI404" s="351"/>
      <c r="AJ404" s="351"/>
      <c r="AK404" s="351"/>
      <c r="AL404" s="351"/>
      <c r="AM404" s="351"/>
      <c r="AN404" s="351"/>
      <c r="AO404" s="351"/>
      <c r="AP404" s="351"/>
      <c r="AQ404" s="351"/>
      <c r="AR404" s="351"/>
      <c r="AS404" s="351"/>
      <c r="AT404" s="351"/>
      <c r="AU404" s="351"/>
      <c r="AV404" s="351"/>
      <c r="AW404" s="351"/>
      <c r="AX404" s="351"/>
      <c r="AY404" s="351"/>
    </row>
    <row r="405" spans="1:51" ht="13">
      <c r="A405" s="333"/>
      <c r="B405" s="351"/>
      <c r="C405" s="351"/>
      <c r="D405" s="333"/>
      <c r="E405" s="333"/>
      <c r="F405" s="333"/>
      <c r="G405" s="359"/>
      <c r="H405" s="359"/>
      <c r="I405" s="351"/>
      <c r="J405" s="359"/>
      <c r="K405" s="359"/>
      <c r="L405" s="359"/>
      <c r="M405" s="351"/>
      <c r="N405" s="351"/>
      <c r="O405" s="351"/>
      <c r="P405" s="351"/>
      <c r="Q405" s="351"/>
      <c r="R405" s="351"/>
      <c r="S405" s="351"/>
      <c r="T405" s="351"/>
      <c r="U405" s="351"/>
      <c r="V405" s="351"/>
      <c r="W405" s="351"/>
      <c r="X405" s="359"/>
      <c r="Y405" s="359"/>
      <c r="Z405" s="359"/>
      <c r="AA405" s="351"/>
      <c r="AB405" s="351"/>
      <c r="AC405" s="359"/>
      <c r="AD405" s="359"/>
      <c r="AE405" s="351"/>
      <c r="AF405" s="333"/>
      <c r="AG405" s="333"/>
      <c r="AH405" s="351"/>
      <c r="AI405" s="351"/>
      <c r="AJ405" s="351"/>
      <c r="AK405" s="351"/>
      <c r="AL405" s="351"/>
      <c r="AM405" s="351"/>
      <c r="AN405" s="351"/>
      <c r="AO405" s="351"/>
      <c r="AP405" s="351"/>
      <c r="AQ405" s="351"/>
      <c r="AR405" s="351"/>
      <c r="AS405" s="351"/>
      <c r="AT405" s="351"/>
      <c r="AU405" s="351"/>
      <c r="AV405" s="351"/>
      <c r="AW405" s="351"/>
      <c r="AX405" s="351"/>
      <c r="AY405" s="351"/>
    </row>
    <row r="406" spans="1:51" ht="13">
      <c r="A406" s="333"/>
      <c r="B406" s="351"/>
      <c r="C406" s="351"/>
      <c r="D406" s="333"/>
      <c r="E406" s="333"/>
      <c r="F406" s="333"/>
      <c r="G406" s="359"/>
      <c r="H406" s="359"/>
      <c r="I406" s="351"/>
      <c r="J406" s="359"/>
      <c r="K406" s="359"/>
      <c r="L406" s="359"/>
      <c r="M406" s="351"/>
      <c r="N406" s="351"/>
      <c r="O406" s="351"/>
      <c r="P406" s="351"/>
      <c r="Q406" s="351"/>
      <c r="R406" s="351"/>
      <c r="S406" s="351"/>
      <c r="T406" s="351"/>
      <c r="U406" s="351"/>
      <c r="V406" s="351"/>
      <c r="W406" s="351"/>
      <c r="X406" s="359"/>
      <c r="Y406" s="359"/>
      <c r="Z406" s="359"/>
      <c r="AA406" s="351"/>
      <c r="AB406" s="351"/>
      <c r="AC406" s="359"/>
      <c r="AD406" s="359"/>
      <c r="AE406" s="351"/>
      <c r="AF406" s="333"/>
      <c r="AG406" s="333"/>
      <c r="AH406" s="351"/>
      <c r="AI406" s="351"/>
      <c r="AJ406" s="351"/>
      <c r="AK406" s="351"/>
      <c r="AL406" s="351"/>
      <c r="AM406" s="351"/>
      <c r="AN406" s="351"/>
      <c r="AO406" s="351"/>
      <c r="AP406" s="351"/>
      <c r="AQ406" s="351"/>
      <c r="AR406" s="351"/>
      <c r="AS406" s="351"/>
      <c r="AT406" s="351"/>
      <c r="AU406" s="351"/>
      <c r="AV406" s="351"/>
      <c r="AW406" s="351"/>
      <c r="AX406" s="351"/>
      <c r="AY406" s="351"/>
    </row>
    <row r="407" spans="1:51" ht="13">
      <c r="A407" s="333"/>
      <c r="B407" s="351"/>
      <c r="C407" s="351"/>
      <c r="D407" s="333"/>
      <c r="E407" s="333"/>
      <c r="F407" s="333"/>
      <c r="G407" s="359"/>
      <c r="H407" s="359"/>
      <c r="I407" s="351"/>
      <c r="J407" s="359"/>
      <c r="K407" s="359"/>
      <c r="L407" s="359"/>
      <c r="M407" s="351"/>
      <c r="N407" s="351"/>
      <c r="O407" s="351"/>
      <c r="P407" s="351"/>
      <c r="Q407" s="351"/>
      <c r="R407" s="351"/>
      <c r="S407" s="351"/>
      <c r="T407" s="351"/>
      <c r="U407" s="351"/>
      <c r="V407" s="351"/>
      <c r="W407" s="351"/>
      <c r="X407" s="359"/>
      <c r="Y407" s="359"/>
      <c r="Z407" s="359"/>
      <c r="AA407" s="351"/>
      <c r="AB407" s="351"/>
      <c r="AC407" s="359"/>
      <c r="AD407" s="359"/>
      <c r="AE407" s="351"/>
      <c r="AF407" s="333"/>
      <c r="AG407" s="333"/>
      <c r="AH407" s="351"/>
      <c r="AI407" s="351"/>
      <c r="AJ407" s="351"/>
      <c r="AK407" s="351"/>
      <c r="AL407" s="351"/>
      <c r="AM407" s="351"/>
      <c r="AN407" s="351"/>
      <c r="AO407" s="351"/>
      <c r="AP407" s="351"/>
      <c r="AQ407" s="351"/>
      <c r="AR407" s="351"/>
      <c r="AS407" s="351"/>
      <c r="AT407" s="351"/>
      <c r="AU407" s="351"/>
      <c r="AV407" s="351"/>
      <c r="AW407" s="351"/>
      <c r="AX407" s="351"/>
      <c r="AY407" s="351"/>
    </row>
    <row r="408" spans="1:51" ht="13">
      <c r="A408" s="333"/>
      <c r="B408" s="351"/>
      <c r="C408" s="351"/>
      <c r="D408" s="333"/>
      <c r="E408" s="333"/>
      <c r="F408" s="333"/>
      <c r="G408" s="359"/>
      <c r="H408" s="359"/>
      <c r="I408" s="351"/>
      <c r="J408" s="359"/>
      <c r="K408" s="359"/>
      <c r="L408" s="359"/>
      <c r="M408" s="351"/>
      <c r="N408" s="351"/>
      <c r="O408" s="351"/>
      <c r="P408" s="351"/>
      <c r="Q408" s="351"/>
      <c r="R408" s="351"/>
      <c r="S408" s="351"/>
      <c r="T408" s="351"/>
      <c r="U408" s="351"/>
      <c r="V408" s="351"/>
      <c r="W408" s="351"/>
      <c r="X408" s="359"/>
      <c r="Y408" s="359"/>
      <c r="Z408" s="359"/>
      <c r="AA408" s="351"/>
      <c r="AB408" s="351"/>
      <c r="AC408" s="359"/>
      <c r="AD408" s="359"/>
      <c r="AE408" s="351"/>
      <c r="AF408" s="333"/>
      <c r="AG408" s="333"/>
      <c r="AH408" s="351"/>
      <c r="AI408" s="351"/>
      <c r="AJ408" s="351"/>
      <c r="AK408" s="351"/>
      <c r="AL408" s="351"/>
      <c r="AM408" s="351"/>
      <c r="AN408" s="351"/>
      <c r="AO408" s="351"/>
      <c r="AP408" s="351"/>
      <c r="AQ408" s="351"/>
      <c r="AR408" s="351"/>
      <c r="AS408" s="351"/>
      <c r="AT408" s="351"/>
      <c r="AU408" s="351"/>
      <c r="AV408" s="351"/>
      <c r="AW408" s="351"/>
      <c r="AX408" s="351"/>
      <c r="AY408" s="351"/>
    </row>
    <row r="409" spans="1:51" ht="13">
      <c r="A409" s="333"/>
      <c r="B409" s="351"/>
      <c r="C409" s="351"/>
      <c r="D409" s="333"/>
      <c r="E409" s="333"/>
      <c r="F409" s="333"/>
      <c r="G409" s="359"/>
      <c r="H409" s="359"/>
      <c r="I409" s="351"/>
      <c r="J409" s="359"/>
      <c r="K409" s="359"/>
      <c r="L409" s="359"/>
      <c r="M409" s="351"/>
      <c r="N409" s="351"/>
      <c r="O409" s="351"/>
      <c r="P409" s="351"/>
      <c r="Q409" s="351"/>
      <c r="R409" s="351"/>
      <c r="S409" s="351"/>
      <c r="T409" s="351"/>
      <c r="U409" s="351"/>
      <c r="V409" s="351"/>
      <c r="W409" s="351"/>
      <c r="X409" s="359"/>
      <c r="Y409" s="359"/>
      <c r="Z409" s="359"/>
      <c r="AA409" s="351"/>
      <c r="AB409" s="351"/>
      <c r="AC409" s="359"/>
      <c r="AD409" s="359"/>
      <c r="AE409" s="351"/>
      <c r="AF409" s="333"/>
      <c r="AG409" s="333"/>
      <c r="AH409" s="351"/>
      <c r="AI409" s="351"/>
      <c r="AJ409" s="351"/>
      <c r="AK409" s="351"/>
      <c r="AL409" s="351"/>
      <c r="AM409" s="351"/>
      <c r="AN409" s="351"/>
      <c r="AO409" s="351"/>
      <c r="AP409" s="351"/>
      <c r="AQ409" s="351"/>
      <c r="AR409" s="351"/>
      <c r="AS409" s="351"/>
      <c r="AT409" s="351"/>
      <c r="AU409" s="351"/>
      <c r="AV409" s="351"/>
      <c r="AW409" s="351"/>
      <c r="AX409" s="351"/>
      <c r="AY409" s="351"/>
    </row>
    <row r="410" spans="1:51" ht="13">
      <c r="A410" s="333"/>
      <c r="B410" s="351"/>
      <c r="C410" s="351"/>
      <c r="D410" s="333"/>
      <c r="E410" s="333"/>
      <c r="F410" s="333"/>
      <c r="G410" s="359"/>
      <c r="H410" s="359"/>
      <c r="I410" s="351"/>
      <c r="J410" s="359"/>
      <c r="K410" s="359"/>
      <c r="L410" s="359"/>
      <c r="M410" s="351"/>
      <c r="N410" s="351"/>
      <c r="O410" s="351"/>
      <c r="P410" s="351"/>
      <c r="Q410" s="351"/>
      <c r="R410" s="351"/>
      <c r="S410" s="351"/>
      <c r="T410" s="351"/>
      <c r="U410" s="351"/>
      <c r="V410" s="351"/>
      <c r="W410" s="351"/>
      <c r="X410" s="359"/>
      <c r="Y410" s="359"/>
      <c r="Z410" s="359"/>
      <c r="AA410" s="351"/>
      <c r="AB410" s="351"/>
      <c r="AC410" s="359"/>
      <c r="AD410" s="359"/>
      <c r="AE410" s="351"/>
      <c r="AF410" s="333"/>
      <c r="AG410" s="333"/>
      <c r="AH410" s="351"/>
      <c r="AI410" s="351"/>
      <c r="AJ410" s="351"/>
      <c r="AK410" s="351"/>
      <c r="AL410" s="351"/>
      <c r="AM410" s="351"/>
      <c r="AN410" s="351"/>
      <c r="AO410" s="351"/>
      <c r="AP410" s="351"/>
      <c r="AQ410" s="351"/>
      <c r="AR410" s="351"/>
      <c r="AS410" s="351"/>
      <c r="AT410" s="351"/>
      <c r="AU410" s="351"/>
      <c r="AV410" s="351"/>
      <c r="AW410" s="351"/>
      <c r="AX410" s="351"/>
      <c r="AY410" s="351"/>
    </row>
    <row r="411" spans="1:51" ht="13">
      <c r="A411" s="333"/>
      <c r="B411" s="351"/>
      <c r="C411" s="351"/>
      <c r="D411" s="333"/>
      <c r="E411" s="333"/>
      <c r="F411" s="333"/>
      <c r="G411" s="359"/>
      <c r="H411" s="359"/>
      <c r="I411" s="351"/>
      <c r="J411" s="359"/>
      <c r="K411" s="359"/>
      <c r="L411" s="359"/>
      <c r="M411" s="351"/>
      <c r="N411" s="351"/>
      <c r="O411" s="351"/>
      <c r="P411" s="351"/>
      <c r="Q411" s="351"/>
      <c r="R411" s="351"/>
      <c r="S411" s="351"/>
      <c r="T411" s="351"/>
      <c r="U411" s="351"/>
      <c r="V411" s="351"/>
      <c r="W411" s="351"/>
      <c r="X411" s="359"/>
      <c r="Y411" s="359"/>
      <c r="Z411" s="359"/>
      <c r="AA411" s="351"/>
      <c r="AB411" s="351"/>
      <c r="AC411" s="359"/>
      <c r="AD411" s="359"/>
      <c r="AE411" s="351"/>
      <c r="AF411" s="333"/>
      <c r="AG411" s="333"/>
      <c r="AH411" s="351"/>
      <c r="AI411" s="351"/>
      <c r="AJ411" s="351"/>
      <c r="AK411" s="351"/>
      <c r="AL411" s="351"/>
      <c r="AM411" s="351"/>
      <c r="AN411" s="351"/>
      <c r="AO411" s="351"/>
      <c r="AP411" s="351"/>
      <c r="AQ411" s="351"/>
      <c r="AR411" s="351"/>
      <c r="AS411" s="351"/>
      <c r="AT411" s="351"/>
      <c r="AU411" s="351"/>
      <c r="AV411" s="351"/>
      <c r="AW411" s="351"/>
      <c r="AX411" s="351"/>
      <c r="AY411" s="351"/>
    </row>
    <row r="412" spans="1:51" ht="13">
      <c r="A412" s="333"/>
      <c r="B412" s="351"/>
      <c r="C412" s="351"/>
      <c r="D412" s="333"/>
      <c r="E412" s="333"/>
      <c r="F412" s="333"/>
      <c r="G412" s="359"/>
      <c r="H412" s="359"/>
      <c r="I412" s="351"/>
      <c r="J412" s="359"/>
      <c r="K412" s="359"/>
      <c r="L412" s="359"/>
      <c r="M412" s="351"/>
      <c r="N412" s="351"/>
      <c r="O412" s="351"/>
      <c r="P412" s="351"/>
      <c r="Q412" s="351"/>
      <c r="R412" s="351"/>
      <c r="S412" s="351"/>
      <c r="T412" s="351"/>
      <c r="U412" s="351"/>
      <c r="V412" s="351"/>
      <c r="W412" s="351"/>
      <c r="X412" s="359"/>
      <c r="Y412" s="359"/>
      <c r="Z412" s="359"/>
      <c r="AA412" s="351"/>
      <c r="AB412" s="351"/>
      <c r="AC412" s="359"/>
      <c r="AD412" s="359"/>
      <c r="AE412" s="351"/>
      <c r="AF412" s="333"/>
      <c r="AG412" s="333"/>
      <c r="AH412" s="351"/>
      <c r="AI412" s="351"/>
      <c r="AJ412" s="351"/>
      <c r="AK412" s="351"/>
      <c r="AL412" s="351"/>
      <c r="AM412" s="351"/>
      <c r="AN412" s="351"/>
      <c r="AO412" s="351"/>
      <c r="AP412" s="351"/>
      <c r="AQ412" s="351"/>
      <c r="AR412" s="351"/>
      <c r="AS412" s="351"/>
      <c r="AT412" s="351"/>
      <c r="AU412" s="351"/>
      <c r="AV412" s="351"/>
      <c r="AW412" s="351"/>
      <c r="AX412" s="351"/>
      <c r="AY412" s="351"/>
    </row>
    <row r="413" spans="1:51" ht="13">
      <c r="A413" s="333"/>
      <c r="B413" s="351"/>
      <c r="C413" s="351"/>
      <c r="D413" s="333"/>
      <c r="E413" s="333"/>
      <c r="F413" s="333"/>
      <c r="G413" s="359"/>
      <c r="H413" s="359"/>
      <c r="I413" s="351"/>
      <c r="J413" s="359"/>
      <c r="K413" s="359"/>
      <c r="L413" s="359"/>
      <c r="M413" s="351"/>
      <c r="N413" s="351"/>
      <c r="O413" s="351"/>
      <c r="P413" s="351"/>
      <c r="Q413" s="351"/>
      <c r="R413" s="351"/>
      <c r="S413" s="351"/>
      <c r="T413" s="351"/>
      <c r="U413" s="351"/>
      <c r="V413" s="351"/>
      <c r="W413" s="351"/>
      <c r="X413" s="359"/>
      <c r="Y413" s="359"/>
      <c r="Z413" s="359"/>
      <c r="AA413" s="351"/>
      <c r="AB413" s="351"/>
      <c r="AC413" s="359"/>
      <c r="AD413" s="359"/>
      <c r="AE413" s="351"/>
      <c r="AF413" s="333"/>
      <c r="AG413" s="333"/>
      <c r="AH413" s="351"/>
      <c r="AI413" s="351"/>
      <c r="AJ413" s="351"/>
      <c r="AK413" s="351"/>
      <c r="AL413" s="351"/>
      <c r="AM413" s="351"/>
      <c r="AN413" s="351"/>
      <c r="AO413" s="351"/>
      <c r="AP413" s="351"/>
      <c r="AQ413" s="351"/>
      <c r="AR413" s="351"/>
      <c r="AS413" s="351"/>
      <c r="AT413" s="351"/>
      <c r="AU413" s="351"/>
      <c r="AV413" s="351"/>
      <c r="AW413" s="351"/>
      <c r="AX413" s="351"/>
      <c r="AY413" s="351"/>
    </row>
    <row r="414" spans="1:51" ht="13">
      <c r="A414" s="333"/>
      <c r="B414" s="351"/>
      <c r="C414" s="351"/>
      <c r="D414" s="333"/>
      <c r="E414" s="333"/>
      <c r="F414" s="333"/>
      <c r="G414" s="359"/>
      <c r="H414" s="359"/>
      <c r="I414" s="351"/>
      <c r="J414" s="359"/>
      <c r="K414" s="359"/>
      <c r="L414" s="359"/>
      <c r="M414" s="351"/>
      <c r="N414" s="351"/>
      <c r="O414" s="351"/>
      <c r="P414" s="351"/>
      <c r="Q414" s="351"/>
      <c r="R414" s="351"/>
      <c r="S414" s="351"/>
      <c r="T414" s="351"/>
      <c r="U414" s="351"/>
      <c r="V414" s="351"/>
      <c r="W414" s="351"/>
      <c r="X414" s="359"/>
      <c r="Y414" s="359"/>
      <c r="Z414" s="359"/>
      <c r="AA414" s="351"/>
      <c r="AB414" s="351"/>
      <c r="AC414" s="359"/>
      <c r="AD414" s="359"/>
      <c r="AE414" s="351"/>
      <c r="AF414" s="333"/>
      <c r="AG414" s="333"/>
      <c r="AH414" s="351"/>
      <c r="AI414" s="351"/>
      <c r="AJ414" s="351"/>
      <c r="AK414" s="351"/>
      <c r="AL414" s="351"/>
      <c r="AM414" s="351"/>
      <c r="AN414" s="351"/>
      <c r="AO414" s="351"/>
      <c r="AP414" s="351"/>
      <c r="AQ414" s="351"/>
      <c r="AR414" s="351"/>
      <c r="AS414" s="351"/>
      <c r="AT414" s="351"/>
      <c r="AU414" s="351"/>
      <c r="AV414" s="351"/>
      <c r="AW414" s="351"/>
      <c r="AX414" s="351"/>
      <c r="AY414" s="351"/>
    </row>
    <row r="415" spans="1:51" ht="13">
      <c r="A415" s="333"/>
      <c r="B415" s="351"/>
      <c r="C415" s="351"/>
      <c r="D415" s="333"/>
      <c r="E415" s="333"/>
      <c r="F415" s="333"/>
      <c r="G415" s="359"/>
      <c r="H415" s="359"/>
      <c r="I415" s="351"/>
      <c r="J415" s="359"/>
      <c r="K415" s="359"/>
      <c r="L415" s="359"/>
      <c r="M415" s="351"/>
      <c r="N415" s="351"/>
      <c r="O415" s="351"/>
      <c r="P415" s="351"/>
      <c r="Q415" s="351"/>
      <c r="R415" s="351"/>
      <c r="S415" s="351"/>
      <c r="T415" s="351"/>
      <c r="U415" s="351"/>
      <c r="V415" s="351"/>
      <c r="W415" s="351"/>
      <c r="X415" s="359"/>
      <c r="Y415" s="359"/>
      <c r="Z415" s="359"/>
      <c r="AA415" s="351"/>
      <c r="AB415" s="351"/>
      <c r="AC415" s="359"/>
      <c r="AD415" s="359"/>
      <c r="AE415" s="351"/>
      <c r="AF415" s="333"/>
      <c r="AG415" s="333"/>
      <c r="AH415" s="351"/>
      <c r="AI415" s="351"/>
      <c r="AJ415" s="351"/>
      <c r="AK415" s="351"/>
      <c r="AL415" s="351"/>
      <c r="AM415" s="351"/>
      <c r="AN415" s="351"/>
      <c r="AO415" s="351"/>
      <c r="AP415" s="351"/>
      <c r="AQ415" s="351"/>
      <c r="AR415" s="351"/>
      <c r="AS415" s="351"/>
      <c r="AT415" s="351"/>
      <c r="AU415" s="351"/>
      <c r="AV415" s="351"/>
      <c r="AW415" s="351"/>
      <c r="AX415" s="351"/>
      <c r="AY415" s="351"/>
    </row>
    <row r="416" spans="1:51" ht="13">
      <c r="A416" s="333"/>
      <c r="B416" s="351"/>
      <c r="C416" s="351"/>
      <c r="D416" s="333"/>
      <c r="E416" s="333"/>
      <c r="F416" s="333"/>
      <c r="G416" s="359"/>
      <c r="H416" s="359"/>
      <c r="I416" s="351"/>
      <c r="J416" s="359"/>
      <c r="K416" s="359"/>
      <c r="L416" s="359"/>
      <c r="M416" s="351"/>
      <c r="N416" s="351"/>
      <c r="O416" s="351"/>
      <c r="P416" s="351"/>
      <c r="Q416" s="351"/>
      <c r="R416" s="351"/>
      <c r="S416" s="351"/>
      <c r="T416" s="351"/>
      <c r="U416" s="351"/>
      <c r="V416" s="351"/>
      <c r="W416" s="351"/>
      <c r="X416" s="359"/>
      <c r="Y416" s="359"/>
      <c r="Z416" s="359"/>
      <c r="AA416" s="351"/>
      <c r="AB416" s="351"/>
      <c r="AC416" s="359"/>
      <c r="AD416" s="359"/>
      <c r="AE416" s="351"/>
      <c r="AF416" s="333"/>
      <c r="AG416" s="333"/>
      <c r="AH416" s="351"/>
      <c r="AI416" s="351"/>
      <c r="AJ416" s="351"/>
      <c r="AK416" s="351"/>
      <c r="AL416" s="351"/>
      <c r="AM416" s="351"/>
      <c r="AN416" s="351"/>
      <c r="AO416" s="351"/>
      <c r="AP416" s="351"/>
      <c r="AQ416" s="351"/>
      <c r="AR416" s="351"/>
      <c r="AS416" s="351"/>
      <c r="AT416" s="351"/>
      <c r="AU416" s="351"/>
      <c r="AV416" s="351"/>
      <c r="AW416" s="351"/>
      <c r="AX416" s="351"/>
      <c r="AY416" s="351"/>
    </row>
    <row r="417" spans="1:51" ht="13">
      <c r="A417" s="333"/>
      <c r="B417" s="351"/>
      <c r="C417" s="351"/>
      <c r="D417" s="333"/>
      <c r="E417" s="333"/>
      <c r="F417" s="333"/>
      <c r="G417" s="359"/>
      <c r="H417" s="359"/>
      <c r="I417" s="351"/>
      <c r="J417" s="359"/>
      <c r="K417" s="359"/>
      <c r="L417" s="359"/>
      <c r="M417" s="351"/>
      <c r="N417" s="351"/>
      <c r="O417" s="351"/>
      <c r="P417" s="351"/>
      <c r="Q417" s="351"/>
      <c r="R417" s="351"/>
      <c r="S417" s="351"/>
      <c r="T417" s="351"/>
      <c r="U417" s="351"/>
      <c r="V417" s="351"/>
      <c r="W417" s="351"/>
      <c r="X417" s="359"/>
      <c r="Y417" s="359"/>
      <c r="Z417" s="359"/>
      <c r="AA417" s="351"/>
      <c r="AB417" s="351"/>
      <c r="AC417" s="359"/>
      <c r="AD417" s="359"/>
      <c r="AE417" s="351"/>
      <c r="AF417" s="333"/>
      <c r="AG417" s="333"/>
      <c r="AH417" s="351"/>
      <c r="AI417" s="351"/>
      <c r="AJ417" s="351"/>
      <c r="AK417" s="351"/>
      <c r="AL417" s="351"/>
      <c r="AM417" s="351"/>
      <c r="AN417" s="351"/>
      <c r="AO417" s="351"/>
      <c r="AP417" s="351"/>
      <c r="AQ417" s="351"/>
      <c r="AR417" s="351"/>
      <c r="AS417" s="351"/>
      <c r="AT417" s="351"/>
      <c r="AU417" s="351"/>
      <c r="AV417" s="351"/>
      <c r="AW417" s="351"/>
      <c r="AX417" s="351"/>
      <c r="AY417" s="351"/>
    </row>
    <row r="418" spans="1:51" ht="13">
      <c r="A418" s="333"/>
      <c r="B418" s="351"/>
      <c r="C418" s="351"/>
      <c r="D418" s="333"/>
      <c r="E418" s="333"/>
      <c r="F418" s="333"/>
      <c r="G418" s="359"/>
      <c r="H418" s="359"/>
      <c r="I418" s="351"/>
      <c r="J418" s="359"/>
      <c r="K418" s="359"/>
      <c r="L418" s="359"/>
      <c r="M418" s="351"/>
      <c r="N418" s="351"/>
      <c r="O418" s="351"/>
      <c r="P418" s="351"/>
      <c r="Q418" s="351"/>
      <c r="R418" s="351"/>
      <c r="S418" s="351"/>
      <c r="T418" s="351"/>
      <c r="U418" s="351"/>
      <c r="V418" s="351"/>
      <c r="W418" s="351"/>
      <c r="X418" s="359"/>
      <c r="Y418" s="359"/>
      <c r="Z418" s="359"/>
      <c r="AA418" s="351"/>
      <c r="AB418" s="351"/>
      <c r="AC418" s="359"/>
      <c r="AD418" s="359"/>
      <c r="AE418" s="351"/>
      <c r="AF418" s="333"/>
      <c r="AG418" s="333"/>
      <c r="AH418" s="351"/>
      <c r="AI418" s="351"/>
      <c r="AJ418" s="351"/>
      <c r="AK418" s="351"/>
      <c r="AL418" s="351"/>
      <c r="AM418" s="351"/>
      <c r="AN418" s="351"/>
      <c r="AO418" s="351"/>
      <c r="AP418" s="351"/>
      <c r="AQ418" s="351"/>
      <c r="AR418" s="351"/>
      <c r="AS418" s="351"/>
      <c r="AT418" s="351"/>
      <c r="AU418" s="351"/>
      <c r="AV418" s="351"/>
      <c r="AW418" s="351"/>
      <c r="AX418" s="351"/>
      <c r="AY418" s="351"/>
    </row>
    <row r="419" spans="1:51" ht="13">
      <c r="A419" s="333"/>
      <c r="B419" s="351"/>
      <c r="C419" s="351"/>
      <c r="D419" s="333"/>
      <c r="E419" s="333"/>
      <c r="F419" s="333"/>
      <c r="G419" s="359"/>
      <c r="H419" s="359"/>
      <c r="I419" s="351"/>
      <c r="J419" s="359"/>
      <c r="K419" s="359"/>
      <c r="L419" s="359"/>
      <c r="M419" s="351"/>
      <c r="N419" s="351"/>
      <c r="O419" s="351"/>
      <c r="P419" s="351"/>
      <c r="Q419" s="351"/>
      <c r="R419" s="351"/>
      <c r="S419" s="351"/>
      <c r="T419" s="351"/>
      <c r="U419" s="351"/>
      <c r="V419" s="351"/>
      <c r="W419" s="351"/>
      <c r="X419" s="359"/>
      <c r="Y419" s="359"/>
      <c r="Z419" s="359"/>
      <c r="AA419" s="351"/>
      <c r="AB419" s="351"/>
      <c r="AC419" s="359"/>
      <c r="AD419" s="359"/>
      <c r="AE419" s="351"/>
      <c r="AF419" s="333"/>
      <c r="AG419" s="333"/>
      <c r="AH419" s="351"/>
      <c r="AI419" s="351"/>
      <c r="AJ419" s="351"/>
      <c r="AK419" s="351"/>
      <c r="AL419" s="351"/>
      <c r="AM419" s="351"/>
      <c r="AN419" s="351"/>
      <c r="AO419" s="351"/>
      <c r="AP419" s="351"/>
      <c r="AQ419" s="351"/>
      <c r="AR419" s="351"/>
      <c r="AS419" s="351"/>
      <c r="AT419" s="351"/>
      <c r="AU419" s="351"/>
      <c r="AV419" s="351"/>
      <c r="AW419" s="351"/>
      <c r="AX419" s="351"/>
      <c r="AY419" s="351"/>
    </row>
    <row r="420" spans="1:51" ht="13">
      <c r="A420" s="333"/>
      <c r="B420" s="351"/>
      <c r="C420" s="351"/>
      <c r="D420" s="333"/>
      <c r="E420" s="333"/>
      <c r="F420" s="333"/>
      <c r="G420" s="359"/>
      <c r="H420" s="359"/>
      <c r="I420" s="351"/>
      <c r="J420" s="359"/>
      <c r="K420" s="359"/>
      <c r="L420" s="359"/>
      <c r="M420" s="351"/>
      <c r="N420" s="351"/>
      <c r="O420" s="351"/>
      <c r="P420" s="351"/>
      <c r="Q420" s="351"/>
      <c r="R420" s="351"/>
      <c r="S420" s="351"/>
      <c r="T420" s="351"/>
      <c r="U420" s="351"/>
      <c r="V420" s="351"/>
      <c r="W420" s="351"/>
      <c r="X420" s="359"/>
      <c r="Y420" s="359"/>
      <c r="Z420" s="359"/>
      <c r="AA420" s="351"/>
      <c r="AB420" s="351"/>
      <c r="AC420" s="359"/>
      <c r="AD420" s="359"/>
      <c r="AE420" s="351"/>
      <c r="AF420" s="333"/>
      <c r="AG420" s="333"/>
      <c r="AH420" s="351"/>
      <c r="AI420" s="351"/>
      <c r="AJ420" s="351"/>
      <c r="AK420" s="351"/>
      <c r="AL420" s="351"/>
      <c r="AM420" s="351"/>
      <c r="AN420" s="351"/>
      <c r="AO420" s="351"/>
      <c r="AP420" s="351"/>
      <c r="AQ420" s="351"/>
      <c r="AR420" s="351"/>
      <c r="AS420" s="351"/>
      <c r="AT420" s="351"/>
      <c r="AU420" s="351"/>
      <c r="AV420" s="351"/>
      <c r="AW420" s="351"/>
      <c r="AX420" s="351"/>
      <c r="AY420" s="351"/>
    </row>
    <row r="421" spans="1:51" ht="13">
      <c r="A421" s="333"/>
      <c r="B421" s="351"/>
      <c r="C421" s="351"/>
      <c r="D421" s="333"/>
      <c r="E421" s="333"/>
      <c r="F421" s="333"/>
      <c r="G421" s="359"/>
      <c r="H421" s="359"/>
      <c r="I421" s="351"/>
      <c r="J421" s="359"/>
      <c r="K421" s="359"/>
      <c r="L421" s="359"/>
      <c r="M421" s="351"/>
      <c r="N421" s="351"/>
      <c r="O421" s="351"/>
      <c r="P421" s="351"/>
      <c r="Q421" s="351"/>
      <c r="R421" s="351"/>
      <c r="S421" s="351"/>
      <c r="T421" s="351"/>
      <c r="U421" s="351"/>
      <c r="V421" s="351"/>
      <c r="W421" s="351"/>
      <c r="X421" s="359"/>
      <c r="Y421" s="359"/>
      <c r="Z421" s="359"/>
      <c r="AA421" s="351"/>
      <c r="AB421" s="351"/>
      <c r="AC421" s="359"/>
      <c r="AD421" s="359"/>
      <c r="AE421" s="351"/>
      <c r="AF421" s="333"/>
      <c r="AG421" s="333"/>
      <c r="AH421" s="351"/>
      <c r="AI421" s="351"/>
      <c r="AJ421" s="351"/>
      <c r="AK421" s="351"/>
      <c r="AL421" s="351"/>
      <c r="AM421" s="351"/>
      <c r="AN421" s="351"/>
      <c r="AO421" s="351"/>
      <c r="AP421" s="351"/>
      <c r="AQ421" s="351"/>
      <c r="AR421" s="351"/>
      <c r="AS421" s="351"/>
      <c r="AT421" s="351"/>
      <c r="AU421" s="351"/>
      <c r="AV421" s="351"/>
      <c r="AW421" s="351"/>
      <c r="AX421" s="351"/>
      <c r="AY421" s="351"/>
    </row>
    <row r="422" spans="1:51" ht="13">
      <c r="A422" s="333"/>
      <c r="B422" s="351"/>
      <c r="C422" s="351"/>
      <c r="D422" s="333"/>
      <c r="E422" s="333"/>
      <c r="F422" s="333"/>
      <c r="G422" s="359"/>
      <c r="H422" s="359"/>
      <c r="I422" s="351"/>
      <c r="J422" s="359"/>
      <c r="K422" s="359"/>
      <c r="L422" s="359"/>
      <c r="M422" s="351"/>
      <c r="N422" s="351"/>
      <c r="O422" s="351"/>
      <c r="P422" s="351"/>
      <c r="Q422" s="351"/>
      <c r="R422" s="351"/>
      <c r="S422" s="351"/>
      <c r="T422" s="351"/>
      <c r="U422" s="351"/>
      <c r="V422" s="351"/>
      <c r="W422" s="351"/>
      <c r="X422" s="359"/>
      <c r="Y422" s="359"/>
      <c r="Z422" s="359"/>
      <c r="AA422" s="351"/>
      <c r="AB422" s="351"/>
      <c r="AC422" s="359"/>
      <c r="AD422" s="359"/>
      <c r="AE422" s="351"/>
      <c r="AF422" s="333"/>
      <c r="AG422" s="333"/>
      <c r="AH422" s="351"/>
      <c r="AI422" s="351"/>
      <c r="AJ422" s="351"/>
      <c r="AK422" s="351"/>
      <c r="AL422" s="351"/>
      <c r="AM422" s="351"/>
      <c r="AN422" s="351"/>
      <c r="AO422" s="351"/>
      <c r="AP422" s="351"/>
      <c r="AQ422" s="351"/>
      <c r="AR422" s="351"/>
      <c r="AS422" s="351"/>
      <c r="AT422" s="351"/>
      <c r="AU422" s="351"/>
      <c r="AV422" s="351"/>
      <c r="AW422" s="351"/>
      <c r="AX422" s="351"/>
      <c r="AY422" s="351"/>
    </row>
    <row r="423" spans="1:51" ht="13">
      <c r="A423" s="333"/>
      <c r="B423" s="351"/>
      <c r="C423" s="351"/>
      <c r="D423" s="333"/>
      <c r="E423" s="333"/>
      <c r="F423" s="333"/>
      <c r="G423" s="359"/>
      <c r="H423" s="359"/>
      <c r="I423" s="351"/>
      <c r="J423" s="359"/>
      <c r="K423" s="359"/>
      <c r="L423" s="359"/>
      <c r="M423" s="351"/>
      <c r="N423" s="351"/>
      <c r="O423" s="351"/>
      <c r="P423" s="351"/>
      <c r="Q423" s="351"/>
      <c r="R423" s="351"/>
      <c r="S423" s="351"/>
      <c r="T423" s="351"/>
      <c r="U423" s="351"/>
      <c r="V423" s="351"/>
      <c r="W423" s="351"/>
      <c r="X423" s="359"/>
      <c r="Y423" s="359"/>
      <c r="Z423" s="359"/>
      <c r="AA423" s="351"/>
      <c r="AB423" s="351"/>
      <c r="AC423" s="359"/>
      <c r="AD423" s="359"/>
      <c r="AE423" s="351"/>
      <c r="AF423" s="333"/>
      <c r="AG423" s="333"/>
      <c r="AH423" s="351"/>
      <c r="AI423" s="351"/>
      <c r="AJ423" s="351"/>
      <c r="AK423" s="351"/>
      <c r="AL423" s="351"/>
      <c r="AM423" s="351"/>
      <c r="AN423" s="351"/>
      <c r="AO423" s="351"/>
      <c r="AP423" s="351"/>
      <c r="AQ423" s="351"/>
      <c r="AR423" s="351"/>
      <c r="AS423" s="351"/>
      <c r="AT423" s="351"/>
      <c r="AU423" s="351"/>
      <c r="AV423" s="351"/>
      <c r="AW423" s="351"/>
      <c r="AX423" s="351"/>
      <c r="AY423" s="351"/>
    </row>
    <row r="424" spans="1:51" ht="13">
      <c r="A424" s="333"/>
      <c r="B424" s="351"/>
      <c r="C424" s="351"/>
      <c r="D424" s="333"/>
      <c r="E424" s="333"/>
      <c r="F424" s="333"/>
      <c r="G424" s="359"/>
      <c r="H424" s="359"/>
      <c r="I424" s="351"/>
      <c r="J424" s="359"/>
      <c r="K424" s="359"/>
      <c r="L424" s="359"/>
      <c r="M424" s="351"/>
      <c r="N424" s="351"/>
      <c r="O424" s="351"/>
      <c r="P424" s="351"/>
      <c r="Q424" s="351"/>
      <c r="R424" s="351"/>
      <c r="S424" s="351"/>
      <c r="T424" s="351"/>
      <c r="U424" s="351"/>
      <c r="V424" s="351"/>
      <c r="W424" s="351"/>
      <c r="X424" s="359"/>
      <c r="Y424" s="359"/>
      <c r="Z424" s="359"/>
      <c r="AA424" s="351"/>
      <c r="AB424" s="351"/>
      <c r="AC424" s="359"/>
      <c r="AD424" s="359"/>
      <c r="AE424" s="351"/>
      <c r="AF424" s="333"/>
      <c r="AG424" s="333"/>
      <c r="AH424" s="351"/>
      <c r="AI424" s="351"/>
      <c r="AJ424" s="351"/>
      <c r="AK424" s="351"/>
      <c r="AL424" s="351"/>
      <c r="AM424" s="351"/>
      <c r="AN424" s="351"/>
      <c r="AO424" s="351"/>
      <c r="AP424" s="351"/>
      <c r="AQ424" s="351"/>
      <c r="AR424" s="351"/>
      <c r="AS424" s="351"/>
      <c r="AT424" s="351"/>
      <c r="AU424" s="351"/>
      <c r="AV424" s="351"/>
      <c r="AW424" s="351"/>
      <c r="AX424" s="351"/>
      <c r="AY424" s="351"/>
    </row>
    <row r="425" spans="1:51" ht="13">
      <c r="A425" s="333"/>
      <c r="B425" s="351"/>
      <c r="C425" s="351"/>
      <c r="D425" s="333"/>
      <c r="E425" s="333"/>
      <c r="F425" s="333"/>
      <c r="G425" s="359"/>
      <c r="H425" s="359"/>
      <c r="I425" s="351"/>
      <c r="J425" s="359"/>
      <c r="K425" s="359"/>
      <c r="L425" s="359"/>
      <c r="M425" s="351"/>
      <c r="N425" s="351"/>
      <c r="O425" s="351"/>
      <c r="P425" s="351"/>
      <c r="Q425" s="351"/>
      <c r="R425" s="351"/>
      <c r="S425" s="351"/>
      <c r="T425" s="351"/>
      <c r="U425" s="351"/>
      <c r="V425" s="351"/>
      <c r="W425" s="351"/>
      <c r="X425" s="359"/>
      <c r="Y425" s="359"/>
      <c r="Z425" s="359"/>
      <c r="AA425" s="351"/>
      <c r="AB425" s="351"/>
      <c r="AC425" s="359"/>
      <c r="AD425" s="359"/>
      <c r="AE425" s="351"/>
      <c r="AF425" s="333"/>
      <c r="AG425" s="333"/>
      <c r="AH425" s="351"/>
      <c r="AI425" s="351"/>
      <c r="AJ425" s="351"/>
      <c r="AK425" s="351"/>
      <c r="AL425" s="351"/>
      <c r="AM425" s="351"/>
      <c r="AN425" s="351"/>
      <c r="AO425" s="351"/>
      <c r="AP425" s="351"/>
      <c r="AQ425" s="351"/>
      <c r="AR425" s="351"/>
      <c r="AS425" s="351"/>
      <c r="AT425" s="351"/>
      <c r="AU425" s="351"/>
      <c r="AV425" s="351"/>
      <c r="AW425" s="351"/>
      <c r="AX425" s="351"/>
      <c r="AY425" s="351"/>
    </row>
    <row r="426" spans="1:51" ht="13">
      <c r="A426" s="333"/>
      <c r="B426" s="351"/>
      <c r="C426" s="351"/>
      <c r="D426" s="333"/>
      <c r="E426" s="333"/>
      <c r="F426" s="333"/>
      <c r="G426" s="359"/>
      <c r="H426" s="359"/>
      <c r="I426" s="351"/>
      <c r="J426" s="359"/>
      <c r="K426" s="359"/>
      <c r="L426" s="359"/>
      <c r="M426" s="351"/>
      <c r="N426" s="351"/>
      <c r="O426" s="351"/>
      <c r="P426" s="351"/>
      <c r="Q426" s="351"/>
      <c r="R426" s="351"/>
      <c r="S426" s="351"/>
      <c r="T426" s="351"/>
      <c r="U426" s="351"/>
      <c r="V426" s="351"/>
      <c r="W426" s="351"/>
      <c r="X426" s="359"/>
      <c r="Y426" s="359"/>
      <c r="Z426" s="359"/>
      <c r="AA426" s="351"/>
      <c r="AB426" s="351"/>
      <c r="AC426" s="359"/>
      <c r="AD426" s="359"/>
      <c r="AE426" s="351"/>
      <c r="AF426" s="333"/>
      <c r="AG426" s="333"/>
      <c r="AH426" s="351"/>
      <c r="AI426" s="351"/>
      <c r="AJ426" s="351"/>
      <c r="AK426" s="351"/>
      <c r="AL426" s="351"/>
      <c r="AM426" s="351"/>
      <c r="AN426" s="351"/>
      <c r="AO426" s="351"/>
      <c r="AP426" s="351"/>
      <c r="AQ426" s="351"/>
      <c r="AR426" s="351"/>
      <c r="AS426" s="351"/>
      <c r="AT426" s="351"/>
      <c r="AU426" s="351"/>
      <c r="AV426" s="351"/>
      <c r="AW426" s="351"/>
      <c r="AX426" s="351"/>
      <c r="AY426" s="351"/>
    </row>
    <row r="427" spans="1:51" ht="13">
      <c r="A427" s="333"/>
      <c r="B427" s="351"/>
      <c r="C427" s="351"/>
      <c r="D427" s="333"/>
      <c r="E427" s="333"/>
      <c r="F427" s="333"/>
      <c r="G427" s="359"/>
      <c r="H427" s="359"/>
      <c r="I427" s="351"/>
      <c r="J427" s="359"/>
      <c r="K427" s="359"/>
      <c r="L427" s="359"/>
      <c r="M427" s="351"/>
      <c r="N427" s="351"/>
      <c r="O427" s="351"/>
      <c r="P427" s="351"/>
      <c r="Q427" s="351"/>
      <c r="R427" s="351"/>
      <c r="S427" s="351"/>
      <c r="T427" s="351"/>
      <c r="U427" s="351"/>
      <c r="V427" s="351"/>
      <c r="W427" s="351"/>
      <c r="X427" s="359"/>
      <c r="Y427" s="359"/>
      <c r="Z427" s="359"/>
      <c r="AA427" s="351"/>
      <c r="AB427" s="351"/>
      <c r="AC427" s="359"/>
      <c r="AD427" s="359"/>
      <c r="AE427" s="351"/>
      <c r="AF427" s="333"/>
      <c r="AG427" s="333"/>
      <c r="AH427" s="351"/>
      <c r="AI427" s="351"/>
      <c r="AJ427" s="351"/>
      <c r="AK427" s="351"/>
      <c r="AL427" s="351"/>
      <c r="AM427" s="351"/>
      <c r="AN427" s="351"/>
      <c r="AO427" s="351"/>
      <c r="AP427" s="351"/>
      <c r="AQ427" s="351"/>
      <c r="AR427" s="351"/>
      <c r="AS427" s="351"/>
      <c r="AT427" s="351"/>
      <c r="AU427" s="351"/>
      <c r="AV427" s="351"/>
      <c r="AW427" s="351"/>
      <c r="AX427" s="351"/>
      <c r="AY427" s="351"/>
    </row>
    <row r="428" spans="1:51" ht="13">
      <c r="A428" s="333"/>
      <c r="B428" s="351"/>
      <c r="C428" s="351"/>
      <c r="D428" s="333"/>
      <c r="E428" s="333"/>
      <c r="F428" s="333"/>
      <c r="G428" s="359"/>
      <c r="H428" s="359"/>
      <c r="I428" s="351"/>
      <c r="J428" s="359"/>
      <c r="K428" s="359"/>
      <c r="L428" s="359"/>
      <c r="M428" s="351"/>
      <c r="N428" s="351"/>
      <c r="O428" s="351"/>
      <c r="P428" s="351"/>
      <c r="Q428" s="351"/>
      <c r="R428" s="351"/>
      <c r="S428" s="351"/>
      <c r="T428" s="351"/>
      <c r="U428" s="351"/>
      <c r="V428" s="351"/>
      <c r="W428" s="351"/>
      <c r="X428" s="359"/>
      <c r="Y428" s="359"/>
      <c r="Z428" s="359"/>
      <c r="AA428" s="351"/>
      <c r="AB428" s="351"/>
      <c r="AC428" s="359"/>
      <c r="AD428" s="359"/>
      <c r="AE428" s="351"/>
      <c r="AF428" s="333"/>
      <c r="AG428" s="333"/>
      <c r="AH428" s="351"/>
      <c r="AI428" s="351"/>
      <c r="AJ428" s="351"/>
      <c r="AK428" s="351"/>
      <c r="AL428" s="351"/>
      <c r="AM428" s="351"/>
      <c r="AN428" s="351"/>
      <c r="AO428" s="351"/>
      <c r="AP428" s="351"/>
      <c r="AQ428" s="351"/>
      <c r="AR428" s="351"/>
      <c r="AS428" s="351"/>
      <c r="AT428" s="351"/>
      <c r="AU428" s="351"/>
      <c r="AV428" s="351"/>
      <c r="AW428" s="351"/>
      <c r="AX428" s="351"/>
      <c r="AY428" s="351"/>
    </row>
    <row r="429" spans="1:51" ht="13">
      <c r="A429" s="333"/>
      <c r="B429" s="351"/>
      <c r="C429" s="351"/>
      <c r="D429" s="333"/>
      <c r="E429" s="333"/>
      <c r="F429" s="333"/>
      <c r="G429" s="359"/>
      <c r="H429" s="359"/>
      <c r="I429" s="351"/>
      <c r="J429" s="359"/>
      <c r="K429" s="359"/>
      <c r="L429" s="359"/>
      <c r="M429" s="351"/>
      <c r="N429" s="351"/>
      <c r="O429" s="351"/>
      <c r="P429" s="351"/>
      <c r="Q429" s="351"/>
      <c r="R429" s="351"/>
      <c r="S429" s="351"/>
      <c r="T429" s="351"/>
      <c r="U429" s="351"/>
      <c r="V429" s="351"/>
      <c r="W429" s="351"/>
      <c r="X429" s="359"/>
      <c r="Y429" s="359"/>
      <c r="Z429" s="359"/>
      <c r="AA429" s="351"/>
      <c r="AB429" s="351"/>
      <c r="AC429" s="359"/>
      <c r="AD429" s="359"/>
      <c r="AE429" s="351"/>
      <c r="AF429" s="333"/>
      <c r="AG429" s="333"/>
      <c r="AH429" s="351"/>
      <c r="AI429" s="351"/>
      <c r="AJ429" s="351"/>
      <c r="AK429" s="351"/>
      <c r="AL429" s="351"/>
      <c r="AM429" s="351"/>
      <c r="AN429" s="351"/>
      <c r="AO429" s="351"/>
      <c r="AP429" s="351"/>
      <c r="AQ429" s="351"/>
      <c r="AR429" s="351"/>
      <c r="AS429" s="351"/>
      <c r="AT429" s="351"/>
      <c r="AU429" s="351"/>
      <c r="AV429" s="351"/>
      <c r="AW429" s="351"/>
      <c r="AX429" s="351"/>
      <c r="AY429" s="351"/>
    </row>
    <row r="430" spans="1:51" ht="13">
      <c r="A430" s="333"/>
      <c r="B430" s="351"/>
      <c r="C430" s="351"/>
      <c r="D430" s="333"/>
      <c r="E430" s="333"/>
      <c r="F430" s="333"/>
      <c r="G430" s="359"/>
      <c r="H430" s="359"/>
      <c r="I430" s="351"/>
      <c r="J430" s="359"/>
      <c r="K430" s="359"/>
      <c r="L430" s="359"/>
      <c r="M430" s="351"/>
      <c r="N430" s="351"/>
      <c r="O430" s="351"/>
      <c r="P430" s="351"/>
      <c r="Q430" s="351"/>
      <c r="R430" s="351"/>
      <c r="S430" s="351"/>
      <c r="T430" s="351"/>
      <c r="U430" s="351"/>
      <c r="V430" s="351"/>
      <c r="W430" s="351"/>
      <c r="X430" s="359"/>
      <c r="Y430" s="359"/>
      <c r="Z430" s="359"/>
      <c r="AA430" s="351"/>
      <c r="AB430" s="351"/>
      <c r="AC430" s="359"/>
      <c r="AD430" s="359"/>
      <c r="AE430" s="351"/>
      <c r="AF430" s="333"/>
      <c r="AG430" s="333"/>
      <c r="AH430" s="351"/>
      <c r="AI430" s="351"/>
      <c r="AJ430" s="351"/>
      <c r="AK430" s="351"/>
      <c r="AL430" s="351"/>
      <c r="AM430" s="351"/>
      <c r="AN430" s="351"/>
      <c r="AO430" s="351"/>
      <c r="AP430" s="351"/>
      <c r="AQ430" s="351"/>
      <c r="AR430" s="351"/>
      <c r="AS430" s="351"/>
      <c r="AT430" s="351"/>
      <c r="AU430" s="351"/>
      <c r="AV430" s="351"/>
      <c r="AW430" s="351"/>
      <c r="AX430" s="351"/>
      <c r="AY430" s="351"/>
    </row>
    <row r="431" spans="1:51" ht="13">
      <c r="A431" s="333"/>
      <c r="B431" s="351"/>
      <c r="C431" s="351"/>
      <c r="D431" s="333"/>
      <c r="E431" s="333"/>
      <c r="F431" s="333"/>
      <c r="G431" s="359"/>
      <c r="H431" s="359"/>
      <c r="I431" s="351"/>
      <c r="J431" s="359"/>
      <c r="K431" s="359"/>
      <c r="L431" s="359"/>
      <c r="M431" s="351"/>
      <c r="N431" s="351"/>
      <c r="O431" s="351"/>
      <c r="P431" s="351"/>
      <c r="Q431" s="351"/>
      <c r="R431" s="351"/>
      <c r="S431" s="351"/>
      <c r="T431" s="351"/>
      <c r="U431" s="351"/>
      <c r="V431" s="351"/>
      <c r="W431" s="351"/>
      <c r="X431" s="359"/>
      <c r="Y431" s="359"/>
      <c r="Z431" s="359"/>
      <c r="AA431" s="351"/>
      <c r="AB431" s="351"/>
      <c r="AC431" s="359"/>
      <c r="AD431" s="359"/>
      <c r="AE431" s="351"/>
      <c r="AF431" s="333"/>
      <c r="AG431" s="333"/>
      <c r="AH431" s="351"/>
      <c r="AI431" s="351"/>
      <c r="AJ431" s="351"/>
      <c r="AK431" s="351"/>
      <c r="AL431" s="351"/>
      <c r="AM431" s="351"/>
      <c r="AN431" s="351"/>
      <c r="AO431" s="351"/>
      <c r="AP431" s="351"/>
      <c r="AQ431" s="351"/>
      <c r="AR431" s="351"/>
      <c r="AS431" s="351"/>
      <c r="AT431" s="351"/>
      <c r="AU431" s="351"/>
      <c r="AV431" s="351"/>
      <c r="AW431" s="351"/>
      <c r="AX431" s="351"/>
      <c r="AY431" s="351"/>
    </row>
    <row r="432" spans="1:51" ht="13">
      <c r="A432" s="333"/>
      <c r="B432" s="351"/>
      <c r="C432" s="351"/>
      <c r="D432" s="333"/>
      <c r="E432" s="333"/>
      <c r="F432" s="333"/>
      <c r="G432" s="359"/>
      <c r="H432" s="359"/>
      <c r="I432" s="351"/>
      <c r="J432" s="359"/>
      <c r="K432" s="359"/>
      <c r="L432" s="359"/>
      <c r="M432" s="351"/>
      <c r="N432" s="351"/>
      <c r="O432" s="351"/>
      <c r="P432" s="351"/>
      <c r="Q432" s="351"/>
      <c r="R432" s="351"/>
      <c r="S432" s="351"/>
      <c r="T432" s="351"/>
      <c r="U432" s="351"/>
      <c r="V432" s="351"/>
      <c r="W432" s="351"/>
      <c r="X432" s="359"/>
      <c r="Y432" s="359"/>
      <c r="Z432" s="359"/>
      <c r="AA432" s="351"/>
      <c r="AB432" s="351"/>
      <c r="AC432" s="359"/>
      <c r="AD432" s="359"/>
      <c r="AE432" s="351"/>
      <c r="AF432" s="333"/>
      <c r="AG432" s="333"/>
      <c r="AH432" s="351"/>
      <c r="AI432" s="351"/>
      <c r="AJ432" s="351"/>
      <c r="AK432" s="351"/>
      <c r="AL432" s="351"/>
      <c r="AM432" s="351"/>
      <c r="AN432" s="351"/>
      <c r="AO432" s="351"/>
      <c r="AP432" s="351"/>
      <c r="AQ432" s="351"/>
      <c r="AR432" s="351"/>
      <c r="AS432" s="351"/>
      <c r="AT432" s="351"/>
      <c r="AU432" s="351"/>
      <c r="AV432" s="351"/>
      <c r="AW432" s="351"/>
      <c r="AX432" s="351"/>
      <c r="AY432" s="351"/>
    </row>
    <row r="433" spans="1:51" ht="13">
      <c r="A433" s="333"/>
      <c r="B433" s="351"/>
      <c r="C433" s="351"/>
      <c r="D433" s="333"/>
      <c r="E433" s="333"/>
      <c r="F433" s="333"/>
      <c r="G433" s="359"/>
      <c r="H433" s="359"/>
      <c r="I433" s="351"/>
      <c r="J433" s="359"/>
      <c r="K433" s="359"/>
      <c r="L433" s="359"/>
      <c r="M433" s="351"/>
      <c r="N433" s="351"/>
      <c r="O433" s="351"/>
      <c r="P433" s="351"/>
      <c r="Q433" s="351"/>
      <c r="R433" s="351"/>
      <c r="S433" s="351"/>
      <c r="T433" s="351"/>
      <c r="U433" s="351"/>
      <c r="V433" s="351"/>
      <c r="W433" s="351"/>
      <c r="X433" s="359"/>
      <c r="Y433" s="359"/>
      <c r="Z433" s="359"/>
      <c r="AA433" s="351"/>
      <c r="AB433" s="351"/>
      <c r="AC433" s="359"/>
      <c r="AD433" s="359"/>
      <c r="AE433" s="351"/>
      <c r="AF433" s="333"/>
      <c r="AG433" s="333"/>
      <c r="AH433" s="351"/>
      <c r="AI433" s="351"/>
      <c r="AJ433" s="351"/>
      <c r="AK433" s="351"/>
      <c r="AL433" s="351"/>
      <c r="AM433" s="351"/>
      <c r="AN433" s="351"/>
      <c r="AO433" s="351"/>
      <c r="AP433" s="351"/>
      <c r="AQ433" s="351"/>
      <c r="AR433" s="351"/>
      <c r="AS433" s="351"/>
      <c r="AT433" s="351"/>
      <c r="AU433" s="351"/>
      <c r="AV433" s="351"/>
      <c r="AW433" s="351"/>
      <c r="AX433" s="351"/>
      <c r="AY433" s="351"/>
    </row>
    <row r="434" spans="1:51" ht="13">
      <c r="A434" s="333"/>
      <c r="B434" s="351"/>
      <c r="C434" s="351"/>
      <c r="D434" s="333"/>
      <c r="E434" s="333"/>
      <c r="F434" s="333"/>
      <c r="G434" s="359"/>
      <c r="H434" s="359"/>
      <c r="I434" s="351"/>
      <c r="J434" s="359"/>
      <c r="K434" s="359"/>
      <c r="L434" s="359"/>
      <c r="M434" s="351"/>
      <c r="N434" s="351"/>
      <c r="O434" s="351"/>
      <c r="P434" s="351"/>
      <c r="Q434" s="351"/>
      <c r="R434" s="351"/>
      <c r="S434" s="351"/>
      <c r="T434" s="351"/>
      <c r="U434" s="351"/>
      <c r="V434" s="351"/>
      <c r="W434" s="351"/>
      <c r="X434" s="359"/>
      <c r="Y434" s="359"/>
      <c r="Z434" s="359"/>
      <c r="AA434" s="351"/>
      <c r="AB434" s="351"/>
      <c r="AC434" s="359"/>
      <c r="AD434" s="359"/>
      <c r="AE434" s="351"/>
      <c r="AF434" s="333"/>
      <c r="AG434" s="333"/>
      <c r="AH434" s="351"/>
      <c r="AI434" s="351"/>
      <c r="AJ434" s="351"/>
      <c r="AK434" s="351"/>
      <c r="AL434" s="351"/>
      <c r="AM434" s="351"/>
      <c r="AN434" s="351"/>
      <c r="AO434" s="351"/>
      <c r="AP434" s="351"/>
      <c r="AQ434" s="351"/>
      <c r="AR434" s="351"/>
      <c r="AS434" s="351"/>
      <c r="AT434" s="351"/>
      <c r="AU434" s="351"/>
      <c r="AV434" s="351"/>
      <c r="AW434" s="351"/>
      <c r="AX434" s="351"/>
      <c r="AY434" s="351"/>
    </row>
    <row r="435" spans="1:51" ht="13">
      <c r="A435" s="333"/>
      <c r="B435" s="351"/>
      <c r="C435" s="351"/>
      <c r="D435" s="333"/>
      <c r="E435" s="333"/>
      <c r="F435" s="333"/>
      <c r="G435" s="359"/>
      <c r="H435" s="359"/>
      <c r="I435" s="351"/>
      <c r="J435" s="359"/>
      <c r="K435" s="359"/>
      <c r="L435" s="359"/>
      <c r="M435" s="351"/>
      <c r="N435" s="351"/>
      <c r="O435" s="351"/>
      <c r="P435" s="351"/>
      <c r="Q435" s="351"/>
      <c r="R435" s="351"/>
      <c r="S435" s="351"/>
      <c r="T435" s="351"/>
      <c r="U435" s="351"/>
      <c r="V435" s="351"/>
      <c r="W435" s="351"/>
      <c r="X435" s="359"/>
      <c r="Y435" s="359"/>
      <c r="Z435" s="359"/>
      <c r="AA435" s="351"/>
      <c r="AB435" s="351"/>
      <c r="AC435" s="359"/>
      <c r="AD435" s="359"/>
      <c r="AE435" s="351"/>
      <c r="AF435" s="333"/>
      <c r="AG435" s="333"/>
      <c r="AH435" s="351"/>
      <c r="AI435" s="351"/>
      <c r="AJ435" s="351"/>
      <c r="AK435" s="351"/>
      <c r="AL435" s="351"/>
      <c r="AM435" s="351"/>
      <c r="AN435" s="351"/>
      <c r="AO435" s="351"/>
      <c r="AP435" s="351"/>
      <c r="AQ435" s="351"/>
      <c r="AR435" s="351"/>
      <c r="AS435" s="351"/>
      <c r="AT435" s="351"/>
      <c r="AU435" s="351"/>
      <c r="AV435" s="351"/>
      <c r="AW435" s="351"/>
      <c r="AX435" s="351"/>
      <c r="AY435" s="351"/>
    </row>
    <row r="436" spans="1:51" ht="13">
      <c r="A436" s="333"/>
      <c r="B436" s="351"/>
      <c r="C436" s="351"/>
      <c r="D436" s="333"/>
      <c r="E436" s="333"/>
      <c r="F436" s="333"/>
      <c r="G436" s="359"/>
      <c r="H436" s="359"/>
      <c r="I436" s="351"/>
      <c r="J436" s="359"/>
      <c r="K436" s="359"/>
      <c r="L436" s="359"/>
      <c r="M436" s="351"/>
      <c r="N436" s="351"/>
      <c r="O436" s="351"/>
      <c r="P436" s="351"/>
      <c r="Q436" s="351"/>
      <c r="R436" s="351"/>
      <c r="S436" s="351"/>
      <c r="T436" s="351"/>
      <c r="U436" s="351"/>
      <c r="V436" s="351"/>
      <c r="W436" s="351"/>
      <c r="X436" s="359"/>
      <c r="Y436" s="359"/>
      <c r="Z436" s="359"/>
      <c r="AA436" s="351"/>
      <c r="AB436" s="351"/>
      <c r="AC436" s="359"/>
      <c r="AD436" s="359"/>
      <c r="AE436" s="351"/>
      <c r="AF436" s="333"/>
      <c r="AG436" s="333"/>
      <c r="AH436" s="351"/>
      <c r="AI436" s="351"/>
      <c r="AJ436" s="351"/>
      <c r="AK436" s="351"/>
      <c r="AL436" s="351"/>
      <c r="AM436" s="351"/>
      <c r="AN436" s="351"/>
      <c r="AO436" s="351"/>
      <c r="AP436" s="351"/>
      <c r="AQ436" s="351"/>
      <c r="AR436" s="351"/>
      <c r="AS436" s="351"/>
      <c r="AT436" s="351"/>
      <c r="AU436" s="351"/>
      <c r="AV436" s="351"/>
      <c r="AW436" s="351"/>
      <c r="AX436" s="351"/>
      <c r="AY436" s="351"/>
    </row>
    <row r="437" spans="1:51" ht="13">
      <c r="A437" s="333"/>
      <c r="B437" s="351"/>
      <c r="C437" s="351"/>
      <c r="D437" s="333"/>
      <c r="E437" s="333"/>
      <c r="F437" s="333"/>
      <c r="G437" s="359"/>
      <c r="H437" s="359"/>
      <c r="I437" s="351"/>
      <c r="J437" s="359"/>
      <c r="K437" s="359"/>
      <c r="L437" s="359"/>
      <c r="M437" s="351"/>
      <c r="N437" s="351"/>
      <c r="O437" s="351"/>
      <c r="P437" s="351"/>
      <c r="Q437" s="351"/>
      <c r="R437" s="351"/>
      <c r="S437" s="351"/>
      <c r="T437" s="351"/>
      <c r="U437" s="351"/>
      <c r="V437" s="351"/>
      <c r="W437" s="351"/>
      <c r="X437" s="359"/>
      <c r="Y437" s="359"/>
      <c r="Z437" s="359"/>
      <c r="AA437" s="351"/>
      <c r="AB437" s="351"/>
      <c r="AC437" s="359"/>
      <c r="AD437" s="359"/>
      <c r="AE437" s="351"/>
      <c r="AF437" s="333"/>
      <c r="AG437" s="333"/>
      <c r="AH437" s="351"/>
      <c r="AI437" s="351"/>
      <c r="AJ437" s="351"/>
      <c r="AK437" s="351"/>
      <c r="AL437" s="351"/>
      <c r="AM437" s="351"/>
      <c r="AN437" s="351"/>
      <c r="AO437" s="351"/>
      <c r="AP437" s="351"/>
      <c r="AQ437" s="351"/>
      <c r="AR437" s="351"/>
      <c r="AS437" s="351"/>
      <c r="AT437" s="351"/>
      <c r="AU437" s="351"/>
      <c r="AV437" s="351"/>
      <c r="AW437" s="351"/>
      <c r="AX437" s="351"/>
      <c r="AY437" s="351"/>
    </row>
    <row r="438" spans="1:51" ht="13">
      <c r="A438" s="333"/>
      <c r="B438" s="351"/>
      <c r="C438" s="351"/>
      <c r="D438" s="333"/>
      <c r="E438" s="333"/>
      <c r="F438" s="333"/>
      <c r="G438" s="359"/>
      <c r="H438" s="359"/>
      <c r="I438" s="351"/>
      <c r="J438" s="359"/>
      <c r="K438" s="359"/>
      <c r="L438" s="359"/>
      <c r="M438" s="351"/>
      <c r="N438" s="351"/>
      <c r="O438" s="351"/>
      <c r="P438" s="351"/>
      <c r="Q438" s="351"/>
      <c r="R438" s="351"/>
      <c r="S438" s="351"/>
      <c r="T438" s="351"/>
      <c r="U438" s="351"/>
      <c r="V438" s="351"/>
      <c r="W438" s="351"/>
      <c r="X438" s="359"/>
      <c r="Y438" s="359"/>
      <c r="Z438" s="359"/>
      <c r="AA438" s="351"/>
      <c r="AB438" s="351"/>
      <c r="AC438" s="359"/>
      <c r="AD438" s="359"/>
      <c r="AE438" s="351"/>
      <c r="AF438" s="333"/>
      <c r="AG438" s="333"/>
      <c r="AH438" s="351"/>
      <c r="AI438" s="351"/>
      <c r="AJ438" s="351"/>
      <c r="AK438" s="351"/>
      <c r="AL438" s="351"/>
      <c r="AM438" s="351"/>
      <c r="AN438" s="351"/>
      <c r="AO438" s="351"/>
      <c r="AP438" s="351"/>
      <c r="AQ438" s="351"/>
      <c r="AR438" s="351"/>
      <c r="AS438" s="351"/>
      <c r="AT438" s="351"/>
      <c r="AU438" s="351"/>
      <c r="AV438" s="351"/>
      <c r="AW438" s="351"/>
      <c r="AX438" s="351"/>
      <c r="AY438" s="351"/>
    </row>
    <row r="439" spans="1:51" ht="13">
      <c r="A439" s="333"/>
      <c r="B439" s="351"/>
      <c r="C439" s="351"/>
      <c r="D439" s="333"/>
      <c r="E439" s="333"/>
      <c r="F439" s="333"/>
      <c r="G439" s="359"/>
      <c r="H439" s="359"/>
      <c r="I439" s="351"/>
      <c r="J439" s="359"/>
      <c r="K439" s="359"/>
      <c r="L439" s="359"/>
      <c r="M439" s="351"/>
      <c r="N439" s="351"/>
      <c r="O439" s="351"/>
      <c r="P439" s="351"/>
      <c r="Q439" s="351"/>
      <c r="R439" s="351"/>
      <c r="S439" s="351"/>
      <c r="T439" s="351"/>
      <c r="U439" s="351"/>
      <c r="V439" s="351"/>
      <c r="W439" s="351"/>
      <c r="X439" s="359"/>
      <c r="Y439" s="359"/>
      <c r="Z439" s="359"/>
      <c r="AA439" s="351"/>
      <c r="AB439" s="351"/>
      <c r="AC439" s="359"/>
      <c r="AD439" s="359"/>
      <c r="AE439" s="351"/>
      <c r="AF439" s="333"/>
      <c r="AG439" s="333"/>
      <c r="AH439" s="351"/>
      <c r="AI439" s="351"/>
      <c r="AJ439" s="351"/>
      <c r="AK439" s="351"/>
      <c r="AL439" s="351"/>
      <c r="AM439" s="351"/>
      <c r="AN439" s="351"/>
      <c r="AO439" s="351"/>
      <c r="AP439" s="351"/>
      <c r="AQ439" s="351"/>
      <c r="AR439" s="351"/>
      <c r="AS439" s="351"/>
      <c r="AT439" s="351"/>
      <c r="AU439" s="351"/>
      <c r="AV439" s="351"/>
      <c r="AW439" s="351"/>
      <c r="AX439" s="351"/>
      <c r="AY439" s="351"/>
    </row>
    <row r="440" spans="1:51" ht="13">
      <c r="A440" s="333"/>
      <c r="B440" s="351"/>
      <c r="C440" s="351"/>
      <c r="D440" s="333"/>
      <c r="E440" s="333"/>
      <c r="F440" s="333"/>
      <c r="G440" s="359"/>
      <c r="H440" s="359"/>
      <c r="I440" s="351"/>
      <c r="J440" s="359"/>
      <c r="K440" s="359"/>
      <c r="L440" s="359"/>
      <c r="M440" s="351"/>
      <c r="N440" s="351"/>
      <c r="O440" s="351"/>
      <c r="P440" s="351"/>
      <c r="Q440" s="351"/>
      <c r="R440" s="351"/>
      <c r="S440" s="351"/>
      <c r="T440" s="351"/>
      <c r="U440" s="351"/>
      <c r="V440" s="351"/>
      <c r="W440" s="351"/>
      <c r="X440" s="359"/>
      <c r="Y440" s="359"/>
      <c r="Z440" s="359"/>
      <c r="AA440" s="351"/>
      <c r="AB440" s="351"/>
      <c r="AC440" s="359"/>
      <c r="AD440" s="359"/>
      <c r="AE440" s="351"/>
      <c r="AF440" s="333"/>
      <c r="AG440" s="333"/>
      <c r="AH440" s="351"/>
      <c r="AI440" s="351"/>
      <c r="AJ440" s="351"/>
      <c r="AK440" s="351"/>
      <c r="AL440" s="351"/>
      <c r="AM440" s="351"/>
      <c r="AN440" s="351"/>
      <c r="AO440" s="351"/>
      <c r="AP440" s="351"/>
      <c r="AQ440" s="351"/>
      <c r="AR440" s="351"/>
      <c r="AS440" s="351"/>
      <c r="AT440" s="351"/>
      <c r="AU440" s="351"/>
      <c r="AV440" s="351"/>
      <c r="AW440" s="351"/>
      <c r="AX440" s="351"/>
      <c r="AY440" s="351"/>
    </row>
    <row r="441" spans="1:51" ht="13">
      <c r="A441" s="333"/>
      <c r="B441" s="351"/>
      <c r="C441" s="351"/>
      <c r="D441" s="333"/>
      <c r="E441" s="333"/>
      <c r="F441" s="333"/>
      <c r="G441" s="359"/>
      <c r="H441" s="359"/>
      <c r="I441" s="351"/>
      <c r="J441" s="359"/>
      <c r="K441" s="359"/>
      <c r="L441" s="359"/>
      <c r="M441" s="351"/>
      <c r="N441" s="351"/>
      <c r="O441" s="351"/>
      <c r="P441" s="351"/>
      <c r="Q441" s="351"/>
      <c r="R441" s="351"/>
      <c r="S441" s="351"/>
      <c r="T441" s="351"/>
      <c r="U441" s="351"/>
      <c r="V441" s="351"/>
      <c r="W441" s="351"/>
      <c r="X441" s="359"/>
      <c r="Y441" s="359"/>
      <c r="Z441" s="359"/>
      <c r="AA441" s="351"/>
      <c r="AB441" s="351"/>
      <c r="AC441" s="359"/>
      <c r="AD441" s="359"/>
      <c r="AE441" s="351"/>
      <c r="AF441" s="333"/>
      <c r="AG441" s="333"/>
      <c r="AH441" s="351"/>
      <c r="AI441" s="351"/>
      <c r="AJ441" s="351"/>
      <c r="AK441" s="351"/>
      <c r="AL441" s="351"/>
      <c r="AM441" s="351"/>
      <c r="AN441" s="351"/>
      <c r="AO441" s="351"/>
      <c r="AP441" s="351"/>
      <c r="AQ441" s="351"/>
      <c r="AR441" s="351"/>
      <c r="AS441" s="351"/>
      <c r="AT441" s="351"/>
      <c r="AU441" s="351"/>
      <c r="AV441" s="351"/>
      <c r="AW441" s="351"/>
      <c r="AX441" s="351"/>
      <c r="AY441" s="351"/>
    </row>
    <row r="442" spans="1:51" ht="13">
      <c r="A442" s="333"/>
      <c r="B442" s="351"/>
      <c r="C442" s="351"/>
      <c r="D442" s="333"/>
      <c r="E442" s="333"/>
      <c r="F442" s="333"/>
      <c r="G442" s="359"/>
      <c r="H442" s="359"/>
      <c r="I442" s="351"/>
      <c r="J442" s="359"/>
      <c r="K442" s="359"/>
      <c r="L442" s="359"/>
      <c r="M442" s="351"/>
      <c r="N442" s="351"/>
      <c r="O442" s="351"/>
      <c r="P442" s="351"/>
      <c r="Q442" s="351"/>
      <c r="R442" s="351"/>
      <c r="S442" s="351"/>
      <c r="T442" s="351"/>
      <c r="U442" s="351"/>
      <c r="V442" s="351"/>
      <c r="W442" s="351"/>
      <c r="X442" s="359"/>
      <c r="Y442" s="359"/>
      <c r="Z442" s="359"/>
      <c r="AA442" s="351"/>
      <c r="AB442" s="351"/>
      <c r="AC442" s="359"/>
      <c r="AD442" s="359"/>
      <c r="AE442" s="351"/>
      <c r="AF442" s="333"/>
      <c r="AG442" s="333"/>
      <c r="AH442" s="351"/>
      <c r="AI442" s="351"/>
      <c r="AJ442" s="351"/>
      <c r="AK442" s="351"/>
      <c r="AL442" s="351"/>
      <c r="AM442" s="351"/>
      <c r="AN442" s="351"/>
      <c r="AO442" s="351"/>
      <c r="AP442" s="351"/>
      <c r="AQ442" s="351"/>
      <c r="AR442" s="351"/>
      <c r="AS442" s="351"/>
      <c r="AT442" s="351"/>
      <c r="AU442" s="351"/>
      <c r="AV442" s="351"/>
      <c r="AW442" s="351"/>
      <c r="AX442" s="351"/>
      <c r="AY442" s="351"/>
    </row>
    <row r="443" spans="1:51" ht="13">
      <c r="A443" s="333"/>
      <c r="B443" s="351"/>
      <c r="C443" s="351"/>
      <c r="D443" s="333"/>
      <c r="E443" s="333"/>
      <c r="F443" s="333"/>
      <c r="G443" s="359"/>
      <c r="H443" s="359"/>
      <c r="I443" s="351"/>
      <c r="J443" s="359"/>
      <c r="K443" s="359"/>
      <c r="L443" s="359"/>
      <c r="M443" s="351"/>
      <c r="N443" s="351"/>
      <c r="O443" s="351"/>
      <c r="P443" s="351"/>
      <c r="Q443" s="351"/>
      <c r="R443" s="351"/>
      <c r="S443" s="351"/>
      <c r="T443" s="351"/>
      <c r="U443" s="351"/>
      <c r="V443" s="351"/>
      <c r="W443" s="351"/>
      <c r="X443" s="359"/>
      <c r="Y443" s="359"/>
      <c r="Z443" s="359"/>
      <c r="AA443" s="351"/>
      <c r="AB443" s="351"/>
      <c r="AC443" s="359"/>
      <c r="AD443" s="359"/>
      <c r="AE443" s="351"/>
      <c r="AF443" s="333"/>
      <c r="AG443" s="333"/>
      <c r="AH443" s="351"/>
      <c r="AI443" s="351"/>
      <c r="AJ443" s="351"/>
      <c r="AK443" s="351"/>
      <c r="AL443" s="351"/>
      <c r="AM443" s="351"/>
      <c r="AN443" s="351"/>
      <c r="AO443" s="351"/>
      <c r="AP443" s="351"/>
      <c r="AQ443" s="351"/>
      <c r="AR443" s="351"/>
      <c r="AS443" s="351"/>
      <c r="AT443" s="351"/>
      <c r="AU443" s="351"/>
      <c r="AV443" s="351"/>
      <c r="AW443" s="351"/>
      <c r="AX443" s="351"/>
      <c r="AY443" s="351"/>
    </row>
    <row r="444" spans="1:51" ht="13">
      <c r="A444" s="333"/>
      <c r="B444" s="351"/>
      <c r="C444" s="351"/>
      <c r="D444" s="333"/>
      <c r="E444" s="333"/>
      <c r="F444" s="333"/>
      <c r="G444" s="359"/>
      <c r="H444" s="359"/>
      <c r="I444" s="351"/>
      <c r="J444" s="359"/>
      <c r="K444" s="359"/>
      <c r="L444" s="359"/>
      <c r="M444" s="351"/>
      <c r="N444" s="351"/>
      <c r="O444" s="351"/>
      <c r="P444" s="351"/>
      <c r="Q444" s="351"/>
      <c r="R444" s="351"/>
      <c r="S444" s="351"/>
      <c r="T444" s="351"/>
      <c r="U444" s="351"/>
      <c r="V444" s="351"/>
      <c r="W444" s="351"/>
      <c r="X444" s="359"/>
      <c r="Y444" s="359"/>
      <c r="Z444" s="359"/>
      <c r="AA444" s="351"/>
      <c r="AB444" s="351"/>
      <c r="AC444" s="359"/>
      <c r="AD444" s="359"/>
      <c r="AE444" s="351"/>
      <c r="AF444" s="333"/>
      <c r="AG444" s="333"/>
      <c r="AH444" s="351"/>
      <c r="AI444" s="351"/>
      <c r="AJ444" s="351"/>
      <c r="AK444" s="351"/>
      <c r="AL444" s="351"/>
      <c r="AM444" s="351"/>
      <c r="AN444" s="351"/>
      <c r="AO444" s="351"/>
      <c r="AP444" s="351"/>
      <c r="AQ444" s="351"/>
      <c r="AR444" s="351"/>
      <c r="AS444" s="351"/>
      <c r="AT444" s="351"/>
      <c r="AU444" s="351"/>
      <c r="AV444" s="351"/>
      <c r="AW444" s="351"/>
      <c r="AX444" s="351"/>
      <c r="AY444" s="351"/>
    </row>
    <row r="445" spans="1:51" ht="13">
      <c r="A445" s="333"/>
      <c r="B445" s="351"/>
      <c r="C445" s="351"/>
      <c r="D445" s="333"/>
      <c r="E445" s="333"/>
      <c r="F445" s="333"/>
      <c r="G445" s="359"/>
      <c r="H445" s="359"/>
      <c r="I445" s="351"/>
      <c r="J445" s="359"/>
      <c r="K445" s="359"/>
      <c r="L445" s="359"/>
      <c r="M445" s="351"/>
      <c r="N445" s="351"/>
      <c r="O445" s="351"/>
      <c r="P445" s="351"/>
      <c r="Q445" s="351"/>
      <c r="R445" s="351"/>
      <c r="S445" s="351"/>
      <c r="T445" s="351"/>
      <c r="U445" s="351"/>
      <c r="V445" s="351"/>
      <c r="W445" s="351"/>
      <c r="X445" s="359"/>
      <c r="Y445" s="359"/>
      <c r="Z445" s="359"/>
      <c r="AA445" s="351"/>
      <c r="AB445" s="351"/>
      <c r="AC445" s="359"/>
      <c r="AD445" s="359"/>
      <c r="AE445" s="351"/>
      <c r="AF445" s="333"/>
      <c r="AG445" s="333"/>
      <c r="AH445" s="351"/>
      <c r="AI445" s="351"/>
      <c r="AJ445" s="351"/>
      <c r="AK445" s="351"/>
      <c r="AL445" s="351"/>
      <c r="AM445" s="351"/>
      <c r="AN445" s="351"/>
      <c r="AO445" s="351"/>
      <c r="AP445" s="351"/>
      <c r="AQ445" s="351"/>
      <c r="AR445" s="351"/>
      <c r="AS445" s="351"/>
      <c r="AT445" s="351"/>
      <c r="AU445" s="351"/>
      <c r="AV445" s="351"/>
      <c r="AW445" s="351"/>
      <c r="AX445" s="351"/>
      <c r="AY445" s="351"/>
    </row>
    <row r="446" spans="1:51" ht="13">
      <c r="A446" s="333"/>
      <c r="B446" s="351"/>
      <c r="C446" s="351"/>
      <c r="D446" s="333"/>
      <c r="E446" s="333"/>
      <c r="F446" s="333"/>
      <c r="G446" s="359"/>
      <c r="H446" s="359"/>
      <c r="I446" s="351"/>
      <c r="J446" s="359"/>
      <c r="K446" s="359"/>
      <c r="L446" s="359"/>
      <c r="M446" s="351"/>
      <c r="N446" s="351"/>
      <c r="O446" s="351"/>
      <c r="P446" s="351"/>
      <c r="Q446" s="351"/>
      <c r="R446" s="351"/>
      <c r="S446" s="351"/>
      <c r="T446" s="351"/>
      <c r="U446" s="351"/>
      <c r="V446" s="351"/>
      <c r="W446" s="351"/>
      <c r="X446" s="359"/>
      <c r="Y446" s="359"/>
      <c r="Z446" s="359"/>
      <c r="AA446" s="351"/>
      <c r="AB446" s="351"/>
      <c r="AC446" s="359"/>
      <c r="AD446" s="359"/>
      <c r="AE446" s="351"/>
      <c r="AF446" s="333"/>
      <c r="AG446" s="333"/>
      <c r="AH446" s="351"/>
      <c r="AI446" s="351"/>
      <c r="AJ446" s="351"/>
      <c r="AK446" s="351"/>
      <c r="AL446" s="351"/>
      <c r="AM446" s="351"/>
      <c r="AN446" s="351"/>
      <c r="AO446" s="351"/>
      <c r="AP446" s="351"/>
      <c r="AQ446" s="351"/>
      <c r="AR446" s="351"/>
      <c r="AS446" s="351"/>
      <c r="AT446" s="351"/>
      <c r="AU446" s="351"/>
      <c r="AV446" s="351"/>
      <c r="AW446" s="351"/>
      <c r="AX446" s="351"/>
      <c r="AY446" s="351"/>
    </row>
    <row r="447" spans="1:51" ht="13">
      <c r="A447" s="333"/>
      <c r="B447" s="351"/>
      <c r="C447" s="351"/>
      <c r="D447" s="333"/>
      <c r="E447" s="333"/>
      <c r="F447" s="333"/>
      <c r="G447" s="359"/>
      <c r="H447" s="359"/>
      <c r="I447" s="351"/>
      <c r="J447" s="359"/>
      <c r="K447" s="359"/>
      <c r="L447" s="359"/>
      <c r="M447" s="351"/>
      <c r="N447" s="351"/>
      <c r="O447" s="351"/>
      <c r="P447" s="351"/>
      <c r="Q447" s="351"/>
      <c r="R447" s="351"/>
      <c r="S447" s="351"/>
      <c r="T447" s="351"/>
      <c r="U447" s="351"/>
      <c r="V447" s="351"/>
      <c r="W447" s="351"/>
      <c r="X447" s="359"/>
      <c r="Y447" s="359"/>
      <c r="Z447" s="359"/>
      <c r="AA447" s="351"/>
      <c r="AB447" s="351"/>
      <c r="AC447" s="359"/>
      <c r="AD447" s="359"/>
      <c r="AE447" s="351"/>
      <c r="AF447" s="333"/>
      <c r="AG447" s="333"/>
      <c r="AH447" s="351"/>
      <c r="AI447" s="351"/>
      <c r="AJ447" s="351"/>
      <c r="AK447" s="351"/>
      <c r="AL447" s="351"/>
      <c r="AM447" s="351"/>
      <c r="AN447" s="351"/>
      <c r="AO447" s="351"/>
      <c r="AP447" s="351"/>
      <c r="AQ447" s="351"/>
      <c r="AR447" s="351"/>
      <c r="AS447" s="351"/>
      <c r="AT447" s="351"/>
      <c r="AU447" s="351"/>
      <c r="AV447" s="351"/>
      <c r="AW447" s="351"/>
      <c r="AX447" s="351"/>
      <c r="AY447" s="351"/>
    </row>
    <row r="448" spans="1:51" ht="13">
      <c r="A448" s="333"/>
      <c r="B448" s="351"/>
      <c r="C448" s="351"/>
      <c r="D448" s="333"/>
      <c r="E448" s="333"/>
      <c r="F448" s="333"/>
      <c r="G448" s="359"/>
      <c r="H448" s="359"/>
      <c r="I448" s="351"/>
      <c r="J448" s="359"/>
      <c r="K448" s="359"/>
      <c r="L448" s="359"/>
      <c r="M448" s="351"/>
      <c r="N448" s="351"/>
      <c r="O448" s="351"/>
      <c r="P448" s="351"/>
      <c r="Q448" s="351"/>
      <c r="R448" s="351"/>
      <c r="S448" s="351"/>
      <c r="T448" s="351"/>
      <c r="U448" s="351"/>
      <c r="V448" s="351"/>
      <c r="W448" s="351"/>
      <c r="X448" s="359"/>
      <c r="Y448" s="359"/>
      <c r="Z448" s="359"/>
      <c r="AA448" s="351"/>
      <c r="AB448" s="351"/>
      <c r="AC448" s="359"/>
      <c r="AD448" s="359"/>
      <c r="AE448" s="351"/>
      <c r="AF448" s="333"/>
      <c r="AG448" s="333"/>
      <c r="AH448" s="351"/>
      <c r="AI448" s="351"/>
      <c r="AJ448" s="351"/>
      <c r="AK448" s="351"/>
      <c r="AL448" s="351"/>
      <c r="AM448" s="351"/>
      <c r="AN448" s="351"/>
      <c r="AO448" s="351"/>
      <c r="AP448" s="351"/>
      <c r="AQ448" s="351"/>
      <c r="AR448" s="351"/>
      <c r="AS448" s="351"/>
      <c r="AT448" s="351"/>
      <c r="AU448" s="351"/>
      <c r="AV448" s="351"/>
      <c r="AW448" s="351"/>
      <c r="AX448" s="351"/>
      <c r="AY448" s="351"/>
    </row>
    <row r="449" spans="1:51" ht="13">
      <c r="A449" s="333"/>
      <c r="B449" s="351"/>
      <c r="C449" s="351"/>
      <c r="D449" s="333"/>
      <c r="E449" s="333"/>
      <c r="F449" s="333"/>
      <c r="G449" s="359"/>
      <c r="H449" s="359"/>
      <c r="I449" s="351"/>
      <c r="J449" s="359"/>
      <c r="K449" s="359"/>
      <c r="L449" s="359"/>
      <c r="M449" s="351"/>
      <c r="N449" s="351"/>
      <c r="O449" s="351"/>
      <c r="P449" s="351"/>
      <c r="Q449" s="351"/>
      <c r="R449" s="351"/>
      <c r="S449" s="351"/>
      <c r="T449" s="351"/>
      <c r="U449" s="351"/>
      <c r="V449" s="351"/>
      <c r="W449" s="351"/>
      <c r="X449" s="359"/>
      <c r="Y449" s="359"/>
      <c r="Z449" s="359"/>
      <c r="AA449" s="351"/>
      <c r="AB449" s="351"/>
      <c r="AC449" s="359"/>
      <c r="AD449" s="359"/>
      <c r="AE449" s="351"/>
      <c r="AF449" s="333"/>
      <c r="AG449" s="333"/>
      <c r="AH449" s="351"/>
      <c r="AI449" s="351"/>
      <c r="AJ449" s="351"/>
      <c r="AK449" s="351"/>
      <c r="AL449" s="351"/>
      <c r="AM449" s="351"/>
      <c r="AN449" s="351"/>
      <c r="AO449" s="351"/>
      <c r="AP449" s="351"/>
      <c r="AQ449" s="351"/>
      <c r="AR449" s="351"/>
      <c r="AS449" s="351"/>
      <c r="AT449" s="351"/>
      <c r="AU449" s="351"/>
      <c r="AV449" s="351"/>
      <c r="AW449" s="351"/>
      <c r="AX449" s="351"/>
      <c r="AY449" s="351"/>
    </row>
    <row r="450" spans="1:51" ht="13">
      <c r="A450" s="333"/>
      <c r="B450" s="351"/>
      <c r="C450" s="351"/>
      <c r="D450" s="333"/>
      <c r="E450" s="333"/>
      <c r="F450" s="333"/>
      <c r="G450" s="359"/>
      <c r="H450" s="359"/>
      <c r="I450" s="351"/>
      <c r="J450" s="359"/>
      <c r="K450" s="359"/>
      <c r="L450" s="359"/>
      <c r="M450" s="351"/>
      <c r="N450" s="351"/>
      <c r="O450" s="351"/>
      <c r="P450" s="351"/>
      <c r="Q450" s="351"/>
      <c r="R450" s="351"/>
      <c r="S450" s="351"/>
      <c r="T450" s="351"/>
      <c r="U450" s="351"/>
      <c r="V450" s="351"/>
      <c r="W450" s="351"/>
      <c r="X450" s="359"/>
      <c r="Y450" s="359"/>
      <c r="Z450" s="359"/>
      <c r="AA450" s="351"/>
      <c r="AB450" s="351"/>
      <c r="AC450" s="359"/>
      <c r="AD450" s="359"/>
      <c r="AE450" s="351"/>
      <c r="AF450" s="333"/>
      <c r="AG450" s="333"/>
      <c r="AH450" s="351"/>
      <c r="AI450" s="351"/>
      <c r="AJ450" s="351"/>
      <c r="AK450" s="351"/>
      <c r="AL450" s="351"/>
      <c r="AM450" s="351"/>
      <c r="AN450" s="351"/>
      <c r="AO450" s="351"/>
      <c r="AP450" s="351"/>
      <c r="AQ450" s="351"/>
      <c r="AR450" s="351"/>
      <c r="AS450" s="351"/>
      <c r="AT450" s="351"/>
      <c r="AU450" s="351"/>
      <c r="AV450" s="351"/>
      <c r="AW450" s="351"/>
      <c r="AX450" s="351"/>
      <c r="AY450" s="351"/>
    </row>
    <row r="451" spans="1:51" ht="13">
      <c r="A451" s="333"/>
      <c r="B451" s="351"/>
      <c r="C451" s="351"/>
      <c r="D451" s="333"/>
      <c r="E451" s="333"/>
      <c r="F451" s="333"/>
      <c r="G451" s="359"/>
      <c r="H451" s="359"/>
      <c r="I451" s="351"/>
      <c r="J451" s="359"/>
      <c r="K451" s="359"/>
      <c r="L451" s="359"/>
      <c r="M451" s="351"/>
      <c r="N451" s="351"/>
      <c r="O451" s="351"/>
      <c r="P451" s="351"/>
      <c r="Q451" s="351"/>
      <c r="R451" s="351"/>
      <c r="S451" s="351"/>
      <c r="T451" s="351"/>
      <c r="U451" s="351"/>
      <c r="V451" s="351"/>
      <c r="W451" s="351"/>
      <c r="X451" s="359"/>
      <c r="Y451" s="359"/>
      <c r="Z451" s="359"/>
      <c r="AA451" s="351"/>
      <c r="AB451" s="351"/>
      <c r="AC451" s="359"/>
      <c r="AD451" s="359"/>
      <c r="AE451" s="351"/>
      <c r="AF451" s="333"/>
      <c r="AG451" s="333"/>
      <c r="AH451" s="351"/>
      <c r="AI451" s="351"/>
      <c r="AJ451" s="351"/>
      <c r="AK451" s="351"/>
      <c r="AL451" s="351"/>
      <c r="AM451" s="351"/>
      <c r="AN451" s="351"/>
      <c r="AO451" s="351"/>
      <c r="AP451" s="351"/>
      <c r="AQ451" s="351"/>
      <c r="AR451" s="351"/>
      <c r="AS451" s="351"/>
      <c r="AT451" s="351"/>
      <c r="AU451" s="351"/>
      <c r="AV451" s="351"/>
      <c r="AW451" s="351"/>
      <c r="AX451" s="351"/>
      <c r="AY451" s="351"/>
    </row>
    <row r="452" spans="1:51" ht="13">
      <c r="A452" s="333"/>
      <c r="B452" s="351"/>
      <c r="C452" s="351"/>
      <c r="D452" s="333"/>
      <c r="E452" s="333"/>
      <c r="F452" s="333"/>
      <c r="G452" s="359"/>
      <c r="H452" s="359"/>
      <c r="I452" s="351"/>
      <c r="J452" s="359"/>
      <c r="K452" s="359"/>
      <c r="L452" s="359"/>
      <c r="M452" s="351"/>
      <c r="N452" s="351"/>
      <c r="O452" s="351"/>
      <c r="P452" s="351"/>
      <c r="Q452" s="351"/>
      <c r="R452" s="351"/>
      <c r="S452" s="351"/>
      <c r="T452" s="351"/>
      <c r="U452" s="351"/>
      <c r="V452" s="351"/>
      <c r="W452" s="351"/>
      <c r="X452" s="359"/>
      <c r="Y452" s="359"/>
      <c r="Z452" s="359"/>
      <c r="AA452" s="351"/>
      <c r="AB452" s="351"/>
      <c r="AC452" s="359"/>
      <c r="AD452" s="359"/>
      <c r="AE452" s="351"/>
      <c r="AF452" s="333"/>
      <c r="AG452" s="333"/>
      <c r="AH452" s="351"/>
      <c r="AI452" s="351"/>
      <c r="AJ452" s="351"/>
      <c r="AK452" s="351"/>
      <c r="AL452" s="351"/>
      <c r="AM452" s="351"/>
      <c r="AN452" s="351"/>
      <c r="AO452" s="351"/>
      <c r="AP452" s="351"/>
      <c r="AQ452" s="351"/>
      <c r="AR452" s="351"/>
      <c r="AS452" s="351"/>
      <c r="AT452" s="351"/>
      <c r="AU452" s="351"/>
      <c r="AV452" s="351"/>
      <c r="AW452" s="351"/>
      <c r="AX452" s="351"/>
      <c r="AY452" s="351"/>
    </row>
    <row r="453" spans="1:51" ht="13">
      <c r="A453" s="333"/>
      <c r="B453" s="351"/>
      <c r="C453" s="351"/>
      <c r="D453" s="333"/>
      <c r="E453" s="333"/>
      <c r="F453" s="333"/>
      <c r="G453" s="359"/>
      <c r="H453" s="359"/>
      <c r="I453" s="351"/>
      <c r="J453" s="359"/>
      <c r="K453" s="359"/>
      <c r="L453" s="359"/>
      <c r="M453" s="351"/>
      <c r="N453" s="351"/>
      <c r="O453" s="351"/>
      <c r="P453" s="351"/>
      <c r="Q453" s="351"/>
      <c r="R453" s="351"/>
      <c r="S453" s="351"/>
      <c r="T453" s="351"/>
      <c r="U453" s="351"/>
      <c r="V453" s="351"/>
      <c r="W453" s="351"/>
      <c r="X453" s="359"/>
      <c r="Y453" s="359"/>
      <c r="Z453" s="359"/>
      <c r="AA453" s="351"/>
      <c r="AB453" s="351"/>
      <c r="AC453" s="359"/>
      <c r="AD453" s="359"/>
      <c r="AE453" s="351"/>
      <c r="AF453" s="333"/>
      <c r="AG453" s="333"/>
      <c r="AH453" s="351"/>
      <c r="AI453" s="351"/>
      <c r="AJ453" s="351"/>
      <c r="AK453" s="351"/>
      <c r="AL453" s="351"/>
      <c r="AM453" s="351"/>
      <c r="AN453" s="351"/>
      <c r="AO453" s="351"/>
      <c r="AP453" s="351"/>
      <c r="AQ453" s="351"/>
      <c r="AR453" s="351"/>
      <c r="AS453" s="351"/>
      <c r="AT453" s="351"/>
      <c r="AU453" s="351"/>
      <c r="AV453" s="351"/>
      <c r="AW453" s="351"/>
      <c r="AX453" s="351"/>
      <c r="AY453" s="351"/>
    </row>
    <row r="454" spans="1:51" ht="13">
      <c r="A454" s="333"/>
      <c r="B454" s="351"/>
      <c r="C454" s="351"/>
      <c r="D454" s="333"/>
      <c r="E454" s="333"/>
      <c r="F454" s="333"/>
      <c r="G454" s="359"/>
      <c r="H454" s="359"/>
      <c r="I454" s="351"/>
      <c r="J454" s="359"/>
      <c r="K454" s="359"/>
      <c r="L454" s="359"/>
      <c r="M454" s="351"/>
      <c r="N454" s="351"/>
      <c r="O454" s="351"/>
      <c r="P454" s="351"/>
      <c r="Q454" s="351"/>
      <c r="R454" s="351"/>
      <c r="S454" s="351"/>
      <c r="T454" s="351"/>
      <c r="U454" s="351"/>
      <c r="V454" s="351"/>
      <c r="W454" s="351"/>
      <c r="X454" s="359"/>
      <c r="Y454" s="359"/>
      <c r="Z454" s="359"/>
      <c r="AA454" s="351"/>
      <c r="AB454" s="351"/>
      <c r="AC454" s="359"/>
      <c r="AD454" s="359"/>
      <c r="AE454" s="351"/>
      <c r="AF454" s="333"/>
      <c r="AG454" s="333"/>
      <c r="AH454" s="351"/>
      <c r="AI454" s="351"/>
      <c r="AJ454" s="351"/>
      <c r="AK454" s="351"/>
      <c r="AL454" s="351"/>
      <c r="AM454" s="351"/>
      <c r="AN454" s="351"/>
      <c r="AO454" s="351"/>
      <c r="AP454" s="351"/>
      <c r="AQ454" s="351"/>
      <c r="AR454" s="351"/>
      <c r="AS454" s="351"/>
      <c r="AT454" s="351"/>
      <c r="AU454" s="351"/>
      <c r="AV454" s="351"/>
      <c r="AW454" s="351"/>
      <c r="AX454" s="351"/>
      <c r="AY454" s="351"/>
    </row>
    <row r="455" spans="1:51" ht="13">
      <c r="A455" s="333"/>
      <c r="B455" s="351"/>
      <c r="C455" s="351"/>
      <c r="D455" s="333"/>
      <c r="E455" s="333"/>
      <c r="F455" s="333"/>
      <c r="G455" s="359"/>
      <c r="H455" s="359"/>
      <c r="I455" s="351"/>
      <c r="J455" s="359"/>
      <c r="K455" s="359"/>
      <c r="L455" s="359"/>
      <c r="M455" s="351"/>
      <c r="N455" s="351"/>
      <c r="O455" s="351"/>
      <c r="P455" s="351"/>
      <c r="Q455" s="351"/>
      <c r="R455" s="351"/>
      <c r="S455" s="351"/>
      <c r="T455" s="351"/>
      <c r="U455" s="351"/>
      <c r="V455" s="351"/>
      <c r="W455" s="351"/>
      <c r="X455" s="359"/>
      <c r="Y455" s="359"/>
      <c r="Z455" s="359"/>
      <c r="AA455" s="351"/>
      <c r="AB455" s="351"/>
      <c r="AC455" s="359"/>
      <c r="AD455" s="359"/>
      <c r="AE455" s="351"/>
      <c r="AF455" s="333"/>
      <c r="AG455" s="333"/>
      <c r="AH455" s="351"/>
      <c r="AI455" s="351"/>
      <c r="AJ455" s="351"/>
      <c r="AK455" s="351"/>
      <c r="AL455" s="351"/>
      <c r="AM455" s="351"/>
      <c r="AN455" s="351"/>
      <c r="AO455" s="351"/>
      <c r="AP455" s="351"/>
      <c r="AQ455" s="351"/>
      <c r="AR455" s="351"/>
      <c r="AS455" s="351"/>
      <c r="AT455" s="351"/>
      <c r="AU455" s="351"/>
      <c r="AV455" s="351"/>
      <c r="AW455" s="351"/>
      <c r="AX455" s="351"/>
      <c r="AY455" s="351"/>
    </row>
    <row r="456" spans="1:51" ht="13">
      <c r="A456" s="333"/>
      <c r="B456" s="351"/>
      <c r="C456" s="351"/>
      <c r="D456" s="333"/>
      <c r="E456" s="333"/>
      <c r="F456" s="333"/>
      <c r="G456" s="359"/>
      <c r="H456" s="359"/>
      <c r="I456" s="351"/>
      <c r="J456" s="359"/>
      <c r="K456" s="359"/>
      <c r="L456" s="359"/>
      <c r="M456" s="351"/>
      <c r="N456" s="351"/>
      <c r="O456" s="351"/>
      <c r="P456" s="351"/>
      <c r="Q456" s="351"/>
      <c r="R456" s="351"/>
      <c r="S456" s="351"/>
      <c r="T456" s="351"/>
      <c r="U456" s="351"/>
      <c r="V456" s="351"/>
      <c r="W456" s="351"/>
      <c r="X456" s="359"/>
      <c r="Y456" s="359"/>
      <c r="Z456" s="359"/>
      <c r="AA456" s="351"/>
      <c r="AB456" s="351"/>
      <c r="AC456" s="359"/>
      <c r="AD456" s="359"/>
      <c r="AE456" s="351"/>
      <c r="AF456" s="333"/>
      <c r="AG456" s="333"/>
      <c r="AH456" s="351"/>
      <c r="AI456" s="351"/>
      <c r="AJ456" s="351"/>
      <c r="AK456" s="351"/>
      <c r="AL456" s="351"/>
      <c r="AM456" s="351"/>
      <c r="AN456" s="351"/>
      <c r="AO456" s="351"/>
      <c r="AP456" s="351"/>
      <c r="AQ456" s="351"/>
      <c r="AR456" s="351"/>
      <c r="AS456" s="351"/>
      <c r="AT456" s="351"/>
      <c r="AU456" s="351"/>
      <c r="AV456" s="351"/>
      <c r="AW456" s="351"/>
      <c r="AX456" s="351"/>
      <c r="AY456" s="351"/>
    </row>
    <row r="457" spans="1:51" ht="13">
      <c r="A457" s="333"/>
      <c r="B457" s="351"/>
      <c r="C457" s="351"/>
      <c r="D457" s="333"/>
      <c r="E457" s="333"/>
      <c r="F457" s="333"/>
      <c r="G457" s="359"/>
      <c r="H457" s="359"/>
      <c r="I457" s="351"/>
      <c r="J457" s="359"/>
      <c r="K457" s="359"/>
      <c r="L457" s="359"/>
      <c r="M457" s="351"/>
      <c r="N457" s="351"/>
      <c r="O457" s="351"/>
      <c r="P457" s="351"/>
      <c r="Q457" s="351"/>
      <c r="R457" s="351"/>
      <c r="S457" s="351"/>
      <c r="T457" s="351"/>
      <c r="U457" s="351"/>
      <c r="V457" s="351"/>
      <c r="W457" s="351"/>
      <c r="X457" s="359"/>
      <c r="Y457" s="359"/>
      <c r="Z457" s="359"/>
      <c r="AA457" s="351"/>
      <c r="AB457" s="351"/>
      <c r="AC457" s="359"/>
      <c r="AD457" s="359"/>
      <c r="AE457" s="351"/>
      <c r="AF457" s="333"/>
      <c r="AG457" s="333"/>
      <c r="AH457" s="351"/>
      <c r="AI457" s="351"/>
      <c r="AJ457" s="351"/>
      <c r="AK457" s="351"/>
      <c r="AL457" s="351"/>
      <c r="AM457" s="351"/>
      <c r="AN457" s="351"/>
      <c r="AO457" s="351"/>
      <c r="AP457" s="351"/>
      <c r="AQ457" s="351"/>
      <c r="AR457" s="351"/>
      <c r="AS457" s="351"/>
      <c r="AT457" s="351"/>
      <c r="AU457" s="351"/>
      <c r="AV457" s="351"/>
      <c r="AW457" s="351"/>
      <c r="AX457" s="351"/>
      <c r="AY457" s="351"/>
    </row>
    <row r="458" spans="1:51" ht="13">
      <c r="A458" s="333"/>
      <c r="B458" s="351"/>
      <c r="C458" s="351"/>
      <c r="D458" s="333"/>
      <c r="E458" s="333"/>
      <c r="F458" s="333"/>
      <c r="G458" s="359"/>
      <c r="H458" s="359"/>
      <c r="I458" s="351"/>
      <c r="J458" s="359"/>
      <c r="K458" s="359"/>
      <c r="L458" s="359"/>
      <c r="M458" s="351"/>
      <c r="N458" s="351"/>
      <c r="O458" s="351"/>
      <c r="P458" s="351"/>
      <c r="Q458" s="351"/>
      <c r="R458" s="351"/>
      <c r="S458" s="351"/>
      <c r="T458" s="351"/>
      <c r="U458" s="351"/>
      <c r="V458" s="351"/>
      <c r="W458" s="351"/>
      <c r="X458" s="359"/>
      <c r="Y458" s="359"/>
      <c r="Z458" s="359"/>
      <c r="AA458" s="351"/>
      <c r="AB458" s="351"/>
      <c r="AC458" s="359"/>
      <c r="AD458" s="359"/>
      <c r="AE458" s="351"/>
      <c r="AF458" s="333"/>
      <c r="AG458" s="333"/>
      <c r="AH458" s="351"/>
      <c r="AI458" s="351"/>
      <c r="AJ458" s="351"/>
      <c r="AK458" s="351"/>
      <c r="AL458" s="351"/>
      <c r="AM458" s="351"/>
      <c r="AN458" s="351"/>
      <c r="AO458" s="351"/>
      <c r="AP458" s="351"/>
      <c r="AQ458" s="351"/>
      <c r="AR458" s="351"/>
      <c r="AS458" s="351"/>
      <c r="AT458" s="351"/>
      <c r="AU458" s="351"/>
      <c r="AV458" s="351"/>
      <c r="AW458" s="351"/>
      <c r="AX458" s="351"/>
      <c r="AY458" s="351"/>
    </row>
    <row r="459" spans="1:51" ht="13">
      <c r="A459" s="333"/>
      <c r="B459" s="351"/>
      <c r="C459" s="351"/>
      <c r="D459" s="333"/>
      <c r="E459" s="333"/>
      <c r="F459" s="333"/>
      <c r="G459" s="359"/>
      <c r="H459" s="359"/>
      <c r="I459" s="351"/>
      <c r="J459" s="359"/>
      <c r="K459" s="359"/>
      <c r="L459" s="359"/>
      <c r="M459" s="351"/>
      <c r="N459" s="351"/>
      <c r="O459" s="351"/>
      <c r="P459" s="351"/>
      <c r="Q459" s="351"/>
      <c r="R459" s="351"/>
      <c r="S459" s="351"/>
      <c r="T459" s="351"/>
      <c r="U459" s="351"/>
      <c r="V459" s="351"/>
      <c r="W459" s="351"/>
      <c r="X459" s="359"/>
      <c r="Y459" s="359"/>
      <c r="Z459" s="359"/>
      <c r="AA459" s="351"/>
      <c r="AB459" s="351"/>
      <c r="AC459" s="359"/>
      <c r="AD459" s="359"/>
      <c r="AE459" s="351"/>
      <c r="AF459" s="333"/>
      <c r="AG459" s="333"/>
      <c r="AH459" s="351"/>
      <c r="AI459" s="351"/>
      <c r="AJ459" s="351"/>
      <c r="AK459" s="351"/>
      <c r="AL459" s="351"/>
      <c r="AM459" s="351"/>
      <c r="AN459" s="351"/>
      <c r="AO459" s="351"/>
      <c r="AP459" s="351"/>
      <c r="AQ459" s="351"/>
      <c r="AR459" s="351"/>
      <c r="AS459" s="351"/>
      <c r="AT459" s="351"/>
      <c r="AU459" s="351"/>
      <c r="AV459" s="351"/>
      <c r="AW459" s="351"/>
      <c r="AX459" s="351"/>
      <c r="AY459" s="351"/>
    </row>
    <row r="460" spans="1:51" ht="13">
      <c r="A460" s="333"/>
      <c r="B460" s="351"/>
      <c r="C460" s="351"/>
      <c r="D460" s="333"/>
      <c r="E460" s="333"/>
      <c r="F460" s="333"/>
      <c r="G460" s="359"/>
      <c r="H460" s="359"/>
      <c r="I460" s="351"/>
      <c r="J460" s="359"/>
      <c r="K460" s="359"/>
      <c r="L460" s="359"/>
      <c r="M460" s="351"/>
      <c r="N460" s="351"/>
      <c r="O460" s="351"/>
      <c r="P460" s="351"/>
      <c r="Q460" s="351"/>
      <c r="R460" s="351"/>
      <c r="S460" s="351"/>
      <c r="T460" s="351"/>
      <c r="U460" s="351"/>
      <c r="V460" s="351"/>
      <c r="W460" s="351"/>
      <c r="X460" s="359"/>
      <c r="Y460" s="359"/>
      <c r="Z460" s="359"/>
      <c r="AA460" s="351"/>
      <c r="AB460" s="351"/>
      <c r="AC460" s="359"/>
      <c r="AD460" s="359"/>
      <c r="AE460" s="351"/>
      <c r="AF460" s="333"/>
      <c r="AG460" s="333"/>
      <c r="AH460" s="351"/>
      <c r="AI460" s="351"/>
      <c r="AJ460" s="351"/>
      <c r="AK460" s="351"/>
      <c r="AL460" s="351"/>
      <c r="AM460" s="351"/>
      <c r="AN460" s="351"/>
      <c r="AO460" s="351"/>
      <c r="AP460" s="351"/>
      <c r="AQ460" s="351"/>
      <c r="AR460" s="351"/>
      <c r="AS460" s="351"/>
      <c r="AT460" s="351"/>
      <c r="AU460" s="351"/>
      <c r="AV460" s="351"/>
      <c r="AW460" s="351"/>
      <c r="AX460" s="351"/>
      <c r="AY460" s="351"/>
    </row>
    <row r="461" spans="1:51" ht="13">
      <c r="A461" s="333"/>
      <c r="B461" s="351"/>
      <c r="C461" s="351"/>
      <c r="D461" s="333"/>
      <c r="E461" s="333"/>
      <c r="F461" s="333"/>
      <c r="G461" s="359"/>
      <c r="H461" s="359"/>
      <c r="I461" s="351"/>
      <c r="J461" s="359"/>
      <c r="K461" s="359"/>
      <c r="L461" s="359"/>
      <c r="M461" s="351"/>
      <c r="N461" s="351"/>
      <c r="O461" s="351"/>
      <c r="P461" s="351"/>
      <c r="Q461" s="351"/>
      <c r="R461" s="351"/>
      <c r="S461" s="351"/>
      <c r="T461" s="351"/>
      <c r="U461" s="351"/>
      <c r="V461" s="351"/>
      <c r="W461" s="351"/>
      <c r="X461" s="359"/>
      <c r="Y461" s="359"/>
      <c r="Z461" s="359"/>
      <c r="AA461" s="351"/>
      <c r="AB461" s="351"/>
      <c r="AC461" s="359"/>
      <c r="AD461" s="359"/>
      <c r="AE461" s="351"/>
      <c r="AF461" s="333"/>
      <c r="AG461" s="333"/>
      <c r="AH461" s="351"/>
      <c r="AI461" s="351"/>
      <c r="AJ461" s="351"/>
      <c r="AK461" s="351"/>
      <c r="AL461" s="351"/>
      <c r="AM461" s="351"/>
      <c r="AN461" s="351"/>
      <c r="AO461" s="351"/>
      <c r="AP461" s="351"/>
      <c r="AQ461" s="351"/>
      <c r="AR461" s="351"/>
      <c r="AS461" s="351"/>
      <c r="AT461" s="351"/>
      <c r="AU461" s="351"/>
      <c r="AV461" s="351"/>
      <c r="AW461" s="351"/>
      <c r="AX461" s="351"/>
      <c r="AY461" s="351"/>
    </row>
    <row r="462" spans="1:51" ht="13">
      <c r="A462" s="333"/>
      <c r="B462" s="351"/>
      <c r="C462" s="351"/>
      <c r="D462" s="333"/>
      <c r="E462" s="333"/>
      <c r="F462" s="333"/>
      <c r="G462" s="359"/>
      <c r="H462" s="359"/>
      <c r="I462" s="351"/>
      <c r="J462" s="359"/>
      <c r="K462" s="359"/>
      <c r="L462" s="359"/>
      <c r="M462" s="351"/>
      <c r="N462" s="351"/>
      <c r="O462" s="351"/>
      <c r="P462" s="351"/>
      <c r="Q462" s="351"/>
      <c r="R462" s="351"/>
      <c r="S462" s="351"/>
      <c r="T462" s="351"/>
      <c r="U462" s="351"/>
      <c r="V462" s="351"/>
      <c r="W462" s="351"/>
      <c r="X462" s="359"/>
      <c r="Y462" s="359"/>
      <c r="Z462" s="359"/>
      <c r="AA462" s="351"/>
      <c r="AB462" s="351"/>
      <c r="AC462" s="359"/>
      <c r="AD462" s="359"/>
      <c r="AE462" s="351"/>
      <c r="AF462" s="333"/>
      <c r="AG462" s="333"/>
      <c r="AH462" s="351"/>
      <c r="AI462" s="351"/>
      <c r="AJ462" s="351"/>
      <c r="AK462" s="351"/>
      <c r="AL462" s="351"/>
      <c r="AM462" s="351"/>
      <c r="AN462" s="351"/>
      <c r="AO462" s="351"/>
      <c r="AP462" s="351"/>
      <c r="AQ462" s="351"/>
      <c r="AR462" s="351"/>
      <c r="AS462" s="351"/>
      <c r="AT462" s="351"/>
      <c r="AU462" s="351"/>
      <c r="AV462" s="351"/>
      <c r="AW462" s="351"/>
      <c r="AX462" s="351"/>
      <c r="AY462" s="351"/>
    </row>
    <row r="463" spans="1:51" ht="13">
      <c r="A463" s="333"/>
      <c r="B463" s="351"/>
      <c r="C463" s="351"/>
      <c r="D463" s="333"/>
      <c r="E463" s="333"/>
      <c r="F463" s="333"/>
      <c r="G463" s="359"/>
      <c r="H463" s="359"/>
      <c r="I463" s="351"/>
      <c r="J463" s="359"/>
      <c r="K463" s="359"/>
      <c r="L463" s="359"/>
      <c r="M463" s="351"/>
      <c r="N463" s="351"/>
      <c r="O463" s="351"/>
      <c r="P463" s="351"/>
      <c r="Q463" s="351"/>
      <c r="R463" s="351"/>
      <c r="S463" s="351"/>
      <c r="T463" s="351"/>
      <c r="U463" s="351"/>
      <c r="V463" s="351"/>
      <c r="W463" s="351"/>
      <c r="X463" s="359"/>
      <c r="Y463" s="359"/>
      <c r="Z463" s="359"/>
      <c r="AA463" s="351"/>
      <c r="AB463" s="351"/>
      <c r="AC463" s="359"/>
      <c r="AD463" s="359"/>
      <c r="AE463" s="351"/>
      <c r="AF463" s="333"/>
      <c r="AG463" s="333"/>
      <c r="AH463" s="351"/>
      <c r="AI463" s="351"/>
      <c r="AJ463" s="351"/>
      <c r="AK463" s="351"/>
      <c r="AL463" s="351"/>
      <c r="AM463" s="351"/>
      <c r="AN463" s="351"/>
      <c r="AO463" s="351"/>
      <c r="AP463" s="351"/>
      <c r="AQ463" s="351"/>
      <c r="AR463" s="351"/>
      <c r="AS463" s="351"/>
      <c r="AT463" s="351"/>
      <c r="AU463" s="351"/>
      <c r="AV463" s="351"/>
      <c r="AW463" s="351"/>
      <c r="AX463" s="351"/>
      <c r="AY463" s="351"/>
    </row>
    <row r="464" spans="1:51" ht="13">
      <c r="A464" s="333"/>
      <c r="B464" s="351"/>
      <c r="C464" s="351"/>
      <c r="D464" s="333"/>
      <c r="E464" s="333"/>
      <c r="F464" s="333"/>
      <c r="G464" s="359"/>
      <c r="H464" s="359"/>
      <c r="I464" s="351"/>
      <c r="J464" s="359"/>
      <c r="K464" s="359"/>
      <c r="L464" s="359"/>
      <c r="M464" s="351"/>
      <c r="N464" s="351"/>
      <c r="O464" s="351"/>
      <c r="P464" s="351"/>
      <c r="Q464" s="351"/>
      <c r="R464" s="351"/>
      <c r="S464" s="351"/>
      <c r="T464" s="351"/>
      <c r="U464" s="351"/>
      <c r="V464" s="351"/>
      <c r="W464" s="351"/>
      <c r="X464" s="359"/>
      <c r="Y464" s="359"/>
      <c r="Z464" s="359"/>
      <c r="AA464" s="351"/>
      <c r="AB464" s="351"/>
      <c r="AC464" s="359"/>
      <c r="AD464" s="359"/>
      <c r="AE464" s="351"/>
      <c r="AF464" s="333"/>
      <c r="AG464" s="333"/>
      <c r="AH464" s="351"/>
      <c r="AI464" s="351"/>
      <c r="AJ464" s="351"/>
      <c r="AK464" s="351"/>
      <c r="AL464" s="351"/>
      <c r="AM464" s="351"/>
      <c r="AN464" s="351"/>
      <c r="AO464" s="351"/>
      <c r="AP464" s="351"/>
      <c r="AQ464" s="351"/>
      <c r="AR464" s="351"/>
      <c r="AS464" s="351"/>
      <c r="AT464" s="351"/>
      <c r="AU464" s="351"/>
      <c r="AV464" s="351"/>
      <c r="AW464" s="351"/>
      <c r="AX464" s="351"/>
      <c r="AY464" s="351"/>
    </row>
    <row r="465" spans="1:51" ht="13">
      <c r="A465" s="333"/>
      <c r="B465" s="351"/>
      <c r="C465" s="351"/>
      <c r="D465" s="333"/>
      <c r="E465" s="333"/>
      <c r="F465" s="333"/>
      <c r="G465" s="359"/>
      <c r="H465" s="359"/>
      <c r="I465" s="351"/>
      <c r="J465" s="359"/>
      <c r="K465" s="359"/>
      <c r="L465" s="359"/>
      <c r="M465" s="351"/>
      <c r="N465" s="351"/>
      <c r="O465" s="351"/>
      <c r="P465" s="351"/>
      <c r="Q465" s="351"/>
      <c r="R465" s="351"/>
      <c r="S465" s="351"/>
      <c r="T465" s="351"/>
      <c r="U465" s="351"/>
      <c r="V465" s="351"/>
      <c r="W465" s="351"/>
      <c r="X465" s="359"/>
      <c r="Y465" s="359"/>
      <c r="Z465" s="359"/>
      <c r="AA465" s="351"/>
      <c r="AB465" s="351"/>
      <c r="AC465" s="359"/>
      <c r="AD465" s="359"/>
      <c r="AE465" s="351"/>
      <c r="AF465" s="333"/>
      <c r="AG465" s="333"/>
      <c r="AH465" s="351"/>
      <c r="AI465" s="351"/>
      <c r="AJ465" s="351"/>
      <c r="AK465" s="351"/>
      <c r="AL465" s="351"/>
      <c r="AM465" s="351"/>
      <c r="AN465" s="351"/>
      <c r="AO465" s="351"/>
      <c r="AP465" s="351"/>
      <c r="AQ465" s="351"/>
      <c r="AR465" s="351"/>
      <c r="AS465" s="351"/>
      <c r="AT465" s="351"/>
      <c r="AU465" s="351"/>
      <c r="AV465" s="351"/>
      <c r="AW465" s="351"/>
      <c r="AX465" s="351"/>
      <c r="AY465" s="351"/>
    </row>
    <row r="466" spans="1:51" ht="13">
      <c r="A466" s="333"/>
      <c r="B466" s="351"/>
      <c r="C466" s="351"/>
      <c r="D466" s="333"/>
      <c r="E466" s="333"/>
      <c r="F466" s="333"/>
      <c r="G466" s="359"/>
      <c r="H466" s="359"/>
      <c r="I466" s="351"/>
      <c r="J466" s="359"/>
      <c r="K466" s="359"/>
      <c r="L466" s="359"/>
      <c r="M466" s="351"/>
      <c r="N466" s="351"/>
      <c r="O466" s="351"/>
      <c r="P466" s="351"/>
      <c r="Q466" s="351"/>
      <c r="R466" s="351"/>
      <c r="S466" s="351"/>
      <c r="T466" s="351"/>
      <c r="U466" s="351"/>
      <c r="V466" s="351"/>
      <c r="W466" s="351"/>
      <c r="X466" s="359"/>
      <c r="Y466" s="359"/>
      <c r="Z466" s="359"/>
      <c r="AA466" s="351"/>
      <c r="AB466" s="351"/>
      <c r="AC466" s="359"/>
      <c r="AD466" s="359"/>
      <c r="AE466" s="351"/>
      <c r="AF466" s="333"/>
      <c r="AG466" s="333"/>
      <c r="AH466" s="351"/>
      <c r="AI466" s="351"/>
      <c r="AJ466" s="351"/>
      <c r="AK466" s="351"/>
      <c r="AL466" s="351"/>
      <c r="AM466" s="351"/>
      <c r="AN466" s="351"/>
      <c r="AO466" s="351"/>
      <c r="AP466" s="351"/>
      <c r="AQ466" s="351"/>
      <c r="AR466" s="351"/>
      <c r="AS466" s="351"/>
      <c r="AT466" s="351"/>
      <c r="AU466" s="351"/>
      <c r="AV466" s="351"/>
      <c r="AW466" s="351"/>
      <c r="AX466" s="351"/>
      <c r="AY466" s="351"/>
    </row>
    <row r="467" spans="1:51" ht="13">
      <c r="A467" s="333"/>
      <c r="B467" s="351"/>
      <c r="C467" s="351"/>
      <c r="D467" s="333"/>
      <c r="E467" s="333"/>
      <c r="F467" s="333"/>
      <c r="G467" s="359"/>
      <c r="H467" s="359"/>
      <c r="I467" s="351"/>
      <c r="J467" s="359"/>
      <c r="K467" s="359"/>
      <c r="L467" s="359"/>
      <c r="M467" s="351"/>
      <c r="N467" s="351"/>
      <c r="O467" s="351"/>
      <c r="P467" s="351"/>
      <c r="Q467" s="351"/>
      <c r="R467" s="351"/>
      <c r="S467" s="351"/>
      <c r="T467" s="351"/>
      <c r="U467" s="351"/>
      <c r="V467" s="351"/>
      <c r="W467" s="351"/>
      <c r="X467" s="359"/>
      <c r="Y467" s="359"/>
      <c r="Z467" s="359"/>
      <c r="AA467" s="351"/>
      <c r="AB467" s="351"/>
      <c r="AC467" s="359"/>
      <c r="AD467" s="359"/>
      <c r="AE467" s="351"/>
      <c r="AF467" s="333"/>
      <c r="AG467" s="333"/>
      <c r="AH467" s="351"/>
      <c r="AI467" s="351"/>
      <c r="AJ467" s="351"/>
      <c r="AK467" s="351"/>
      <c r="AL467" s="351"/>
      <c r="AM467" s="351"/>
      <c r="AN467" s="351"/>
      <c r="AO467" s="351"/>
      <c r="AP467" s="351"/>
      <c r="AQ467" s="351"/>
      <c r="AR467" s="351"/>
      <c r="AS467" s="351"/>
      <c r="AT467" s="351"/>
      <c r="AU467" s="351"/>
      <c r="AV467" s="351"/>
      <c r="AW467" s="351"/>
      <c r="AX467" s="351"/>
      <c r="AY467" s="351"/>
    </row>
    <row r="468" spans="1:51" ht="13">
      <c r="A468" s="333"/>
      <c r="B468" s="351"/>
      <c r="C468" s="351"/>
      <c r="D468" s="333"/>
      <c r="E468" s="333"/>
      <c r="F468" s="333"/>
      <c r="G468" s="359"/>
      <c r="H468" s="359"/>
      <c r="I468" s="351"/>
      <c r="J468" s="359"/>
      <c r="K468" s="359"/>
      <c r="L468" s="359"/>
      <c r="M468" s="351"/>
      <c r="N468" s="351"/>
      <c r="O468" s="351"/>
      <c r="P468" s="351"/>
      <c r="Q468" s="351"/>
      <c r="R468" s="351"/>
      <c r="S468" s="351"/>
      <c r="T468" s="351"/>
      <c r="U468" s="351"/>
      <c r="V468" s="351"/>
      <c r="W468" s="351"/>
      <c r="X468" s="359"/>
      <c r="Y468" s="359"/>
      <c r="Z468" s="359"/>
      <c r="AA468" s="351"/>
      <c r="AB468" s="351"/>
      <c r="AC468" s="359"/>
      <c r="AD468" s="359"/>
      <c r="AE468" s="351"/>
      <c r="AF468" s="333"/>
      <c r="AG468" s="333"/>
      <c r="AH468" s="351"/>
      <c r="AI468" s="351"/>
      <c r="AJ468" s="351"/>
      <c r="AK468" s="351"/>
      <c r="AL468" s="351"/>
      <c r="AM468" s="351"/>
      <c r="AN468" s="351"/>
      <c r="AO468" s="351"/>
      <c r="AP468" s="351"/>
      <c r="AQ468" s="351"/>
      <c r="AR468" s="351"/>
      <c r="AS468" s="351"/>
      <c r="AT468" s="351"/>
      <c r="AU468" s="351"/>
      <c r="AV468" s="351"/>
      <c r="AW468" s="351"/>
      <c r="AX468" s="351"/>
      <c r="AY468" s="351"/>
    </row>
    <row r="469" spans="1:51" ht="13">
      <c r="A469" s="333"/>
      <c r="B469" s="351"/>
      <c r="C469" s="351"/>
      <c r="D469" s="333"/>
      <c r="E469" s="333"/>
      <c r="F469" s="333"/>
      <c r="G469" s="359"/>
      <c r="H469" s="359"/>
      <c r="I469" s="351"/>
      <c r="J469" s="359"/>
      <c r="K469" s="359"/>
      <c r="L469" s="359"/>
      <c r="M469" s="351"/>
      <c r="N469" s="351"/>
      <c r="O469" s="351"/>
      <c r="P469" s="351"/>
      <c r="Q469" s="351"/>
      <c r="R469" s="351"/>
      <c r="S469" s="351"/>
      <c r="T469" s="351"/>
      <c r="U469" s="351"/>
      <c r="V469" s="351"/>
      <c r="W469" s="351"/>
      <c r="X469" s="359"/>
      <c r="Y469" s="359"/>
      <c r="Z469" s="359"/>
      <c r="AA469" s="351"/>
      <c r="AB469" s="351"/>
      <c r="AC469" s="359"/>
      <c r="AD469" s="359"/>
      <c r="AE469" s="351"/>
      <c r="AF469" s="333"/>
      <c r="AG469" s="333"/>
      <c r="AH469" s="351"/>
      <c r="AI469" s="351"/>
      <c r="AJ469" s="351"/>
      <c r="AK469" s="351"/>
      <c r="AL469" s="351"/>
      <c r="AM469" s="351"/>
      <c r="AN469" s="351"/>
      <c r="AO469" s="351"/>
      <c r="AP469" s="351"/>
      <c r="AQ469" s="351"/>
      <c r="AR469" s="351"/>
      <c r="AS469" s="351"/>
      <c r="AT469" s="351"/>
      <c r="AU469" s="351"/>
      <c r="AV469" s="351"/>
      <c r="AW469" s="351"/>
      <c r="AX469" s="351"/>
      <c r="AY469" s="351"/>
    </row>
    <row r="470" spans="1:51" ht="13">
      <c r="A470" s="333"/>
      <c r="B470" s="351"/>
      <c r="C470" s="351"/>
      <c r="D470" s="333"/>
      <c r="E470" s="333"/>
      <c r="F470" s="333"/>
      <c r="G470" s="359"/>
      <c r="H470" s="359"/>
      <c r="I470" s="351"/>
      <c r="J470" s="359"/>
      <c r="K470" s="359"/>
      <c r="L470" s="359"/>
      <c r="M470" s="351"/>
      <c r="N470" s="351"/>
      <c r="O470" s="351"/>
      <c r="P470" s="351"/>
      <c r="Q470" s="351"/>
      <c r="R470" s="351"/>
      <c r="S470" s="351"/>
      <c r="T470" s="351"/>
      <c r="U470" s="351"/>
      <c r="V470" s="351"/>
      <c r="W470" s="351"/>
      <c r="X470" s="359"/>
      <c r="Y470" s="359"/>
      <c r="Z470" s="359"/>
      <c r="AA470" s="351"/>
      <c r="AB470" s="351"/>
      <c r="AC470" s="359"/>
      <c r="AD470" s="359"/>
      <c r="AE470" s="351"/>
      <c r="AF470" s="333"/>
      <c r="AG470" s="333"/>
      <c r="AH470" s="351"/>
      <c r="AI470" s="351"/>
      <c r="AJ470" s="351"/>
      <c r="AK470" s="351"/>
      <c r="AL470" s="351"/>
      <c r="AM470" s="351"/>
      <c r="AN470" s="351"/>
      <c r="AO470" s="351"/>
      <c r="AP470" s="351"/>
      <c r="AQ470" s="351"/>
      <c r="AR470" s="351"/>
      <c r="AS470" s="351"/>
      <c r="AT470" s="351"/>
      <c r="AU470" s="351"/>
      <c r="AV470" s="351"/>
      <c r="AW470" s="351"/>
      <c r="AX470" s="351"/>
      <c r="AY470" s="351"/>
    </row>
    <row r="471" spans="1:51" ht="13">
      <c r="A471" s="333"/>
      <c r="B471" s="351"/>
      <c r="C471" s="351"/>
      <c r="D471" s="333"/>
      <c r="E471" s="333"/>
      <c r="F471" s="333"/>
      <c r="G471" s="359"/>
      <c r="H471" s="359"/>
      <c r="I471" s="351"/>
      <c r="J471" s="359"/>
      <c r="K471" s="359"/>
      <c r="L471" s="359"/>
      <c r="M471" s="351"/>
      <c r="N471" s="351"/>
      <c r="O471" s="351"/>
      <c r="P471" s="351"/>
      <c r="Q471" s="351"/>
      <c r="R471" s="351"/>
      <c r="S471" s="351"/>
      <c r="T471" s="351"/>
      <c r="U471" s="351"/>
      <c r="V471" s="351"/>
      <c r="W471" s="351"/>
      <c r="X471" s="359"/>
      <c r="Y471" s="359"/>
      <c r="Z471" s="359"/>
      <c r="AA471" s="351"/>
      <c r="AB471" s="351"/>
      <c r="AC471" s="359"/>
      <c r="AD471" s="359"/>
      <c r="AE471" s="351"/>
      <c r="AF471" s="333"/>
      <c r="AG471" s="333"/>
      <c r="AH471" s="351"/>
      <c r="AI471" s="351"/>
      <c r="AJ471" s="351"/>
      <c r="AK471" s="351"/>
      <c r="AL471" s="351"/>
      <c r="AM471" s="351"/>
      <c r="AN471" s="351"/>
      <c r="AO471" s="351"/>
      <c r="AP471" s="351"/>
      <c r="AQ471" s="351"/>
      <c r="AR471" s="351"/>
      <c r="AS471" s="351"/>
      <c r="AT471" s="351"/>
      <c r="AU471" s="351"/>
      <c r="AV471" s="351"/>
      <c r="AW471" s="351"/>
      <c r="AX471" s="351"/>
      <c r="AY471" s="351"/>
    </row>
    <row r="472" spans="1:51" ht="13">
      <c r="A472" s="333"/>
      <c r="B472" s="351"/>
      <c r="C472" s="351"/>
      <c r="D472" s="333"/>
      <c r="E472" s="333"/>
      <c r="F472" s="333"/>
      <c r="G472" s="359"/>
      <c r="H472" s="359"/>
      <c r="I472" s="351"/>
      <c r="J472" s="359"/>
      <c r="K472" s="359"/>
      <c r="L472" s="359"/>
      <c r="M472" s="351"/>
      <c r="N472" s="351"/>
      <c r="O472" s="351"/>
      <c r="P472" s="351"/>
      <c r="Q472" s="351"/>
      <c r="R472" s="351"/>
      <c r="S472" s="351"/>
      <c r="T472" s="351"/>
      <c r="U472" s="351"/>
      <c r="V472" s="351"/>
      <c r="W472" s="351"/>
      <c r="X472" s="359"/>
      <c r="Y472" s="359"/>
      <c r="Z472" s="359"/>
      <c r="AA472" s="351"/>
      <c r="AB472" s="351"/>
      <c r="AC472" s="359"/>
      <c r="AD472" s="359"/>
      <c r="AE472" s="351"/>
      <c r="AF472" s="333"/>
      <c r="AG472" s="333"/>
      <c r="AH472" s="351"/>
      <c r="AI472" s="351"/>
      <c r="AJ472" s="351"/>
      <c r="AK472" s="351"/>
      <c r="AL472" s="351"/>
      <c r="AM472" s="351"/>
      <c r="AN472" s="351"/>
      <c r="AO472" s="351"/>
      <c r="AP472" s="351"/>
      <c r="AQ472" s="351"/>
      <c r="AR472" s="351"/>
      <c r="AS472" s="351"/>
      <c r="AT472" s="351"/>
      <c r="AU472" s="351"/>
      <c r="AV472" s="351"/>
      <c r="AW472" s="351"/>
      <c r="AX472" s="351"/>
      <c r="AY472" s="351"/>
    </row>
    <row r="473" spans="1:51" ht="13">
      <c r="A473" s="333"/>
      <c r="B473" s="351"/>
      <c r="C473" s="351"/>
      <c r="D473" s="333"/>
      <c r="E473" s="333"/>
      <c r="F473" s="333"/>
      <c r="G473" s="359"/>
      <c r="H473" s="359"/>
      <c r="I473" s="351"/>
      <c r="J473" s="359"/>
      <c r="K473" s="359"/>
      <c r="L473" s="359"/>
      <c r="M473" s="351"/>
      <c r="N473" s="351"/>
      <c r="O473" s="351"/>
      <c r="P473" s="351"/>
      <c r="Q473" s="351"/>
      <c r="R473" s="351"/>
      <c r="S473" s="351"/>
      <c r="T473" s="351"/>
      <c r="U473" s="351"/>
      <c r="V473" s="351"/>
      <c r="W473" s="351"/>
      <c r="X473" s="359"/>
      <c r="Y473" s="359"/>
      <c r="Z473" s="359"/>
      <c r="AA473" s="351"/>
      <c r="AB473" s="351"/>
      <c r="AC473" s="359"/>
      <c r="AD473" s="359"/>
      <c r="AE473" s="351"/>
      <c r="AF473" s="333"/>
      <c r="AG473" s="333"/>
      <c r="AH473" s="351"/>
      <c r="AI473" s="351"/>
      <c r="AJ473" s="351"/>
      <c r="AK473" s="351"/>
      <c r="AL473" s="351"/>
      <c r="AM473" s="351"/>
      <c r="AN473" s="351"/>
      <c r="AO473" s="351"/>
      <c r="AP473" s="351"/>
      <c r="AQ473" s="351"/>
      <c r="AR473" s="351"/>
      <c r="AS473" s="351"/>
      <c r="AT473" s="351"/>
      <c r="AU473" s="351"/>
      <c r="AV473" s="351"/>
      <c r="AW473" s="351"/>
      <c r="AX473" s="351"/>
      <c r="AY473" s="351"/>
    </row>
    <row r="474" spans="1:51" ht="13">
      <c r="A474" s="333"/>
      <c r="B474" s="351"/>
      <c r="C474" s="351"/>
      <c r="D474" s="333"/>
      <c r="E474" s="333"/>
      <c r="F474" s="333"/>
      <c r="G474" s="359"/>
      <c r="H474" s="359"/>
      <c r="I474" s="351"/>
      <c r="J474" s="359"/>
      <c r="K474" s="359"/>
      <c r="L474" s="359"/>
      <c r="M474" s="351"/>
      <c r="N474" s="351"/>
      <c r="O474" s="351"/>
      <c r="P474" s="351"/>
      <c r="Q474" s="351"/>
      <c r="R474" s="351"/>
      <c r="S474" s="351"/>
      <c r="T474" s="351"/>
      <c r="U474" s="351"/>
      <c r="V474" s="351"/>
      <c r="W474" s="351"/>
      <c r="X474" s="359"/>
      <c r="Y474" s="359"/>
      <c r="Z474" s="359"/>
      <c r="AA474" s="351"/>
      <c r="AB474" s="351"/>
      <c r="AC474" s="359"/>
      <c r="AD474" s="359"/>
      <c r="AE474" s="351"/>
      <c r="AF474" s="333"/>
      <c r="AG474" s="333"/>
      <c r="AH474" s="351"/>
      <c r="AI474" s="351"/>
      <c r="AJ474" s="351"/>
      <c r="AK474" s="351"/>
      <c r="AL474" s="351"/>
      <c r="AM474" s="351"/>
      <c r="AN474" s="351"/>
      <c r="AO474" s="351"/>
      <c r="AP474" s="351"/>
      <c r="AQ474" s="351"/>
      <c r="AR474" s="351"/>
      <c r="AS474" s="351"/>
      <c r="AT474" s="351"/>
      <c r="AU474" s="351"/>
      <c r="AV474" s="351"/>
      <c r="AW474" s="351"/>
      <c r="AX474" s="351"/>
      <c r="AY474" s="351"/>
    </row>
    <row r="475" spans="1:51" ht="13">
      <c r="A475" s="333"/>
      <c r="B475" s="351"/>
      <c r="C475" s="351"/>
      <c r="D475" s="333"/>
      <c r="E475" s="333"/>
      <c r="F475" s="333"/>
      <c r="G475" s="359"/>
      <c r="H475" s="359"/>
      <c r="I475" s="351"/>
      <c r="J475" s="359"/>
      <c r="K475" s="359"/>
      <c r="L475" s="359"/>
      <c r="M475" s="351"/>
      <c r="N475" s="351"/>
      <c r="O475" s="351"/>
      <c r="P475" s="351"/>
      <c r="Q475" s="351"/>
      <c r="R475" s="351"/>
      <c r="S475" s="351"/>
      <c r="T475" s="351"/>
      <c r="U475" s="351"/>
      <c r="V475" s="351"/>
      <c r="W475" s="351"/>
      <c r="X475" s="359"/>
      <c r="Y475" s="359"/>
      <c r="Z475" s="359"/>
      <c r="AA475" s="351"/>
      <c r="AB475" s="351"/>
      <c r="AC475" s="359"/>
      <c r="AD475" s="359"/>
      <c r="AE475" s="351"/>
      <c r="AF475" s="333"/>
      <c r="AG475" s="333"/>
      <c r="AH475" s="351"/>
      <c r="AI475" s="351"/>
      <c r="AJ475" s="351"/>
      <c r="AK475" s="351"/>
      <c r="AL475" s="351"/>
      <c r="AM475" s="351"/>
      <c r="AN475" s="351"/>
      <c r="AO475" s="351"/>
      <c r="AP475" s="351"/>
      <c r="AQ475" s="351"/>
      <c r="AR475" s="351"/>
      <c r="AS475" s="351"/>
      <c r="AT475" s="351"/>
      <c r="AU475" s="351"/>
      <c r="AV475" s="351"/>
      <c r="AW475" s="351"/>
      <c r="AX475" s="351"/>
      <c r="AY475" s="351"/>
    </row>
    <row r="476" spans="1:51" ht="13">
      <c r="A476" s="333"/>
      <c r="B476" s="351"/>
      <c r="C476" s="351"/>
      <c r="D476" s="333"/>
      <c r="E476" s="333"/>
      <c r="F476" s="333"/>
      <c r="G476" s="359"/>
      <c r="H476" s="359"/>
      <c r="I476" s="351"/>
      <c r="J476" s="359"/>
      <c r="K476" s="359"/>
      <c r="L476" s="359"/>
      <c r="M476" s="351"/>
      <c r="N476" s="351"/>
      <c r="O476" s="351"/>
      <c r="P476" s="351"/>
      <c r="Q476" s="351"/>
      <c r="R476" s="351"/>
      <c r="S476" s="351"/>
      <c r="T476" s="351"/>
      <c r="U476" s="351"/>
      <c r="V476" s="351"/>
      <c r="W476" s="351"/>
      <c r="X476" s="359"/>
      <c r="Y476" s="359"/>
      <c r="Z476" s="359"/>
      <c r="AA476" s="351"/>
      <c r="AB476" s="351"/>
      <c r="AC476" s="359"/>
      <c r="AD476" s="359"/>
      <c r="AE476" s="351"/>
      <c r="AF476" s="333"/>
      <c r="AG476" s="333"/>
      <c r="AH476" s="351"/>
      <c r="AI476" s="351"/>
      <c r="AJ476" s="351"/>
      <c r="AK476" s="351"/>
      <c r="AL476" s="351"/>
      <c r="AM476" s="351"/>
      <c r="AN476" s="351"/>
      <c r="AO476" s="351"/>
      <c r="AP476" s="351"/>
      <c r="AQ476" s="351"/>
      <c r="AR476" s="351"/>
      <c r="AS476" s="351"/>
      <c r="AT476" s="351"/>
      <c r="AU476" s="351"/>
      <c r="AV476" s="351"/>
      <c r="AW476" s="351"/>
      <c r="AX476" s="351"/>
      <c r="AY476" s="351"/>
    </row>
    <row r="477" spans="1:51" ht="13">
      <c r="A477" s="333"/>
      <c r="B477" s="351"/>
      <c r="C477" s="351"/>
      <c r="D477" s="333"/>
      <c r="E477" s="333"/>
      <c r="F477" s="333"/>
      <c r="G477" s="359"/>
      <c r="H477" s="359"/>
      <c r="I477" s="351"/>
      <c r="J477" s="359"/>
      <c r="K477" s="359"/>
      <c r="L477" s="359"/>
      <c r="M477" s="351"/>
      <c r="N477" s="351"/>
      <c r="O477" s="351"/>
      <c r="P477" s="351"/>
      <c r="Q477" s="351"/>
      <c r="R477" s="351"/>
      <c r="S477" s="351"/>
      <c r="T477" s="351"/>
      <c r="U477" s="351"/>
      <c r="V477" s="351"/>
      <c r="W477" s="351"/>
      <c r="X477" s="359"/>
      <c r="Y477" s="359"/>
      <c r="Z477" s="359"/>
      <c r="AA477" s="351"/>
      <c r="AB477" s="351"/>
      <c r="AC477" s="359"/>
      <c r="AD477" s="359"/>
      <c r="AE477" s="351"/>
      <c r="AF477" s="333"/>
      <c r="AG477" s="333"/>
      <c r="AH477" s="351"/>
      <c r="AI477" s="351"/>
      <c r="AJ477" s="351"/>
      <c r="AK477" s="351"/>
      <c r="AL477" s="351"/>
      <c r="AM477" s="351"/>
      <c r="AN477" s="351"/>
      <c r="AO477" s="351"/>
      <c r="AP477" s="351"/>
      <c r="AQ477" s="351"/>
      <c r="AR477" s="351"/>
      <c r="AS477" s="351"/>
      <c r="AT477" s="351"/>
      <c r="AU477" s="351"/>
      <c r="AV477" s="351"/>
      <c r="AW477" s="351"/>
      <c r="AX477" s="351"/>
      <c r="AY477" s="351"/>
    </row>
    <row r="478" spans="1:51" ht="13">
      <c r="A478" s="333"/>
      <c r="B478" s="351"/>
      <c r="C478" s="351"/>
      <c r="D478" s="333"/>
      <c r="E478" s="333"/>
      <c r="F478" s="333"/>
      <c r="G478" s="359"/>
      <c r="H478" s="359"/>
      <c r="I478" s="351"/>
      <c r="J478" s="359"/>
      <c r="K478" s="359"/>
      <c r="L478" s="359"/>
      <c r="M478" s="351"/>
      <c r="N478" s="351"/>
      <c r="O478" s="351"/>
      <c r="P478" s="351"/>
      <c r="Q478" s="351"/>
      <c r="R478" s="351"/>
      <c r="S478" s="351"/>
      <c r="T478" s="351"/>
      <c r="U478" s="351"/>
      <c r="V478" s="351"/>
      <c r="W478" s="351"/>
      <c r="X478" s="359"/>
      <c r="Y478" s="359"/>
      <c r="Z478" s="359"/>
      <c r="AA478" s="351"/>
      <c r="AB478" s="351"/>
      <c r="AC478" s="359"/>
      <c r="AD478" s="359"/>
      <c r="AE478" s="351"/>
      <c r="AF478" s="333"/>
      <c r="AG478" s="333"/>
      <c r="AH478" s="351"/>
      <c r="AI478" s="351"/>
      <c r="AJ478" s="351"/>
      <c r="AK478" s="351"/>
      <c r="AL478" s="351"/>
      <c r="AM478" s="351"/>
      <c r="AN478" s="351"/>
      <c r="AO478" s="351"/>
      <c r="AP478" s="351"/>
      <c r="AQ478" s="351"/>
      <c r="AR478" s="351"/>
      <c r="AS478" s="351"/>
      <c r="AT478" s="351"/>
      <c r="AU478" s="351"/>
      <c r="AV478" s="351"/>
      <c r="AW478" s="351"/>
      <c r="AX478" s="351"/>
      <c r="AY478" s="351"/>
    </row>
    <row r="479" spans="1:51" ht="13">
      <c r="A479" s="333"/>
      <c r="B479" s="351"/>
      <c r="C479" s="351"/>
      <c r="D479" s="333"/>
      <c r="E479" s="333"/>
      <c r="F479" s="333"/>
      <c r="G479" s="359"/>
      <c r="H479" s="359"/>
      <c r="I479" s="351"/>
      <c r="J479" s="359"/>
      <c r="K479" s="359"/>
      <c r="L479" s="359"/>
      <c r="M479" s="351"/>
      <c r="N479" s="351"/>
      <c r="O479" s="351"/>
      <c r="P479" s="351"/>
      <c r="Q479" s="351"/>
      <c r="R479" s="351"/>
      <c r="S479" s="351"/>
      <c r="T479" s="351"/>
      <c r="U479" s="351"/>
      <c r="V479" s="351"/>
      <c r="W479" s="351"/>
      <c r="X479" s="359"/>
      <c r="Y479" s="359"/>
      <c r="Z479" s="359"/>
      <c r="AA479" s="351"/>
      <c r="AB479" s="351"/>
      <c r="AC479" s="359"/>
      <c r="AD479" s="359"/>
      <c r="AE479" s="351"/>
      <c r="AF479" s="333"/>
      <c r="AG479" s="333"/>
      <c r="AH479" s="351"/>
      <c r="AI479" s="351"/>
      <c r="AJ479" s="351"/>
      <c r="AK479" s="351"/>
      <c r="AL479" s="351"/>
      <c r="AM479" s="351"/>
      <c r="AN479" s="351"/>
      <c r="AO479" s="351"/>
      <c r="AP479" s="351"/>
      <c r="AQ479" s="351"/>
      <c r="AR479" s="351"/>
      <c r="AS479" s="351"/>
      <c r="AT479" s="351"/>
      <c r="AU479" s="351"/>
      <c r="AV479" s="351"/>
      <c r="AW479" s="351"/>
      <c r="AX479" s="351"/>
      <c r="AY479" s="351"/>
    </row>
    <row r="480" spans="1:51" ht="13">
      <c r="A480" s="333"/>
      <c r="B480" s="351"/>
      <c r="C480" s="351"/>
      <c r="D480" s="333"/>
      <c r="E480" s="333"/>
      <c r="F480" s="333"/>
      <c r="G480" s="359"/>
      <c r="H480" s="359"/>
      <c r="I480" s="351"/>
      <c r="J480" s="359"/>
      <c r="K480" s="359"/>
      <c r="L480" s="359"/>
      <c r="M480" s="351"/>
      <c r="N480" s="351"/>
      <c r="O480" s="351"/>
      <c r="P480" s="351"/>
      <c r="Q480" s="351"/>
      <c r="R480" s="351"/>
      <c r="S480" s="351"/>
      <c r="T480" s="351"/>
      <c r="U480" s="351"/>
      <c r="V480" s="351"/>
      <c r="W480" s="351"/>
      <c r="X480" s="359"/>
      <c r="Y480" s="359"/>
      <c r="Z480" s="359"/>
      <c r="AA480" s="351"/>
      <c r="AB480" s="351"/>
      <c r="AC480" s="359"/>
      <c r="AD480" s="359"/>
      <c r="AE480" s="351"/>
      <c r="AF480" s="333"/>
      <c r="AG480" s="333"/>
      <c r="AH480" s="351"/>
      <c r="AI480" s="351"/>
      <c r="AJ480" s="351"/>
      <c r="AK480" s="351"/>
      <c r="AL480" s="351"/>
      <c r="AM480" s="351"/>
      <c r="AN480" s="351"/>
      <c r="AO480" s="351"/>
      <c r="AP480" s="351"/>
      <c r="AQ480" s="351"/>
      <c r="AR480" s="351"/>
      <c r="AS480" s="351"/>
      <c r="AT480" s="351"/>
      <c r="AU480" s="351"/>
      <c r="AV480" s="351"/>
      <c r="AW480" s="351"/>
      <c r="AX480" s="351"/>
      <c r="AY480" s="351"/>
    </row>
    <row r="481" spans="1:51" ht="13">
      <c r="A481" s="333"/>
      <c r="B481" s="351"/>
      <c r="C481" s="351"/>
      <c r="D481" s="333"/>
      <c r="E481" s="333"/>
      <c r="F481" s="333"/>
      <c r="G481" s="359"/>
      <c r="H481" s="359"/>
      <c r="I481" s="351"/>
      <c r="J481" s="359"/>
      <c r="K481" s="359"/>
      <c r="L481" s="359"/>
      <c r="M481" s="351"/>
      <c r="N481" s="351"/>
      <c r="O481" s="351"/>
      <c r="P481" s="351"/>
      <c r="Q481" s="351"/>
      <c r="R481" s="351"/>
      <c r="S481" s="351"/>
      <c r="T481" s="351"/>
      <c r="U481" s="351"/>
      <c r="V481" s="351"/>
      <c r="W481" s="351"/>
      <c r="X481" s="359"/>
      <c r="Y481" s="359"/>
      <c r="Z481" s="359"/>
      <c r="AA481" s="351"/>
      <c r="AB481" s="351"/>
      <c r="AC481" s="359"/>
      <c r="AD481" s="359"/>
      <c r="AE481" s="351"/>
      <c r="AF481" s="333"/>
      <c r="AG481" s="333"/>
      <c r="AH481" s="351"/>
      <c r="AI481" s="351"/>
      <c r="AJ481" s="351"/>
      <c r="AK481" s="351"/>
      <c r="AL481" s="351"/>
      <c r="AM481" s="351"/>
      <c r="AN481" s="351"/>
      <c r="AO481" s="351"/>
      <c r="AP481" s="351"/>
      <c r="AQ481" s="351"/>
      <c r="AR481" s="351"/>
      <c r="AS481" s="351"/>
      <c r="AT481" s="351"/>
      <c r="AU481" s="351"/>
      <c r="AV481" s="351"/>
      <c r="AW481" s="351"/>
      <c r="AX481" s="351"/>
      <c r="AY481" s="351"/>
    </row>
    <row r="482" spans="1:51" ht="13">
      <c r="A482" s="333"/>
      <c r="B482" s="351"/>
      <c r="C482" s="351"/>
      <c r="D482" s="333"/>
      <c r="E482" s="333"/>
      <c r="F482" s="333"/>
      <c r="G482" s="359"/>
      <c r="H482" s="359"/>
      <c r="I482" s="351"/>
      <c r="J482" s="359"/>
      <c r="K482" s="359"/>
      <c r="L482" s="359"/>
      <c r="M482" s="351"/>
      <c r="N482" s="351"/>
      <c r="O482" s="351"/>
      <c r="P482" s="351"/>
      <c r="Q482" s="351"/>
      <c r="R482" s="351"/>
      <c r="S482" s="351"/>
      <c r="T482" s="351"/>
      <c r="U482" s="351"/>
      <c r="V482" s="351"/>
      <c r="W482" s="351"/>
      <c r="X482" s="359"/>
      <c r="Y482" s="359"/>
      <c r="Z482" s="359"/>
      <c r="AA482" s="351"/>
      <c r="AB482" s="351"/>
      <c r="AC482" s="359"/>
      <c r="AD482" s="359"/>
      <c r="AE482" s="351"/>
      <c r="AF482" s="333"/>
      <c r="AG482" s="333"/>
      <c r="AH482" s="351"/>
      <c r="AI482" s="351"/>
      <c r="AJ482" s="351"/>
      <c r="AK482" s="351"/>
      <c r="AL482" s="351"/>
      <c r="AM482" s="351"/>
      <c r="AN482" s="351"/>
      <c r="AO482" s="351"/>
      <c r="AP482" s="351"/>
      <c r="AQ482" s="351"/>
      <c r="AR482" s="351"/>
      <c r="AS482" s="351"/>
      <c r="AT482" s="351"/>
      <c r="AU482" s="351"/>
      <c r="AV482" s="351"/>
      <c r="AW482" s="351"/>
      <c r="AX482" s="351"/>
      <c r="AY482" s="351"/>
    </row>
    <row r="483" spans="1:51" ht="13">
      <c r="A483" s="333"/>
      <c r="B483" s="351"/>
      <c r="C483" s="351"/>
      <c r="D483" s="333"/>
      <c r="E483" s="333"/>
      <c r="F483" s="333"/>
      <c r="G483" s="359"/>
      <c r="H483" s="359"/>
      <c r="I483" s="351"/>
      <c r="J483" s="359"/>
      <c r="K483" s="359"/>
      <c r="L483" s="359"/>
      <c r="M483" s="351"/>
      <c r="N483" s="351"/>
      <c r="O483" s="351"/>
      <c r="P483" s="351"/>
      <c r="Q483" s="351"/>
      <c r="R483" s="351"/>
      <c r="S483" s="351"/>
      <c r="T483" s="351"/>
      <c r="U483" s="351"/>
      <c r="V483" s="351"/>
      <c r="W483" s="351"/>
      <c r="X483" s="359"/>
      <c r="Y483" s="359"/>
      <c r="Z483" s="359"/>
      <c r="AA483" s="351"/>
      <c r="AB483" s="351"/>
      <c r="AC483" s="359"/>
      <c r="AD483" s="359"/>
      <c r="AE483" s="351"/>
      <c r="AF483" s="333"/>
      <c r="AG483" s="333"/>
      <c r="AH483" s="351"/>
      <c r="AI483" s="351"/>
      <c r="AJ483" s="351"/>
      <c r="AK483" s="351"/>
      <c r="AL483" s="351"/>
      <c r="AM483" s="351"/>
      <c r="AN483" s="351"/>
      <c r="AO483" s="351"/>
      <c r="AP483" s="351"/>
      <c r="AQ483" s="351"/>
      <c r="AR483" s="351"/>
      <c r="AS483" s="351"/>
      <c r="AT483" s="351"/>
      <c r="AU483" s="351"/>
      <c r="AV483" s="351"/>
      <c r="AW483" s="351"/>
      <c r="AX483" s="351"/>
      <c r="AY483" s="351"/>
    </row>
    <row r="484" spans="1:51" ht="13">
      <c r="A484" s="333"/>
      <c r="B484" s="351"/>
      <c r="C484" s="351"/>
      <c r="D484" s="333"/>
      <c r="E484" s="333"/>
      <c r="F484" s="333"/>
      <c r="G484" s="359"/>
      <c r="H484" s="359"/>
      <c r="I484" s="351"/>
      <c r="J484" s="359"/>
      <c r="K484" s="359"/>
      <c r="L484" s="359"/>
      <c r="M484" s="351"/>
      <c r="N484" s="351"/>
      <c r="O484" s="351"/>
      <c r="P484" s="351"/>
      <c r="Q484" s="351"/>
      <c r="R484" s="351"/>
      <c r="S484" s="351"/>
      <c r="T484" s="351"/>
      <c r="U484" s="351"/>
      <c r="V484" s="351"/>
      <c r="W484" s="351"/>
      <c r="X484" s="359"/>
      <c r="Y484" s="359"/>
      <c r="Z484" s="359"/>
      <c r="AA484" s="351"/>
      <c r="AB484" s="351"/>
      <c r="AC484" s="359"/>
      <c r="AD484" s="359"/>
      <c r="AE484" s="351"/>
      <c r="AF484" s="333"/>
      <c r="AG484" s="333"/>
      <c r="AH484" s="351"/>
      <c r="AI484" s="351"/>
      <c r="AJ484" s="351"/>
      <c r="AK484" s="351"/>
      <c r="AL484" s="351"/>
      <c r="AM484" s="351"/>
      <c r="AN484" s="351"/>
      <c r="AO484" s="351"/>
      <c r="AP484" s="351"/>
      <c r="AQ484" s="351"/>
      <c r="AR484" s="351"/>
      <c r="AS484" s="351"/>
      <c r="AT484" s="351"/>
      <c r="AU484" s="351"/>
      <c r="AV484" s="351"/>
      <c r="AW484" s="351"/>
      <c r="AX484" s="351"/>
      <c r="AY484" s="351"/>
    </row>
    <row r="485" spans="1:51" ht="13">
      <c r="A485" s="333"/>
      <c r="B485" s="351"/>
      <c r="C485" s="351"/>
      <c r="D485" s="333"/>
      <c r="E485" s="333"/>
      <c r="F485" s="333"/>
      <c r="G485" s="359"/>
      <c r="H485" s="359"/>
      <c r="I485" s="351"/>
      <c r="J485" s="359"/>
      <c r="K485" s="359"/>
      <c r="L485" s="359"/>
      <c r="M485" s="351"/>
      <c r="N485" s="351"/>
      <c r="O485" s="351"/>
      <c r="P485" s="351"/>
      <c r="Q485" s="351"/>
      <c r="R485" s="351"/>
      <c r="S485" s="351"/>
      <c r="T485" s="351"/>
      <c r="U485" s="351"/>
      <c r="V485" s="351"/>
      <c r="W485" s="351"/>
      <c r="X485" s="359"/>
      <c r="Y485" s="359"/>
      <c r="Z485" s="359"/>
      <c r="AA485" s="351"/>
      <c r="AB485" s="351"/>
      <c r="AC485" s="359"/>
      <c r="AD485" s="359"/>
      <c r="AE485" s="351"/>
      <c r="AF485" s="333"/>
      <c r="AG485" s="333"/>
      <c r="AH485" s="351"/>
      <c r="AI485" s="351"/>
      <c r="AJ485" s="351"/>
      <c r="AK485" s="351"/>
      <c r="AL485" s="351"/>
      <c r="AM485" s="351"/>
      <c r="AN485" s="351"/>
      <c r="AO485" s="351"/>
      <c r="AP485" s="351"/>
      <c r="AQ485" s="351"/>
      <c r="AR485" s="351"/>
      <c r="AS485" s="351"/>
      <c r="AT485" s="351"/>
      <c r="AU485" s="351"/>
      <c r="AV485" s="351"/>
      <c r="AW485" s="351"/>
      <c r="AX485" s="351"/>
      <c r="AY485" s="351"/>
    </row>
    <row r="486" spans="1:51" ht="13">
      <c r="A486" s="333"/>
      <c r="B486" s="351"/>
      <c r="C486" s="351"/>
      <c r="D486" s="333"/>
      <c r="E486" s="333"/>
      <c r="F486" s="333"/>
      <c r="G486" s="359"/>
      <c r="H486" s="359"/>
      <c r="I486" s="351"/>
      <c r="J486" s="359"/>
      <c r="K486" s="359"/>
      <c r="L486" s="359"/>
      <c r="M486" s="351"/>
      <c r="N486" s="351"/>
      <c r="O486" s="351"/>
      <c r="P486" s="351"/>
      <c r="Q486" s="351"/>
      <c r="R486" s="351"/>
      <c r="S486" s="351"/>
      <c r="T486" s="351"/>
      <c r="U486" s="351"/>
      <c r="V486" s="351"/>
      <c r="W486" s="351"/>
      <c r="X486" s="359"/>
      <c r="Y486" s="359"/>
      <c r="Z486" s="359"/>
      <c r="AA486" s="351"/>
      <c r="AB486" s="351"/>
      <c r="AC486" s="359"/>
      <c r="AD486" s="359"/>
      <c r="AE486" s="351"/>
      <c r="AF486" s="333"/>
      <c r="AG486" s="333"/>
      <c r="AH486" s="351"/>
      <c r="AI486" s="351"/>
      <c r="AJ486" s="351"/>
      <c r="AK486" s="351"/>
      <c r="AL486" s="351"/>
      <c r="AM486" s="351"/>
      <c r="AN486" s="351"/>
      <c r="AO486" s="351"/>
      <c r="AP486" s="351"/>
      <c r="AQ486" s="351"/>
      <c r="AR486" s="351"/>
      <c r="AS486" s="351"/>
      <c r="AT486" s="351"/>
      <c r="AU486" s="351"/>
      <c r="AV486" s="351"/>
      <c r="AW486" s="351"/>
      <c r="AX486" s="351"/>
      <c r="AY486" s="351"/>
    </row>
    <row r="487" spans="1:51" ht="13">
      <c r="A487" s="333"/>
      <c r="B487" s="351"/>
      <c r="C487" s="351"/>
      <c r="D487" s="333"/>
      <c r="E487" s="333"/>
      <c r="F487" s="333"/>
      <c r="G487" s="359"/>
      <c r="H487" s="359"/>
      <c r="I487" s="351"/>
      <c r="J487" s="359"/>
      <c r="K487" s="359"/>
      <c r="L487" s="359"/>
      <c r="M487" s="351"/>
      <c r="N487" s="351"/>
      <c r="O487" s="351"/>
      <c r="P487" s="351"/>
      <c r="Q487" s="351"/>
      <c r="R487" s="351"/>
      <c r="S487" s="351"/>
      <c r="T487" s="351"/>
      <c r="U487" s="351"/>
      <c r="V487" s="351"/>
      <c r="W487" s="351"/>
      <c r="X487" s="359"/>
      <c r="Y487" s="359"/>
      <c r="Z487" s="359"/>
      <c r="AA487" s="351"/>
      <c r="AB487" s="351"/>
      <c r="AC487" s="359"/>
      <c r="AD487" s="359"/>
      <c r="AE487" s="351"/>
      <c r="AF487" s="333"/>
      <c r="AG487" s="333"/>
      <c r="AH487" s="351"/>
      <c r="AI487" s="351"/>
      <c r="AJ487" s="351"/>
      <c r="AK487" s="351"/>
      <c r="AL487" s="351"/>
      <c r="AM487" s="351"/>
      <c r="AN487" s="351"/>
      <c r="AO487" s="351"/>
      <c r="AP487" s="351"/>
      <c r="AQ487" s="351"/>
      <c r="AR487" s="351"/>
      <c r="AS487" s="351"/>
      <c r="AT487" s="351"/>
      <c r="AU487" s="351"/>
      <c r="AV487" s="351"/>
      <c r="AW487" s="351"/>
      <c r="AX487" s="351"/>
      <c r="AY487" s="351"/>
    </row>
    <row r="488" spans="1:51" ht="13">
      <c r="A488" s="333"/>
      <c r="B488" s="351"/>
      <c r="C488" s="351"/>
      <c r="D488" s="333"/>
      <c r="E488" s="333"/>
      <c r="F488" s="333"/>
      <c r="G488" s="359"/>
      <c r="H488" s="359"/>
      <c r="I488" s="351"/>
      <c r="J488" s="359"/>
      <c r="K488" s="359"/>
      <c r="L488" s="359"/>
      <c r="M488" s="351"/>
      <c r="N488" s="351"/>
      <c r="O488" s="351"/>
      <c r="P488" s="351"/>
      <c r="Q488" s="351"/>
      <c r="R488" s="351"/>
      <c r="S488" s="351"/>
      <c r="T488" s="351"/>
      <c r="U488" s="351"/>
      <c r="V488" s="351"/>
      <c r="W488" s="351"/>
      <c r="X488" s="359"/>
      <c r="Y488" s="359"/>
      <c r="Z488" s="359"/>
      <c r="AA488" s="351"/>
      <c r="AB488" s="351"/>
      <c r="AC488" s="359"/>
      <c r="AD488" s="359"/>
      <c r="AE488" s="351"/>
      <c r="AF488" s="333"/>
      <c r="AG488" s="333"/>
      <c r="AH488" s="351"/>
      <c r="AI488" s="351"/>
      <c r="AJ488" s="351"/>
      <c r="AK488" s="351"/>
      <c r="AL488" s="351"/>
      <c r="AM488" s="351"/>
      <c r="AN488" s="351"/>
      <c r="AO488" s="351"/>
      <c r="AP488" s="351"/>
      <c r="AQ488" s="351"/>
      <c r="AR488" s="351"/>
      <c r="AS488" s="351"/>
      <c r="AT488" s="351"/>
      <c r="AU488" s="351"/>
      <c r="AV488" s="351"/>
      <c r="AW488" s="351"/>
      <c r="AX488" s="351"/>
      <c r="AY488" s="351"/>
    </row>
    <row r="489" spans="1:51" ht="13">
      <c r="A489" s="333"/>
      <c r="B489" s="351"/>
      <c r="C489" s="351"/>
      <c r="D489" s="333"/>
      <c r="E489" s="333"/>
      <c r="F489" s="333"/>
      <c r="G489" s="359"/>
      <c r="H489" s="359"/>
      <c r="I489" s="351"/>
      <c r="J489" s="359"/>
      <c r="K489" s="359"/>
      <c r="L489" s="359"/>
      <c r="M489" s="351"/>
      <c r="N489" s="351"/>
      <c r="O489" s="351"/>
      <c r="P489" s="351"/>
      <c r="Q489" s="351"/>
      <c r="R489" s="351"/>
      <c r="S489" s="351"/>
      <c r="T489" s="351"/>
      <c r="U489" s="351"/>
      <c r="V489" s="351"/>
      <c r="W489" s="351"/>
      <c r="X489" s="359"/>
      <c r="Y489" s="359"/>
      <c r="Z489" s="359"/>
      <c r="AA489" s="351"/>
      <c r="AB489" s="351"/>
      <c r="AC489" s="359"/>
      <c r="AD489" s="359"/>
      <c r="AE489" s="351"/>
      <c r="AF489" s="333"/>
      <c r="AG489" s="333"/>
      <c r="AH489" s="351"/>
      <c r="AI489" s="351"/>
      <c r="AJ489" s="351"/>
      <c r="AK489" s="351"/>
      <c r="AL489" s="351"/>
      <c r="AM489" s="351"/>
      <c r="AN489" s="351"/>
      <c r="AO489" s="351"/>
      <c r="AP489" s="351"/>
      <c r="AQ489" s="351"/>
      <c r="AR489" s="351"/>
      <c r="AS489" s="351"/>
      <c r="AT489" s="351"/>
      <c r="AU489" s="351"/>
      <c r="AV489" s="351"/>
      <c r="AW489" s="351"/>
      <c r="AX489" s="351"/>
      <c r="AY489" s="351"/>
    </row>
    <row r="490" spans="1:51" ht="13">
      <c r="A490" s="333"/>
      <c r="B490" s="351"/>
      <c r="C490" s="351"/>
      <c r="D490" s="333"/>
      <c r="E490" s="333"/>
      <c r="F490" s="333"/>
      <c r="G490" s="359"/>
      <c r="H490" s="359"/>
      <c r="I490" s="351"/>
      <c r="J490" s="359"/>
      <c r="K490" s="359"/>
      <c r="L490" s="359"/>
      <c r="M490" s="351"/>
      <c r="N490" s="351"/>
      <c r="O490" s="351"/>
      <c r="P490" s="351"/>
      <c r="Q490" s="351"/>
      <c r="R490" s="351"/>
      <c r="S490" s="351"/>
      <c r="T490" s="351"/>
      <c r="U490" s="351"/>
      <c r="V490" s="351"/>
      <c r="W490" s="351"/>
      <c r="X490" s="359"/>
      <c r="Y490" s="359"/>
      <c r="Z490" s="359"/>
      <c r="AA490" s="351"/>
      <c r="AB490" s="351"/>
      <c r="AC490" s="359"/>
      <c r="AD490" s="359"/>
      <c r="AE490" s="351"/>
      <c r="AF490" s="333"/>
      <c r="AG490" s="333"/>
      <c r="AH490" s="351"/>
      <c r="AI490" s="351"/>
      <c r="AJ490" s="351"/>
      <c r="AK490" s="351"/>
      <c r="AL490" s="351"/>
      <c r="AM490" s="351"/>
      <c r="AN490" s="351"/>
      <c r="AO490" s="351"/>
      <c r="AP490" s="351"/>
      <c r="AQ490" s="351"/>
      <c r="AR490" s="351"/>
      <c r="AS490" s="351"/>
      <c r="AT490" s="351"/>
      <c r="AU490" s="351"/>
      <c r="AV490" s="351"/>
      <c r="AW490" s="351"/>
      <c r="AX490" s="351"/>
      <c r="AY490" s="351"/>
    </row>
    <row r="491" spans="1:51" ht="13">
      <c r="A491" s="333"/>
      <c r="B491" s="351"/>
      <c r="C491" s="351"/>
      <c r="D491" s="333"/>
      <c r="E491" s="333"/>
      <c r="F491" s="333"/>
      <c r="G491" s="359"/>
      <c r="H491" s="359"/>
      <c r="I491" s="351"/>
      <c r="J491" s="359"/>
      <c r="K491" s="359"/>
      <c r="L491" s="359"/>
      <c r="M491" s="351"/>
      <c r="N491" s="351"/>
      <c r="O491" s="351"/>
      <c r="P491" s="351"/>
      <c r="Q491" s="351"/>
      <c r="R491" s="351"/>
      <c r="S491" s="351"/>
      <c r="T491" s="351"/>
      <c r="U491" s="351"/>
      <c r="V491" s="351"/>
      <c r="W491" s="351"/>
      <c r="X491" s="359"/>
      <c r="Y491" s="359"/>
      <c r="Z491" s="359"/>
      <c r="AA491" s="351"/>
      <c r="AB491" s="351"/>
      <c r="AC491" s="359"/>
      <c r="AD491" s="359"/>
      <c r="AE491" s="351"/>
      <c r="AF491" s="333"/>
      <c r="AG491" s="333"/>
      <c r="AH491" s="351"/>
      <c r="AI491" s="351"/>
      <c r="AJ491" s="351"/>
      <c r="AK491" s="351"/>
      <c r="AL491" s="351"/>
      <c r="AM491" s="351"/>
      <c r="AN491" s="351"/>
      <c r="AO491" s="351"/>
      <c r="AP491" s="351"/>
      <c r="AQ491" s="351"/>
      <c r="AR491" s="351"/>
      <c r="AS491" s="351"/>
      <c r="AT491" s="351"/>
      <c r="AU491" s="351"/>
      <c r="AV491" s="351"/>
      <c r="AW491" s="351"/>
      <c r="AX491" s="351"/>
      <c r="AY491" s="351"/>
    </row>
    <row r="492" spans="1:51" ht="13">
      <c r="A492" s="333"/>
      <c r="B492" s="351"/>
      <c r="C492" s="351"/>
      <c r="D492" s="333"/>
      <c r="E492" s="333"/>
      <c r="F492" s="333"/>
      <c r="G492" s="359"/>
      <c r="H492" s="359"/>
      <c r="I492" s="351"/>
      <c r="J492" s="359"/>
      <c r="K492" s="359"/>
      <c r="L492" s="359"/>
      <c r="M492" s="351"/>
      <c r="N492" s="351"/>
      <c r="O492" s="351"/>
      <c r="P492" s="351"/>
      <c r="Q492" s="351"/>
      <c r="R492" s="351"/>
      <c r="S492" s="351"/>
      <c r="T492" s="351"/>
      <c r="U492" s="351"/>
      <c r="V492" s="351"/>
      <c r="W492" s="351"/>
      <c r="X492" s="359"/>
      <c r="Y492" s="359"/>
      <c r="Z492" s="359"/>
      <c r="AA492" s="351"/>
      <c r="AB492" s="351"/>
      <c r="AC492" s="359"/>
      <c r="AD492" s="359"/>
      <c r="AE492" s="351"/>
      <c r="AF492" s="333"/>
      <c r="AG492" s="333"/>
      <c r="AH492" s="351"/>
      <c r="AI492" s="351"/>
      <c r="AJ492" s="351"/>
      <c r="AK492" s="351"/>
      <c r="AL492" s="351"/>
      <c r="AM492" s="351"/>
      <c r="AN492" s="351"/>
      <c r="AO492" s="351"/>
      <c r="AP492" s="351"/>
      <c r="AQ492" s="351"/>
      <c r="AR492" s="351"/>
      <c r="AS492" s="351"/>
      <c r="AT492" s="351"/>
      <c r="AU492" s="351"/>
      <c r="AV492" s="351"/>
      <c r="AW492" s="351"/>
      <c r="AX492" s="351"/>
      <c r="AY492" s="351"/>
    </row>
    <row r="493" spans="1:51" ht="13">
      <c r="A493" s="333"/>
      <c r="B493" s="351"/>
      <c r="C493" s="351"/>
      <c r="D493" s="333"/>
      <c r="E493" s="333"/>
      <c r="F493" s="333"/>
      <c r="G493" s="359"/>
      <c r="H493" s="359"/>
      <c r="I493" s="351"/>
      <c r="J493" s="359"/>
      <c r="K493" s="359"/>
      <c r="L493" s="359"/>
      <c r="M493" s="351"/>
      <c r="N493" s="351"/>
      <c r="O493" s="351"/>
      <c r="P493" s="351"/>
      <c r="Q493" s="351"/>
      <c r="R493" s="351"/>
      <c r="S493" s="351"/>
      <c r="T493" s="351"/>
      <c r="U493" s="351"/>
      <c r="V493" s="351"/>
      <c r="W493" s="351"/>
      <c r="X493" s="359"/>
      <c r="Y493" s="359"/>
      <c r="Z493" s="359"/>
      <c r="AA493" s="351"/>
      <c r="AB493" s="351"/>
      <c r="AC493" s="359"/>
      <c r="AD493" s="359"/>
      <c r="AE493" s="351"/>
      <c r="AF493" s="333"/>
      <c r="AG493" s="333"/>
      <c r="AH493" s="351"/>
      <c r="AI493" s="351"/>
      <c r="AJ493" s="351"/>
      <c r="AK493" s="351"/>
      <c r="AL493" s="351"/>
      <c r="AM493" s="351"/>
      <c r="AN493" s="351"/>
      <c r="AO493" s="351"/>
      <c r="AP493" s="351"/>
      <c r="AQ493" s="351"/>
      <c r="AR493" s="351"/>
      <c r="AS493" s="351"/>
      <c r="AT493" s="351"/>
      <c r="AU493" s="351"/>
      <c r="AV493" s="351"/>
      <c r="AW493" s="351"/>
      <c r="AX493" s="351"/>
      <c r="AY493" s="351"/>
    </row>
    <row r="494" spans="1:51" ht="13">
      <c r="A494" s="333"/>
      <c r="B494" s="351"/>
      <c r="C494" s="351"/>
      <c r="D494" s="333"/>
      <c r="E494" s="333"/>
      <c r="F494" s="333"/>
      <c r="G494" s="359"/>
      <c r="H494" s="359"/>
      <c r="I494" s="351"/>
      <c r="J494" s="359"/>
      <c r="K494" s="359"/>
      <c r="L494" s="359"/>
      <c r="M494" s="351"/>
      <c r="N494" s="351"/>
      <c r="O494" s="351"/>
      <c r="P494" s="351"/>
      <c r="Q494" s="351"/>
      <c r="R494" s="351"/>
      <c r="S494" s="351"/>
      <c r="T494" s="351"/>
      <c r="U494" s="351"/>
      <c r="V494" s="351"/>
      <c r="W494" s="351"/>
      <c r="X494" s="359"/>
      <c r="Y494" s="359"/>
      <c r="Z494" s="359"/>
      <c r="AA494" s="351"/>
      <c r="AB494" s="351"/>
      <c r="AC494" s="359"/>
      <c r="AD494" s="359"/>
      <c r="AE494" s="351"/>
      <c r="AF494" s="333"/>
      <c r="AG494" s="333"/>
      <c r="AH494" s="351"/>
      <c r="AI494" s="351"/>
      <c r="AJ494" s="351"/>
      <c r="AK494" s="351"/>
      <c r="AL494" s="351"/>
      <c r="AM494" s="351"/>
      <c r="AN494" s="351"/>
      <c r="AO494" s="351"/>
      <c r="AP494" s="351"/>
      <c r="AQ494" s="351"/>
      <c r="AR494" s="351"/>
      <c r="AS494" s="351"/>
      <c r="AT494" s="351"/>
      <c r="AU494" s="351"/>
      <c r="AV494" s="351"/>
      <c r="AW494" s="351"/>
      <c r="AX494" s="351"/>
      <c r="AY494" s="351"/>
    </row>
    <row r="495" spans="1:51" ht="13">
      <c r="A495" s="333"/>
      <c r="B495" s="351"/>
      <c r="C495" s="351"/>
      <c r="D495" s="333"/>
      <c r="E495" s="333"/>
      <c r="F495" s="333"/>
      <c r="G495" s="359"/>
      <c r="H495" s="359"/>
      <c r="I495" s="351"/>
      <c r="J495" s="359"/>
      <c r="K495" s="359"/>
      <c r="L495" s="359"/>
      <c r="M495" s="351"/>
      <c r="N495" s="351"/>
      <c r="O495" s="351"/>
      <c r="P495" s="351"/>
      <c r="Q495" s="351"/>
      <c r="R495" s="351"/>
      <c r="S495" s="351"/>
      <c r="T495" s="351"/>
      <c r="U495" s="351"/>
      <c r="V495" s="351"/>
      <c r="W495" s="351"/>
      <c r="X495" s="359"/>
      <c r="Y495" s="359"/>
      <c r="Z495" s="359"/>
      <c r="AA495" s="351"/>
      <c r="AB495" s="351"/>
      <c r="AC495" s="359"/>
      <c r="AD495" s="359"/>
      <c r="AE495" s="351"/>
      <c r="AF495" s="333"/>
      <c r="AG495" s="333"/>
      <c r="AH495" s="351"/>
      <c r="AI495" s="351"/>
      <c r="AJ495" s="351"/>
      <c r="AK495" s="351"/>
      <c r="AL495" s="351"/>
      <c r="AM495" s="351"/>
      <c r="AN495" s="351"/>
      <c r="AO495" s="351"/>
      <c r="AP495" s="351"/>
      <c r="AQ495" s="351"/>
      <c r="AR495" s="351"/>
      <c r="AS495" s="351"/>
      <c r="AT495" s="351"/>
      <c r="AU495" s="351"/>
      <c r="AV495" s="351"/>
      <c r="AW495" s="351"/>
      <c r="AX495" s="351"/>
      <c r="AY495" s="351"/>
    </row>
    <row r="496" spans="1:51" ht="13">
      <c r="A496" s="333"/>
      <c r="B496" s="351"/>
      <c r="C496" s="351"/>
      <c r="D496" s="333"/>
      <c r="E496" s="333"/>
      <c r="F496" s="333"/>
      <c r="G496" s="359"/>
      <c r="H496" s="359"/>
      <c r="I496" s="351"/>
      <c r="J496" s="359"/>
      <c r="K496" s="359"/>
      <c r="L496" s="359"/>
      <c r="M496" s="351"/>
      <c r="N496" s="351"/>
      <c r="O496" s="351"/>
      <c r="P496" s="351"/>
      <c r="Q496" s="351"/>
      <c r="R496" s="351"/>
      <c r="S496" s="351"/>
      <c r="T496" s="351"/>
      <c r="U496" s="351"/>
      <c r="V496" s="351"/>
      <c r="W496" s="351"/>
      <c r="X496" s="359"/>
      <c r="Y496" s="359"/>
      <c r="Z496" s="359"/>
      <c r="AA496" s="351"/>
      <c r="AB496" s="351"/>
      <c r="AC496" s="359"/>
      <c r="AD496" s="359"/>
      <c r="AE496" s="351"/>
      <c r="AF496" s="333"/>
      <c r="AG496" s="333"/>
      <c r="AH496" s="351"/>
      <c r="AI496" s="351"/>
      <c r="AJ496" s="351"/>
      <c r="AK496" s="351"/>
      <c r="AL496" s="351"/>
      <c r="AM496" s="351"/>
      <c r="AN496" s="351"/>
      <c r="AO496" s="351"/>
      <c r="AP496" s="351"/>
      <c r="AQ496" s="351"/>
      <c r="AR496" s="351"/>
      <c r="AS496" s="351"/>
      <c r="AT496" s="351"/>
      <c r="AU496" s="351"/>
      <c r="AV496" s="351"/>
      <c r="AW496" s="351"/>
      <c r="AX496" s="351"/>
      <c r="AY496" s="351"/>
    </row>
    <row r="497" spans="1:51" ht="13">
      <c r="A497" s="333"/>
      <c r="B497" s="351"/>
      <c r="C497" s="351"/>
      <c r="D497" s="333"/>
      <c r="E497" s="333"/>
      <c r="F497" s="333"/>
      <c r="G497" s="359"/>
      <c r="H497" s="359"/>
      <c r="I497" s="351"/>
      <c r="J497" s="359"/>
      <c r="K497" s="359"/>
      <c r="L497" s="359"/>
      <c r="M497" s="351"/>
      <c r="N497" s="351"/>
      <c r="O497" s="351"/>
      <c r="P497" s="351"/>
      <c r="Q497" s="351"/>
      <c r="R497" s="351"/>
      <c r="S497" s="351"/>
      <c r="T497" s="351"/>
      <c r="U497" s="351"/>
      <c r="V497" s="351"/>
      <c r="W497" s="351"/>
      <c r="X497" s="359"/>
      <c r="Y497" s="359"/>
      <c r="Z497" s="359"/>
      <c r="AA497" s="351"/>
      <c r="AB497" s="351"/>
      <c r="AC497" s="359"/>
      <c r="AD497" s="359"/>
      <c r="AE497" s="351"/>
      <c r="AF497" s="333"/>
      <c r="AG497" s="333"/>
      <c r="AH497" s="351"/>
      <c r="AI497" s="351"/>
      <c r="AJ497" s="351"/>
      <c r="AK497" s="351"/>
      <c r="AL497" s="351"/>
      <c r="AM497" s="351"/>
      <c r="AN497" s="351"/>
      <c r="AO497" s="351"/>
      <c r="AP497" s="351"/>
      <c r="AQ497" s="351"/>
      <c r="AR497" s="351"/>
      <c r="AS497" s="351"/>
      <c r="AT497" s="351"/>
      <c r="AU497" s="351"/>
      <c r="AV497" s="351"/>
      <c r="AW497" s="351"/>
      <c r="AX497" s="351"/>
      <c r="AY497" s="351"/>
    </row>
    <row r="498" spans="1:51" ht="13">
      <c r="A498" s="333"/>
      <c r="B498" s="351"/>
      <c r="C498" s="351"/>
      <c r="D498" s="333"/>
      <c r="E498" s="333"/>
      <c r="F498" s="333"/>
      <c r="G498" s="359"/>
      <c r="H498" s="359"/>
      <c r="I498" s="351"/>
      <c r="J498" s="359"/>
      <c r="K498" s="359"/>
      <c r="L498" s="359"/>
      <c r="M498" s="351"/>
      <c r="N498" s="351"/>
      <c r="O498" s="351"/>
      <c r="P498" s="351"/>
      <c r="Q498" s="351"/>
      <c r="R498" s="351"/>
      <c r="S498" s="351"/>
      <c r="T498" s="351"/>
      <c r="U498" s="351"/>
      <c r="V498" s="351"/>
      <c r="W498" s="351"/>
      <c r="X498" s="359"/>
      <c r="Y498" s="359"/>
      <c r="Z498" s="359"/>
      <c r="AA498" s="351"/>
      <c r="AB498" s="351"/>
      <c r="AC498" s="359"/>
      <c r="AD498" s="359"/>
      <c r="AE498" s="351"/>
      <c r="AF498" s="333"/>
      <c r="AG498" s="333"/>
      <c r="AH498" s="351"/>
      <c r="AI498" s="351"/>
      <c r="AJ498" s="351"/>
      <c r="AK498" s="351"/>
      <c r="AL498" s="351"/>
      <c r="AM498" s="351"/>
      <c r="AN498" s="351"/>
      <c r="AO498" s="351"/>
      <c r="AP498" s="351"/>
      <c r="AQ498" s="351"/>
      <c r="AR498" s="351"/>
      <c r="AS498" s="351"/>
      <c r="AT498" s="351"/>
      <c r="AU498" s="351"/>
      <c r="AV498" s="351"/>
      <c r="AW498" s="351"/>
      <c r="AX498" s="351"/>
      <c r="AY498" s="351"/>
    </row>
    <row r="499" spans="1:51" ht="13">
      <c r="A499" s="333"/>
      <c r="B499" s="351"/>
      <c r="C499" s="351"/>
      <c r="D499" s="333"/>
      <c r="E499" s="333"/>
      <c r="F499" s="333"/>
      <c r="G499" s="359"/>
      <c r="H499" s="359"/>
      <c r="I499" s="351"/>
      <c r="J499" s="359"/>
      <c r="K499" s="359"/>
      <c r="L499" s="359"/>
      <c r="M499" s="351"/>
      <c r="N499" s="351"/>
      <c r="O499" s="351"/>
      <c r="P499" s="351"/>
      <c r="Q499" s="351"/>
      <c r="R499" s="351"/>
      <c r="S499" s="351"/>
      <c r="T499" s="351"/>
      <c r="U499" s="351"/>
      <c r="V499" s="351"/>
      <c r="W499" s="351"/>
      <c r="X499" s="359"/>
      <c r="Y499" s="359"/>
      <c r="Z499" s="359"/>
      <c r="AA499" s="351"/>
      <c r="AB499" s="351"/>
      <c r="AC499" s="359"/>
      <c r="AD499" s="359"/>
      <c r="AE499" s="351"/>
      <c r="AF499" s="333"/>
      <c r="AG499" s="333"/>
      <c r="AH499" s="351"/>
      <c r="AI499" s="351"/>
      <c r="AJ499" s="351"/>
      <c r="AK499" s="351"/>
      <c r="AL499" s="351"/>
      <c r="AM499" s="351"/>
      <c r="AN499" s="351"/>
      <c r="AO499" s="351"/>
      <c r="AP499" s="351"/>
      <c r="AQ499" s="351"/>
      <c r="AR499" s="351"/>
      <c r="AS499" s="351"/>
      <c r="AT499" s="351"/>
      <c r="AU499" s="351"/>
      <c r="AV499" s="351"/>
      <c r="AW499" s="351"/>
      <c r="AX499" s="351"/>
      <c r="AY499" s="351"/>
    </row>
    <row r="500" spans="1:51" ht="13">
      <c r="A500" s="333"/>
      <c r="B500" s="351"/>
      <c r="C500" s="351"/>
      <c r="D500" s="333"/>
      <c r="E500" s="333"/>
      <c r="F500" s="333"/>
      <c r="G500" s="359"/>
      <c r="H500" s="359"/>
      <c r="I500" s="351"/>
      <c r="J500" s="359"/>
      <c r="K500" s="359"/>
      <c r="L500" s="359"/>
      <c r="M500" s="351"/>
      <c r="N500" s="351"/>
      <c r="O500" s="351"/>
      <c r="P500" s="351"/>
      <c r="Q500" s="351"/>
      <c r="R500" s="351"/>
      <c r="S500" s="351"/>
      <c r="T500" s="351"/>
      <c r="U500" s="351"/>
      <c r="V500" s="351"/>
      <c r="W500" s="351"/>
      <c r="X500" s="359"/>
      <c r="Y500" s="359"/>
      <c r="Z500" s="359"/>
      <c r="AA500" s="351"/>
      <c r="AB500" s="351"/>
      <c r="AC500" s="359"/>
      <c r="AD500" s="359"/>
      <c r="AE500" s="351"/>
      <c r="AF500" s="333"/>
      <c r="AG500" s="333"/>
      <c r="AH500" s="351"/>
      <c r="AI500" s="351"/>
      <c r="AJ500" s="351"/>
      <c r="AK500" s="351"/>
      <c r="AL500" s="351"/>
      <c r="AM500" s="351"/>
      <c r="AN500" s="351"/>
      <c r="AO500" s="351"/>
      <c r="AP500" s="351"/>
      <c r="AQ500" s="351"/>
      <c r="AR500" s="351"/>
      <c r="AS500" s="351"/>
      <c r="AT500" s="351"/>
      <c r="AU500" s="351"/>
      <c r="AV500" s="351"/>
      <c r="AW500" s="351"/>
      <c r="AX500" s="351"/>
      <c r="AY500" s="351"/>
    </row>
    <row r="501" spans="1:51" ht="13">
      <c r="A501" s="333"/>
      <c r="B501" s="351"/>
      <c r="C501" s="351"/>
      <c r="D501" s="333"/>
      <c r="E501" s="333"/>
      <c r="F501" s="333"/>
      <c r="G501" s="359"/>
      <c r="H501" s="359"/>
      <c r="I501" s="351"/>
      <c r="J501" s="359"/>
      <c r="K501" s="359"/>
      <c r="L501" s="359"/>
      <c r="M501" s="351"/>
      <c r="N501" s="351"/>
      <c r="O501" s="351"/>
      <c r="P501" s="351"/>
      <c r="Q501" s="351"/>
      <c r="R501" s="351"/>
      <c r="S501" s="351"/>
      <c r="T501" s="351"/>
      <c r="U501" s="351"/>
      <c r="V501" s="351"/>
      <c r="W501" s="351"/>
      <c r="X501" s="359"/>
      <c r="Y501" s="359"/>
      <c r="Z501" s="359"/>
      <c r="AA501" s="351"/>
      <c r="AB501" s="351"/>
      <c r="AC501" s="359"/>
      <c r="AD501" s="359"/>
      <c r="AE501" s="351"/>
      <c r="AF501" s="333"/>
      <c r="AG501" s="333"/>
      <c r="AH501" s="351"/>
      <c r="AI501" s="351"/>
      <c r="AJ501" s="351"/>
      <c r="AK501" s="351"/>
      <c r="AL501" s="351"/>
      <c r="AM501" s="351"/>
      <c r="AN501" s="351"/>
      <c r="AO501" s="351"/>
      <c r="AP501" s="351"/>
      <c r="AQ501" s="351"/>
      <c r="AR501" s="351"/>
      <c r="AS501" s="351"/>
      <c r="AT501" s="351"/>
      <c r="AU501" s="351"/>
      <c r="AV501" s="351"/>
      <c r="AW501" s="351"/>
      <c r="AX501" s="351"/>
      <c r="AY501" s="351"/>
    </row>
    <row r="502" spans="1:51" ht="13">
      <c r="A502" s="333"/>
      <c r="B502" s="351"/>
      <c r="C502" s="351"/>
      <c r="D502" s="333"/>
      <c r="E502" s="333"/>
      <c r="F502" s="333"/>
      <c r="G502" s="359"/>
      <c r="H502" s="359"/>
      <c r="I502" s="351"/>
      <c r="J502" s="359"/>
      <c r="K502" s="359"/>
      <c r="L502" s="359"/>
      <c r="M502" s="351"/>
      <c r="N502" s="351"/>
      <c r="O502" s="351"/>
      <c r="P502" s="351"/>
      <c r="Q502" s="351"/>
      <c r="R502" s="351"/>
      <c r="S502" s="351"/>
      <c r="T502" s="351"/>
      <c r="U502" s="351"/>
      <c r="V502" s="351"/>
      <c r="W502" s="351"/>
      <c r="X502" s="359"/>
      <c r="Y502" s="359"/>
      <c r="Z502" s="359"/>
      <c r="AA502" s="351"/>
      <c r="AB502" s="351"/>
      <c r="AC502" s="359"/>
      <c r="AD502" s="359"/>
      <c r="AE502" s="351"/>
      <c r="AF502" s="333"/>
      <c r="AG502" s="333"/>
      <c r="AH502" s="351"/>
      <c r="AI502" s="351"/>
      <c r="AJ502" s="351"/>
      <c r="AK502" s="351"/>
      <c r="AL502" s="351"/>
      <c r="AM502" s="351"/>
      <c r="AN502" s="351"/>
      <c r="AO502" s="351"/>
      <c r="AP502" s="351"/>
      <c r="AQ502" s="351"/>
      <c r="AR502" s="351"/>
      <c r="AS502" s="351"/>
      <c r="AT502" s="351"/>
      <c r="AU502" s="351"/>
      <c r="AV502" s="351"/>
      <c r="AW502" s="351"/>
      <c r="AX502" s="351"/>
      <c r="AY502" s="351"/>
    </row>
    <row r="503" spans="1:51" ht="13">
      <c r="A503" s="333"/>
      <c r="B503" s="351"/>
      <c r="C503" s="351"/>
      <c r="D503" s="333"/>
      <c r="E503" s="333"/>
      <c r="F503" s="333"/>
      <c r="G503" s="359"/>
      <c r="H503" s="359"/>
      <c r="I503" s="351"/>
      <c r="J503" s="359"/>
      <c r="K503" s="359"/>
      <c r="L503" s="359"/>
      <c r="M503" s="351"/>
      <c r="N503" s="351"/>
      <c r="O503" s="351"/>
      <c r="P503" s="351"/>
      <c r="Q503" s="351"/>
      <c r="R503" s="351"/>
      <c r="S503" s="351"/>
      <c r="T503" s="351"/>
      <c r="U503" s="351"/>
      <c r="V503" s="351"/>
      <c r="W503" s="351"/>
      <c r="X503" s="359"/>
      <c r="Y503" s="359"/>
      <c r="Z503" s="359"/>
      <c r="AA503" s="351"/>
      <c r="AB503" s="351"/>
      <c r="AC503" s="359"/>
      <c r="AD503" s="359"/>
      <c r="AE503" s="351"/>
      <c r="AF503" s="333"/>
      <c r="AG503" s="333"/>
      <c r="AH503" s="351"/>
      <c r="AI503" s="351"/>
      <c r="AJ503" s="351"/>
      <c r="AK503" s="351"/>
      <c r="AL503" s="351"/>
      <c r="AM503" s="351"/>
      <c r="AN503" s="351"/>
      <c r="AO503" s="351"/>
      <c r="AP503" s="351"/>
      <c r="AQ503" s="351"/>
      <c r="AR503" s="351"/>
      <c r="AS503" s="351"/>
      <c r="AT503" s="351"/>
      <c r="AU503" s="351"/>
      <c r="AV503" s="351"/>
      <c r="AW503" s="351"/>
      <c r="AX503" s="351"/>
      <c r="AY503" s="351"/>
    </row>
    <row r="504" spans="1:51" ht="13">
      <c r="A504" s="333"/>
      <c r="B504" s="351"/>
      <c r="C504" s="351"/>
      <c r="D504" s="333"/>
      <c r="E504" s="333"/>
      <c r="F504" s="333"/>
      <c r="G504" s="359"/>
      <c r="H504" s="359"/>
      <c r="I504" s="351"/>
      <c r="J504" s="359"/>
      <c r="K504" s="359"/>
      <c r="L504" s="359"/>
      <c r="M504" s="351"/>
      <c r="N504" s="351"/>
      <c r="O504" s="351"/>
      <c r="P504" s="351"/>
      <c r="Q504" s="351"/>
      <c r="R504" s="351"/>
      <c r="S504" s="351"/>
      <c r="T504" s="351"/>
      <c r="U504" s="351"/>
      <c r="V504" s="351"/>
      <c r="W504" s="351"/>
      <c r="X504" s="359"/>
      <c r="Y504" s="359"/>
      <c r="Z504" s="359"/>
      <c r="AA504" s="351"/>
      <c r="AB504" s="351"/>
      <c r="AC504" s="359"/>
      <c r="AD504" s="359"/>
      <c r="AE504" s="351"/>
      <c r="AF504" s="333"/>
      <c r="AG504" s="333"/>
      <c r="AH504" s="351"/>
      <c r="AI504" s="351"/>
      <c r="AJ504" s="351"/>
      <c r="AK504" s="351"/>
      <c r="AL504" s="351"/>
      <c r="AM504" s="351"/>
      <c r="AN504" s="351"/>
      <c r="AO504" s="351"/>
      <c r="AP504" s="351"/>
      <c r="AQ504" s="351"/>
      <c r="AR504" s="351"/>
      <c r="AS504" s="351"/>
      <c r="AT504" s="351"/>
      <c r="AU504" s="351"/>
      <c r="AV504" s="351"/>
      <c r="AW504" s="351"/>
      <c r="AX504" s="351"/>
      <c r="AY504" s="351"/>
    </row>
    <row r="505" spans="1:51" ht="13">
      <c r="A505" s="333"/>
      <c r="B505" s="351"/>
      <c r="C505" s="351"/>
      <c r="D505" s="333"/>
      <c r="E505" s="333"/>
      <c r="F505" s="333"/>
      <c r="G505" s="359"/>
      <c r="H505" s="359"/>
      <c r="I505" s="351"/>
      <c r="J505" s="359"/>
      <c r="K505" s="359"/>
      <c r="L505" s="359"/>
      <c r="M505" s="351"/>
      <c r="N505" s="351"/>
      <c r="O505" s="351"/>
      <c r="P505" s="351"/>
      <c r="Q505" s="351"/>
      <c r="R505" s="351"/>
      <c r="S505" s="351"/>
      <c r="T505" s="351"/>
      <c r="U505" s="351"/>
      <c r="V505" s="351"/>
      <c r="W505" s="351"/>
      <c r="X505" s="359"/>
      <c r="Y505" s="359"/>
      <c r="Z505" s="359"/>
      <c r="AA505" s="351"/>
      <c r="AB505" s="351"/>
      <c r="AC505" s="359"/>
      <c r="AD505" s="359"/>
      <c r="AE505" s="351"/>
      <c r="AF505" s="333"/>
      <c r="AG505" s="333"/>
      <c r="AH505" s="351"/>
      <c r="AI505" s="351"/>
      <c r="AJ505" s="351"/>
      <c r="AK505" s="351"/>
      <c r="AL505" s="351"/>
      <c r="AM505" s="351"/>
      <c r="AN505" s="351"/>
      <c r="AO505" s="351"/>
      <c r="AP505" s="351"/>
      <c r="AQ505" s="351"/>
      <c r="AR505" s="351"/>
      <c r="AS505" s="351"/>
      <c r="AT505" s="351"/>
      <c r="AU505" s="351"/>
      <c r="AV505" s="351"/>
      <c r="AW505" s="351"/>
      <c r="AX505" s="351"/>
      <c r="AY505" s="351"/>
    </row>
    <row r="506" spans="1:51" ht="13">
      <c r="A506" s="333"/>
      <c r="B506" s="351"/>
      <c r="C506" s="351"/>
      <c r="D506" s="333"/>
      <c r="E506" s="333"/>
      <c r="F506" s="333"/>
      <c r="G506" s="359"/>
      <c r="H506" s="359"/>
      <c r="I506" s="351"/>
      <c r="J506" s="359"/>
      <c r="K506" s="359"/>
      <c r="L506" s="359"/>
      <c r="M506" s="351"/>
      <c r="N506" s="351"/>
      <c r="O506" s="351"/>
      <c r="P506" s="351"/>
      <c r="Q506" s="351"/>
      <c r="R506" s="351"/>
      <c r="S506" s="351"/>
      <c r="T506" s="351"/>
      <c r="U506" s="351"/>
      <c r="V506" s="351"/>
      <c r="W506" s="351"/>
      <c r="X506" s="359"/>
      <c r="Y506" s="359"/>
      <c r="Z506" s="359"/>
      <c r="AA506" s="351"/>
      <c r="AB506" s="351"/>
      <c r="AC506" s="359"/>
      <c r="AD506" s="359"/>
      <c r="AE506" s="351"/>
      <c r="AF506" s="333"/>
      <c r="AG506" s="333"/>
      <c r="AH506" s="351"/>
      <c r="AI506" s="351"/>
      <c r="AJ506" s="351"/>
      <c r="AK506" s="351"/>
      <c r="AL506" s="351"/>
      <c r="AM506" s="351"/>
      <c r="AN506" s="351"/>
      <c r="AO506" s="351"/>
      <c r="AP506" s="351"/>
      <c r="AQ506" s="351"/>
      <c r="AR506" s="351"/>
      <c r="AS506" s="351"/>
      <c r="AT506" s="351"/>
      <c r="AU506" s="351"/>
      <c r="AV506" s="351"/>
      <c r="AW506" s="351"/>
      <c r="AX506" s="351"/>
      <c r="AY506" s="351"/>
    </row>
    <row r="507" spans="1:51" ht="13">
      <c r="A507" s="333"/>
      <c r="B507" s="351"/>
      <c r="C507" s="351"/>
      <c r="D507" s="333"/>
      <c r="E507" s="333"/>
      <c r="F507" s="333"/>
      <c r="G507" s="359"/>
      <c r="H507" s="359"/>
      <c r="I507" s="351"/>
      <c r="J507" s="359"/>
      <c r="K507" s="359"/>
      <c r="L507" s="359"/>
      <c r="M507" s="351"/>
      <c r="N507" s="351"/>
      <c r="O507" s="351"/>
      <c r="P507" s="351"/>
      <c r="Q507" s="351"/>
      <c r="R507" s="351"/>
      <c r="S507" s="351"/>
      <c r="T507" s="351"/>
      <c r="U507" s="351"/>
      <c r="V507" s="351"/>
      <c r="W507" s="351"/>
      <c r="X507" s="359"/>
      <c r="Y507" s="359"/>
      <c r="Z507" s="359"/>
      <c r="AA507" s="351"/>
      <c r="AB507" s="351"/>
      <c r="AC507" s="359"/>
      <c r="AD507" s="359"/>
      <c r="AE507" s="351"/>
      <c r="AF507" s="333"/>
      <c r="AG507" s="333"/>
      <c r="AH507" s="351"/>
      <c r="AI507" s="351"/>
      <c r="AJ507" s="351"/>
      <c r="AK507" s="351"/>
      <c r="AL507" s="351"/>
      <c r="AM507" s="351"/>
      <c r="AN507" s="351"/>
      <c r="AO507" s="351"/>
      <c r="AP507" s="351"/>
      <c r="AQ507" s="351"/>
      <c r="AR507" s="351"/>
      <c r="AS507" s="351"/>
      <c r="AT507" s="351"/>
      <c r="AU507" s="351"/>
      <c r="AV507" s="351"/>
      <c r="AW507" s="351"/>
      <c r="AX507" s="351"/>
      <c r="AY507" s="351"/>
    </row>
    <row r="508" spans="1:51" ht="13">
      <c r="A508" s="333"/>
      <c r="B508" s="351"/>
      <c r="C508" s="351"/>
      <c r="D508" s="333"/>
      <c r="E508" s="333"/>
      <c r="F508" s="333"/>
      <c r="G508" s="359"/>
      <c r="H508" s="359"/>
      <c r="I508" s="351"/>
      <c r="J508" s="359"/>
      <c r="K508" s="359"/>
      <c r="L508" s="359"/>
      <c r="M508" s="351"/>
      <c r="N508" s="351"/>
      <c r="O508" s="351"/>
      <c r="P508" s="351"/>
      <c r="Q508" s="351"/>
      <c r="R508" s="351"/>
      <c r="S508" s="351"/>
      <c r="T508" s="351"/>
      <c r="U508" s="351"/>
      <c r="V508" s="351"/>
      <c r="W508" s="351"/>
      <c r="X508" s="359"/>
      <c r="Y508" s="359"/>
      <c r="Z508" s="359"/>
      <c r="AA508" s="351"/>
      <c r="AB508" s="351"/>
      <c r="AC508" s="359"/>
      <c r="AD508" s="359"/>
      <c r="AE508" s="351"/>
      <c r="AF508" s="333"/>
      <c r="AG508" s="333"/>
      <c r="AH508" s="351"/>
      <c r="AI508" s="351"/>
      <c r="AJ508" s="351"/>
      <c r="AK508" s="351"/>
      <c r="AL508" s="351"/>
      <c r="AM508" s="351"/>
      <c r="AN508" s="351"/>
      <c r="AO508" s="351"/>
      <c r="AP508" s="351"/>
      <c r="AQ508" s="351"/>
      <c r="AR508" s="351"/>
      <c r="AS508" s="351"/>
      <c r="AT508" s="351"/>
      <c r="AU508" s="351"/>
      <c r="AV508" s="351"/>
      <c r="AW508" s="351"/>
      <c r="AX508" s="351"/>
      <c r="AY508" s="351"/>
    </row>
    <row r="509" spans="1:51" ht="13">
      <c r="A509" s="333"/>
      <c r="B509" s="351"/>
      <c r="C509" s="351"/>
      <c r="D509" s="333"/>
      <c r="E509" s="333"/>
      <c r="F509" s="333"/>
      <c r="G509" s="359"/>
      <c r="H509" s="359"/>
      <c r="I509" s="351"/>
      <c r="J509" s="359"/>
      <c r="K509" s="359"/>
      <c r="L509" s="359"/>
      <c r="M509" s="351"/>
      <c r="N509" s="351"/>
      <c r="O509" s="351"/>
      <c r="P509" s="351"/>
      <c r="Q509" s="351"/>
      <c r="R509" s="351"/>
      <c r="S509" s="351"/>
      <c r="T509" s="351"/>
      <c r="U509" s="351"/>
      <c r="V509" s="351"/>
      <c r="W509" s="351"/>
      <c r="X509" s="359"/>
      <c r="Y509" s="359"/>
      <c r="Z509" s="359"/>
      <c r="AA509" s="351"/>
      <c r="AB509" s="351"/>
      <c r="AC509" s="359"/>
      <c r="AD509" s="359"/>
      <c r="AE509" s="351"/>
      <c r="AF509" s="333"/>
      <c r="AG509" s="333"/>
      <c r="AH509" s="351"/>
      <c r="AI509" s="351"/>
      <c r="AJ509" s="351"/>
      <c r="AK509" s="351"/>
      <c r="AL509" s="351"/>
      <c r="AM509" s="351"/>
      <c r="AN509" s="351"/>
      <c r="AO509" s="351"/>
      <c r="AP509" s="351"/>
      <c r="AQ509" s="351"/>
      <c r="AR509" s="351"/>
      <c r="AS509" s="351"/>
      <c r="AT509" s="351"/>
      <c r="AU509" s="351"/>
      <c r="AV509" s="351"/>
      <c r="AW509" s="351"/>
      <c r="AX509" s="351"/>
      <c r="AY509" s="351"/>
    </row>
    <row r="510" spans="1:51" ht="13">
      <c r="A510" s="333"/>
      <c r="B510" s="351"/>
      <c r="C510" s="351"/>
      <c r="D510" s="333"/>
      <c r="E510" s="333"/>
      <c r="F510" s="333"/>
      <c r="G510" s="359"/>
      <c r="H510" s="359"/>
      <c r="I510" s="351"/>
      <c r="J510" s="359"/>
      <c r="K510" s="359"/>
      <c r="L510" s="359"/>
      <c r="M510" s="351"/>
      <c r="N510" s="351"/>
      <c r="O510" s="351"/>
      <c r="P510" s="351"/>
      <c r="Q510" s="351"/>
      <c r="R510" s="351"/>
      <c r="S510" s="351"/>
      <c r="T510" s="351"/>
      <c r="U510" s="351"/>
      <c r="V510" s="351"/>
      <c r="W510" s="351"/>
      <c r="X510" s="359"/>
      <c r="Y510" s="359"/>
      <c r="Z510" s="359"/>
      <c r="AA510" s="351"/>
      <c r="AB510" s="351"/>
      <c r="AC510" s="359"/>
      <c r="AD510" s="359"/>
      <c r="AE510" s="351"/>
      <c r="AF510" s="333"/>
      <c r="AG510" s="333"/>
      <c r="AH510" s="351"/>
      <c r="AI510" s="351"/>
      <c r="AJ510" s="351"/>
      <c r="AK510" s="351"/>
      <c r="AL510" s="351"/>
      <c r="AM510" s="351"/>
      <c r="AN510" s="351"/>
      <c r="AO510" s="351"/>
      <c r="AP510" s="351"/>
      <c r="AQ510" s="351"/>
      <c r="AR510" s="351"/>
      <c r="AS510" s="351"/>
      <c r="AT510" s="351"/>
      <c r="AU510" s="351"/>
      <c r="AV510" s="351"/>
      <c r="AW510" s="351"/>
      <c r="AX510" s="351"/>
      <c r="AY510" s="351"/>
    </row>
    <row r="511" spans="1:51" ht="13">
      <c r="A511" s="333"/>
      <c r="B511" s="351"/>
      <c r="C511" s="351"/>
      <c r="D511" s="333"/>
      <c r="E511" s="333"/>
      <c r="F511" s="333"/>
      <c r="G511" s="359"/>
      <c r="H511" s="359"/>
      <c r="I511" s="351"/>
      <c r="J511" s="359"/>
      <c r="K511" s="359"/>
      <c r="L511" s="359"/>
      <c r="M511" s="351"/>
      <c r="N511" s="351"/>
      <c r="O511" s="351"/>
      <c r="P511" s="351"/>
      <c r="Q511" s="351"/>
      <c r="R511" s="351"/>
      <c r="S511" s="351"/>
      <c r="T511" s="351"/>
      <c r="U511" s="351"/>
      <c r="V511" s="351"/>
      <c r="W511" s="351"/>
      <c r="X511" s="359"/>
      <c r="Y511" s="359"/>
      <c r="Z511" s="359"/>
      <c r="AA511" s="351"/>
      <c r="AB511" s="351"/>
      <c r="AC511" s="359"/>
      <c r="AD511" s="359"/>
      <c r="AE511" s="351"/>
      <c r="AF511" s="333"/>
      <c r="AG511" s="333"/>
      <c r="AH511" s="351"/>
      <c r="AI511" s="351"/>
      <c r="AJ511" s="351"/>
      <c r="AK511" s="351"/>
      <c r="AL511" s="351"/>
      <c r="AM511" s="351"/>
      <c r="AN511" s="351"/>
      <c r="AO511" s="351"/>
      <c r="AP511" s="351"/>
      <c r="AQ511" s="351"/>
      <c r="AR511" s="351"/>
      <c r="AS511" s="351"/>
      <c r="AT511" s="351"/>
      <c r="AU511" s="351"/>
      <c r="AV511" s="351"/>
      <c r="AW511" s="351"/>
      <c r="AX511" s="351"/>
      <c r="AY511" s="351"/>
    </row>
    <row r="512" spans="1:51" ht="13">
      <c r="A512" s="333"/>
      <c r="B512" s="351"/>
      <c r="C512" s="351"/>
      <c r="D512" s="333"/>
      <c r="E512" s="333"/>
      <c r="F512" s="333"/>
      <c r="G512" s="359"/>
      <c r="H512" s="359"/>
      <c r="I512" s="351"/>
      <c r="J512" s="359"/>
      <c r="K512" s="359"/>
      <c r="L512" s="359"/>
      <c r="M512" s="351"/>
      <c r="N512" s="351"/>
      <c r="O512" s="351"/>
      <c r="P512" s="351"/>
      <c r="Q512" s="351"/>
      <c r="R512" s="351"/>
      <c r="S512" s="351"/>
      <c r="T512" s="351"/>
      <c r="U512" s="351"/>
      <c r="V512" s="351"/>
      <c r="W512" s="351"/>
      <c r="X512" s="359"/>
      <c r="Y512" s="359"/>
      <c r="Z512" s="359"/>
      <c r="AA512" s="351"/>
      <c r="AB512" s="351"/>
      <c r="AC512" s="359"/>
      <c r="AD512" s="359"/>
      <c r="AE512" s="351"/>
      <c r="AF512" s="333"/>
      <c r="AG512" s="333"/>
      <c r="AH512" s="351"/>
      <c r="AI512" s="351"/>
      <c r="AJ512" s="351"/>
      <c r="AK512" s="351"/>
      <c r="AL512" s="351"/>
      <c r="AM512" s="351"/>
      <c r="AN512" s="351"/>
      <c r="AO512" s="351"/>
      <c r="AP512" s="351"/>
      <c r="AQ512" s="351"/>
      <c r="AR512" s="351"/>
      <c r="AS512" s="351"/>
      <c r="AT512" s="351"/>
      <c r="AU512" s="351"/>
      <c r="AV512" s="351"/>
      <c r="AW512" s="351"/>
      <c r="AX512" s="351"/>
      <c r="AY512" s="351"/>
    </row>
    <row r="513" spans="1:51" ht="13">
      <c r="A513" s="333"/>
      <c r="B513" s="351"/>
      <c r="C513" s="351"/>
      <c r="D513" s="333"/>
      <c r="E513" s="333"/>
      <c r="F513" s="333"/>
      <c r="G513" s="359"/>
      <c r="H513" s="359"/>
      <c r="I513" s="351"/>
      <c r="J513" s="359"/>
      <c r="K513" s="359"/>
      <c r="L513" s="359"/>
      <c r="M513" s="351"/>
      <c r="N513" s="351"/>
      <c r="O513" s="351"/>
      <c r="P513" s="351"/>
      <c r="Q513" s="351"/>
      <c r="R513" s="351"/>
      <c r="S513" s="351"/>
      <c r="T513" s="351"/>
      <c r="U513" s="351"/>
      <c r="V513" s="351"/>
      <c r="W513" s="351"/>
      <c r="X513" s="359"/>
      <c r="Y513" s="359"/>
      <c r="Z513" s="359"/>
      <c r="AA513" s="351"/>
      <c r="AB513" s="351"/>
      <c r="AC513" s="359"/>
      <c r="AD513" s="359"/>
      <c r="AE513" s="351"/>
      <c r="AF513" s="333"/>
      <c r="AG513" s="333"/>
      <c r="AH513" s="351"/>
      <c r="AI513" s="351"/>
      <c r="AJ513" s="351"/>
      <c r="AK513" s="351"/>
      <c r="AL513" s="351"/>
      <c r="AM513" s="351"/>
      <c r="AN513" s="351"/>
      <c r="AO513" s="351"/>
      <c r="AP513" s="351"/>
      <c r="AQ513" s="351"/>
      <c r="AR513" s="351"/>
      <c r="AS513" s="351"/>
      <c r="AT513" s="351"/>
      <c r="AU513" s="351"/>
      <c r="AV513" s="351"/>
      <c r="AW513" s="351"/>
      <c r="AX513" s="351"/>
      <c r="AY513" s="351"/>
    </row>
    <row r="514" spans="1:51" ht="13">
      <c r="A514" s="333"/>
      <c r="B514" s="351"/>
      <c r="C514" s="351"/>
      <c r="D514" s="333"/>
      <c r="E514" s="333"/>
      <c r="F514" s="333"/>
      <c r="G514" s="359"/>
      <c r="H514" s="359"/>
      <c r="I514" s="351"/>
      <c r="J514" s="359"/>
      <c r="K514" s="359"/>
      <c r="L514" s="359"/>
      <c r="M514" s="351"/>
      <c r="N514" s="351"/>
      <c r="O514" s="351"/>
      <c r="P514" s="351"/>
      <c r="Q514" s="351"/>
      <c r="R514" s="351"/>
      <c r="S514" s="351"/>
      <c r="T514" s="351"/>
      <c r="U514" s="351"/>
      <c r="V514" s="351"/>
      <c r="W514" s="351"/>
      <c r="X514" s="359"/>
      <c r="Y514" s="359"/>
      <c r="Z514" s="359"/>
      <c r="AA514" s="351"/>
      <c r="AB514" s="351"/>
      <c r="AC514" s="359"/>
      <c r="AD514" s="359"/>
      <c r="AE514" s="351"/>
      <c r="AF514" s="333"/>
      <c r="AG514" s="333"/>
      <c r="AH514" s="351"/>
      <c r="AI514" s="351"/>
      <c r="AJ514" s="351"/>
      <c r="AK514" s="351"/>
      <c r="AL514" s="351"/>
      <c r="AM514" s="351"/>
      <c r="AN514" s="351"/>
      <c r="AO514" s="351"/>
      <c r="AP514" s="351"/>
      <c r="AQ514" s="351"/>
      <c r="AR514" s="351"/>
      <c r="AS514" s="351"/>
      <c r="AT514" s="351"/>
      <c r="AU514" s="351"/>
      <c r="AV514" s="351"/>
      <c r="AW514" s="351"/>
      <c r="AX514" s="351"/>
      <c r="AY514" s="351"/>
    </row>
    <row r="515" spans="1:51" ht="13">
      <c r="A515" s="333"/>
      <c r="B515" s="351"/>
      <c r="C515" s="351"/>
      <c r="D515" s="333"/>
      <c r="E515" s="333"/>
      <c r="F515" s="333"/>
      <c r="G515" s="359"/>
      <c r="H515" s="359"/>
      <c r="I515" s="351"/>
      <c r="J515" s="359"/>
      <c r="K515" s="359"/>
      <c r="L515" s="359"/>
      <c r="M515" s="351"/>
      <c r="N515" s="351"/>
      <c r="O515" s="351"/>
      <c r="P515" s="351"/>
      <c r="Q515" s="351"/>
      <c r="R515" s="351"/>
      <c r="S515" s="351"/>
      <c r="T515" s="351"/>
      <c r="U515" s="351"/>
      <c r="V515" s="351"/>
      <c r="W515" s="351"/>
      <c r="X515" s="359"/>
      <c r="Y515" s="359"/>
      <c r="Z515" s="359"/>
      <c r="AA515" s="351"/>
      <c r="AB515" s="351"/>
      <c r="AC515" s="359"/>
      <c r="AD515" s="359"/>
      <c r="AE515" s="351"/>
      <c r="AF515" s="333"/>
      <c r="AG515" s="333"/>
      <c r="AH515" s="351"/>
      <c r="AI515" s="351"/>
      <c r="AJ515" s="351"/>
      <c r="AK515" s="351"/>
      <c r="AL515" s="351"/>
      <c r="AM515" s="351"/>
      <c r="AN515" s="351"/>
      <c r="AO515" s="351"/>
      <c r="AP515" s="351"/>
      <c r="AQ515" s="351"/>
      <c r="AR515" s="351"/>
      <c r="AS515" s="351"/>
      <c r="AT515" s="351"/>
      <c r="AU515" s="351"/>
      <c r="AV515" s="351"/>
      <c r="AW515" s="351"/>
      <c r="AX515" s="351"/>
      <c r="AY515" s="351"/>
    </row>
    <row r="516" spans="1:51" ht="13">
      <c r="A516" s="333"/>
      <c r="B516" s="351"/>
      <c r="C516" s="351"/>
      <c r="D516" s="333"/>
      <c r="E516" s="333"/>
      <c r="F516" s="333"/>
      <c r="G516" s="359"/>
      <c r="H516" s="359"/>
      <c r="I516" s="351"/>
      <c r="J516" s="359"/>
      <c r="K516" s="359"/>
      <c r="L516" s="359"/>
      <c r="M516" s="351"/>
      <c r="N516" s="351"/>
      <c r="O516" s="351"/>
      <c r="P516" s="351"/>
      <c r="Q516" s="351"/>
      <c r="R516" s="351"/>
      <c r="S516" s="351"/>
      <c r="T516" s="351"/>
      <c r="U516" s="351"/>
      <c r="V516" s="351"/>
      <c r="W516" s="351"/>
      <c r="X516" s="359"/>
      <c r="Y516" s="359"/>
      <c r="Z516" s="359"/>
      <c r="AA516" s="351"/>
      <c r="AB516" s="351"/>
      <c r="AC516" s="359"/>
      <c r="AD516" s="359"/>
      <c r="AE516" s="351"/>
      <c r="AF516" s="333"/>
      <c r="AG516" s="333"/>
      <c r="AH516" s="351"/>
      <c r="AI516" s="351"/>
      <c r="AJ516" s="351"/>
      <c r="AK516" s="351"/>
      <c r="AL516" s="351"/>
      <c r="AM516" s="351"/>
      <c r="AN516" s="351"/>
      <c r="AO516" s="351"/>
      <c r="AP516" s="351"/>
      <c r="AQ516" s="351"/>
      <c r="AR516" s="351"/>
      <c r="AS516" s="351"/>
      <c r="AT516" s="351"/>
      <c r="AU516" s="351"/>
      <c r="AV516" s="351"/>
      <c r="AW516" s="351"/>
      <c r="AX516" s="351"/>
      <c r="AY516" s="351"/>
    </row>
    <row r="517" spans="1:51" ht="13">
      <c r="A517" s="333"/>
      <c r="B517" s="351"/>
      <c r="C517" s="351"/>
      <c r="D517" s="333"/>
      <c r="E517" s="333"/>
      <c r="F517" s="333"/>
      <c r="G517" s="359"/>
      <c r="H517" s="359"/>
      <c r="I517" s="351"/>
      <c r="J517" s="359"/>
      <c r="K517" s="359"/>
      <c r="L517" s="359"/>
      <c r="M517" s="351"/>
      <c r="N517" s="351"/>
      <c r="O517" s="351"/>
      <c r="P517" s="351"/>
      <c r="Q517" s="351"/>
      <c r="R517" s="351"/>
      <c r="S517" s="351"/>
      <c r="T517" s="351"/>
      <c r="U517" s="351"/>
      <c r="V517" s="351"/>
      <c r="W517" s="351"/>
      <c r="X517" s="359"/>
      <c r="Y517" s="359"/>
      <c r="Z517" s="359"/>
      <c r="AA517" s="351"/>
      <c r="AB517" s="351"/>
      <c r="AC517" s="359"/>
      <c r="AD517" s="359"/>
      <c r="AE517" s="351"/>
      <c r="AF517" s="333"/>
      <c r="AG517" s="333"/>
      <c r="AH517" s="351"/>
      <c r="AI517" s="351"/>
      <c r="AJ517" s="351"/>
      <c r="AK517" s="351"/>
      <c r="AL517" s="351"/>
      <c r="AM517" s="351"/>
      <c r="AN517" s="351"/>
      <c r="AO517" s="351"/>
      <c r="AP517" s="351"/>
      <c r="AQ517" s="351"/>
      <c r="AR517" s="351"/>
      <c r="AS517" s="351"/>
      <c r="AT517" s="351"/>
      <c r="AU517" s="351"/>
      <c r="AV517" s="351"/>
      <c r="AW517" s="351"/>
      <c r="AX517" s="351"/>
      <c r="AY517" s="351"/>
    </row>
    <row r="518" spans="1:51" ht="13">
      <c r="A518" s="333"/>
      <c r="B518" s="351"/>
      <c r="C518" s="351"/>
      <c r="D518" s="333"/>
      <c r="E518" s="333"/>
      <c r="F518" s="333"/>
      <c r="G518" s="359"/>
      <c r="H518" s="359"/>
      <c r="I518" s="351"/>
      <c r="J518" s="359"/>
      <c r="K518" s="359"/>
      <c r="L518" s="359"/>
      <c r="M518" s="351"/>
      <c r="N518" s="351"/>
      <c r="O518" s="351"/>
      <c r="P518" s="351"/>
      <c r="Q518" s="351"/>
      <c r="R518" s="351"/>
      <c r="S518" s="351"/>
      <c r="T518" s="351"/>
      <c r="U518" s="351"/>
      <c r="V518" s="351"/>
      <c r="W518" s="351"/>
      <c r="X518" s="359"/>
      <c r="Y518" s="359"/>
      <c r="Z518" s="359"/>
      <c r="AA518" s="351"/>
      <c r="AB518" s="351"/>
      <c r="AC518" s="359"/>
      <c r="AD518" s="359"/>
      <c r="AE518" s="351"/>
      <c r="AF518" s="333"/>
      <c r="AG518" s="333"/>
      <c r="AH518" s="351"/>
      <c r="AI518" s="351"/>
      <c r="AJ518" s="351"/>
      <c r="AK518" s="351"/>
      <c r="AL518" s="351"/>
      <c r="AM518" s="351"/>
      <c r="AN518" s="351"/>
      <c r="AO518" s="351"/>
      <c r="AP518" s="351"/>
      <c r="AQ518" s="351"/>
      <c r="AR518" s="351"/>
      <c r="AS518" s="351"/>
      <c r="AT518" s="351"/>
      <c r="AU518" s="351"/>
      <c r="AV518" s="351"/>
      <c r="AW518" s="351"/>
      <c r="AX518" s="351"/>
      <c r="AY518" s="351"/>
    </row>
    <row r="519" spans="1:51" ht="13">
      <c r="A519" s="333"/>
      <c r="B519" s="351"/>
      <c r="C519" s="351"/>
      <c r="D519" s="333"/>
      <c r="E519" s="333"/>
      <c r="F519" s="333"/>
      <c r="G519" s="359"/>
      <c r="H519" s="359"/>
      <c r="I519" s="351"/>
      <c r="J519" s="359"/>
      <c r="K519" s="359"/>
      <c r="L519" s="359"/>
      <c r="M519" s="351"/>
      <c r="N519" s="351"/>
      <c r="O519" s="351"/>
      <c r="P519" s="351"/>
      <c r="Q519" s="351"/>
      <c r="R519" s="351"/>
      <c r="S519" s="351"/>
      <c r="T519" s="351"/>
      <c r="U519" s="351"/>
      <c r="V519" s="351"/>
      <c r="W519" s="351"/>
      <c r="X519" s="359"/>
      <c r="Y519" s="359"/>
      <c r="Z519" s="359"/>
      <c r="AA519" s="351"/>
      <c r="AB519" s="351"/>
      <c r="AC519" s="359"/>
      <c r="AD519" s="359"/>
      <c r="AE519" s="351"/>
      <c r="AF519" s="333"/>
      <c r="AG519" s="333"/>
      <c r="AH519" s="351"/>
      <c r="AI519" s="351"/>
      <c r="AJ519" s="351"/>
      <c r="AK519" s="351"/>
      <c r="AL519" s="351"/>
      <c r="AM519" s="351"/>
      <c r="AN519" s="351"/>
      <c r="AO519" s="351"/>
      <c r="AP519" s="351"/>
      <c r="AQ519" s="351"/>
      <c r="AR519" s="351"/>
      <c r="AS519" s="351"/>
      <c r="AT519" s="351"/>
      <c r="AU519" s="351"/>
      <c r="AV519" s="351"/>
      <c r="AW519" s="351"/>
      <c r="AX519" s="351"/>
      <c r="AY519" s="351"/>
    </row>
    <row r="520" spans="1:51" ht="13">
      <c r="A520" s="333"/>
      <c r="B520" s="351"/>
      <c r="C520" s="351"/>
      <c r="D520" s="333"/>
      <c r="E520" s="333"/>
      <c r="F520" s="333"/>
      <c r="G520" s="359"/>
      <c r="H520" s="359"/>
      <c r="I520" s="351"/>
      <c r="J520" s="359"/>
      <c r="K520" s="359"/>
      <c r="L520" s="359"/>
      <c r="M520" s="351"/>
      <c r="N520" s="351"/>
      <c r="O520" s="351"/>
      <c r="P520" s="351"/>
      <c r="Q520" s="351"/>
      <c r="R520" s="351"/>
      <c r="S520" s="351"/>
      <c r="T520" s="351"/>
      <c r="U520" s="351"/>
      <c r="V520" s="351"/>
      <c r="W520" s="351"/>
      <c r="X520" s="359"/>
      <c r="Y520" s="359"/>
      <c r="Z520" s="359"/>
      <c r="AA520" s="351"/>
      <c r="AB520" s="351"/>
      <c r="AC520" s="359"/>
      <c r="AD520" s="359"/>
      <c r="AE520" s="351"/>
      <c r="AF520" s="333"/>
      <c r="AG520" s="333"/>
      <c r="AH520" s="351"/>
      <c r="AI520" s="351"/>
      <c r="AJ520" s="351"/>
      <c r="AK520" s="351"/>
      <c r="AL520" s="351"/>
      <c r="AM520" s="351"/>
      <c r="AN520" s="351"/>
      <c r="AO520" s="351"/>
      <c r="AP520" s="351"/>
      <c r="AQ520" s="351"/>
      <c r="AR520" s="351"/>
      <c r="AS520" s="351"/>
      <c r="AT520" s="351"/>
      <c r="AU520" s="351"/>
      <c r="AV520" s="351"/>
      <c r="AW520" s="351"/>
      <c r="AX520" s="351"/>
      <c r="AY520" s="351"/>
    </row>
    <row r="521" spans="1:51" ht="13">
      <c r="A521" s="333"/>
      <c r="B521" s="351"/>
      <c r="C521" s="351"/>
      <c r="D521" s="333"/>
      <c r="E521" s="333"/>
      <c r="F521" s="333"/>
      <c r="G521" s="359"/>
      <c r="H521" s="359"/>
      <c r="I521" s="351"/>
      <c r="J521" s="359"/>
      <c r="K521" s="359"/>
      <c r="L521" s="359"/>
      <c r="M521" s="351"/>
      <c r="N521" s="351"/>
      <c r="O521" s="351"/>
      <c r="P521" s="351"/>
      <c r="Q521" s="351"/>
      <c r="R521" s="351"/>
      <c r="S521" s="351"/>
      <c r="T521" s="351"/>
      <c r="U521" s="351"/>
      <c r="V521" s="351"/>
      <c r="W521" s="351"/>
      <c r="X521" s="359"/>
      <c r="Y521" s="359"/>
      <c r="Z521" s="359"/>
      <c r="AA521" s="351"/>
      <c r="AB521" s="351"/>
      <c r="AC521" s="359"/>
      <c r="AD521" s="359"/>
      <c r="AE521" s="351"/>
      <c r="AF521" s="333"/>
      <c r="AG521" s="333"/>
      <c r="AH521" s="351"/>
      <c r="AI521" s="351"/>
      <c r="AJ521" s="351"/>
      <c r="AK521" s="351"/>
      <c r="AL521" s="351"/>
      <c r="AM521" s="351"/>
      <c r="AN521" s="351"/>
      <c r="AO521" s="351"/>
      <c r="AP521" s="351"/>
      <c r="AQ521" s="351"/>
      <c r="AR521" s="351"/>
      <c r="AS521" s="351"/>
      <c r="AT521" s="351"/>
      <c r="AU521" s="351"/>
      <c r="AV521" s="351"/>
      <c r="AW521" s="351"/>
      <c r="AX521" s="351"/>
      <c r="AY521" s="351"/>
    </row>
    <row r="522" spans="1:51" ht="13">
      <c r="A522" s="333"/>
      <c r="B522" s="351"/>
      <c r="C522" s="351"/>
      <c r="D522" s="333"/>
      <c r="E522" s="333"/>
      <c r="F522" s="333"/>
      <c r="G522" s="359"/>
      <c r="H522" s="359"/>
      <c r="I522" s="351"/>
      <c r="J522" s="359"/>
      <c r="K522" s="359"/>
      <c r="L522" s="359"/>
      <c r="M522" s="351"/>
      <c r="N522" s="351"/>
      <c r="O522" s="351"/>
      <c r="P522" s="351"/>
      <c r="Q522" s="351"/>
      <c r="R522" s="351"/>
      <c r="S522" s="351"/>
      <c r="T522" s="351"/>
      <c r="U522" s="351"/>
      <c r="V522" s="351"/>
      <c r="W522" s="351"/>
      <c r="X522" s="359"/>
      <c r="Y522" s="359"/>
      <c r="Z522" s="359"/>
      <c r="AA522" s="351"/>
      <c r="AB522" s="351"/>
      <c r="AC522" s="359"/>
      <c r="AD522" s="359"/>
      <c r="AE522" s="351"/>
      <c r="AF522" s="333"/>
      <c r="AG522" s="333"/>
      <c r="AH522" s="351"/>
      <c r="AI522" s="351"/>
      <c r="AJ522" s="351"/>
      <c r="AK522" s="351"/>
      <c r="AL522" s="351"/>
      <c r="AM522" s="351"/>
      <c r="AN522" s="351"/>
      <c r="AO522" s="351"/>
      <c r="AP522" s="351"/>
      <c r="AQ522" s="351"/>
      <c r="AR522" s="351"/>
      <c r="AS522" s="351"/>
      <c r="AT522" s="351"/>
      <c r="AU522" s="351"/>
      <c r="AV522" s="351"/>
      <c r="AW522" s="351"/>
      <c r="AX522" s="351"/>
      <c r="AY522" s="351"/>
    </row>
    <row r="523" spans="1:51" ht="13">
      <c r="A523" s="333"/>
      <c r="B523" s="351"/>
      <c r="C523" s="351"/>
      <c r="D523" s="333"/>
      <c r="E523" s="333"/>
      <c r="F523" s="333"/>
      <c r="G523" s="359"/>
      <c r="H523" s="359"/>
      <c r="I523" s="351"/>
      <c r="J523" s="359"/>
      <c r="K523" s="359"/>
      <c r="L523" s="359"/>
      <c r="M523" s="351"/>
      <c r="N523" s="351"/>
      <c r="O523" s="351"/>
      <c r="P523" s="351"/>
      <c r="Q523" s="351"/>
      <c r="R523" s="351"/>
      <c r="S523" s="351"/>
      <c r="T523" s="351"/>
      <c r="U523" s="351"/>
      <c r="V523" s="351"/>
      <c r="W523" s="351"/>
      <c r="X523" s="359"/>
      <c r="Y523" s="359"/>
      <c r="Z523" s="359"/>
      <c r="AA523" s="351"/>
      <c r="AB523" s="351"/>
      <c r="AC523" s="359"/>
      <c r="AD523" s="359"/>
      <c r="AE523" s="351"/>
      <c r="AF523" s="333"/>
      <c r="AG523" s="333"/>
      <c r="AH523" s="351"/>
      <c r="AI523" s="351"/>
      <c r="AJ523" s="351"/>
      <c r="AK523" s="351"/>
      <c r="AL523" s="351"/>
      <c r="AM523" s="351"/>
      <c r="AN523" s="351"/>
      <c r="AO523" s="351"/>
      <c r="AP523" s="351"/>
      <c r="AQ523" s="351"/>
      <c r="AR523" s="351"/>
      <c r="AS523" s="351"/>
      <c r="AT523" s="351"/>
      <c r="AU523" s="351"/>
      <c r="AV523" s="351"/>
      <c r="AW523" s="351"/>
      <c r="AX523" s="351"/>
      <c r="AY523" s="351"/>
    </row>
    <row r="524" spans="1:51" ht="13">
      <c r="A524" s="333"/>
      <c r="B524" s="351"/>
      <c r="C524" s="351"/>
      <c r="D524" s="333"/>
      <c r="E524" s="333"/>
      <c r="F524" s="333"/>
      <c r="G524" s="359"/>
      <c r="H524" s="359"/>
      <c r="I524" s="351"/>
      <c r="J524" s="359"/>
      <c r="K524" s="359"/>
      <c r="L524" s="359"/>
      <c r="M524" s="351"/>
      <c r="N524" s="351"/>
      <c r="O524" s="351"/>
      <c r="P524" s="351"/>
      <c r="Q524" s="351"/>
      <c r="R524" s="351"/>
      <c r="S524" s="351"/>
      <c r="T524" s="351"/>
      <c r="U524" s="351"/>
      <c r="V524" s="351"/>
      <c r="W524" s="351"/>
      <c r="X524" s="359"/>
      <c r="Y524" s="359"/>
      <c r="Z524" s="359"/>
      <c r="AA524" s="351"/>
      <c r="AB524" s="351"/>
      <c r="AC524" s="359"/>
      <c r="AD524" s="359"/>
      <c r="AE524" s="351"/>
      <c r="AF524" s="333"/>
      <c r="AG524" s="333"/>
      <c r="AH524" s="351"/>
      <c r="AI524" s="351"/>
      <c r="AJ524" s="351"/>
      <c r="AK524" s="351"/>
      <c r="AL524" s="351"/>
      <c r="AM524" s="351"/>
      <c r="AN524" s="351"/>
      <c r="AO524" s="351"/>
      <c r="AP524" s="351"/>
      <c r="AQ524" s="351"/>
      <c r="AR524" s="351"/>
      <c r="AS524" s="351"/>
      <c r="AT524" s="351"/>
      <c r="AU524" s="351"/>
      <c r="AV524" s="351"/>
      <c r="AW524" s="351"/>
      <c r="AX524" s="351"/>
      <c r="AY524" s="351"/>
    </row>
    <row r="525" spans="1:51" ht="13">
      <c r="A525" s="333"/>
      <c r="B525" s="351"/>
      <c r="C525" s="351"/>
      <c r="D525" s="333"/>
      <c r="E525" s="333"/>
      <c r="F525" s="333"/>
      <c r="G525" s="359"/>
      <c r="H525" s="359"/>
      <c r="I525" s="351"/>
      <c r="J525" s="359"/>
      <c r="K525" s="359"/>
      <c r="L525" s="359"/>
      <c r="M525" s="351"/>
      <c r="N525" s="351"/>
      <c r="O525" s="351"/>
      <c r="P525" s="351"/>
      <c r="Q525" s="351"/>
      <c r="R525" s="351"/>
      <c r="S525" s="351"/>
      <c r="T525" s="351"/>
      <c r="U525" s="351"/>
      <c r="V525" s="351"/>
      <c r="W525" s="351"/>
      <c r="X525" s="359"/>
      <c r="Y525" s="359"/>
      <c r="Z525" s="359"/>
      <c r="AA525" s="351"/>
      <c r="AB525" s="351"/>
      <c r="AC525" s="359"/>
      <c r="AD525" s="359"/>
      <c r="AE525" s="351"/>
      <c r="AF525" s="333"/>
      <c r="AG525" s="333"/>
      <c r="AH525" s="351"/>
      <c r="AI525" s="351"/>
      <c r="AJ525" s="351"/>
      <c r="AK525" s="351"/>
      <c r="AL525" s="351"/>
      <c r="AM525" s="351"/>
      <c r="AN525" s="351"/>
      <c r="AO525" s="351"/>
      <c r="AP525" s="351"/>
      <c r="AQ525" s="351"/>
      <c r="AR525" s="351"/>
      <c r="AS525" s="351"/>
      <c r="AT525" s="351"/>
      <c r="AU525" s="351"/>
      <c r="AV525" s="351"/>
      <c r="AW525" s="351"/>
      <c r="AX525" s="351"/>
      <c r="AY525" s="351"/>
    </row>
    <row r="526" spans="1:51" ht="13">
      <c r="A526" s="333"/>
      <c r="B526" s="351"/>
      <c r="C526" s="351"/>
      <c r="D526" s="333"/>
      <c r="E526" s="333"/>
      <c r="F526" s="333"/>
      <c r="G526" s="359"/>
      <c r="H526" s="359"/>
      <c r="I526" s="351"/>
      <c r="J526" s="359"/>
      <c r="K526" s="359"/>
      <c r="L526" s="359"/>
      <c r="M526" s="351"/>
      <c r="N526" s="351"/>
      <c r="O526" s="351"/>
      <c r="P526" s="351"/>
      <c r="Q526" s="351"/>
      <c r="R526" s="351"/>
      <c r="S526" s="351"/>
      <c r="T526" s="351"/>
      <c r="U526" s="351"/>
      <c r="V526" s="351"/>
      <c r="W526" s="351"/>
      <c r="X526" s="359"/>
      <c r="Y526" s="359"/>
      <c r="Z526" s="359"/>
      <c r="AA526" s="351"/>
      <c r="AB526" s="351"/>
      <c r="AC526" s="359"/>
      <c r="AD526" s="359"/>
      <c r="AE526" s="351"/>
      <c r="AF526" s="333"/>
      <c r="AG526" s="333"/>
      <c r="AH526" s="351"/>
      <c r="AI526" s="351"/>
      <c r="AJ526" s="351"/>
      <c r="AK526" s="351"/>
      <c r="AL526" s="351"/>
      <c r="AM526" s="351"/>
      <c r="AN526" s="351"/>
      <c r="AO526" s="351"/>
      <c r="AP526" s="351"/>
      <c r="AQ526" s="351"/>
      <c r="AR526" s="351"/>
      <c r="AS526" s="351"/>
      <c r="AT526" s="351"/>
      <c r="AU526" s="351"/>
      <c r="AV526" s="351"/>
      <c r="AW526" s="351"/>
      <c r="AX526" s="351"/>
      <c r="AY526" s="351"/>
    </row>
    <row r="527" spans="1:51" ht="13">
      <c r="A527" s="333"/>
      <c r="B527" s="351"/>
      <c r="C527" s="351"/>
      <c r="D527" s="333"/>
      <c r="E527" s="333"/>
      <c r="F527" s="333"/>
      <c r="G527" s="359"/>
      <c r="H527" s="359"/>
      <c r="I527" s="351"/>
      <c r="J527" s="359"/>
      <c r="K527" s="359"/>
      <c r="L527" s="359"/>
      <c r="M527" s="351"/>
      <c r="N527" s="351"/>
      <c r="O527" s="351"/>
      <c r="P527" s="351"/>
      <c r="Q527" s="351"/>
      <c r="R527" s="351"/>
      <c r="S527" s="351"/>
      <c r="T527" s="351"/>
      <c r="U527" s="351"/>
      <c r="V527" s="351"/>
      <c r="W527" s="351"/>
      <c r="X527" s="359"/>
      <c r="Y527" s="359"/>
      <c r="Z527" s="359"/>
      <c r="AA527" s="351"/>
      <c r="AB527" s="351"/>
      <c r="AC527" s="359"/>
      <c r="AD527" s="359"/>
      <c r="AE527" s="351"/>
      <c r="AF527" s="333"/>
      <c r="AG527" s="333"/>
      <c r="AH527" s="351"/>
      <c r="AI527" s="351"/>
      <c r="AJ527" s="351"/>
      <c r="AK527" s="351"/>
      <c r="AL527" s="351"/>
      <c r="AM527" s="351"/>
      <c r="AN527" s="351"/>
      <c r="AO527" s="351"/>
      <c r="AP527" s="351"/>
      <c r="AQ527" s="351"/>
      <c r="AR527" s="351"/>
      <c r="AS527" s="351"/>
      <c r="AT527" s="351"/>
      <c r="AU527" s="351"/>
      <c r="AV527" s="351"/>
      <c r="AW527" s="351"/>
      <c r="AX527" s="351"/>
      <c r="AY527" s="351"/>
    </row>
    <row r="528" spans="1:51" ht="13">
      <c r="A528" s="333"/>
      <c r="B528" s="351"/>
      <c r="C528" s="351"/>
      <c r="D528" s="333"/>
      <c r="E528" s="333"/>
      <c r="F528" s="333"/>
      <c r="G528" s="359"/>
      <c r="H528" s="359"/>
      <c r="I528" s="351"/>
      <c r="J528" s="359"/>
      <c r="K528" s="359"/>
      <c r="L528" s="359"/>
      <c r="M528" s="351"/>
      <c r="N528" s="351"/>
      <c r="O528" s="351"/>
      <c r="P528" s="351"/>
      <c r="Q528" s="351"/>
      <c r="R528" s="351"/>
      <c r="S528" s="351"/>
      <c r="T528" s="351"/>
      <c r="U528" s="351"/>
      <c r="V528" s="351"/>
      <c r="W528" s="351"/>
      <c r="X528" s="359"/>
      <c r="Y528" s="359"/>
      <c r="Z528" s="359"/>
      <c r="AA528" s="351"/>
      <c r="AB528" s="351"/>
      <c r="AC528" s="359"/>
      <c r="AD528" s="359"/>
      <c r="AE528" s="351"/>
      <c r="AF528" s="333"/>
      <c r="AG528" s="333"/>
      <c r="AH528" s="351"/>
      <c r="AI528" s="351"/>
      <c r="AJ528" s="351"/>
      <c r="AK528" s="351"/>
      <c r="AL528" s="351"/>
      <c r="AM528" s="351"/>
      <c r="AN528" s="351"/>
      <c r="AO528" s="351"/>
      <c r="AP528" s="351"/>
      <c r="AQ528" s="351"/>
      <c r="AR528" s="351"/>
      <c r="AS528" s="351"/>
      <c r="AT528" s="351"/>
      <c r="AU528" s="351"/>
      <c r="AV528" s="351"/>
      <c r="AW528" s="351"/>
      <c r="AX528" s="351"/>
      <c r="AY528" s="351"/>
    </row>
    <row r="529" spans="1:51" ht="13">
      <c r="A529" s="333"/>
      <c r="B529" s="351"/>
      <c r="C529" s="351"/>
      <c r="D529" s="333"/>
      <c r="E529" s="333"/>
      <c r="F529" s="333"/>
      <c r="G529" s="359"/>
      <c r="H529" s="359"/>
      <c r="I529" s="351"/>
      <c r="J529" s="359"/>
      <c r="K529" s="359"/>
      <c r="L529" s="359"/>
      <c r="M529" s="351"/>
      <c r="N529" s="351"/>
      <c r="O529" s="351"/>
      <c r="P529" s="351"/>
      <c r="Q529" s="351"/>
      <c r="R529" s="351"/>
      <c r="S529" s="351"/>
      <c r="T529" s="351"/>
      <c r="U529" s="351"/>
      <c r="V529" s="351"/>
      <c r="W529" s="351"/>
      <c r="X529" s="359"/>
      <c r="Y529" s="359"/>
      <c r="Z529" s="359"/>
      <c r="AA529" s="351"/>
      <c r="AB529" s="351"/>
      <c r="AC529" s="359"/>
      <c r="AD529" s="359"/>
      <c r="AE529" s="351"/>
      <c r="AF529" s="333"/>
      <c r="AG529" s="333"/>
      <c r="AH529" s="351"/>
      <c r="AI529" s="351"/>
      <c r="AJ529" s="351"/>
      <c r="AK529" s="351"/>
      <c r="AL529" s="351"/>
      <c r="AM529" s="351"/>
      <c r="AN529" s="351"/>
      <c r="AO529" s="351"/>
      <c r="AP529" s="351"/>
      <c r="AQ529" s="351"/>
      <c r="AR529" s="351"/>
      <c r="AS529" s="351"/>
      <c r="AT529" s="351"/>
      <c r="AU529" s="351"/>
      <c r="AV529" s="351"/>
      <c r="AW529" s="351"/>
      <c r="AX529" s="351"/>
      <c r="AY529" s="351"/>
    </row>
    <row r="530" spans="1:51" ht="13">
      <c r="A530" s="333"/>
      <c r="B530" s="351"/>
      <c r="C530" s="351"/>
      <c r="D530" s="333"/>
      <c r="E530" s="333"/>
      <c r="F530" s="333"/>
      <c r="G530" s="359"/>
      <c r="H530" s="359"/>
      <c r="I530" s="351"/>
      <c r="J530" s="359"/>
      <c r="K530" s="359"/>
      <c r="L530" s="359"/>
      <c r="M530" s="351"/>
      <c r="N530" s="351"/>
      <c r="O530" s="351"/>
      <c r="P530" s="351"/>
      <c r="Q530" s="351"/>
      <c r="R530" s="351"/>
      <c r="S530" s="351"/>
      <c r="T530" s="351"/>
      <c r="U530" s="351"/>
      <c r="V530" s="351"/>
      <c r="W530" s="351"/>
      <c r="X530" s="359"/>
      <c r="Y530" s="359"/>
      <c r="Z530" s="359"/>
      <c r="AA530" s="351"/>
      <c r="AB530" s="351"/>
      <c r="AC530" s="359"/>
      <c r="AD530" s="359"/>
      <c r="AE530" s="351"/>
      <c r="AF530" s="333"/>
      <c r="AG530" s="333"/>
      <c r="AH530" s="351"/>
      <c r="AI530" s="351"/>
      <c r="AJ530" s="351"/>
      <c r="AK530" s="351"/>
      <c r="AL530" s="351"/>
      <c r="AM530" s="351"/>
      <c r="AN530" s="351"/>
      <c r="AO530" s="351"/>
      <c r="AP530" s="351"/>
      <c r="AQ530" s="351"/>
      <c r="AR530" s="351"/>
      <c r="AS530" s="351"/>
      <c r="AT530" s="351"/>
      <c r="AU530" s="351"/>
      <c r="AV530" s="351"/>
      <c r="AW530" s="351"/>
      <c r="AX530" s="351"/>
      <c r="AY530" s="351"/>
    </row>
    <row r="531" spans="1:51" ht="13">
      <c r="A531" s="333"/>
      <c r="B531" s="351"/>
      <c r="C531" s="351"/>
      <c r="D531" s="333"/>
      <c r="E531" s="333"/>
      <c r="F531" s="333"/>
      <c r="G531" s="359"/>
      <c r="H531" s="359"/>
      <c r="I531" s="351"/>
      <c r="J531" s="359"/>
      <c r="K531" s="359"/>
      <c r="L531" s="359"/>
      <c r="M531" s="351"/>
      <c r="N531" s="351"/>
      <c r="O531" s="351"/>
      <c r="P531" s="351"/>
      <c r="Q531" s="351"/>
      <c r="R531" s="351"/>
      <c r="S531" s="351"/>
      <c r="T531" s="351"/>
      <c r="U531" s="351"/>
      <c r="V531" s="351"/>
      <c r="W531" s="351"/>
      <c r="X531" s="359"/>
      <c r="Y531" s="359"/>
      <c r="Z531" s="359"/>
      <c r="AA531" s="351"/>
      <c r="AB531" s="351"/>
      <c r="AC531" s="359"/>
      <c r="AD531" s="359"/>
      <c r="AE531" s="351"/>
      <c r="AF531" s="333"/>
      <c r="AG531" s="333"/>
      <c r="AH531" s="351"/>
      <c r="AI531" s="351"/>
      <c r="AJ531" s="351"/>
      <c r="AK531" s="351"/>
      <c r="AL531" s="351"/>
      <c r="AM531" s="351"/>
      <c r="AN531" s="351"/>
      <c r="AO531" s="351"/>
      <c r="AP531" s="351"/>
      <c r="AQ531" s="351"/>
      <c r="AR531" s="351"/>
      <c r="AS531" s="351"/>
      <c r="AT531" s="351"/>
      <c r="AU531" s="351"/>
      <c r="AV531" s="351"/>
      <c r="AW531" s="351"/>
      <c r="AX531" s="351"/>
      <c r="AY531" s="351"/>
    </row>
    <row r="532" spans="1:51" ht="13">
      <c r="A532" s="333"/>
      <c r="B532" s="351"/>
      <c r="C532" s="351"/>
      <c r="D532" s="333"/>
      <c r="E532" s="333"/>
      <c r="F532" s="333"/>
      <c r="G532" s="359"/>
      <c r="H532" s="359"/>
      <c r="I532" s="351"/>
      <c r="J532" s="359"/>
      <c r="K532" s="359"/>
      <c r="L532" s="359"/>
      <c r="M532" s="351"/>
      <c r="N532" s="351"/>
      <c r="O532" s="351"/>
      <c r="P532" s="351"/>
      <c r="Q532" s="351"/>
      <c r="R532" s="351"/>
      <c r="S532" s="351"/>
      <c r="T532" s="351"/>
      <c r="U532" s="351"/>
      <c r="V532" s="351"/>
      <c r="W532" s="351"/>
      <c r="X532" s="359"/>
      <c r="Y532" s="359"/>
      <c r="Z532" s="359"/>
      <c r="AA532" s="351"/>
      <c r="AB532" s="351"/>
      <c r="AC532" s="359"/>
      <c r="AD532" s="359"/>
      <c r="AE532" s="351"/>
      <c r="AF532" s="333"/>
      <c r="AG532" s="333"/>
      <c r="AH532" s="351"/>
      <c r="AI532" s="351"/>
      <c r="AJ532" s="351"/>
      <c r="AK532" s="351"/>
      <c r="AL532" s="351"/>
      <c r="AM532" s="351"/>
      <c r="AN532" s="351"/>
      <c r="AO532" s="351"/>
      <c r="AP532" s="351"/>
      <c r="AQ532" s="351"/>
      <c r="AR532" s="351"/>
      <c r="AS532" s="351"/>
      <c r="AT532" s="351"/>
      <c r="AU532" s="351"/>
      <c r="AV532" s="351"/>
      <c r="AW532" s="351"/>
      <c r="AX532" s="351"/>
      <c r="AY532" s="351"/>
    </row>
    <row r="533" spans="1:51" ht="13">
      <c r="A533" s="333"/>
      <c r="B533" s="351"/>
      <c r="C533" s="351"/>
      <c r="D533" s="333"/>
      <c r="E533" s="333"/>
      <c r="F533" s="333"/>
      <c r="G533" s="359"/>
      <c r="H533" s="359"/>
      <c r="I533" s="351"/>
      <c r="J533" s="359"/>
      <c r="K533" s="359"/>
      <c r="L533" s="359"/>
      <c r="M533" s="351"/>
      <c r="N533" s="351"/>
      <c r="O533" s="351"/>
      <c r="P533" s="351"/>
      <c r="Q533" s="351"/>
      <c r="R533" s="351"/>
      <c r="S533" s="351"/>
      <c r="T533" s="351"/>
      <c r="U533" s="351"/>
      <c r="V533" s="351"/>
      <c r="W533" s="351"/>
      <c r="X533" s="359"/>
      <c r="Y533" s="359"/>
      <c r="Z533" s="359"/>
      <c r="AA533" s="351"/>
      <c r="AB533" s="351"/>
      <c r="AC533" s="359"/>
      <c r="AD533" s="359"/>
      <c r="AE533" s="351"/>
      <c r="AF533" s="333"/>
      <c r="AG533" s="333"/>
      <c r="AH533" s="351"/>
      <c r="AI533" s="351"/>
      <c r="AJ533" s="351"/>
      <c r="AK533" s="351"/>
      <c r="AL533" s="351"/>
      <c r="AM533" s="351"/>
      <c r="AN533" s="351"/>
      <c r="AO533" s="351"/>
      <c r="AP533" s="351"/>
      <c r="AQ533" s="351"/>
      <c r="AR533" s="351"/>
      <c r="AS533" s="351"/>
      <c r="AT533" s="351"/>
      <c r="AU533" s="351"/>
      <c r="AV533" s="351"/>
      <c r="AW533" s="351"/>
      <c r="AX533" s="351"/>
      <c r="AY533" s="351"/>
    </row>
    <row r="534" spans="1:51" ht="13">
      <c r="A534" s="333"/>
      <c r="B534" s="351"/>
      <c r="C534" s="351"/>
      <c r="D534" s="333"/>
      <c r="E534" s="333"/>
      <c r="F534" s="333"/>
      <c r="G534" s="359"/>
      <c r="H534" s="359"/>
      <c r="I534" s="351"/>
      <c r="J534" s="359"/>
      <c r="K534" s="359"/>
      <c r="L534" s="359"/>
      <c r="M534" s="351"/>
      <c r="N534" s="351"/>
      <c r="O534" s="351"/>
      <c r="P534" s="351"/>
      <c r="Q534" s="351"/>
      <c r="R534" s="351"/>
      <c r="S534" s="351"/>
      <c r="T534" s="351"/>
      <c r="U534" s="351"/>
      <c r="V534" s="351"/>
      <c r="W534" s="351"/>
      <c r="X534" s="359"/>
      <c r="Y534" s="359"/>
      <c r="Z534" s="359"/>
      <c r="AA534" s="351"/>
      <c r="AB534" s="351"/>
      <c r="AC534" s="359"/>
      <c r="AD534" s="359"/>
      <c r="AE534" s="351"/>
      <c r="AF534" s="333"/>
      <c r="AG534" s="333"/>
      <c r="AH534" s="351"/>
      <c r="AI534" s="351"/>
      <c r="AJ534" s="351"/>
      <c r="AK534" s="351"/>
      <c r="AL534" s="351"/>
      <c r="AM534" s="351"/>
      <c r="AN534" s="351"/>
      <c r="AO534" s="351"/>
      <c r="AP534" s="351"/>
      <c r="AQ534" s="351"/>
      <c r="AR534" s="351"/>
      <c r="AS534" s="351"/>
      <c r="AT534" s="351"/>
      <c r="AU534" s="351"/>
      <c r="AV534" s="351"/>
      <c r="AW534" s="351"/>
      <c r="AX534" s="351"/>
      <c r="AY534" s="351"/>
    </row>
    <row r="535" spans="1:51" ht="13">
      <c r="A535" s="333"/>
      <c r="B535" s="351"/>
      <c r="C535" s="351"/>
      <c r="D535" s="333"/>
      <c r="E535" s="333"/>
      <c r="F535" s="333"/>
      <c r="G535" s="359"/>
      <c r="H535" s="359"/>
      <c r="I535" s="351"/>
      <c r="J535" s="359"/>
      <c r="K535" s="359"/>
      <c r="L535" s="359"/>
      <c r="M535" s="351"/>
      <c r="N535" s="351"/>
      <c r="O535" s="351"/>
      <c r="P535" s="351"/>
      <c r="Q535" s="351"/>
      <c r="R535" s="351"/>
      <c r="S535" s="351"/>
      <c r="T535" s="351"/>
      <c r="U535" s="351"/>
      <c r="V535" s="351"/>
      <c r="W535" s="351"/>
      <c r="X535" s="359"/>
      <c r="Y535" s="359"/>
      <c r="Z535" s="359"/>
      <c r="AA535" s="351"/>
      <c r="AB535" s="351"/>
      <c r="AC535" s="359"/>
      <c r="AD535" s="359"/>
      <c r="AE535" s="351"/>
      <c r="AF535" s="333"/>
      <c r="AG535" s="333"/>
      <c r="AH535" s="351"/>
      <c r="AI535" s="351"/>
      <c r="AJ535" s="351"/>
      <c r="AK535" s="351"/>
      <c r="AL535" s="351"/>
      <c r="AM535" s="351"/>
      <c r="AN535" s="351"/>
      <c r="AO535" s="351"/>
      <c r="AP535" s="351"/>
      <c r="AQ535" s="351"/>
      <c r="AR535" s="351"/>
      <c r="AS535" s="351"/>
      <c r="AT535" s="351"/>
      <c r="AU535" s="351"/>
      <c r="AV535" s="351"/>
      <c r="AW535" s="351"/>
      <c r="AX535" s="351"/>
      <c r="AY535" s="351"/>
    </row>
    <row r="536" spans="1:51" ht="13">
      <c r="A536" s="333"/>
      <c r="B536" s="351"/>
      <c r="C536" s="351"/>
      <c r="D536" s="333"/>
      <c r="E536" s="333"/>
      <c r="F536" s="333"/>
      <c r="G536" s="359"/>
      <c r="H536" s="359"/>
      <c r="I536" s="351"/>
      <c r="J536" s="359"/>
      <c r="K536" s="359"/>
      <c r="L536" s="359"/>
      <c r="M536" s="351"/>
      <c r="N536" s="351"/>
      <c r="O536" s="351"/>
      <c r="P536" s="351"/>
      <c r="Q536" s="351"/>
      <c r="R536" s="351"/>
      <c r="S536" s="351"/>
      <c r="T536" s="351"/>
      <c r="U536" s="351"/>
      <c r="V536" s="351"/>
      <c r="W536" s="351"/>
      <c r="X536" s="359"/>
      <c r="Y536" s="359"/>
      <c r="Z536" s="359"/>
      <c r="AA536" s="351"/>
      <c r="AB536" s="351"/>
      <c r="AC536" s="359"/>
      <c r="AD536" s="359"/>
      <c r="AE536" s="351"/>
      <c r="AF536" s="333"/>
      <c r="AG536" s="333"/>
      <c r="AH536" s="351"/>
      <c r="AI536" s="351"/>
      <c r="AJ536" s="351"/>
      <c r="AK536" s="351"/>
      <c r="AL536" s="351"/>
      <c r="AM536" s="351"/>
      <c r="AN536" s="351"/>
      <c r="AO536" s="351"/>
      <c r="AP536" s="351"/>
      <c r="AQ536" s="351"/>
      <c r="AR536" s="351"/>
      <c r="AS536" s="351"/>
      <c r="AT536" s="351"/>
      <c r="AU536" s="351"/>
      <c r="AV536" s="351"/>
      <c r="AW536" s="351"/>
      <c r="AX536" s="351"/>
      <c r="AY536" s="351"/>
    </row>
    <row r="537" spans="1:51" ht="13">
      <c r="A537" s="333"/>
      <c r="B537" s="351"/>
      <c r="C537" s="351"/>
      <c r="D537" s="333"/>
      <c r="E537" s="333"/>
      <c r="F537" s="333"/>
      <c r="G537" s="359"/>
      <c r="H537" s="359"/>
      <c r="I537" s="351"/>
      <c r="J537" s="359"/>
      <c r="K537" s="359"/>
      <c r="L537" s="359"/>
      <c r="M537" s="351"/>
      <c r="N537" s="351"/>
      <c r="O537" s="351"/>
      <c r="P537" s="351"/>
      <c r="Q537" s="351"/>
      <c r="R537" s="351"/>
      <c r="S537" s="351"/>
      <c r="T537" s="351"/>
      <c r="U537" s="351"/>
      <c r="V537" s="351"/>
      <c r="W537" s="351"/>
      <c r="X537" s="359"/>
      <c r="Y537" s="359"/>
      <c r="Z537" s="359"/>
      <c r="AA537" s="351"/>
      <c r="AB537" s="351"/>
      <c r="AC537" s="359"/>
      <c r="AD537" s="359"/>
      <c r="AE537" s="351"/>
      <c r="AF537" s="333"/>
      <c r="AG537" s="333"/>
      <c r="AH537" s="351"/>
      <c r="AI537" s="351"/>
      <c r="AJ537" s="351"/>
      <c r="AK537" s="351"/>
      <c r="AL537" s="351"/>
      <c r="AM537" s="351"/>
      <c r="AN537" s="351"/>
      <c r="AO537" s="351"/>
      <c r="AP537" s="351"/>
      <c r="AQ537" s="351"/>
      <c r="AR537" s="351"/>
      <c r="AS537" s="351"/>
      <c r="AT537" s="351"/>
      <c r="AU537" s="351"/>
      <c r="AV537" s="351"/>
      <c r="AW537" s="351"/>
      <c r="AX537" s="351"/>
      <c r="AY537" s="351"/>
    </row>
    <row r="538" spans="1:51" ht="13">
      <c r="A538" s="333"/>
      <c r="B538" s="351"/>
      <c r="C538" s="351"/>
      <c r="D538" s="333"/>
      <c r="E538" s="333"/>
      <c r="F538" s="333"/>
      <c r="G538" s="359"/>
      <c r="H538" s="359"/>
      <c r="I538" s="351"/>
      <c r="J538" s="359"/>
      <c r="K538" s="359"/>
      <c r="L538" s="359"/>
      <c r="M538" s="351"/>
      <c r="N538" s="351"/>
      <c r="O538" s="351"/>
      <c r="P538" s="351"/>
      <c r="Q538" s="351"/>
      <c r="R538" s="351"/>
      <c r="S538" s="351"/>
      <c r="T538" s="351"/>
      <c r="U538" s="351"/>
      <c r="V538" s="351"/>
      <c r="W538" s="351"/>
      <c r="X538" s="359"/>
      <c r="Y538" s="359"/>
      <c r="Z538" s="359"/>
      <c r="AA538" s="351"/>
      <c r="AB538" s="351"/>
      <c r="AC538" s="359"/>
      <c r="AD538" s="359"/>
      <c r="AE538" s="351"/>
      <c r="AF538" s="333"/>
      <c r="AG538" s="333"/>
      <c r="AH538" s="351"/>
      <c r="AI538" s="351"/>
      <c r="AJ538" s="351"/>
      <c r="AK538" s="351"/>
      <c r="AL538" s="351"/>
      <c r="AM538" s="351"/>
      <c r="AN538" s="351"/>
      <c r="AO538" s="351"/>
      <c r="AP538" s="351"/>
      <c r="AQ538" s="351"/>
      <c r="AR538" s="351"/>
      <c r="AS538" s="351"/>
      <c r="AT538" s="351"/>
      <c r="AU538" s="351"/>
      <c r="AV538" s="351"/>
      <c r="AW538" s="351"/>
      <c r="AX538" s="351"/>
      <c r="AY538" s="351"/>
    </row>
    <row r="539" spans="1:51" ht="13">
      <c r="A539" s="333"/>
      <c r="B539" s="351"/>
      <c r="C539" s="351"/>
      <c r="D539" s="333"/>
      <c r="E539" s="333"/>
      <c r="F539" s="333"/>
      <c r="G539" s="359"/>
      <c r="H539" s="359"/>
      <c r="I539" s="351"/>
      <c r="J539" s="359"/>
      <c r="K539" s="359"/>
      <c r="L539" s="359"/>
      <c r="M539" s="351"/>
      <c r="N539" s="351"/>
      <c r="O539" s="351"/>
      <c r="P539" s="351"/>
      <c r="Q539" s="351"/>
      <c r="R539" s="351"/>
      <c r="S539" s="351"/>
      <c r="T539" s="351"/>
      <c r="U539" s="351"/>
      <c r="V539" s="351"/>
      <c r="W539" s="351"/>
      <c r="X539" s="359"/>
      <c r="Y539" s="359"/>
      <c r="Z539" s="359"/>
      <c r="AA539" s="351"/>
      <c r="AB539" s="351"/>
      <c r="AC539" s="359"/>
      <c r="AD539" s="359"/>
      <c r="AE539" s="351"/>
      <c r="AF539" s="333"/>
      <c r="AG539" s="333"/>
      <c r="AH539" s="351"/>
      <c r="AI539" s="351"/>
      <c r="AJ539" s="351"/>
      <c r="AK539" s="351"/>
      <c r="AL539" s="351"/>
      <c r="AM539" s="351"/>
      <c r="AN539" s="351"/>
      <c r="AO539" s="351"/>
      <c r="AP539" s="351"/>
      <c r="AQ539" s="351"/>
      <c r="AR539" s="351"/>
      <c r="AS539" s="351"/>
      <c r="AT539" s="351"/>
      <c r="AU539" s="351"/>
      <c r="AV539" s="351"/>
      <c r="AW539" s="351"/>
      <c r="AX539" s="351"/>
      <c r="AY539" s="351"/>
    </row>
    <row r="540" spans="1:51" ht="13">
      <c r="A540" s="333"/>
      <c r="B540" s="351"/>
      <c r="C540" s="351"/>
      <c r="D540" s="333"/>
      <c r="E540" s="333"/>
      <c r="F540" s="333"/>
      <c r="G540" s="359"/>
      <c r="H540" s="359"/>
      <c r="I540" s="351"/>
      <c r="J540" s="359"/>
      <c r="K540" s="359"/>
      <c r="L540" s="359"/>
      <c r="M540" s="351"/>
      <c r="N540" s="351"/>
      <c r="O540" s="351"/>
      <c r="P540" s="351"/>
      <c r="Q540" s="351"/>
      <c r="R540" s="351"/>
      <c r="S540" s="351"/>
      <c r="T540" s="351"/>
      <c r="U540" s="351"/>
      <c r="V540" s="351"/>
      <c r="W540" s="351"/>
      <c r="X540" s="359"/>
      <c r="Y540" s="359"/>
      <c r="Z540" s="359"/>
      <c r="AA540" s="351"/>
      <c r="AB540" s="351"/>
      <c r="AC540" s="359"/>
      <c r="AD540" s="359"/>
      <c r="AE540" s="351"/>
      <c r="AF540" s="333"/>
      <c r="AG540" s="333"/>
      <c r="AH540" s="351"/>
      <c r="AI540" s="351"/>
      <c r="AJ540" s="351"/>
      <c r="AK540" s="351"/>
      <c r="AL540" s="351"/>
      <c r="AM540" s="351"/>
      <c r="AN540" s="351"/>
      <c r="AO540" s="351"/>
      <c r="AP540" s="351"/>
      <c r="AQ540" s="351"/>
      <c r="AR540" s="351"/>
      <c r="AS540" s="351"/>
      <c r="AT540" s="351"/>
      <c r="AU540" s="351"/>
      <c r="AV540" s="351"/>
      <c r="AW540" s="351"/>
      <c r="AX540" s="351"/>
      <c r="AY540" s="351"/>
    </row>
    <row r="541" spans="1:51" ht="13">
      <c r="A541" s="333"/>
      <c r="B541" s="351"/>
      <c r="C541" s="351"/>
      <c r="D541" s="333"/>
      <c r="E541" s="333"/>
      <c r="F541" s="333"/>
      <c r="G541" s="359"/>
      <c r="H541" s="359"/>
      <c r="I541" s="351"/>
      <c r="J541" s="359"/>
      <c r="K541" s="359"/>
      <c r="L541" s="359"/>
      <c r="M541" s="351"/>
      <c r="N541" s="351"/>
      <c r="O541" s="351"/>
      <c r="P541" s="351"/>
      <c r="Q541" s="351"/>
      <c r="R541" s="351"/>
      <c r="S541" s="351"/>
      <c r="T541" s="351"/>
      <c r="U541" s="351"/>
      <c r="V541" s="351"/>
      <c r="W541" s="351"/>
      <c r="X541" s="359"/>
      <c r="Y541" s="359"/>
      <c r="Z541" s="359"/>
      <c r="AA541" s="351"/>
      <c r="AB541" s="351"/>
      <c r="AC541" s="359"/>
      <c r="AD541" s="359"/>
      <c r="AE541" s="351"/>
      <c r="AF541" s="333"/>
      <c r="AG541" s="333"/>
      <c r="AH541" s="351"/>
      <c r="AI541" s="351"/>
      <c r="AJ541" s="351"/>
      <c r="AK541" s="351"/>
      <c r="AL541" s="351"/>
      <c r="AM541" s="351"/>
      <c r="AN541" s="351"/>
      <c r="AO541" s="351"/>
      <c r="AP541" s="351"/>
      <c r="AQ541" s="351"/>
      <c r="AR541" s="351"/>
      <c r="AS541" s="351"/>
      <c r="AT541" s="351"/>
      <c r="AU541" s="351"/>
      <c r="AV541" s="351"/>
      <c r="AW541" s="351"/>
      <c r="AX541" s="351"/>
      <c r="AY541" s="351"/>
    </row>
    <row r="542" spans="1:51" ht="13">
      <c r="A542" s="333"/>
      <c r="B542" s="351"/>
      <c r="C542" s="351"/>
      <c r="D542" s="333"/>
      <c r="E542" s="333"/>
      <c r="F542" s="333"/>
      <c r="G542" s="359"/>
      <c r="H542" s="359"/>
      <c r="I542" s="351"/>
      <c r="J542" s="359"/>
      <c r="K542" s="359"/>
      <c r="L542" s="359"/>
      <c r="M542" s="351"/>
      <c r="N542" s="351"/>
      <c r="O542" s="351"/>
      <c r="P542" s="351"/>
      <c r="Q542" s="351"/>
      <c r="R542" s="351"/>
      <c r="S542" s="351"/>
      <c r="T542" s="351"/>
      <c r="U542" s="351"/>
      <c r="V542" s="351"/>
      <c r="W542" s="351"/>
      <c r="X542" s="359"/>
      <c r="Y542" s="359"/>
      <c r="Z542" s="359"/>
      <c r="AA542" s="351"/>
      <c r="AB542" s="351"/>
      <c r="AC542" s="359"/>
      <c r="AD542" s="359"/>
      <c r="AE542" s="351"/>
      <c r="AF542" s="333"/>
      <c r="AG542" s="333"/>
      <c r="AH542" s="351"/>
      <c r="AI542" s="351"/>
      <c r="AJ542" s="351"/>
      <c r="AK542" s="351"/>
      <c r="AL542" s="351"/>
      <c r="AM542" s="351"/>
      <c r="AN542" s="351"/>
      <c r="AO542" s="351"/>
      <c r="AP542" s="351"/>
      <c r="AQ542" s="351"/>
      <c r="AR542" s="351"/>
      <c r="AS542" s="351"/>
      <c r="AT542" s="351"/>
      <c r="AU542" s="351"/>
      <c r="AV542" s="351"/>
      <c r="AW542" s="351"/>
      <c r="AX542" s="351"/>
      <c r="AY542" s="351"/>
    </row>
    <row r="543" spans="1:51" ht="13">
      <c r="A543" s="333"/>
      <c r="B543" s="351"/>
      <c r="C543" s="351"/>
      <c r="D543" s="333"/>
      <c r="E543" s="333"/>
      <c r="F543" s="333"/>
      <c r="G543" s="359"/>
      <c r="H543" s="359"/>
      <c r="I543" s="351"/>
      <c r="J543" s="359"/>
      <c r="K543" s="359"/>
      <c r="L543" s="359"/>
      <c r="M543" s="351"/>
      <c r="N543" s="351"/>
      <c r="O543" s="351"/>
      <c r="P543" s="351"/>
      <c r="Q543" s="351"/>
      <c r="R543" s="351"/>
      <c r="S543" s="351"/>
      <c r="T543" s="351"/>
      <c r="U543" s="351"/>
      <c r="V543" s="351"/>
      <c r="W543" s="351"/>
      <c r="X543" s="359"/>
      <c r="Y543" s="359"/>
      <c r="Z543" s="359"/>
      <c r="AA543" s="351"/>
      <c r="AB543" s="351"/>
      <c r="AC543" s="359"/>
      <c r="AD543" s="359"/>
      <c r="AE543" s="351"/>
      <c r="AF543" s="333"/>
      <c r="AG543" s="333"/>
      <c r="AH543" s="351"/>
      <c r="AI543" s="351"/>
      <c r="AJ543" s="351"/>
      <c r="AK543" s="351"/>
      <c r="AL543" s="351"/>
      <c r="AM543" s="351"/>
      <c r="AN543" s="351"/>
      <c r="AO543" s="351"/>
      <c r="AP543" s="351"/>
      <c r="AQ543" s="351"/>
      <c r="AR543" s="351"/>
      <c r="AS543" s="351"/>
      <c r="AT543" s="351"/>
      <c r="AU543" s="351"/>
      <c r="AV543" s="351"/>
      <c r="AW543" s="351"/>
      <c r="AX543" s="351"/>
      <c r="AY543" s="351"/>
    </row>
    <row r="544" spans="1:51" ht="13">
      <c r="A544" s="333"/>
      <c r="B544" s="351"/>
      <c r="C544" s="351"/>
      <c r="D544" s="333"/>
      <c r="E544" s="333"/>
      <c r="F544" s="333"/>
      <c r="G544" s="359"/>
      <c r="H544" s="359"/>
      <c r="I544" s="351"/>
      <c r="J544" s="359"/>
      <c r="K544" s="359"/>
      <c r="L544" s="359"/>
      <c r="M544" s="351"/>
      <c r="N544" s="351"/>
      <c r="O544" s="351"/>
      <c r="P544" s="351"/>
      <c r="Q544" s="351"/>
      <c r="R544" s="351"/>
      <c r="S544" s="351"/>
      <c r="T544" s="351"/>
      <c r="U544" s="351"/>
      <c r="V544" s="351"/>
      <c r="W544" s="351"/>
      <c r="X544" s="359"/>
      <c r="Y544" s="359"/>
      <c r="Z544" s="359"/>
      <c r="AA544" s="351"/>
      <c r="AB544" s="351"/>
      <c r="AC544" s="359"/>
      <c r="AD544" s="359"/>
      <c r="AE544" s="351"/>
      <c r="AF544" s="333"/>
      <c r="AG544" s="333"/>
      <c r="AH544" s="351"/>
      <c r="AI544" s="351"/>
      <c r="AJ544" s="351"/>
      <c r="AK544" s="351"/>
      <c r="AL544" s="351"/>
      <c r="AM544" s="351"/>
      <c r="AN544" s="351"/>
      <c r="AO544" s="351"/>
      <c r="AP544" s="351"/>
      <c r="AQ544" s="351"/>
      <c r="AR544" s="351"/>
      <c r="AS544" s="351"/>
      <c r="AT544" s="351"/>
      <c r="AU544" s="351"/>
      <c r="AV544" s="351"/>
      <c r="AW544" s="351"/>
      <c r="AX544" s="351"/>
      <c r="AY544" s="351"/>
    </row>
    <row r="545" spans="1:51" ht="13">
      <c r="A545" s="333"/>
      <c r="B545" s="351"/>
      <c r="C545" s="351"/>
      <c r="D545" s="333"/>
      <c r="E545" s="333"/>
      <c r="F545" s="333"/>
      <c r="G545" s="359"/>
      <c r="H545" s="359"/>
      <c r="I545" s="351"/>
      <c r="J545" s="359"/>
      <c r="K545" s="359"/>
      <c r="L545" s="359"/>
      <c r="M545" s="351"/>
      <c r="N545" s="351"/>
      <c r="O545" s="351"/>
      <c r="P545" s="351"/>
      <c r="Q545" s="351"/>
      <c r="R545" s="351"/>
      <c r="S545" s="351"/>
      <c r="T545" s="351"/>
      <c r="U545" s="351"/>
      <c r="V545" s="351"/>
      <c r="W545" s="351"/>
      <c r="X545" s="359"/>
      <c r="Y545" s="359"/>
      <c r="Z545" s="359"/>
      <c r="AA545" s="351"/>
      <c r="AB545" s="351"/>
      <c r="AC545" s="359"/>
      <c r="AD545" s="359"/>
      <c r="AE545" s="351"/>
      <c r="AF545" s="333"/>
      <c r="AG545" s="333"/>
      <c r="AH545" s="351"/>
      <c r="AI545" s="351"/>
      <c r="AJ545" s="351"/>
      <c r="AK545" s="351"/>
      <c r="AL545" s="351"/>
      <c r="AM545" s="351"/>
      <c r="AN545" s="351"/>
      <c r="AO545" s="351"/>
      <c r="AP545" s="351"/>
      <c r="AQ545" s="351"/>
      <c r="AR545" s="351"/>
      <c r="AS545" s="351"/>
      <c r="AT545" s="351"/>
      <c r="AU545" s="351"/>
      <c r="AV545" s="351"/>
      <c r="AW545" s="351"/>
      <c r="AX545" s="351"/>
      <c r="AY545" s="351"/>
    </row>
    <row r="546" spans="1:51" ht="13">
      <c r="A546" s="333"/>
      <c r="B546" s="351"/>
      <c r="C546" s="351"/>
      <c r="D546" s="333"/>
      <c r="E546" s="333"/>
      <c r="F546" s="333"/>
      <c r="G546" s="359"/>
      <c r="H546" s="359"/>
      <c r="I546" s="351"/>
      <c r="J546" s="359"/>
      <c r="K546" s="359"/>
      <c r="L546" s="359"/>
      <c r="M546" s="351"/>
      <c r="N546" s="351"/>
      <c r="O546" s="351"/>
      <c r="P546" s="351"/>
      <c r="Q546" s="351"/>
      <c r="R546" s="351"/>
      <c r="S546" s="351"/>
      <c r="T546" s="351"/>
      <c r="U546" s="351"/>
      <c r="V546" s="351"/>
      <c r="W546" s="351"/>
      <c r="X546" s="359"/>
      <c r="Y546" s="359"/>
      <c r="Z546" s="359"/>
      <c r="AA546" s="351"/>
      <c r="AB546" s="351"/>
      <c r="AC546" s="359"/>
      <c r="AD546" s="359"/>
      <c r="AE546" s="351"/>
      <c r="AF546" s="333"/>
      <c r="AG546" s="333"/>
      <c r="AH546" s="351"/>
      <c r="AI546" s="351"/>
      <c r="AJ546" s="351"/>
      <c r="AK546" s="351"/>
      <c r="AL546" s="351"/>
      <c r="AM546" s="351"/>
      <c r="AN546" s="351"/>
      <c r="AO546" s="351"/>
      <c r="AP546" s="351"/>
      <c r="AQ546" s="351"/>
      <c r="AR546" s="351"/>
      <c r="AS546" s="351"/>
      <c r="AT546" s="351"/>
      <c r="AU546" s="351"/>
      <c r="AV546" s="351"/>
      <c r="AW546" s="351"/>
      <c r="AX546" s="351"/>
      <c r="AY546" s="351"/>
    </row>
    <row r="547" spans="1:51" ht="13">
      <c r="A547" s="333"/>
      <c r="B547" s="351"/>
      <c r="C547" s="351"/>
      <c r="D547" s="333"/>
      <c r="E547" s="333"/>
      <c r="F547" s="333"/>
      <c r="G547" s="359"/>
      <c r="H547" s="359"/>
      <c r="I547" s="351"/>
      <c r="J547" s="359"/>
      <c r="K547" s="359"/>
      <c r="L547" s="359"/>
      <c r="M547" s="351"/>
      <c r="N547" s="351"/>
      <c r="O547" s="351"/>
      <c r="P547" s="351"/>
      <c r="Q547" s="351"/>
      <c r="R547" s="351"/>
      <c r="S547" s="351"/>
      <c r="T547" s="351"/>
      <c r="U547" s="351"/>
      <c r="V547" s="351"/>
      <c r="W547" s="351"/>
      <c r="X547" s="359"/>
      <c r="Y547" s="359"/>
      <c r="Z547" s="359"/>
      <c r="AA547" s="351"/>
      <c r="AB547" s="351"/>
      <c r="AC547" s="359"/>
      <c r="AD547" s="359"/>
      <c r="AE547" s="351"/>
      <c r="AF547" s="333"/>
      <c r="AG547" s="333"/>
      <c r="AH547" s="351"/>
      <c r="AI547" s="351"/>
      <c r="AJ547" s="351"/>
      <c r="AK547" s="351"/>
      <c r="AL547" s="351"/>
      <c r="AM547" s="351"/>
      <c r="AN547" s="351"/>
      <c r="AO547" s="351"/>
      <c r="AP547" s="351"/>
      <c r="AQ547" s="351"/>
      <c r="AR547" s="351"/>
      <c r="AS547" s="351"/>
      <c r="AT547" s="351"/>
      <c r="AU547" s="351"/>
      <c r="AV547" s="351"/>
      <c r="AW547" s="351"/>
      <c r="AX547" s="351"/>
      <c r="AY547" s="351"/>
    </row>
    <row r="548" spans="1:51" ht="13">
      <c r="A548" s="333"/>
      <c r="B548" s="351"/>
      <c r="C548" s="351"/>
      <c r="D548" s="333"/>
      <c r="E548" s="333"/>
      <c r="F548" s="333"/>
      <c r="G548" s="359"/>
      <c r="H548" s="359"/>
      <c r="I548" s="351"/>
      <c r="J548" s="359"/>
      <c r="K548" s="359"/>
      <c r="L548" s="359"/>
      <c r="M548" s="351"/>
      <c r="N548" s="351"/>
      <c r="O548" s="351"/>
      <c r="P548" s="351"/>
      <c r="Q548" s="351"/>
      <c r="R548" s="351"/>
      <c r="S548" s="351"/>
      <c r="T548" s="351"/>
      <c r="U548" s="351"/>
      <c r="V548" s="351"/>
      <c r="W548" s="351"/>
      <c r="X548" s="359"/>
      <c r="Y548" s="359"/>
      <c r="Z548" s="359"/>
      <c r="AA548" s="351"/>
      <c r="AB548" s="351"/>
      <c r="AC548" s="359"/>
      <c r="AD548" s="359"/>
      <c r="AE548" s="351"/>
      <c r="AF548" s="333"/>
      <c r="AG548" s="333"/>
      <c r="AH548" s="351"/>
      <c r="AI548" s="351"/>
      <c r="AJ548" s="351"/>
      <c r="AK548" s="351"/>
      <c r="AL548" s="351"/>
      <c r="AM548" s="351"/>
      <c r="AN548" s="351"/>
      <c r="AO548" s="351"/>
      <c r="AP548" s="351"/>
      <c r="AQ548" s="351"/>
      <c r="AR548" s="351"/>
      <c r="AS548" s="351"/>
      <c r="AT548" s="351"/>
      <c r="AU548" s="351"/>
      <c r="AV548" s="351"/>
      <c r="AW548" s="351"/>
      <c r="AX548" s="351"/>
      <c r="AY548" s="351"/>
    </row>
    <row r="549" spans="1:51" ht="13">
      <c r="A549" s="333"/>
      <c r="B549" s="351"/>
      <c r="C549" s="351"/>
      <c r="D549" s="333"/>
      <c r="E549" s="333"/>
      <c r="F549" s="333"/>
      <c r="G549" s="359"/>
      <c r="H549" s="359"/>
      <c r="I549" s="351"/>
      <c r="J549" s="359"/>
      <c r="K549" s="359"/>
      <c r="L549" s="359"/>
      <c r="M549" s="351"/>
      <c r="N549" s="351"/>
      <c r="O549" s="351"/>
      <c r="P549" s="351"/>
      <c r="Q549" s="351"/>
      <c r="R549" s="351"/>
      <c r="S549" s="351"/>
      <c r="T549" s="351"/>
      <c r="U549" s="351"/>
      <c r="V549" s="351"/>
      <c r="W549" s="351"/>
      <c r="X549" s="359"/>
      <c r="Y549" s="359"/>
      <c r="Z549" s="359"/>
      <c r="AA549" s="351"/>
      <c r="AB549" s="351"/>
      <c r="AC549" s="359"/>
      <c r="AD549" s="359"/>
      <c r="AE549" s="351"/>
      <c r="AF549" s="333"/>
      <c r="AG549" s="333"/>
      <c r="AH549" s="351"/>
      <c r="AI549" s="351"/>
      <c r="AJ549" s="351"/>
      <c r="AK549" s="351"/>
      <c r="AL549" s="351"/>
      <c r="AM549" s="351"/>
      <c r="AN549" s="351"/>
      <c r="AO549" s="351"/>
      <c r="AP549" s="351"/>
      <c r="AQ549" s="351"/>
      <c r="AR549" s="351"/>
      <c r="AS549" s="351"/>
      <c r="AT549" s="351"/>
      <c r="AU549" s="351"/>
      <c r="AV549" s="351"/>
      <c r="AW549" s="351"/>
      <c r="AX549" s="351"/>
      <c r="AY549" s="351"/>
    </row>
    <row r="550" spans="1:51" ht="13">
      <c r="A550" s="333"/>
      <c r="B550" s="351"/>
      <c r="C550" s="351"/>
      <c r="D550" s="333"/>
      <c r="E550" s="333"/>
      <c r="F550" s="333"/>
      <c r="G550" s="359"/>
      <c r="H550" s="359"/>
      <c r="I550" s="351"/>
      <c r="J550" s="359"/>
      <c r="K550" s="359"/>
      <c r="L550" s="359"/>
      <c r="M550" s="351"/>
      <c r="N550" s="351"/>
      <c r="O550" s="351"/>
      <c r="P550" s="351"/>
      <c r="Q550" s="351"/>
      <c r="R550" s="351"/>
      <c r="S550" s="351"/>
      <c r="T550" s="351"/>
      <c r="U550" s="351"/>
      <c r="V550" s="351"/>
      <c r="W550" s="351"/>
      <c r="X550" s="359"/>
      <c r="Y550" s="359"/>
      <c r="Z550" s="359"/>
      <c r="AA550" s="351"/>
      <c r="AB550" s="351"/>
      <c r="AC550" s="359"/>
      <c r="AD550" s="359"/>
      <c r="AE550" s="351"/>
      <c r="AF550" s="333"/>
      <c r="AG550" s="333"/>
      <c r="AH550" s="351"/>
      <c r="AI550" s="351"/>
      <c r="AJ550" s="351"/>
      <c r="AK550" s="351"/>
      <c r="AL550" s="351"/>
      <c r="AM550" s="351"/>
      <c r="AN550" s="351"/>
      <c r="AO550" s="351"/>
      <c r="AP550" s="351"/>
      <c r="AQ550" s="351"/>
      <c r="AR550" s="351"/>
      <c r="AS550" s="351"/>
      <c r="AT550" s="351"/>
      <c r="AU550" s="351"/>
      <c r="AV550" s="351"/>
      <c r="AW550" s="351"/>
      <c r="AX550" s="351"/>
      <c r="AY550" s="351"/>
    </row>
    <row r="551" spans="1:51" ht="13">
      <c r="A551" s="333"/>
      <c r="B551" s="351"/>
      <c r="C551" s="351"/>
      <c r="D551" s="333"/>
      <c r="E551" s="333"/>
      <c r="F551" s="333"/>
      <c r="G551" s="359"/>
      <c r="H551" s="359"/>
      <c r="I551" s="351"/>
      <c r="J551" s="359"/>
      <c r="K551" s="359"/>
      <c r="L551" s="359"/>
      <c r="M551" s="351"/>
      <c r="N551" s="351"/>
      <c r="O551" s="351"/>
      <c r="P551" s="351"/>
      <c r="Q551" s="351"/>
      <c r="R551" s="351"/>
      <c r="S551" s="351"/>
      <c r="T551" s="351"/>
      <c r="U551" s="351"/>
      <c r="V551" s="351"/>
      <c r="W551" s="351"/>
      <c r="X551" s="359"/>
      <c r="Y551" s="359"/>
      <c r="Z551" s="359"/>
      <c r="AA551" s="351"/>
      <c r="AB551" s="351"/>
      <c r="AC551" s="359"/>
      <c r="AD551" s="359"/>
      <c r="AE551" s="351"/>
      <c r="AF551" s="333"/>
      <c r="AG551" s="333"/>
      <c r="AH551" s="351"/>
      <c r="AI551" s="351"/>
      <c r="AJ551" s="351"/>
      <c r="AK551" s="351"/>
      <c r="AL551" s="351"/>
      <c r="AM551" s="351"/>
      <c r="AN551" s="351"/>
      <c r="AO551" s="351"/>
      <c r="AP551" s="351"/>
      <c r="AQ551" s="351"/>
      <c r="AR551" s="351"/>
      <c r="AS551" s="351"/>
      <c r="AT551" s="351"/>
      <c r="AU551" s="351"/>
      <c r="AV551" s="351"/>
      <c r="AW551" s="351"/>
      <c r="AX551" s="351"/>
      <c r="AY551" s="351"/>
    </row>
    <row r="552" spans="1:51" ht="13">
      <c r="A552" s="333"/>
      <c r="B552" s="351"/>
      <c r="C552" s="351"/>
      <c r="D552" s="333"/>
      <c r="E552" s="333"/>
      <c r="F552" s="333"/>
      <c r="G552" s="359"/>
      <c r="H552" s="359"/>
      <c r="I552" s="351"/>
      <c r="J552" s="359"/>
      <c r="K552" s="359"/>
      <c r="L552" s="359"/>
      <c r="M552" s="351"/>
      <c r="N552" s="351"/>
      <c r="O552" s="351"/>
      <c r="P552" s="351"/>
      <c r="Q552" s="351"/>
      <c r="R552" s="351"/>
      <c r="S552" s="351"/>
      <c r="T552" s="351"/>
      <c r="U552" s="351"/>
      <c r="V552" s="351"/>
      <c r="W552" s="351"/>
      <c r="X552" s="359"/>
      <c r="Y552" s="359"/>
      <c r="Z552" s="359"/>
      <c r="AA552" s="351"/>
      <c r="AB552" s="351"/>
      <c r="AC552" s="359"/>
      <c r="AD552" s="359"/>
      <c r="AE552" s="351"/>
      <c r="AF552" s="333"/>
      <c r="AG552" s="333"/>
      <c r="AH552" s="351"/>
      <c r="AI552" s="351"/>
      <c r="AJ552" s="351"/>
      <c r="AK552" s="351"/>
      <c r="AL552" s="351"/>
      <c r="AM552" s="351"/>
      <c r="AN552" s="351"/>
      <c r="AO552" s="351"/>
      <c r="AP552" s="351"/>
      <c r="AQ552" s="351"/>
      <c r="AR552" s="351"/>
      <c r="AS552" s="351"/>
      <c r="AT552" s="351"/>
      <c r="AU552" s="351"/>
      <c r="AV552" s="351"/>
      <c r="AW552" s="351"/>
      <c r="AX552" s="351"/>
      <c r="AY552" s="351"/>
    </row>
    <row r="553" spans="1:51" ht="13">
      <c r="A553" s="333"/>
      <c r="B553" s="351"/>
      <c r="C553" s="351"/>
      <c r="D553" s="333"/>
      <c r="E553" s="333"/>
      <c r="F553" s="333"/>
      <c r="G553" s="359"/>
      <c r="H553" s="359"/>
      <c r="I553" s="351"/>
      <c r="J553" s="359"/>
      <c r="K553" s="359"/>
      <c r="L553" s="359"/>
      <c r="M553" s="351"/>
      <c r="N553" s="351"/>
      <c r="O553" s="351"/>
      <c r="P553" s="351"/>
      <c r="Q553" s="351"/>
      <c r="R553" s="351"/>
      <c r="S553" s="351"/>
      <c r="T553" s="351"/>
      <c r="U553" s="351"/>
      <c r="V553" s="351"/>
      <c r="W553" s="351"/>
      <c r="X553" s="359"/>
      <c r="Y553" s="359"/>
      <c r="Z553" s="359"/>
      <c r="AA553" s="351"/>
      <c r="AB553" s="351"/>
      <c r="AC553" s="359"/>
      <c r="AD553" s="359"/>
      <c r="AE553" s="351"/>
      <c r="AF553" s="333"/>
      <c r="AG553" s="333"/>
      <c r="AH553" s="351"/>
      <c r="AI553" s="351"/>
      <c r="AJ553" s="351"/>
      <c r="AK553" s="351"/>
      <c r="AL553" s="351"/>
      <c r="AM553" s="351"/>
      <c r="AN553" s="351"/>
      <c r="AO553" s="351"/>
      <c r="AP553" s="351"/>
      <c r="AQ553" s="351"/>
      <c r="AR553" s="351"/>
      <c r="AS553" s="351"/>
      <c r="AT553" s="351"/>
      <c r="AU553" s="351"/>
      <c r="AV553" s="351"/>
      <c r="AW553" s="351"/>
      <c r="AX553" s="351"/>
      <c r="AY553" s="351"/>
    </row>
    <row r="554" spans="1:51" ht="13">
      <c r="A554" s="333"/>
      <c r="B554" s="351"/>
      <c r="C554" s="351"/>
      <c r="D554" s="333"/>
      <c r="E554" s="333"/>
      <c r="F554" s="333"/>
      <c r="G554" s="359"/>
      <c r="H554" s="359"/>
      <c r="I554" s="351"/>
      <c r="J554" s="359"/>
      <c r="K554" s="359"/>
      <c r="L554" s="359"/>
      <c r="M554" s="351"/>
      <c r="N554" s="351"/>
      <c r="O554" s="351"/>
      <c r="P554" s="351"/>
      <c r="Q554" s="351"/>
      <c r="R554" s="351"/>
      <c r="S554" s="351"/>
      <c r="T554" s="351"/>
      <c r="U554" s="351"/>
      <c r="V554" s="351"/>
      <c r="W554" s="351"/>
      <c r="X554" s="359"/>
      <c r="Y554" s="359"/>
      <c r="Z554" s="359"/>
      <c r="AA554" s="351"/>
      <c r="AB554" s="351"/>
      <c r="AC554" s="359"/>
      <c r="AD554" s="359"/>
      <c r="AE554" s="351"/>
      <c r="AF554" s="333"/>
      <c r="AG554" s="333"/>
      <c r="AH554" s="351"/>
      <c r="AI554" s="351"/>
      <c r="AJ554" s="351"/>
      <c r="AK554" s="351"/>
      <c r="AL554" s="351"/>
      <c r="AM554" s="351"/>
      <c r="AN554" s="351"/>
      <c r="AO554" s="351"/>
      <c r="AP554" s="351"/>
      <c r="AQ554" s="351"/>
      <c r="AR554" s="351"/>
      <c r="AS554" s="351"/>
      <c r="AT554" s="351"/>
      <c r="AU554" s="351"/>
      <c r="AV554" s="351"/>
      <c r="AW554" s="351"/>
      <c r="AX554" s="351"/>
      <c r="AY554" s="351"/>
    </row>
    <row r="555" spans="1:51" ht="13">
      <c r="A555" s="333"/>
      <c r="B555" s="351"/>
      <c r="C555" s="351"/>
      <c r="D555" s="333"/>
      <c r="E555" s="333"/>
      <c r="F555" s="333"/>
      <c r="G555" s="359"/>
      <c r="H555" s="359"/>
      <c r="I555" s="351"/>
      <c r="J555" s="359"/>
      <c r="K555" s="359"/>
      <c r="L555" s="359"/>
      <c r="M555" s="351"/>
      <c r="N555" s="351"/>
      <c r="O555" s="351"/>
      <c r="P555" s="351"/>
      <c r="Q555" s="351"/>
      <c r="R555" s="351"/>
      <c r="S555" s="351"/>
      <c r="T555" s="351"/>
      <c r="U555" s="351"/>
      <c r="V555" s="351"/>
      <c r="W555" s="351"/>
      <c r="X555" s="359"/>
      <c r="Y555" s="359"/>
      <c r="Z555" s="359"/>
      <c r="AA555" s="351"/>
      <c r="AB555" s="351"/>
      <c r="AC555" s="359"/>
      <c r="AD555" s="359"/>
      <c r="AE555" s="351"/>
      <c r="AF555" s="333"/>
      <c r="AG555" s="333"/>
      <c r="AH555" s="351"/>
      <c r="AI555" s="351"/>
      <c r="AJ555" s="351"/>
      <c r="AK555" s="351"/>
      <c r="AL555" s="351"/>
      <c r="AM555" s="351"/>
      <c r="AN555" s="351"/>
      <c r="AO555" s="351"/>
      <c r="AP555" s="351"/>
      <c r="AQ555" s="351"/>
      <c r="AR555" s="351"/>
      <c r="AS555" s="351"/>
      <c r="AT555" s="351"/>
      <c r="AU555" s="351"/>
      <c r="AV555" s="351"/>
      <c r="AW555" s="351"/>
      <c r="AX555" s="351"/>
      <c r="AY555" s="351"/>
    </row>
    <row r="556" spans="1:51" ht="13">
      <c r="A556" s="333"/>
      <c r="B556" s="351"/>
      <c r="C556" s="351"/>
      <c r="D556" s="333"/>
      <c r="E556" s="333"/>
      <c r="F556" s="333"/>
      <c r="G556" s="359"/>
      <c r="H556" s="359"/>
      <c r="I556" s="351"/>
      <c r="J556" s="359"/>
      <c r="K556" s="359"/>
      <c r="L556" s="359"/>
      <c r="M556" s="351"/>
      <c r="N556" s="351"/>
      <c r="O556" s="351"/>
      <c r="P556" s="351"/>
      <c r="Q556" s="351"/>
      <c r="R556" s="351"/>
      <c r="S556" s="351"/>
      <c r="T556" s="351"/>
      <c r="U556" s="351"/>
      <c r="V556" s="351"/>
      <c r="W556" s="351"/>
      <c r="X556" s="359"/>
      <c r="Y556" s="359"/>
      <c r="Z556" s="359"/>
      <c r="AA556" s="351"/>
      <c r="AB556" s="351"/>
      <c r="AC556" s="359"/>
      <c r="AD556" s="359"/>
      <c r="AE556" s="351"/>
      <c r="AF556" s="333"/>
      <c r="AG556" s="333"/>
      <c r="AH556" s="351"/>
      <c r="AI556" s="351"/>
      <c r="AJ556" s="351"/>
      <c r="AK556" s="351"/>
      <c r="AL556" s="351"/>
      <c r="AM556" s="351"/>
      <c r="AN556" s="351"/>
      <c r="AO556" s="351"/>
      <c r="AP556" s="351"/>
      <c r="AQ556" s="351"/>
      <c r="AR556" s="351"/>
      <c r="AS556" s="351"/>
      <c r="AT556" s="351"/>
      <c r="AU556" s="351"/>
      <c r="AV556" s="351"/>
      <c r="AW556" s="351"/>
      <c r="AX556" s="351"/>
      <c r="AY556" s="351"/>
    </row>
    <row r="557" spans="1:51" ht="13">
      <c r="A557" s="333"/>
      <c r="B557" s="351"/>
      <c r="C557" s="351"/>
      <c r="D557" s="333"/>
      <c r="E557" s="333"/>
      <c r="F557" s="333"/>
      <c r="G557" s="359"/>
      <c r="H557" s="359"/>
      <c r="I557" s="351"/>
      <c r="J557" s="359"/>
      <c r="K557" s="359"/>
      <c r="L557" s="359"/>
      <c r="M557" s="351"/>
      <c r="N557" s="351"/>
      <c r="O557" s="351"/>
      <c r="P557" s="351"/>
      <c r="Q557" s="351"/>
      <c r="R557" s="351"/>
      <c r="S557" s="351"/>
      <c r="T557" s="351"/>
      <c r="U557" s="351"/>
      <c r="V557" s="351"/>
      <c r="W557" s="351"/>
      <c r="X557" s="359"/>
      <c r="Y557" s="359"/>
      <c r="Z557" s="359"/>
      <c r="AA557" s="351"/>
      <c r="AB557" s="351"/>
      <c r="AC557" s="359"/>
      <c r="AD557" s="359"/>
      <c r="AE557" s="351"/>
      <c r="AF557" s="333"/>
      <c r="AG557" s="333"/>
      <c r="AH557" s="351"/>
      <c r="AI557" s="351"/>
      <c r="AJ557" s="351"/>
      <c r="AK557" s="351"/>
      <c r="AL557" s="351"/>
      <c r="AM557" s="351"/>
      <c r="AN557" s="351"/>
      <c r="AO557" s="351"/>
      <c r="AP557" s="351"/>
      <c r="AQ557" s="351"/>
      <c r="AR557" s="351"/>
      <c r="AS557" s="351"/>
      <c r="AT557" s="351"/>
      <c r="AU557" s="351"/>
      <c r="AV557" s="351"/>
      <c r="AW557" s="351"/>
      <c r="AX557" s="351"/>
      <c r="AY557" s="351"/>
    </row>
    <row r="558" spans="1:51" ht="13">
      <c r="A558" s="333"/>
      <c r="B558" s="351"/>
      <c r="C558" s="351"/>
      <c r="D558" s="333"/>
      <c r="E558" s="333"/>
      <c r="F558" s="333"/>
      <c r="G558" s="359"/>
      <c r="H558" s="359"/>
      <c r="I558" s="351"/>
      <c r="J558" s="359"/>
      <c r="K558" s="359"/>
      <c r="L558" s="359"/>
      <c r="M558" s="351"/>
      <c r="N558" s="351"/>
      <c r="O558" s="351"/>
      <c r="P558" s="351"/>
      <c r="Q558" s="351"/>
      <c r="R558" s="351"/>
      <c r="S558" s="351"/>
      <c r="T558" s="351"/>
      <c r="U558" s="351"/>
      <c r="V558" s="351"/>
      <c r="W558" s="351"/>
      <c r="X558" s="359"/>
      <c r="Y558" s="359"/>
      <c r="Z558" s="359"/>
      <c r="AA558" s="351"/>
      <c r="AB558" s="351"/>
      <c r="AC558" s="359"/>
      <c r="AD558" s="359"/>
      <c r="AE558" s="351"/>
      <c r="AF558" s="333"/>
      <c r="AG558" s="333"/>
      <c r="AH558" s="351"/>
      <c r="AI558" s="351"/>
      <c r="AJ558" s="351"/>
      <c r="AK558" s="351"/>
      <c r="AL558" s="351"/>
      <c r="AM558" s="351"/>
      <c r="AN558" s="351"/>
      <c r="AO558" s="351"/>
      <c r="AP558" s="351"/>
      <c r="AQ558" s="351"/>
      <c r="AR558" s="351"/>
      <c r="AS558" s="351"/>
      <c r="AT558" s="351"/>
      <c r="AU558" s="351"/>
      <c r="AV558" s="351"/>
      <c r="AW558" s="351"/>
      <c r="AX558" s="351"/>
      <c r="AY558" s="351"/>
    </row>
    <row r="559" spans="1:51" ht="13">
      <c r="A559" s="333"/>
      <c r="B559" s="351"/>
      <c r="C559" s="351"/>
      <c r="D559" s="333"/>
      <c r="E559" s="333"/>
      <c r="F559" s="333"/>
      <c r="G559" s="359"/>
      <c r="H559" s="359"/>
      <c r="I559" s="351"/>
      <c r="J559" s="359"/>
      <c r="K559" s="359"/>
      <c r="L559" s="359"/>
      <c r="M559" s="351"/>
      <c r="N559" s="351"/>
      <c r="O559" s="351"/>
      <c r="P559" s="351"/>
      <c r="Q559" s="351"/>
      <c r="R559" s="351"/>
      <c r="S559" s="351"/>
      <c r="T559" s="351"/>
      <c r="U559" s="351"/>
      <c r="V559" s="351"/>
      <c r="W559" s="351"/>
      <c r="X559" s="359"/>
      <c r="Y559" s="359"/>
      <c r="Z559" s="359"/>
      <c r="AA559" s="351"/>
      <c r="AB559" s="351"/>
      <c r="AC559" s="359"/>
      <c r="AD559" s="359"/>
      <c r="AE559" s="351"/>
      <c r="AF559" s="333"/>
      <c r="AG559" s="333"/>
      <c r="AH559" s="351"/>
      <c r="AI559" s="351"/>
      <c r="AJ559" s="351"/>
      <c r="AK559" s="351"/>
      <c r="AL559" s="351"/>
      <c r="AM559" s="351"/>
      <c r="AN559" s="351"/>
      <c r="AO559" s="351"/>
      <c r="AP559" s="351"/>
      <c r="AQ559" s="351"/>
      <c r="AR559" s="351"/>
      <c r="AS559" s="351"/>
      <c r="AT559" s="351"/>
      <c r="AU559" s="351"/>
      <c r="AV559" s="351"/>
      <c r="AW559" s="351"/>
      <c r="AX559" s="351"/>
      <c r="AY559" s="351"/>
    </row>
    <row r="560" spans="1:51" ht="13">
      <c r="A560" s="333"/>
      <c r="B560" s="351"/>
      <c r="C560" s="351"/>
      <c r="D560" s="333"/>
      <c r="E560" s="333"/>
      <c r="F560" s="333"/>
      <c r="G560" s="359"/>
      <c r="H560" s="359"/>
      <c r="I560" s="351"/>
      <c r="J560" s="359"/>
      <c r="K560" s="359"/>
      <c r="L560" s="359"/>
      <c r="M560" s="351"/>
      <c r="N560" s="351"/>
      <c r="O560" s="351"/>
      <c r="P560" s="351"/>
      <c r="Q560" s="351"/>
      <c r="R560" s="351"/>
      <c r="S560" s="351"/>
      <c r="T560" s="351"/>
      <c r="U560" s="351"/>
      <c r="V560" s="351"/>
      <c r="W560" s="351"/>
      <c r="X560" s="359"/>
      <c r="Y560" s="359"/>
      <c r="Z560" s="359"/>
      <c r="AA560" s="351"/>
      <c r="AB560" s="351"/>
      <c r="AC560" s="359"/>
      <c r="AD560" s="359"/>
      <c r="AE560" s="351"/>
      <c r="AF560" s="333"/>
      <c r="AG560" s="333"/>
      <c r="AH560" s="351"/>
      <c r="AI560" s="351"/>
      <c r="AJ560" s="351"/>
      <c r="AK560" s="351"/>
      <c r="AL560" s="351"/>
      <c r="AM560" s="351"/>
      <c r="AN560" s="351"/>
      <c r="AO560" s="351"/>
      <c r="AP560" s="351"/>
      <c r="AQ560" s="351"/>
      <c r="AR560" s="351"/>
      <c r="AS560" s="351"/>
      <c r="AT560" s="351"/>
      <c r="AU560" s="351"/>
      <c r="AV560" s="351"/>
      <c r="AW560" s="351"/>
      <c r="AX560" s="351"/>
      <c r="AY560" s="351"/>
    </row>
    <row r="561" spans="1:51" ht="13">
      <c r="A561" s="333"/>
      <c r="B561" s="351"/>
      <c r="C561" s="351"/>
      <c r="D561" s="333"/>
      <c r="E561" s="333"/>
      <c r="F561" s="333"/>
      <c r="G561" s="359"/>
      <c r="H561" s="359"/>
      <c r="I561" s="351"/>
      <c r="J561" s="359"/>
      <c r="K561" s="359"/>
      <c r="L561" s="359"/>
      <c r="M561" s="351"/>
      <c r="N561" s="351"/>
      <c r="O561" s="351"/>
      <c r="P561" s="351"/>
      <c r="Q561" s="351"/>
      <c r="R561" s="351"/>
      <c r="S561" s="351"/>
      <c r="T561" s="351"/>
      <c r="U561" s="351"/>
      <c r="V561" s="351"/>
      <c r="W561" s="351"/>
      <c r="X561" s="359"/>
      <c r="Y561" s="359"/>
      <c r="Z561" s="359"/>
      <c r="AA561" s="351"/>
      <c r="AB561" s="351"/>
      <c r="AC561" s="359"/>
      <c r="AD561" s="359"/>
      <c r="AE561" s="351"/>
      <c r="AF561" s="333"/>
      <c r="AG561" s="333"/>
      <c r="AH561" s="351"/>
      <c r="AI561" s="351"/>
      <c r="AJ561" s="351"/>
      <c r="AK561" s="351"/>
      <c r="AL561" s="351"/>
      <c r="AM561" s="351"/>
      <c r="AN561" s="351"/>
      <c r="AO561" s="351"/>
      <c r="AP561" s="351"/>
      <c r="AQ561" s="351"/>
      <c r="AR561" s="351"/>
      <c r="AS561" s="351"/>
      <c r="AT561" s="351"/>
      <c r="AU561" s="351"/>
      <c r="AV561" s="351"/>
      <c r="AW561" s="351"/>
      <c r="AX561" s="351"/>
      <c r="AY561" s="351"/>
    </row>
    <row r="562" spans="1:51" ht="13">
      <c r="A562" s="333"/>
      <c r="B562" s="351"/>
      <c r="C562" s="351"/>
      <c r="D562" s="333"/>
      <c r="E562" s="333"/>
      <c r="F562" s="333"/>
      <c r="G562" s="359"/>
      <c r="H562" s="359"/>
      <c r="I562" s="351"/>
      <c r="J562" s="359"/>
      <c r="K562" s="359"/>
      <c r="L562" s="359"/>
      <c r="M562" s="351"/>
      <c r="N562" s="351"/>
      <c r="O562" s="351"/>
      <c r="P562" s="351"/>
      <c r="Q562" s="351"/>
      <c r="R562" s="351"/>
      <c r="S562" s="351"/>
      <c r="T562" s="351"/>
      <c r="U562" s="351"/>
      <c r="V562" s="351"/>
      <c r="W562" s="351"/>
      <c r="X562" s="359"/>
      <c r="Y562" s="359"/>
      <c r="Z562" s="359"/>
      <c r="AA562" s="351"/>
      <c r="AB562" s="351"/>
      <c r="AC562" s="359"/>
      <c r="AD562" s="359"/>
      <c r="AE562" s="351"/>
      <c r="AF562" s="333"/>
      <c r="AG562" s="333"/>
      <c r="AH562" s="351"/>
      <c r="AI562" s="351"/>
      <c r="AJ562" s="351"/>
      <c r="AK562" s="351"/>
      <c r="AL562" s="351"/>
      <c r="AM562" s="351"/>
      <c r="AN562" s="351"/>
      <c r="AO562" s="351"/>
      <c r="AP562" s="351"/>
      <c r="AQ562" s="351"/>
      <c r="AR562" s="351"/>
      <c r="AS562" s="351"/>
      <c r="AT562" s="351"/>
      <c r="AU562" s="351"/>
      <c r="AV562" s="351"/>
      <c r="AW562" s="351"/>
      <c r="AX562" s="351"/>
      <c r="AY562" s="351"/>
    </row>
    <row r="563" spans="1:51" ht="13">
      <c r="A563" s="333"/>
      <c r="B563" s="351"/>
      <c r="C563" s="351"/>
      <c r="D563" s="333"/>
      <c r="E563" s="333"/>
      <c r="F563" s="333"/>
      <c r="G563" s="359"/>
      <c r="H563" s="359"/>
      <c r="I563" s="351"/>
      <c r="J563" s="359"/>
      <c r="K563" s="359"/>
      <c r="L563" s="359"/>
      <c r="M563" s="351"/>
      <c r="N563" s="351"/>
      <c r="O563" s="351"/>
      <c r="P563" s="351"/>
      <c r="Q563" s="351"/>
      <c r="R563" s="351"/>
      <c r="S563" s="351"/>
      <c r="T563" s="351"/>
      <c r="U563" s="351"/>
      <c r="V563" s="351"/>
      <c r="W563" s="351"/>
      <c r="X563" s="359"/>
      <c r="Y563" s="359"/>
      <c r="Z563" s="359"/>
      <c r="AA563" s="351"/>
      <c r="AB563" s="351"/>
      <c r="AC563" s="359"/>
      <c r="AD563" s="359"/>
      <c r="AE563" s="351"/>
      <c r="AF563" s="333"/>
      <c r="AG563" s="333"/>
      <c r="AH563" s="351"/>
      <c r="AI563" s="351"/>
      <c r="AJ563" s="351"/>
      <c r="AK563" s="351"/>
      <c r="AL563" s="351"/>
      <c r="AM563" s="351"/>
      <c r="AN563" s="351"/>
      <c r="AO563" s="351"/>
      <c r="AP563" s="351"/>
      <c r="AQ563" s="351"/>
      <c r="AR563" s="351"/>
      <c r="AS563" s="351"/>
      <c r="AT563" s="351"/>
      <c r="AU563" s="351"/>
      <c r="AV563" s="351"/>
      <c r="AW563" s="351"/>
      <c r="AX563" s="351"/>
      <c r="AY563" s="351"/>
    </row>
    <row r="564" spans="1:51" ht="13">
      <c r="A564" s="333"/>
      <c r="B564" s="351"/>
      <c r="C564" s="351"/>
      <c r="D564" s="333"/>
      <c r="E564" s="333"/>
      <c r="F564" s="333"/>
      <c r="G564" s="359"/>
      <c r="H564" s="359"/>
      <c r="I564" s="351"/>
      <c r="J564" s="359"/>
      <c r="K564" s="359"/>
      <c r="L564" s="359"/>
      <c r="M564" s="351"/>
      <c r="N564" s="351"/>
      <c r="O564" s="351"/>
      <c r="P564" s="351"/>
      <c r="Q564" s="351"/>
      <c r="R564" s="351"/>
      <c r="S564" s="351"/>
      <c r="T564" s="351"/>
      <c r="U564" s="351"/>
      <c r="V564" s="351"/>
      <c r="W564" s="351"/>
      <c r="X564" s="359"/>
      <c r="Y564" s="359"/>
      <c r="Z564" s="359"/>
      <c r="AA564" s="351"/>
      <c r="AB564" s="351"/>
      <c r="AC564" s="359"/>
      <c r="AD564" s="359"/>
      <c r="AE564" s="351"/>
      <c r="AF564" s="333"/>
      <c r="AG564" s="333"/>
      <c r="AH564" s="351"/>
      <c r="AI564" s="351"/>
      <c r="AJ564" s="351"/>
      <c r="AK564" s="351"/>
      <c r="AL564" s="351"/>
      <c r="AM564" s="351"/>
      <c r="AN564" s="351"/>
      <c r="AO564" s="351"/>
      <c r="AP564" s="351"/>
      <c r="AQ564" s="351"/>
      <c r="AR564" s="351"/>
      <c r="AS564" s="351"/>
      <c r="AT564" s="351"/>
      <c r="AU564" s="351"/>
      <c r="AV564" s="351"/>
      <c r="AW564" s="351"/>
      <c r="AX564" s="351"/>
      <c r="AY564" s="351"/>
    </row>
    <row r="565" spans="1:51" ht="13">
      <c r="A565" s="333"/>
      <c r="B565" s="351"/>
      <c r="C565" s="351"/>
      <c r="D565" s="333"/>
      <c r="E565" s="333"/>
      <c r="F565" s="333"/>
      <c r="G565" s="359"/>
      <c r="H565" s="359"/>
      <c r="I565" s="351"/>
      <c r="J565" s="359"/>
      <c r="K565" s="359"/>
      <c r="L565" s="359"/>
      <c r="M565" s="351"/>
      <c r="N565" s="351"/>
      <c r="O565" s="351"/>
      <c r="P565" s="351"/>
      <c r="Q565" s="351"/>
      <c r="R565" s="351"/>
      <c r="S565" s="351"/>
      <c r="T565" s="351"/>
      <c r="U565" s="351"/>
      <c r="V565" s="351"/>
      <c r="W565" s="351"/>
      <c r="X565" s="359"/>
      <c r="Y565" s="359"/>
      <c r="Z565" s="359"/>
      <c r="AA565" s="351"/>
      <c r="AB565" s="351"/>
      <c r="AC565" s="359"/>
      <c r="AD565" s="359"/>
      <c r="AE565" s="351"/>
      <c r="AF565" s="333"/>
      <c r="AG565" s="333"/>
      <c r="AH565" s="351"/>
      <c r="AI565" s="351"/>
      <c r="AJ565" s="351"/>
      <c r="AK565" s="351"/>
      <c r="AL565" s="351"/>
      <c r="AM565" s="351"/>
      <c r="AN565" s="351"/>
      <c r="AO565" s="351"/>
      <c r="AP565" s="351"/>
      <c r="AQ565" s="351"/>
      <c r="AR565" s="351"/>
      <c r="AS565" s="351"/>
      <c r="AT565" s="351"/>
      <c r="AU565" s="351"/>
      <c r="AV565" s="351"/>
      <c r="AW565" s="351"/>
      <c r="AX565" s="351"/>
      <c r="AY565" s="351"/>
    </row>
    <row r="566" spans="1:51" ht="13">
      <c r="A566" s="333"/>
      <c r="B566" s="351"/>
      <c r="C566" s="351"/>
      <c r="D566" s="333"/>
      <c r="E566" s="333"/>
      <c r="F566" s="333"/>
      <c r="G566" s="359"/>
      <c r="H566" s="359"/>
      <c r="I566" s="351"/>
      <c r="J566" s="359"/>
      <c r="K566" s="359"/>
      <c r="L566" s="359"/>
      <c r="M566" s="351"/>
      <c r="N566" s="351"/>
      <c r="O566" s="351"/>
      <c r="P566" s="351"/>
      <c r="Q566" s="351"/>
      <c r="R566" s="351"/>
      <c r="S566" s="351"/>
      <c r="T566" s="351"/>
      <c r="U566" s="351"/>
      <c r="V566" s="351"/>
      <c r="W566" s="351"/>
      <c r="X566" s="359"/>
      <c r="Y566" s="359"/>
      <c r="Z566" s="359"/>
      <c r="AA566" s="351"/>
      <c r="AB566" s="351"/>
      <c r="AC566" s="359"/>
      <c r="AD566" s="359"/>
      <c r="AE566" s="351"/>
      <c r="AF566" s="333"/>
      <c r="AG566" s="333"/>
      <c r="AH566" s="351"/>
      <c r="AI566" s="351"/>
      <c r="AJ566" s="351"/>
      <c r="AK566" s="351"/>
      <c r="AL566" s="351"/>
      <c r="AM566" s="351"/>
      <c r="AN566" s="351"/>
      <c r="AO566" s="351"/>
      <c r="AP566" s="351"/>
      <c r="AQ566" s="351"/>
      <c r="AR566" s="351"/>
      <c r="AS566" s="351"/>
      <c r="AT566" s="351"/>
      <c r="AU566" s="351"/>
      <c r="AV566" s="351"/>
      <c r="AW566" s="351"/>
      <c r="AX566" s="351"/>
      <c r="AY566" s="351"/>
    </row>
    <row r="567" spans="1:51" ht="13">
      <c r="A567" s="333"/>
      <c r="B567" s="351"/>
      <c r="C567" s="351"/>
      <c r="D567" s="333"/>
      <c r="E567" s="333"/>
      <c r="F567" s="333"/>
      <c r="G567" s="359"/>
      <c r="H567" s="359"/>
      <c r="I567" s="351"/>
      <c r="J567" s="359"/>
      <c r="K567" s="359"/>
      <c r="L567" s="359"/>
      <c r="M567" s="351"/>
      <c r="N567" s="351"/>
      <c r="O567" s="351"/>
      <c r="P567" s="351"/>
      <c r="Q567" s="351"/>
      <c r="R567" s="351"/>
      <c r="S567" s="351"/>
      <c r="T567" s="351"/>
      <c r="U567" s="351"/>
      <c r="V567" s="351"/>
      <c r="W567" s="351"/>
      <c r="X567" s="359"/>
      <c r="Y567" s="359"/>
      <c r="Z567" s="359"/>
      <c r="AA567" s="351"/>
      <c r="AB567" s="351"/>
      <c r="AC567" s="359"/>
      <c r="AD567" s="359"/>
      <c r="AE567" s="351"/>
      <c r="AF567" s="333"/>
      <c r="AG567" s="333"/>
      <c r="AH567" s="351"/>
      <c r="AI567" s="351"/>
      <c r="AJ567" s="351"/>
      <c r="AK567" s="351"/>
      <c r="AL567" s="351"/>
      <c r="AM567" s="351"/>
      <c r="AN567" s="351"/>
      <c r="AO567" s="351"/>
      <c r="AP567" s="351"/>
      <c r="AQ567" s="351"/>
      <c r="AR567" s="351"/>
      <c r="AS567" s="351"/>
      <c r="AT567" s="351"/>
      <c r="AU567" s="351"/>
      <c r="AV567" s="351"/>
      <c r="AW567" s="351"/>
      <c r="AX567" s="351"/>
      <c r="AY567" s="351"/>
    </row>
    <row r="568" spans="1:51" ht="13">
      <c r="A568" s="333"/>
      <c r="B568" s="351"/>
      <c r="C568" s="351"/>
      <c r="D568" s="333"/>
      <c r="E568" s="333"/>
      <c r="F568" s="333"/>
      <c r="G568" s="359"/>
      <c r="H568" s="359"/>
      <c r="I568" s="351"/>
      <c r="J568" s="359"/>
      <c r="K568" s="359"/>
      <c r="L568" s="359"/>
      <c r="M568" s="351"/>
      <c r="N568" s="351"/>
      <c r="O568" s="351"/>
      <c r="P568" s="351"/>
      <c r="Q568" s="351"/>
      <c r="R568" s="351"/>
      <c r="S568" s="351"/>
      <c r="T568" s="351"/>
      <c r="U568" s="351"/>
      <c r="V568" s="351"/>
      <c r="W568" s="351"/>
      <c r="X568" s="359"/>
      <c r="Y568" s="359"/>
      <c r="Z568" s="359"/>
      <c r="AA568" s="351"/>
      <c r="AB568" s="351"/>
      <c r="AC568" s="359"/>
      <c r="AD568" s="359"/>
      <c r="AE568" s="351"/>
      <c r="AF568" s="333"/>
      <c r="AG568" s="333"/>
      <c r="AH568" s="351"/>
      <c r="AI568" s="351"/>
      <c r="AJ568" s="351"/>
      <c r="AK568" s="351"/>
      <c r="AL568" s="351"/>
      <c r="AM568" s="351"/>
      <c r="AN568" s="351"/>
      <c r="AO568" s="351"/>
      <c r="AP568" s="351"/>
      <c r="AQ568" s="351"/>
      <c r="AR568" s="351"/>
      <c r="AS568" s="351"/>
      <c r="AT568" s="351"/>
      <c r="AU568" s="351"/>
      <c r="AV568" s="351"/>
      <c r="AW568" s="351"/>
      <c r="AX568" s="351"/>
      <c r="AY568" s="351"/>
    </row>
    <row r="569" spans="1:51" ht="13">
      <c r="A569" s="333"/>
      <c r="B569" s="351"/>
      <c r="C569" s="351"/>
      <c r="D569" s="333"/>
      <c r="E569" s="333"/>
      <c r="F569" s="333"/>
      <c r="G569" s="359"/>
      <c r="H569" s="359"/>
      <c r="I569" s="351"/>
      <c r="J569" s="359"/>
      <c r="K569" s="359"/>
      <c r="L569" s="359"/>
      <c r="M569" s="351"/>
      <c r="N569" s="351"/>
      <c r="O569" s="351"/>
      <c r="P569" s="351"/>
      <c r="Q569" s="351"/>
      <c r="R569" s="351"/>
      <c r="S569" s="351"/>
      <c r="T569" s="351"/>
      <c r="U569" s="351"/>
      <c r="V569" s="351"/>
      <c r="W569" s="351"/>
      <c r="X569" s="359"/>
      <c r="Y569" s="359"/>
      <c r="Z569" s="359"/>
      <c r="AA569" s="351"/>
      <c r="AB569" s="351"/>
      <c r="AC569" s="359"/>
      <c r="AD569" s="359"/>
      <c r="AE569" s="351"/>
      <c r="AF569" s="333"/>
      <c r="AG569" s="333"/>
      <c r="AH569" s="351"/>
      <c r="AI569" s="351"/>
      <c r="AJ569" s="351"/>
      <c r="AK569" s="351"/>
      <c r="AL569" s="351"/>
      <c r="AM569" s="351"/>
      <c r="AN569" s="351"/>
      <c r="AO569" s="351"/>
      <c r="AP569" s="351"/>
      <c r="AQ569" s="351"/>
      <c r="AR569" s="351"/>
      <c r="AS569" s="351"/>
      <c r="AT569" s="351"/>
      <c r="AU569" s="351"/>
      <c r="AV569" s="351"/>
      <c r="AW569" s="351"/>
      <c r="AX569" s="351"/>
      <c r="AY569" s="351"/>
    </row>
    <row r="570" spans="1:51" ht="13">
      <c r="A570" s="333"/>
      <c r="B570" s="351"/>
      <c r="C570" s="351"/>
      <c r="D570" s="333"/>
      <c r="E570" s="333"/>
      <c r="F570" s="333"/>
      <c r="G570" s="359"/>
      <c r="H570" s="359"/>
      <c r="I570" s="351"/>
      <c r="J570" s="359"/>
      <c r="K570" s="359"/>
      <c r="L570" s="359"/>
      <c r="M570" s="351"/>
      <c r="N570" s="351"/>
      <c r="O570" s="351"/>
      <c r="P570" s="351"/>
      <c r="Q570" s="351"/>
      <c r="R570" s="351"/>
      <c r="S570" s="351"/>
      <c r="T570" s="351"/>
      <c r="U570" s="351"/>
      <c r="V570" s="351"/>
      <c r="W570" s="351"/>
      <c r="X570" s="359"/>
      <c r="Y570" s="359"/>
      <c r="Z570" s="359"/>
      <c r="AA570" s="351"/>
      <c r="AB570" s="351"/>
      <c r="AC570" s="359"/>
      <c r="AD570" s="359"/>
      <c r="AE570" s="351"/>
      <c r="AF570" s="333"/>
      <c r="AG570" s="333"/>
      <c r="AH570" s="351"/>
      <c r="AI570" s="351"/>
      <c r="AJ570" s="351"/>
      <c r="AK570" s="351"/>
      <c r="AL570" s="351"/>
      <c r="AM570" s="351"/>
      <c r="AN570" s="351"/>
      <c r="AO570" s="351"/>
      <c r="AP570" s="351"/>
      <c r="AQ570" s="351"/>
      <c r="AR570" s="351"/>
      <c r="AS570" s="351"/>
      <c r="AT570" s="351"/>
      <c r="AU570" s="351"/>
      <c r="AV570" s="351"/>
      <c r="AW570" s="351"/>
      <c r="AX570" s="351"/>
      <c r="AY570" s="351"/>
    </row>
    <row r="571" spans="1:51" ht="13">
      <c r="A571" s="333"/>
      <c r="B571" s="351"/>
      <c r="C571" s="351"/>
      <c r="D571" s="333"/>
      <c r="E571" s="333"/>
      <c r="F571" s="333"/>
      <c r="G571" s="359"/>
      <c r="H571" s="359"/>
      <c r="I571" s="351"/>
      <c r="J571" s="359"/>
      <c r="K571" s="359"/>
      <c r="L571" s="359"/>
      <c r="M571" s="351"/>
      <c r="N571" s="351"/>
      <c r="O571" s="351"/>
      <c r="P571" s="351"/>
      <c r="Q571" s="351"/>
      <c r="R571" s="351"/>
      <c r="S571" s="351"/>
      <c r="T571" s="351"/>
      <c r="U571" s="351"/>
      <c r="V571" s="351"/>
      <c r="W571" s="351"/>
      <c r="X571" s="359"/>
      <c r="Y571" s="359"/>
      <c r="Z571" s="359"/>
      <c r="AA571" s="351"/>
      <c r="AB571" s="351"/>
      <c r="AC571" s="359"/>
      <c r="AD571" s="359"/>
      <c r="AE571" s="351"/>
      <c r="AF571" s="333"/>
      <c r="AG571" s="333"/>
      <c r="AH571" s="351"/>
      <c r="AI571" s="351"/>
      <c r="AJ571" s="351"/>
      <c r="AK571" s="351"/>
      <c r="AL571" s="351"/>
      <c r="AM571" s="351"/>
      <c r="AN571" s="351"/>
      <c r="AO571" s="351"/>
      <c r="AP571" s="351"/>
      <c r="AQ571" s="351"/>
      <c r="AR571" s="351"/>
      <c r="AS571" s="351"/>
      <c r="AT571" s="351"/>
      <c r="AU571" s="351"/>
      <c r="AV571" s="351"/>
      <c r="AW571" s="351"/>
      <c r="AX571" s="351"/>
      <c r="AY571" s="351"/>
    </row>
    <row r="572" spans="1:51" ht="13">
      <c r="A572" s="333"/>
      <c r="B572" s="351"/>
      <c r="C572" s="351"/>
      <c r="D572" s="333"/>
      <c r="E572" s="333"/>
      <c r="F572" s="333"/>
      <c r="G572" s="359"/>
      <c r="H572" s="359"/>
      <c r="I572" s="351"/>
      <c r="J572" s="359"/>
      <c r="K572" s="359"/>
      <c r="L572" s="359"/>
      <c r="M572" s="351"/>
      <c r="N572" s="351"/>
      <c r="O572" s="351"/>
      <c r="P572" s="351"/>
      <c r="Q572" s="351"/>
      <c r="R572" s="351"/>
      <c r="S572" s="351"/>
      <c r="T572" s="351"/>
      <c r="U572" s="351"/>
      <c r="V572" s="351"/>
      <c r="W572" s="351"/>
      <c r="X572" s="359"/>
      <c r="Y572" s="359"/>
      <c r="Z572" s="359"/>
      <c r="AA572" s="351"/>
      <c r="AB572" s="351"/>
      <c r="AC572" s="359"/>
      <c r="AD572" s="359"/>
      <c r="AE572" s="351"/>
      <c r="AF572" s="333"/>
      <c r="AG572" s="333"/>
      <c r="AH572" s="351"/>
      <c r="AI572" s="351"/>
      <c r="AJ572" s="351"/>
      <c r="AK572" s="351"/>
      <c r="AL572" s="351"/>
      <c r="AM572" s="351"/>
      <c r="AN572" s="351"/>
      <c r="AO572" s="351"/>
      <c r="AP572" s="351"/>
      <c r="AQ572" s="351"/>
      <c r="AR572" s="351"/>
      <c r="AS572" s="351"/>
      <c r="AT572" s="351"/>
      <c r="AU572" s="351"/>
      <c r="AV572" s="351"/>
      <c r="AW572" s="351"/>
      <c r="AX572" s="351"/>
      <c r="AY572" s="351"/>
    </row>
    <row r="573" spans="1:51" ht="13">
      <c r="A573" s="333"/>
      <c r="B573" s="351"/>
      <c r="C573" s="351"/>
      <c r="D573" s="333"/>
      <c r="E573" s="333"/>
      <c r="F573" s="333"/>
      <c r="G573" s="359"/>
      <c r="H573" s="359"/>
      <c r="I573" s="351"/>
      <c r="J573" s="359"/>
      <c r="K573" s="359"/>
      <c r="L573" s="359"/>
      <c r="M573" s="351"/>
      <c r="N573" s="351"/>
      <c r="O573" s="351"/>
      <c r="P573" s="351"/>
      <c r="Q573" s="351"/>
      <c r="R573" s="351"/>
      <c r="S573" s="351"/>
      <c r="T573" s="351"/>
      <c r="U573" s="351"/>
      <c r="V573" s="351"/>
      <c r="W573" s="351"/>
      <c r="X573" s="359"/>
      <c r="Y573" s="359"/>
      <c r="Z573" s="359"/>
      <c r="AA573" s="351"/>
      <c r="AB573" s="351"/>
      <c r="AC573" s="359"/>
      <c r="AD573" s="359"/>
      <c r="AE573" s="351"/>
      <c r="AF573" s="333"/>
      <c r="AG573" s="333"/>
      <c r="AH573" s="351"/>
      <c r="AI573" s="351"/>
      <c r="AJ573" s="351"/>
      <c r="AK573" s="351"/>
      <c r="AL573" s="351"/>
      <c r="AM573" s="351"/>
      <c r="AN573" s="351"/>
      <c r="AO573" s="351"/>
      <c r="AP573" s="351"/>
      <c r="AQ573" s="351"/>
      <c r="AR573" s="351"/>
      <c r="AS573" s="351"/>
      <c r="AT573" s="351"/>
      <c r="AU573" s="351"/>
      <c r="AV573" s="351"/>
      <c r="AW573" s="351"/>
      <c r="AX573" s="351"/>
      <c r="AY573" s="351"/>
    </row>
    <row r="574" spans="1:51" ht="13">
      <c r="A574" s="333"/>
      <c r="B574" s="351"/>
      <c r="C574" s="351"/>
      <c r="D574" s="333"/>
      <c r="E574" s="333"/>
      <c r="F574" s="333"/>
      <c r="G574" s="359"/>
      <c r="H574" s="359"/>
      <c r="I574" s="351"/>
      <c r="J574" s="359"/>
      <c r="K574" s="359"/>
      <c r="L574" s="359"/>
      <c r="M574" s="351"/>
      <c r="N574" s="351"/>
      <c r="O574" s="351"/>
      <c r="P574" s="351"/>
      <c r="Q574" s="351"/>
      <c r="R574" s="351"/>
      <c r="S574" s="351"/>
      <c r="T574" s="351"/>
      <c r="U574" s="351"/>
      <c r="V574" s="351"/>
      <c r="W574" s="351"/>
      <c r="X574" s="359"/>
      <c r="Y574" s="359"/>
      <c r="Z574" s="359"/>
      <c r="AA574" s="351"/>
      <c r="AB574" s="351"/>
      <c r="AC574" s="359"/>
      <c r="AD574" s="359"/>
      <c r="AE574" s="351"/>
      <c r="AF574" s="333"/>
      <c r="AG574" s="333"/>
      <c r="AH574" s="351"/>
      <c r="AI574" s="351"/>
      <c r="AJ574" s="351"/>
      <c r="AK574" s="351"/>
      <c r="AL574" s="351"/>
      <c r="AM574" s="351"/>
      <c r="AN574" s="351"/>
      <c r="AO574" s="351"/>
      <c r="AP574" s="351"/>
      <c r="AQ574" s="351"/>
      <c r="AR574" s="351"/>
      <c r="AS574" s="351"/>
      <c r="AT574" s="351"/>
      <c r="AU574" s="351"/>
      <c r="AV574" s="351"/>
      <c r="AW574" s="351"/>
      <c r="AX574" s="351"/>
      <c r="AY574" s="351"/>
    </row>
    <row r="575" spans="1:51" ht="13">
      <c r="A575" s="333"/>
      <c r="B575" s="351"/>
      <c r="C575" s="351"/>
      <c r="D575" s="333"/>
      <c r="E575" s="333"/>
      <c r="F575" s="333"/>
      <c r="G575" s="359"/>
      <c r="H575" s="359"/>
      <c r="I575" s="351"/>
      <c r="J575" s="359"/>
      <c r="K575" s="359"/>
      <c r="L575" s="359"/>
      <c r="M575" s="351"/>
      <c r="N575" s="351"/>
      <c r="O575" s="351"/>
      <c r="P575" s="351"/>
      <c r="Q575" s="351"/>
      <c r="R575" s="351"/>
      <c r="S575" s="351"/>
      <c r="T575" s="351"/>
      <c r="U575" s="351"/>
      <c r="V575" s="351"/>
      <c r="W575" s="351"/>
      <c r="X575" s="359"/>
      <c r="Y575" s="359"/>
      <c r="Z575" s="359"/>
      <c r="AA575" s="351"/>
      <c r="AB575" s="351"/>
      <c r="AC575" s="359"/>
      <c r="AD575" s="359"/>
      <c r="AE575" s="351"/>
      <c r="AF575" s="333"/>
      <c r="AG575" s="333"/>
      <c r="AH575" s="351"/>
      <c r="AI575" s="351"/>
      <c r="AJ575" s="351"/>
      <c r="AK575" s="351"/>
      <c r="AL575" s="351"/>
      <c r="AM575" s="351"/>
      <c r="AN575" s="351"/>
      <c r="AO575" s="351"/>
      <c r="AP575" s="351"/>
      <c r="AQ575" s="351"/>
      <c r="AR575" s="351"/>
      <c r="AS575" s="351"/>
      <c r="AT575" s="351"/>
      <c r="AU575" s="351"/>
      <c r="AV575" s="351"/>
      <c r="AW575" s="351"/>
      <c r="AX575" s="351"/>
      <c r="AY575" s="351"/>
    </row>
    <row r="576" spans="1:51" ht="13">
      <c r="A576" s="333"/>
      <c r="B576" s="351"/>
      <c r="C576" s="351"/>
      <c r="D576" s="333"/>
      <c r="E576" s="333"/>
      <c r="F576" s="333"/>
      <c r="G576" s="359"/>
      <c r="H576" s="359"/>
      <c r="I576" s="351"/>
      <c r="J576" s="359"/>
      <c r="K576" s="359"/>
      <c r="L576" s="359"/>
      <c r="M576" s="351"/>
      <c r="N576" s="351"/>
      <c r="O576" s="351"/>
      <c r="P576" s="351"/>
      <c r="Q576" s="351"/>
      <c r="R576" s="351"/>
      <c r="S576" s="351"/>
      <c r="T576" s="351"/>
      <c r="U576" s="351"/>
      <c r="V576" s="351"/>
      <c r="W576" s="351"/>
      <c r="X576" s="359"/>
      <c r="Y576" s="359"/>
      <c r="Z576" s="359"/>
      <c r="AA576" s="351"/>
      <c r="AB576" s="351"/>
      <c r="AC576" s="359"/>
      <c r="AD576" s="359"/>
      <c r="AE576" s="351"/>
      <c r="AF576" s="333"/>
      <c r="AG576" s="333"/>
      <c r="AH576" s="351"/>
      <c r="AI576" s="351"/>
      <c r="AJ576" s="351"/>
      <c r="AK576" s="351"/>
      <c r="AL576" s="351"/>
      <c r="AM576" s="351"/>
      <c r="AN576" s="351"/>
      <c r="AO576" s="351"/>
      <c r="AP576" s="351"/>
      <c r="AQ576" s="351"/>
      <c r="AR576" s="351"/>
      <c r="AS576" s="351"/>
      <c r="AT576" s="351"/>
      <c r="AU576" s="351"/>
      <c r="AV576" s="351"/>
      <c r="AW576" s="351"/>
      <c r="AX576" s="351"/>
      <c r="AY576" s="351"/>
    </row>
    <row r="577" spans="1:51" ht="13">
      <c r="A577" s="333"/>
      <c r="B577" s="351"/>
      <c r="C577" s="351"/>
      <c r="D577" s="333"/>
      <c r="E577" s="333"/>
      <c r="F577" s="333"/>
      <c r="G577" s="359"/>
      <c r="H577" s="359"/>
      <c r="I577" s="351"/>
      <c r="J577" s="359"/>
      <c r="K577" s="359"/>
      <c r="L577" s="359"/>
      <c r="M577" s="351"/>
      <c r="N577" s="351"/>
      <c r="O577" s="351"/>
      <c r="P577" s="351"/>
      <c r="Q577" s="351"/>
      <c r="R577" s="351"/>
      <c r="S577" s="351"/>
      <c r="T577" s="351"/>
      <c r="U577" s="351"/>
      <c r="V577" s="351"/>
      <c r="W577" s="351"/>
      <c r="X577" s="359"/>
      <c r="Y577" s="359"/>
      <c r="Z577" s="359"/>
      <c r="AA577" s="351"/>
      <c r="AB577" s="351"/>
      <c r="AC577" s="359"/>
      <c r="AD577" s="359"/>
      <c r="AE577" s="351"/>
      <c r="AF577" s="333"/>
      <c r="AG577" s="333"/>
      <c r="AH577" s="351"/>
      <c r="AI577" s="351"/>
      <c r="AJ577" s="351"/>
      <c r="AK577" s="351"/>
      <c r="AL577" s="351"/>
      <c r="AM577" s="351"/>
      <c r="AN577" s="351"/>
      <c r="AO577" s="351"/>
      <c r="AP577" s="351"/>
      <c r="AQ577" s="351"/>
      <c r="AR577" s="351"/>
      <c r="AS577" s="351"/>
      <c r="AT577" s="351"/>
      <c r="AU577" s="351"/>
      <c r="AV577" s="351"/>
      <c r="AW577" s="351"/>
      <c r="AX577" s="351"/>
      <c r="AY577" s="351"/>
    </row>
    <row r="578" spans="1:51" ht="13">
      <c r="A578" s="333"/>
      <c r="B578" s="351"/>
      <c r="C578" s="351"/>
      <c r="D578" s="333"/>
      <c r="E578" s="333"/>
      <c r="F578" s="333"/>
      <c r="G578" s="359"/>
      <c r="H578" s="359"/>
      <c r="I578" s="351"/>
      <c r="J578" s="359"/>
      <c r="K578" s="359"/>
      <c r="L578" s="359"/>
      <c r="M578" s="351"/>
      <c r="N578" s="351"/>
      <c r="O578" s="351"/>
      <c r="P578" s="351"/>
      <c r="Q578" s="351"/>
      <c r="R578" s="351"/>
      <c r="S578" s="351"/>
      <c r="T578" s="351"/>
      <c r="U578" s="351"/>
      <c r="V578" s="351"/>
      <c r="W578" s="351"/>
      <c r="X578" s="359"/>
      <c r="Y578" s="359"/>
      <c r="Z578" s="359"/>
      <c r="AA578" s="351"/>
      <c r="AB578" s="351"/>
      <c r="AC578" s="359"/>
      <c r="AD578" s="359"/>
      <c r="AE578" s="351"/>
      <c r="AF578" s="333"/>
      <c r="AG578" s="333"/>
      <c r="AH578" s="351"/>
      <c r="AI578" s="351"/>
      <c r="AJ578" s="351"/>
      <c r="AK578" s="351"/>
      <c r="AL578" s="351"/>
      <c r="AM578" s="351"/>
      <c r="AN578" s="351"/>
      <c r="AO578" s="351"/>
      <c r="AP578" s="351"/>
      <c r="AQ578" s="351"/>
      <c r="AR578" s="351"/>
      <c r="AS578" s="351"/>
      <c r="AT578" s="351"/>
      <c r="AU578" s="351"/>
      <c r="AV578" s="351"/>
      <c r="AW578" s="351"/>
      <c r="AX578" s="351"/>
      <c r="AY578" s="351"/>
    </row>
    <row r="579" spans="1:51" ht="13">
      <c r="A579" s="333"/>
      <c r="B579" s="351"/>
      <c r="C579" s="351"/>
      <c r="D579" s="333"/>
      <c r="E579" s="333"/>
      <c r="F579" s="333"/>
      <c r="G579" s="359"/>
      <c r="H579" s="359"/>
      <c r="I579" s="351"/>
      <c r="J579" s="359"/>
      <c r="K579" s="359"/>
      <c r="L579" s="359"/>
      <c r="M579" s="351"/>
      <c r="N579" s="351"/>
      <c r="O579" s="351"/>
      <c r="P579" s="351"/>
      <c r="Q579" s="351"/>
      <c r="R579" s="351"/>
      <c r="S579" s="351"/>
      <c r="T579" s="351"/>
      <c r="U579" s="351"/>
      <c r="V579" s="351"/>
      <c r="W579" s="351"/>
      <c r="X579" s="359"/>
      <c r="Y579" s="359"/>
      <c r="Z579" s="359"/>
      <c r="AA579" s="351"/>
      <c r="AB579" s="351"/>
      <c r="AC579" s="359"/>
      <c r="AD579" s="359"/>
      <c r="AE579" s="351"/>
      <c r="AF579" s="333"/>
      <c r="AG579" s="333"/>
      <c r="AH579" s="351"/>
      <c r="AI579" s="351"/>
      <c r="AJ579" s="351"/>
      <c r="AK579" s="351"/>
      <c r="AL579" s="351"/>
      <c r="AM579" s="351"/>
      <c r="AN579" s="351"/>
      <c r="AO579" s="351"/>
      <c r="AP579" s="351"/>
      <c r="AQ579" s="351"/>
      <c r="AR579" s="351"/>
      <c r="AS579" s="351"/>
      <c r="AT579" s="351"/>
      <c r="AU579" s="351"/>
      <c r="AV579" s="351"/>
      <c r="AW579" s="351"/>
      <c r="AX579" s="351"/>
      <c r="AY579" s="351"/>
    </row>
    <row r="580" spans="1:51" ht="13">
      <c r="A580" s="333"/>
      <c r="B580" s="351"/>
      <c r="C580" s="351"/>
      <c r="D580" s="333"/>
      <c r="E580" s="333"/>
      <c r="F580" s="333"/>
      <c r="G580" s="359"/>
      <c r="H580" s="359"/>
      <c r="I580" s="351"/>
      <c r="J580" s="359"/>
      <c r="K580" s="359"/>
      <c r="L580" s="359"/>
      <c r="M580" s="351"/>
      <c r="N580" s="351"/>
      <c r="O580" s="351"/>
      <c r="P580" s="351"/>
      <c r="Q580" s="351"/>
      <c r="R580" s="351"/>
      <c r="S580" s="351"/>
      <c r="T580" s="351"/>
      <c r="U580" s="351"/>
      <c r="V580" s="351"/>
      <c r="W580" s="351"/>
      <c r="X580" s="359"/>
      <c r="Y580" s="359"/>
      <c r="Z580" s="359"/>
      <c r="AA580" s="351"/>
      <c r="AB580" s="351"/>
      <c r="AC580" s="359"/>
      <c r="AD580" s="359"/>
      <c r="AE580" s="351"/>
      <c r="AF580" s="333"/>
      <c r="AG580" s="333"/>
      <c r="AH580" s="351"/>
      <c r="AI580" s="351"/>
      <c r="AJ580" s="351"/>
      <c r="AK580" s="351"/>
      <c r="AL580" s="351"/>
      <c r="AM580" s="351"/>
      <c r="AN580" s="351"/>
      <c r="AO580" s="351"/>
      <c r="AP580" s="351"/>
      <c r="AQ580" s="351"/>
      <c r="AR580" s="351"/>
      <c r="AS580" s="351"/>
      <c r="AT580" s="351"/>
      <c r="AU580" s="351"/>
      <c r="AV580" s="351"/>
      <c r="AW580" s="351"/>
      <c r="AX580" s="351"/>
      <c r="AY580" s="351"/>
    </row>
    <row r="581" spans="1:51" ht="13">
      <c r="A581" s="333"/>
      <c r="B581" s="351"/>
      <c r="C581" s="351"/>
      <c r="D581" s="333"/>
      <c r="E581" s="333"/>
      <c r="F581" s="333"/>
      <c r="G581" s="359"/>
      <c r="H581" s="359"/>
      <c r="I581" s="351"/>
      <c r="J581" s="359"/>
      <c r="K581" s="359"/>
      <c r="L581" s="359"/>
      <c r="M581" s="351"/>
      <c r="N581" s="351"/>
      <c r="O581" s="351"/>
      <c r="P581" s="351"/>
      <c r="Q581" s="351"/>
      <c r="R581" s="351"/>
      <c r="S581" s="351"/>
      <c r="T581" s="351"/>
      <c r="U581" s="351"/>
      <c r="V581" s="351"/>
      <c r="W581" s="351"/>
      <c r="X581" s="359"/>
      <c r="Y581" s="359"/>
      <c r="Z581" s="359"/>
      <c r="AA581" s="351"/>
      <c r="AB581" s="351"/>
      <c r="AC581" s="359"/>
      <c r="AD581" s="359"/>
      <c r="AE581" s="351"/>
      <c r="AF581" s="333"/>
      <c r="AG581" s="333"/>
      <c r="AH581" s="351"/>
      <c r="AI581" s="351"/>
      <c r="AJ581" s="351"/>
      <c r="AK581" s="351"/>
      <c r="AL581" s="351"/>
      <c r="AM581" s="351"/>
      <c r="AN581" s="351"/>
      <c r="AO581" s="351"/>
      <c r="AP581" s="351"/>
      <c r="AQ581" s="351"/>
      <c r="AR581" s="351"/>
      <c r="AS581" s="351"/>
      <c r="AT581" s="351"/>
      <c r="AU581" s="351"/>
      <c r="AV581" s="351"/>
      <c r="AW581" s="351"/>
      <c r="AX581" s="351"/>
      <c r="AY581" s="351"/>
    </row>
    <row r="582" spans="1:51" ht="13">
      <c r="A582" s="333"/>
      <c r="B582" s="351"/>
      <c r="C582" s="351"/>
      <c r="D582" s="333"/>
      <c r="E582" s="333"/>
      <c r="F582" s="333"/>
      <c r="G582" s="359"/>
      <c r="H582" s="359"/>
      <c r="I582" s="351"/>
      <c r="J582" s="359"/>
      <c r="K582" s="359"/>
      <c r="L582" s="359"/>
      <c r="M582" s="351"/>
      <c r="N582" s="351"/>
      <c r="O582" s="351"/>
      <c r="P582" s="351"/>
      <c r="Q582" s="351"/>
      <c r="R582" s="351"/>
      <c r="S582" s="351"/>
      <c r="T582" s="351"/>
      <c r="U582" s="351"/>
      <c r="V582" s="351"/>
      <c r="W582" s="351"/>
      <c r="X582" s="359"/>
      <c r="Y582" s="359"/>
      <c r="Z582" s="359"/>
      <c r="AA582" s="351"/>
      <c r="AB582" s="351"/>
      <c r="AC582" s="359"/>
      <c r="AD582" s="359"/>
      <c r="AE582" s="351"/>
      <c r="AF582" s="333"/>
      <c r="AG582" s="333"/>
      <c r="AH582" s="351"/>
      <c r="AI582" s="351"/>
      <c r="AJ582" s="351"/>
      <c r="AK582" s="351"/>
      <c r="AL582" s="351"/>
      <c r="AM582" s="351"/>
      <c r="AN582" s="351"/>
      <c r="AO582" s="351"/>
      <c r="AP582" s="351"/>
      <c r="AQ582" s="351"/>
      <c r="AR582" s="351"/>
      <c r="AS582" s="351"/>
      <c r="AT582" s="351"/>
      <c r="AU582" s="351"/>
      <c r="AV582" s="351"/>
      <c r="AW582" s="351"/>
      <c r="AX582" s="351"/>
      <c r="AY582" s="351"/>
    </row>
    <row r="583" spans="1:51" ht="13">
      <c r="A583" s="333"/>
      <c r="B583" s="351"/>
      <c r="C583" s="351"/>
      <c r="D583" s="333"/>
      <c r="E583" s="333"/>
      <c r="F583" s="333"/>
      <c r="G583" s="359"/>
      <c r="H583" s="359"/>
      <c r="I583" s="351"/>
      <c r="J583" s="359"/>
      <c r="K583" s="359"/>
      <c r="L583" s="359"/>
      <c r="M583" s="351"/>
      <c r="N583" s="351"/>
      <c r="O583" s="351"/>
      <c r="P583" s="351"/>
      <c r="Q583" s="351"/>
      <c r="R583" s="351"/>
      <c r="S583" s="351"/>
      <c r="T583" s="351"/>
      <c r="U583" s="351"/>
      <c r="V583" s="351"/>
      <c r="W583" s="351"/>
      <c r="X583" s="359"/>
      <c r="Y583" s="359"/>
      <c r="Z583" s="359"/>
      <c r="AA583" s="351"/>
      <c r="AB583" s="351"/>
      <c r="AC583" s="359"/>
      <c r="AD583" s="359"/>
      <c r="AE583" s="351"/>
      <c r="AF583" s="333"/>
      <c r="AG583" s="333"/>
      <c r="AH583" s="351"/>
      <c r="AI583" s="351"/>
      <c r="AJ583" s="351"/>
      <c r="AK583" s="351"/>
      <c r="AL583" s="351"/>
      <c r="AM583" s="351"/>
      <c r="AN583" s="351"/>
      <c r="AO583" s="351"/>
      <c r="AP583" s="351"/>
      <c r="AQ583" s="351"/>
      <c r="AR583" s="351"/>
      <c r="AS583" s="351"/>
      <c r="AT583" s="351"/>
      <c r="AU583" s="351"/>
      <c r="AV583" s="351"/>
      <c r="AW583" s="351"/>
      <c r="AX583" s="351"/>
      <c r="AY583" s="351"/>
    </row>
    <row r="584" spans="1:51" ht="13">
      <c r="A584" s="333"/>
      <c r="B584" s="351"/>
      <c r="C584" s="351"/>
      <c r="D584" s="333"/>
      <c r="E584" s="333"/>
      <c r="F584" s="333"/>
      <c r="G584" s="359"/>
      <c r="H584" s="359"/>
      <c r="I584" s="351"/>
      <c r="J584" s="359"/>
      <c r="K584" s="359"/>
      <c r="L584" s="359"/>
      <c r="M584" s="351"/>
      <c r="N584" s="351"/>
      <c r="O584" s="351"/>
      <c r="P584" s="351"/>
      <c r="Q584" s="351"/>
      <c r="R584" s="351"/>
      <c r="S584" s="351"/>
      <c r="T584" s="351"/>
      <c r="U584" s="351"/>
      <c r="V584" s="351"/>
      <c r="W584" s="351"/>
      <c r="X584" s="359"/>
      <c r="Y584" s="359"/>
      <c r="Z584" s="359"/>
      <c r="AA584" s="351"/>
      <c r="AB584" s="351"/>
      <c r="AC584" s="359"/>
      <c r="AD584" s="359"/>
      <c r="AE584" s="351"/>
      <c r="AF584" s="333"/>
      <c r="AG584" s="333"/>
      <c r="AH584" s="351"/>
      <c r="AI584" s="351"/>
      <c r="AJ584" s="351"/>
      <c r="AK584" s="351"/>
      <c r="AL584" s="351"/>
      <c r="AM584" s="351"/>
      <c r="AN584" s="351"/>
      <c r="AO584" s="351"/>
      <c r="AP584" s="351"/>
      <c r="AQ584" s="351"/>
      <c r="AR584" s="351"/>
      <c r="AS584" s="351"/>
      <c r="AT584" s="351"/>
      <c r="AU584" s="351"/>
      <c r="AV584" s="351"/>
      <c r="AW584" s="351"/>
      <c r="AX584" s="351"/>
      <c r="AY584" s="351"/>
    </row>
    <row r="585" spans="1:51" ht="13">
      <c r="A585" s="333"/>
      <c r="B585" s="351"/>
      <c r="C585" s="351"/>
      <c r="D585" s="333"/>
      <c r="E585" s="333"/>
      <c r="F585" s="333"/>
      <c r="G585" s="359"/>
      <c r="H585" s="359"/>
      <c r="I585" s="351"/>
      <c r="J585" s="359"/>
      <c r="K585" s="359"/>
      <c r="L585" s="359"/>
      <c r="M585" s="351"/>
      <c r="N585" s="351"/>
      <c r="O585" s="351"/>
      <c r="P585" s="351"/>
      <c r="Q585" s="351"/>
      <c r="R585" s="351"/>
      <c r="S585" s="351"/>
      <c r="T585" s="351"/>
      <c r="U585" s="351"/>
      <c r="V585" s="351"/>
      <c r="W585" s="351"/>
      <c r="X585" s="359"/>
      <c r="Y585" s="359"/>
      <c r="Z585" s="359"/>
      <c r="AA585" s="351"/>
      <c r="AB585" s="351"/>
      <c r="AC585" s="359"/>
      <c r="AD585" s="359"/>
      <c r="AE585" s="351"/>
      <c r="AF585" s="333"/>
      <c r="AG585" s="333"/>
      <c r="AH585" s="351"/>
      <c r="AI585" s="351"/>
      <c r="AJ585" s="351"/>
      <c r="AK585" s="351"/>
      <c r="AL585" s="351"/>
      <c r="AM585" s="351"/>
      <c r="AN585" s="351"/>
      <c r="AO585" s="351"/>
      <c r="AP585" s="351"/>
      <c r="AQ585" s="351"/>
      <c r="AR585" s="351"/>
      <c r="AS585" s="351"/>
      <c r="AT585" s="351"/>
      <c r="AU585" s="351"/>
      <c r="AV585" s="351"/>
      <c r="AW585" s="351"/>
      <c r="AX585" s="351"/>
      <c r="AY585" s="351"/>
    </row>
    <row r="586" spans="1:51" ht="13">
      <c r="A586" s="333"/>
      <c r="B586" s="351"/>
      <c r="C586" s="351"/>
      <c r="D586" s="333"/>
      <c r="E586" s="333"/>
      <c r="F586" s="333"/>
      <c r="G586" s="359"/>
      <c r="H586" s="359"/>
      <c r="I586" s="351"/>
      <c r="J586" s="359"/>
      <c r="K586" s="359"/>
      <c r="L586" s="359"/>
      <c r="M586" s="351"/>
      <c r="N586" s="351"/>
      <c r="O586" s="351"/>
      <c r="P586" s="351"/>
      <c r="Q586" s="351"/>
      <c r="R586" s="351"/>
      <c r="S586" s="351"/>
      <c r="T586" s="351"/>
      <c r="U586" s="351"/>
      <c r="V586" s="351"/>
      <c r="W586" s="351"/>
      <c r="X586" s="359"/>
      <c r="Y586" s="359"/>
      <c r="Z586" s="359"/>
      <c r="AA586" s="351"/>
      <c r="AB586" s="351"/>
      <c r="AC586" s="359"/>
      <c r="AD586" s="359"/>
      <c r="AE586" s="351"/>
      <c r="AF586" s="333"/>
      <c r="AG586" s="333"/>
      <c r="AH586" s="351"/>
      <c r="AI586" s="351"/>
      <c r="AJ586" s="351"/>
      <c r="AK586" s="351"/>
      <c r="AL586" s="351"/>
      <c r="AM586" s="351"/>
      <c r="AN586" s="351"/>
      <c r="AO586" s="351"/>
      <c r="AP586" s="351"/>
      <c r="AQ586" s="351"/>
      <c r="AR586" s="351"/>
      <c r="AS586" s="351"/>
      <c r="AT586" s="351"/>
      <c r="AU586" s="351"/>
      <c r="AV586" s="351"/>
      <c r="AW586" s="351"/>
      <c r="AX586" s="351"/>
      <c r="AY586" s="351"/>
    </row>
    <row r="587" spans="1:51" ht="13">
      <c r="A587" s="333"/>
      <c r="B587" s="351"/>
      <c r="C587" s="351"/>
      <c r="D587" s="333"/>
      <c r="E587" s="333"/>
      <c r="F587" s="333"/>
      <c r="G587" s="359"/>
      <c r="H587" s="359"/>
      <c r="I587" s="351"/>
      <c r="J587" s="359"/>
      <c r="K587" s="359"/>
      <c r="L587" s="359"/>
      <c r="M587" s="351"/>
      <c r="N587" s="351"/>
      <c r="O587" s="351"/>
      <c r="P587" s="351"/>
      <c r="Q587" s="351"/>
      <c r="R587" s="351"/>
      <c r="S587" s="351"/>
      <c r="T587" s="351"/>
      <c r="U587" s="351"/>
      <c r="V587" s="351"/>
      <c r="W587" s="351"/>
      <c r="X587" s="359"/>
      <c r="Y587" s="359"/>
      <c r="Z587" s="359"/>
      <c r="AA587" s="351"/>
      <c r="AB587" s="351"/>
      <c r="AC587" s="359"/>
      <c r="AD587" s="359"/>
      <c r="AE587" s="351"/>
      <c r="AF587" s="333"/>
      <c r="AG587" s="333"/>
      <c r="AH587" s="351"/>
      <c r="AI587" s="351"/>
      <c r="AJ587" s="351"/>
      <c r="AK587" s="351"/>
      <c r="AL587" s="351"/>
      <c r="AM587" s="351"/>
      <c r="AN587" s="351"/>
      <c r="AO587" s="351"/>
      <c r="AP587" s="351"/>
      <c r="AQ587" s="351"/>
      <c r="AR587" s="351"/>
      <c r="AS587" s="351"/>
      <c r="AT587" s="351"/>
      <c r="AU587" s="351"/>
      <c r="AV587" s="351"/>
      <c r="AW587" s="351"/>
      <c r="AX587" s="351"/>
      <c r="AY587" s="351"/>
    </row>
    <row r="588" spans="1:51" ht="13">
      <c r="A588" s="333"/>
      <c r="B588" s="351"/>
      <c r="C588" s="351"/>
      <c r="D588" s="333"/>
      <c r="E588" s="333"/>
      <c r="F588" s="333"/>
      <c r="G588" s="359"/>
      <c r="H588" s="359"/>
      <c r="I588" s="351"/>
      <c r="J588" s="359"/>
      <c r="K588" s="359"/>
      <c r="L588" s="359"/>
      <c r="M588" s="351"/>
      <c r="N588" s="351"/>
      <c r="O588" s="351"/>
      <c r="P588" s="351"/>
      <c r="Q588" s="351"/>
      <c r="R588" s="351"/>
      <c r="S588" s="351"/>
      <c r="T588" s="351"/>
      <c r="U588" s="351"/>
      <c r="V588" s="351"/>
      <c r="W588" s="351"/>
      <c r="X588" s="359"/>
      <c r="Y588" s="359"/>
      <c r="Z588" s="359"/>
      <c r="AA588" s="351"/>
      <c r="AB588" s="351"/>
      <c r="AC588" s="359"/>
      <c r="AD588" s="359"/>
      <c r="AE588" s="351"/>
      <c r="AF588" s="333"/>
      <c r="AG588" s="333"/>
      <c r="AH588" s="351"/>
      <c r="AI588" s="351"/>
      <c r="AJ588" s="351"/>
      <c r="AK588" s="351"/>
      <c r="AL588" s="351"/>
      <c r="AM588" s="351"/>
      <c r="AN588" s="351"/>
      <c r="AO588" s="351"/>
      <c r="AP588" s="351"/>
      <c r="AQ588" s="351"/>
      <c r="AR588" s="351"/>
      <c r="AS588" s="351"/>
      <c r="AT588" s="351"/>
      <c r="AU588" s="351"/>
      <c r="AV588" s="351"/>
      <c r="AW588" s="351"/>
      <c r="AX588" s="351"/>
      <c r="AY588" s="351"/>
    </row>
    <row r="589" spans="1:51" ht="13">
      <c r="A589" s="333"/>
      <c r="B589" s="351"/>
      <c r="C589" s="351"/>
      <c r="D589" s="333"/>
      <c r="E589" s="333"/>
      <c r="F589" s="333"/>
      <c r="G589" s="359"/>
      <c r="H589" s="359"/>
      <c r="I589" s="351"/>
      <c r="J589" s="359"/>
      <c r="K589" s="359"/>
      <c r="L589" s="359"/>
      <c r="M589" s="351"/>
      <c r="N589" s="351"/>
      <c r="O589" s="351"/>
      <c r="P589" s="351"/>
      <c r="Q589" s="351"/>
      <c r="R589" s="351"/>
      <c r="S589" s="351"/>
      <c r="T589" s="351"/>
      <c r="U589" s="351"/>
      <c r="V589" s="351"/>
      <c r="W589" s="351"/>
      <c r="X589" s="359"/>
      <c r="Y589" s="359"/>
      <c r="Z589" s="359"/>
      <c r="AA589" s="351"/>
      <c r="AB589" s="351"/>
      <c r="AC589" s="359"/>
      <c r="AD589" s="359"/>
      <c r="AE589" s="351"/>
      <c r="AF589" s="333"/>
      <c r="AG589" s="333"/>
      <c r="AH589" s="351"/>
      <c r="AI589" s="351"/>
      <c r="AJ589" s="351"/>
      <c r="AK589" s="351"/>
      <c r="AL589" s="351"/>
      <c r="AM589" s="351"/>
      <c r="AN589" s="351"/>
      <c r="AO589" s="351"/>
      <c r="AP589" s="351"/>
      <c r="AQ589" s="351"/>
      <c r="AR589" s="351"/>
      <c r="AS589" s="351"/>
      <c r="AT589" s="351"/>
      <c r="AU589" s="351"/>
      <c r="AV589" s="351"/>
      <c r="AW589" s="351"/>
      <c r="AX589" s="351"/>
      <c r="AY589" s="351"/>
    </row>
    <row r="590" spans="1:51" ht="13">
      <c r="A590" s="333"/>
      <c r="B590" s="351"/>
      <c r="C590" s="351"/>
      <c r="D590" s="333"/>
      <c r="E590" s="333"/>
      <c r="F590" s="333"/>
      <c r="G590" s="359"/>
      <c r="H590" s="359"/>
      <c r="I590" s="351"/>
      <c r="J590" s="359"/>
      <c r="K590" s="359"/>
      <c r="L590" s="359"/>
      <c r="M590" s="351"/>
      <c r="N590" s="351"/>
      <c r="O590" s="351"/>
      <c r="P590" s="351"/>
      <c r="Q590" s="351"/>
      <c r="R590" s="351"/>
      <c r="S590" s="351"/>
      <c r="T590" s="351"/>
      <c r="U590" s="351"/>
      <c r="V590" s="351"/>
      <c r="W590" s="351"/>
      <c r="X590" s="359"/>
      <c r="Y590" s="359"/>
      <c r="Z590" s="359"/>
      <c r="AA590" s="351"/>
      <c r="AB590" s="351"/>
      <c r="AC590" s="359"/>
      <c r="AD590" s="359"/>
      <c r="AE590" s="351"/>
      <c r="AF590" s="333"/>
      <c r="AG590" s="333"/>
      <c r="AH590" s="351"/>
      <c r="AI590" s="351"/>
      <c r="AJ590" s="351"/>
      <c r="AK590" s="351"/>
      <c r="AL590" s="351"/>
      <c r="AM590" s="351"/>
      <c r="AN590" s="351"/>
      <c r="AO590" s="351"/>
      <c r="AP590" s="351"/>
      <c r="AQ590" s="351"/>
      <c r="AR590" s="351"/>
      <c r="AS590" s="351"/>
      <c r="AT590" s="351"/>
      <c r="AU590" s="351"/>
      <c r="AV590" s="351"/>
      <c r="AW590" s="351"/>
      <c r="AX590" s="351"/>
      <c r="AY590" s="351"/>
    </row>
    <row r="591" spans="1:51" ht="13">
      <c r="A591" s="333"/>
      <c r="B591" s="351"/>
      <c r="C591" s="351"/>
      <c r="D591" s="333"/>
      <c r="E591" s="333"/>
      <c r="F591" s="333"/>
      <c r="G591" s="359"/>
      <c r="H591" s="359"/>
      <c r="I591" s="351"/>
      <c r="J591" s="359"/>
      <c r="K591" s="359"/>
      <c r="L591" s="359"/>
      <c r="M591" s="351"/>
      <c r="N591" s="351"/>
      <c r="O591" s="351"/>
      <c r="P591" s="351"/>
      <c r="Q591" s="351"/>
      <c r="R591" s="351"/>
      <c r="S591" s="351"/>
      <c r="T591" s="351"/>
      <c r="U591" s="351"/>
      <c r="V591" s="351"/>
      <c r="W591" s="351"/>
      <c r="X591" s="359"/>
      <c r="Y591" s="359"/>
      <c r="Z591" s="359"/>
      <c r="AA591" s="351"/>
      <c r="AB591" s="351"/>
      <c r="AC591" s="359"/>
      <c r="AD591" s="359"/>
      <c r="AE591" s="351"/>
      <c r="AF591" s="333"/>
      <c r="AG591" s="333"/>
      <c r="AH591" s="351"/>
      <c r="AI591" s="351"/>
      <c r="AJ591" s="351"/>
      <c r="AK591" s="351"/>
      <c r="AL591" s="351"/>
      <c r="AM591" s="351"/>
      <c r="AN591" s="351"/>
      <c r="AO591" s="351"/>
      <c r="AP591" s="351"/>
      <c r="AQ591" s="351"/>
      <c r="AR591" s="351"/>
      <c r="AS591" s="351"/>
      <c r="AT591" s="351"/>
      <c r="AU591" s="351"/>
      <c r="AV591" s="351"/>
      <c r="AW591" s="351"/>
      <c r="AX591" s="351"/>
      <c r="AY591" s="351"/>
    </row>
    <row r="592" spans="1:51" ht="13">
      <c r="A592" s="333"/>
      <c r="B592" s="351"/>
      <c r="C592" s="351"/>
      <c r="D592" s="333"/>
      <c r="E592" s="333"/>
      <c r="F592" s="333"/>
      <c r="G592" s="359"/>
      <c r="H592" s="359"/>
      <c r="I592" s="351"/>
      <c r="J592" s="359"/>
      <c r="K592" s="359"/>
      <c r="L592" s="359"/>
      <c r="M592" s="351"/>
      <c r="N592" s="351"/>
      <c r="O592" s="351"/>
      <c r="P592" s="351"/>
      <c r="Q592" s="351"/>
      <c r="R592" s="351"/>
      <c r="S592" s="351"/>
      <c r="T592" s="351"/>
      <c r="U592" s="351"/>
      <c r="V592" s="351"/>
      <c r="W592" s="351"/>
      <c r="X592" s="359"/>
      <c r="Y592" s="359"/>
      <c r="Z592" s="359"/>
      <c r="AA592" s="351"/>
      <c r="AB592" s="351"/>
      <c r="AC592" s="359"/>
      <c r="AD592" s="359"/>
      <c r="AE592" s="351"/>
      <c r="AF592" s="333"/>
      <c r="AG592" s="333"/>
      <c r="AH592" s="351"/>
      <c r="AI592" s="351"/>
      <c r="AJ592" s="351"/>
      <c r="AK592" s="351"/>
      <c r="AL592" s="351"/>
      <c r="AM592" s="351"/>
      <c r="AN592" s="351"/>
      <c r="AO592" s="351"/>
      <c r="AP592" s="351"/>
      <c r="AQ592" s="351"/>
      <c r="AR592" s="351"/>
      <c r="AS592" s="351"/>
      <c r="AT592" s="351"/>
      <c r="AU592" s="351"/>
      <c r="AV592" s="351"/>
      <c r="AW592" s="351"/>
      <c r="AX592" s="351"/>
      <c r="AY592" s="351"/>
    </row>
    <row r="593" spans="1:51" ht="13">
      <c r="A593" s="333"/>
      <c r="B593" s="351"/>
      <c r="C593" s="351"/>
      <c r="D593" s="333"/>
      <c r="E593" s="333"/>
      <c r="F593" s="333"/>
      <c r="G593" s="359"/>
      <c r="H593" s="359"/>
      <c r="I593" s="351"/>
      <c r="J593" s="359"/>
      <c r="K593" s="359"/>
      <c r="L593" s="359"/>
      <c r="M593" s="351"/>
      <c r="N593" s="351"/>
      <c r="O593" s="351"/>
      <c r="P593" s="351"/>
      <c r="Q593" s="351"/>
      <c r="R593" s="351"/>
      <c r="S593" s="351"/>
      <c r="T593" s="351"/>
      <c r="U593" s="351"/>
      <c r="V593" s="351"/>
      <c r="W593" s="351"/>
      <c r="X593" s="359"/>
      <c r="Y593" s="359"/>
      <c r="Z593" s="359"/>
      <c r="AA593" s="351"/>
      <c r="AB593" s="351"/>
      <c r="AC593" s="359"/>
      <c r="AD593" s="359"/>
      <c r="AE593" s="351"/>
      <c r="AF593" s="333"/>
      <c r="AG593" s="333"/>
      <c r="AH593" s="351"/>
      <c r="AI593" s="351"/>
      <c r="AJ593" s="351"/>
      <c r="AK593" s="351"/>
      <c r="AL593" s="351"/>
      <c r="AM593" s="351"/>
      <c r="AN593" s="351"/>
      <c r="AO593" s="351"/>
      <c r="AP593" s="351"/>
      <c r="AQ593" s="351"/>
      <c r="AR593" s="351"/>
      <c r="AS593" s="351"/>
      <c r="AT593" s="351"/>
      <c r="AU593" s="351"/>
      <c r="AV593" s="351"/>
      <c r="AW593" s="351"/>
      <c r="AX593" s="351"/>
      <c r="AY593" s="351"/>
    </row>
    <row r="594" spans="1:51" ht="13">
      <c r="A594" s="333"/>
      <c r="B594" s="351"/>
      <c r="C594" s="351"/>
      <c r="D594" s="333"/>
      <c r="E594" s="333"/>
      <c r="F594" s="333"/>
      <c r="G594" s="359"/>
      <c r="H594" s="359"/>
      <c r="I594" s="351"/>
      <c r="J594" s="359"/>
      <c r="K594" s="359"/>
      <c r="L594" s="359"/>
      <c r="M594" s="351"/>
      <c r="N594" s="351"/>
      <c r="O594" s="351"/>
      <c r="P594" s="351"/>
      <c r="Q594" s="351"/>
      <c r="R594" s="351"/>
      <c r="S594" s="351"/>
      <c r="T594" s="351"/>
      <c r="U594" s="351"/>
      <c r="V594" s="351"/>
      <c r="W594" s="351"/>
      <c r="X594" s="359"/>
      <c r="Y594" s="359"/>
      <c r="Z594" s="359"/>
      <c r="AA594" s="351"/>
      <c r="AB594" s="351"/>
      <c r="AC594" s="359"/>
      <c r="AD594" s="359"/>
      <c r="AE594" s="351"/>
      <c r="AF594" s="333"/>
      <c r="AG594" s="333"/>
      <c r="AH594" s="351"/>
      <c r="AI594" s="351"/>
      <c r="AJ594" s="351"/>
      <c r="AK594" s="351"/>
      <c r="AL594" s="351"/>
      <c r="AM594" s="351"/>
      <c r="AN594" s="351"/>
      <c r="AO594" s="351"/>
      <c r="AP594" s="351"/>
      <c r="AQ594" s="351"/>
      <c r="AR594" s="351"/>
      <c r="AS594" s="351"/>
      <c r="AT594" s="351"/>
      <c r="AU594" s="351"/>
      <c r="AV594" s="351"/>
      <c r="AW594" s="351"/>
      <c r="AX594" s="351"/>
      <c r="AY594" s="351"/>
    </row>
    <row r="595" spans="1:51" ht="13">
      <c r="A595" s="333"/>
      <c r="B595" s="351"/>
      <c r="C595" s="351"/>
      <c r="D595" s="333"/>
      <c r="E595" s="333"/>
      <c r="F595" s="333"/>
      <c r="G595" s="359"/>
      <c r="H595" s="359"/>
      <c r="I595" s="351"/>
      <c r="J595" s="359"/>
      <c r="K595" s="359"/>
      <c r="L595" s="359"/>
      <c r="M595" s="351"/>
      <c r="N595" s="351"/>
      <c r="O595" s="351"/>
      <c r="P595" s="351"/>
      <c r="Q595" s="351"/>
      <c r="R595" s="351"/>
      <c r="S595" s="351"/>
      <c r="T595" s="351"/>
      <c r="U595" s="351"/>
      <c r="V595" s="351"/>
      <c r="W595" s="351"/>
      <c r="X595" s="359"/>
      <c r="Y595" s="359"/>
      <c r="Z595" s="359"/>
      <c r="AA595" s="351"/>
      <c r="AB595" s="351"/>
      <c r="AC595" s="359"/>
      <c r="AD595" s="359"/>
      <c r="AE595" s="351"/>
      <c r="AF595" s="333"/>
      <c r="AG595" s="333"/>
      <c r="AH595" s="351"/>
      <c r="AI595" s="351"/>
      <c r="AJ595" s="351"/>
      <c r="AK595" s="351"/>
      <c r="AL595" s="351"/>
      <c r="AM595" s="351"/>
      <c r="AN595" s="351"/>
      <c r="AO595" s="351"/>
      <c r="AP595" s="351"/>
      <c r="AQ595" s="351"/>
      <c r="AR595" s="351"/>
      <c r="AS595" s="351"/>
      <c r="AT595" s="351"/>
      <c r="AU595" s="351"/>
      <c r="AV595" s="351"/>
      <c r="AW595" s="351"/>
      <c r="AX595" s="351"/>
      <c r="AY595" s="351"/>
    </row>
    <row r="596" spans="1:51" ht="13">
      <c r="A596" s="333"/>
      <c r="B596" s="351"/>
      <c r="C596" s="351"/>
      <c r="D596" s="333"/>
      <c r="E596" s="333"/>
      <c r="F596" s="333"/>
      <c r="G596" s="359"/>
      <c r="H596" s="359"/>
      <c r="I596" s="351"/>
      <c r="J596" s="359"/>
      <c r="K596" s="359"/>
      <c r="L596" s="359"/>
      <c r="M596" s="351"/>
      <c r="N596" s="351"/>
      <c r="O596" s="351"/>
      <c r="P596" s="351"/>
      <c r="Q596" s="351"/>
      <c r="R596" s="351"/>
      <c r="S596" s="351"/>
      <c r="T596" s="351"/>
      <c r="U596" s="351"/>
      <c r="V596" s="351"/>
      <c r="W596" s="351"/>
      <c r="X596" s="359"/>
      <c r="Y596" s="359"/>
      <c r="Z596" s="359"/>
      <c r="AA596" s="351"/>
      <c r="AB596" s="351"/>
      <c r="AC596" s="359"/>
      <c r="AD596" s="359"/>
      <c r="AE596" s="351"/>
      <c r="AF596" s="333"/>
      <c r="AG596" s="333"/>
      <c r="AH596" s="351"/>
      <c r="AI596" s="351"/>
      <c r="AJ596" s="351"/>
      <c r="AK596" s="351"/>
      <c r="AL596" s="351"/>
      <c r="AM596" s="351"/>
      <c r="AN596" s="351"/>
      <c r="AO596" s="351"/>
      <c r="AP596" s="351"/>
      <c r="AQ596" s="351"/>
      <c r="AR596" s="351"/>
      <c r="AS596" s="351"/>
      <c r="AT596" s="351"/>
      <c r="AU596" s="351"/>
      <c r="AV596" s="351"/>
      <c r="AW596" s="351"/>
      <c r="AX596" s="351"/>
      <c r="AY596" s="351"/>
    </row>
    <row r="597" spans="1:51" ht="13">
      <c r="A597" s="333"/>
      <c r="B597" s="351"/>
      <c r="C597" s="351"/>
      <c r="D597" s="333"/>
      <c r="E597" s="333"/>
      <c r="F597" s="333"/>
      <c r="G597" s="359"/>
      <c r="H597" s="359"/>
      <c r="I597" s="351"/>
      <c r="J597" s="359"/>
      <c r="K597" s="359"/>
      <c r="L597" s="359"/>
      <c r="M597" s="351"/>
      <c r="N597" s="351"/>
      <c r="O597" s="351"/>
      <c r="P597" s="351"/>
      <c r="Q597" s="351"/>
      <c r="R597" s="351"/>
      <c r="S597" s="351"/>
      <c r="T597" s="351"/>
      <c r="U597" s="351"/>
      <c r="V597" s="351"/>
      <c r="W597" s="351"/>
      <c r="X597" s="359"/>
      <c r="Y597" s="359"/>
      <c r="Z597" s="359"/>
      <c r="AA597" s="351"/>
      <c r="AB597" s="351"/>
      <c r="AC597" s="359"/>
      <c r="AD597" s="359"/>
      <c r="AE597" s="351"/>
      <c r="AF597" s="333"/>
      <c r="AG597" s="333"/>
      <c r="AH597" s="351"/>
      <c r="AI597" s="351"/>
      <c r="AJ597" s="351"/>
      <c r="AK597" s="351"/>
      <c r="AL597" s="351"/>
      <c r="AM597" s="351"/>
      <c r="AN597" s="351"/>
      <c r="AO597" s="351"/>
      <c r="AP597" s="351"/>
      <c r="AQ597" s="351"/>
      <c r="AR597" s="351"/>
      <c r="AS597" s="351"/>
      <c r="AT597" s="351"/>
      <c r="AU597" s="351"/>
      <c r="AV597" s="351"/>
      <c r="AW597" s="351"/>
      <c r="AX597" s="351"/>
      <c r="AY597" s="351"/>
    </row>
    <row r="598" spans="1:51" ht="13">
      <c r="A598" s="333"/>
      <c r="B598" s="351"/>
      <c r="C598" s="351"/>
      <c r="D598" s="333"/>
      <c r="E598" s="333"/>
      <c r="F598" s="333"/>
      <c r="G598" s="359"/>
      <c r="H598" s="359"/>
      <c r="I598" s="351"/>
      <c r="J598" s="359"/>
      <c r="K598" s="359"/>
      <c r="L598" s="359"/>
      <c r="M598" s="351"/>
      <c r="N598" s="351"/>
      <c r="O598" s="351"/>
      <c r="P598" s="351"/>
      <c r="Q598" s="351"/>
      <c r="R598" s="351"/>
      <c r="S598" s="351"/>
      <c r="T598" s="351"/>
      <c r="U598" s="351"/>
      <c r="V598" s="351"/>
      <c r="W598" s="351"/>
      <c r="X598" s="359"/>
      <c r="Y598" s="359"/>
      <c r="Z598" s="359"/>
      <c r="AA598" s="351"/>
      <c r="AB598" s="351"/>
      <c r="AC598" s="359"/>
      <c r="AD598" s="359"/>
      <c r="AE598" s="351"/>
      <c r="AF598" s="333"/>
      <c r="AG598" s="333"/>
      <c r="AH598" s="351"/>
      <c r="AI598" s="351"/>
      <c r="AJ598" s="351"/>
      <c r="AK598" s="351"/>
      <c r="AL598" s="351"/>
      <c r="AM598" s="351"/>
      <c r="AN598" s="351"/>
      <c r="AO598" s="351"/>
      <c r="AP598" s="351"/>
      <c r="AQ598" s="351"/>
      <c r="AR598" s="351"/>
      <c r="AS598" s="351"/>
      <c r="AT598" s="351"/>
      <c r="AU598" s="351"/>
      <c r="AV598" s="351"/>
      <c r="AW598" s="351"/>
      <c r="AX598" s="351"/>
      <c r="AY598" s="351"/>
    </row>
    <row r="599" spans="1:51" ht="13">
      <c r="A599" s="333"/>
      <c r="B599" s="351"/>
      <c r="C599" s="351"/>
      <c r="D599" s="333"/>
      <c r="E599" s="333"/>
      <c r="F599" s="333"/>
      <c r="G599" s="359"/>
      <c r="H599" s="359"/>
      <c r="I599" s="351"/>
      <c r="J599" s="359"/>
      <c r="K599" s="359"/>
      <c r="L599" s="359"/>
      <c r="M599" s="351"/>
      <c r="N599" s="351"/>
      <c r="O599" s="351"/>
      <c r="P599" s="351"/>
      <c r="Q599" s="351"/>
      <c r="R599" s="351"/>
      <c r="S599" s="351"/>
      <c r="T599" s="351"/>
      <c r="U599" s="351"/>
      <c r="V599" s="351"/>
      <c r="W599" s="351"/>
      <c r="X599" s="359"/>
      <c r="Y599" s="359"/>
      <c r="Z599" s="359"/>
      <c r="AA599" s="351"/>
      <c r="AB599" s="351"/>
      <c r="AC599" s="359"/>
      <c r="AD599" s="359"/>
      <c r="AE599" s="351"/>
      <c r="AF599" s="333"/>
      <c r="AG599" s="333"/>
      <c r="AH599" s="351"/>
      <c r="AI599" s="351"/>
      <c r="AJ599" s="351"/>
      <c r="AK599" s="351"/>
      <c r="AL599" s="351"/>
      <c r="AM599" s="351"/>
      <c r="AN599" s="351"/>
      <c r="AO599" s="351"/>
      <c r="AP599" s="351"/>
      <c r="AQ599" s="351"/>
      <c r="AR599" s="351"/>
      <c r="AS599" s="351"/>
      <c r="AT599" s="351"/>
      <c r="AU599" s="351"/>
      <c r="AV599" s="351"/>
      <c r="AW599" s="351"/>
      <c r="AX599" s="351"/>
      <c r="AY599" s="351"/>
    </row>
    <row r="600" spans="1:51" ht="13">
      <c r="A600" s="333"/>
      <c r="B600" s="351"/>
      <c r="C600" s="351"/>
      <c r="D600" s="333"/>
      <c r="E600" s="333"/>
      <c r="F600" s="333"/>
      <c r="G600" s="359"/>
      <c r="H600" s="359"/>
      <c r="I600" s="351"/>
      <c r="J600" s="359"/>
      <c r="K600" s="359"/>
      <c r="L600" s="359"/>
      <c r="M600" s="351"/>
      <c r="N600" s="351"/>
      <c r="O600" s="351"/>
      <c r="P600" s="351"/>
      <c r="Q600" s="351"/>
      <c r="R600" s="351"/>
      <c r="S600" s="351"/>
      <c r="T600" s="351"/>
      <c r="U600" s="351"/>
      <c r="V600" s="351"/>
      <c r="W600" s="351"/>
      <c r="X600" s="359"/>
      <c r="Y600" s="359"/>
      <c r="Z600" s="359"/>
      <c r="AA600" s="351"/>
      <c r="AB600" s="351"/>
      <c r="AC600" s="359"/>
      <c r="AD600" s="359"/>
      <c r="AE600" s="351"/>
      <c r="AF600" s="333"/>
      <c r="AG600" s="333"/>
      <c r="AH600" s="351"/>
      <c r="AI600" s="351"/>
      <c r="AJ600" s="351"/>
      <c r="AK600" s="351"/>
      <c r="AL600" s="351"/>
      <c r="AM600" s="351"/>
      <c r="AN600" s="351"/>
      <c r="AO600" s="351"/>
      <c r="AP600" s="351"/>
      <c r="AQ600" s="351"/>
      <c r="AR600" s="351"/>
      <c r="AS600" s="351"/>
      <c r="AT600" s="351"/>
      <c r="AU600" s="351"/>
      <c r="AV600" s="351"/>
      <c r="AW600" s="351"/>
      <c r="AX600" s="351"/>
      <c r="AY600" s="351"/>
    </row>
    <row r="601" spans="1:51" ht="13">
      <c r="A601" s="333"/>
      <c r="B601" s="351"/>
      <c r="C601" s="351"/>
      <c r="D601" s="333"/>
      <c r="E601" s="333"/>
      <c r="F601" s="333"/>
      <c r="G601" s="359"/>
      <c r="H601" s="359"/>
      <c r="I601" s="351"/>
      <c r="J601" s="359"/>
      <c r="K601" s="359"/>
      <c r="L601" s="359"/>
      <c r="M601" s="351"/>
      <c r="N601" s="351"/>
      <c r="O601" s="351"/>
      <c r="P601" s="351"/>
      <c r="Q601" s="351"/>
      <c r="R601" s="351"/>
      <c r="S601" s="351"/>
      <c r="T601" s="351"/>
      <c r="U601" s="351"/>
      <c r="V601" s="351"/>
      <c r="W601" s="351"/>
      <c r="X601" s="359"/>
      <c r="Y601" s="359"/>
      <c r="Z601" s="359"/>
      <c r="AA601" s="351"/>
      <c r="AB601" s="351"/>
      <c r="AC601" s="359"/>
      <c r="AD601" s="359"/>
      <c r="AE601" s="351"/>
      <c r="AF601" s="333"/>
      <c r="AG601" s="333"/>
      <c r="AH601" s="351"/>
      <c r="AI601" s="351"/>
      <c r="AJ601" s="351"/>
      <c r="AK601" s="351"/>
      <c r="AL601" s="351"/>
      <c r="AM601" s="351"/>
      <c r="AN601" s="351"/>
      <c r="AO601" s="351"/>
      <c r="AP601" s="351"/>
      <c r="AQ601" s="351"/>
      <c r="AR601" s="351"/>
      <c r="AS601" s="351"/>
      <c r="AT601" s="351"/>
      <c r="AU601" s="351"/>
      <c r="AV601" s="351"/>
      <c r="AW601" s="351"/>
      <c r="AX601" s="351"/>
      <c r="AY601" s="351"/>
    </row>
    <row r="602" spans="1:51" ht="13">
      <c r="A602" s="333"/>
      <c r="B602" s="351"/>
      <c r="C602" s="351"/>
      <c r="D602" s="333"/>
      <c r="E602" s="333"/>
      <c r="F602" s="333"/>
      <c r="G602" s="359"/>
      <c r="H602" s="359"/>
      <c r="I602" s="351"/>
      <c r="J602" s="359"/>
      <c r="K602" s="359"/>
      <c r="L602" s="359"/>
      <c r="M602" s="351"/>
      <c r="N602" s="351"/>
      <c r="O602" s="351"/>
      <c r="P602" s="351"/>
      <c r="Q602" s="351"/>
      <c r="R602" s="351"/>
      <c r="S602" s="351"/>
      <c r="T602" s="351"/>
      <c r="U602" s="351"/>
      <c r="V602" s="351"/>
      <c r="W602" s="351"/>
      <c r="X602" s="359"/>
      <c r="Y602" s="359"/>
      <c r="Z602" s="359"/>
      <c r="AA602" s="351"/>
      <c r="AB602" s="351"/>
      <c r="AC602" s="359"/>
      <c r="AD602" s="359"/>
      <c r="AE602" s="351"/>
      <c r="AF602" s="333"/>
      <c r="AG602" s="333"/>
      <c r="AH602" s="351"/>
      <c r="AI602" s="351"/>
      <c r="AJ602" s="351"/>
      <c r="AK602" s="351"/>
      <c r="AL602" s="351"/>
      <c r="AM602" s="351"/>
      <c r="AN602" s="351"/>
      <c r="AO602" s="351"/>
      <c r="AP602" s="351"/>
      <c r="AQ602" s="351"/>
      <c r="AR602" s="351"/>
      <c r="AS602" s="351"/>
      <c r="AT602" s="351"/>
      <c r="AU602" s="351"/>
      <c r="AV602" s="351"/>
      <c r="AW602" s="351"/>
      <c r="AX602" s="351"/>
      <c r="AY602" s="351"/>
    </row>
    <row r="603" spans="1:51" ht="13">
      <c r="A603" s="333"/>
      <c r="B603" s="351"/>
      <c r="C603" s="351"/>
      <c r="D603" s="333"/>
      <c r="E603" s="333"/>
      <c r="F603" s="333"/>
      <c r="G603" s="359"/>
      <c r="H603" s="359"/>
      <c r="I603" s="351"/>
      <c r="J603" s="359"/>
      <c r="K603" s="359"/>
      <c r="L603" s="359"/>
      <c r="M603" s="351"/>
      <c r="N603" s="351"/>
      <c r="O603" s="351"/>
      <c r="P603" s="351"/>
      <c r="Q603" s="351"/>
      <c r="R603" s="351"/>
      <c r="S603" s="351"/>
      <c r="T603" s="351"/>
      <c r="U603" s="351"/>
      <c r="V603" s="351"/>
      <c r="W603" s="351"/>
      <c r="X603" s="359"/>
      <c r="Y603" s="359"/>
      <c r="Z603" s="359"/>
      <c r="AA603" s="351"/>
      <c r="AB603" s="351"/>
      <c r="AC603" s="359"/>
      <c r="AD603" s="359"/>
      <c r="AE603" s="351"/>
      <c r="AF603" s="333"/>
      <c r="AG603" s="333"/>
      <c r="AH603" s="351"/>
      <c r="AI603" s="351"/>
      <c r="AJ603" s="351"/>
      <c r="AK603" s="351"/>
      <c r="AL603" s="351"/>
      <c r="AM603" s="351"/>
      <c r="AN603" s="351"/>
      <c r="AO603" s="351"/>
      <c r="AP603" s="351"/>
      <c r="AQ603" s="351"/>
      <c r="AR603" s="351"/>
      <c r="AS603" s="351"/>
      <c r="AT603" s="351"/>
      <c r="AU603" s="351"/>
      <c r="AV603" s="351"/>
      <c r="AW603" s="351"/>
      <c r="AX603" s="351"/>
      <c r="AY603" s="351"/>
    </row>
    <row r="604" spans="1:51" ht="13">
      <c r="A604" s="333"/>
      <c r="B604" s="351"/>
      <c r="C604" s="351"/>
      <c r="D604" s="333"/>
      <c r="E604" s="333"/>
      <c r="F604" s="333"/>
      <c r="G604" s="359"/>
      <c r="H604" s="359"/>
      <c r="I604" s="351"/>
      <c r="J604" s="359"/>
      <c r="K604" s="359"/>
      <c r="L604" s="359"/>
      <c r="M604" s="351"/>
      <c r="N604" s="351"/>
      <c r="O604" s="351"/>
      <c r="P604" s="351"/>
      <c r="Q604" s="351"/>
      <c r="R604" s="351"/>
      <c r="S604" s="351"/>
      <c r="T604" s="351"/>
      <c r="U604" s="351"/>
      <c r="V604" s="351"/>
      <c r="W604" s="351"/>
      <c r="X604" s="359"/>
      <c r="Y604" s="359"/>
      <c r="Z604" s="359"/>
      <c r="AA604" s="351"/>
      <c r="AB604" s="351"/>
      <c r="AC604" s="359"/>
      <c r="AD604" s="359"/>
      <c r="AE604" s="351"/>
      <c r="AF604" s="333"/>
      <c r="AG604" s="333"/>
      <c r="AH604" s="351"/>
      <c r="AI604" s="351"/>
      <c r="AJ604" s="351"/>
      <c r="AK604" s="351"/>
      <c r="AL604" s="351"/>
      <c r="AM604" s="351"/>
      <c r="AN604" s="351"/>
      <c r="AO604" s="351"/>
      <c r="AP604" s="351"/>
      <c r="AQ604" s="351"/>
      <c r="AR604" s="351"/>
      <c r="AS604" s="351"/>
      <c r="AT604" s="351"/>
      <c r="AU604" s="351"/>
      <c r="AV604" s="351"/>
      <c r="AW604" s="351"/>
      <c r="AX604" s="351"/>
      <c r="AY604" s="351"/>
    </row>
    <row r="605" spans="1:51" ht="13">
      <c r="A605" s="333"/>
      <c r="B605" s="351"/>
      <c r="C605" s="351"/>
      <c r="D605" s="333"/>
      <c r="E605" s="333"/>
      <c r="F605" s="333"/>
      <c r="G605" s="359"/>
      <c r="H605" s="359"/>
      <c r="I605" s="351"/>
      <c r="J605" s="359"/>
      <c r="K605" s="359"/>
      <c r="L605" s="359"/>
      <c r="M605" s="351"/>
      <c r="N605" s="351"/>
      <c r="O605" s="351"/>
      <c r="P605" s="351"/>
      <c r="Q605" s="351"/>
      <c r="R605" s="351"/>
      <c r="S605" s="351"/>
      <c r="T605" s="351"/>
      <c r="U605" s="351"/>
      <c r="V605" s="351"/>
      <c r="W605" s="351"/>
      <c r="X605" s="359"/>
      <c r="Y605" s="359"/>
      <c r="Z605" s="359"/>
      <c r="AA605" s="351"/>
      <c r="AB605" s="351"/>
      <c r="AC605" s="359"/>
      <c r="AD605" s="359"/>
      <c r="AE605" s="351"/>
      <c r="AF605" s="333"/>
      <c r="AG605" s="333"/>
      <c r="AH605" s="351"/>
      <c r="AI605" s="351"/>
      <c r="AJ605" s="351"/>
      <c r="AK605" s="351"/>
      <c r="AL605" s="351"/>
      <c r="AM605" s="351"/>
      <c r="AN605" s="351"/>
      <c r="AO605" s="351"/>
      <c r="AP605" s="351"/>
      <c r="AQ605" s="351"/>
      <c r="AR605" s="351"/>
      <c r="AS605" s="351"/>
      <c r="AT605" s="351"/>
      <c r="AU605" s="351"/>
      <c r="AV605" s="351"/>
      <c r="AW605" s="351"/>
      <c r="AX605" s="351"/>
      <c r="AY605" s="351"/>
    </row>
    <row r="606" spans="1:51" ht="13">
      <c r="A606" s="333"/>
      <c r="B606" s="351"/>
      <c r="C606" s="351"/>
      <c r="D606" s="333"/>
      <c r="E606" s="333"/>
      <c r="F606" s="333"/>
      <c r="G606" s="359"/>
      <c r="H606" s="359"/>
      <c r="I606" s="351"/>
      <c r="J606" s="359"/>
      <c r="K606" s="359"/>
      <c r="L606" s="359"/>
      <c r="M606" s="351"/>
      <c r="N606" s="351"/>
      <c r="O606" s="351"/>
      <c r="P606" s="351"/>
      <c r="Q606" s="351"/>
      <c r="R606" s="351"/>
      <c r="S606" s="351"/>
      <c r="T606" s="351"/>
      <c r="U606" s="351"/>
      <c r="V606" s="351"/>
      <c r="W606" s="351"/>
      <c r="X606" s="359"/>
      <c r="Y606" s="359"/>
      <c r="Z606" s="359"/>
      <c r="AA606" s="351"/>
      <c r="AB606" s="351"/>
      <c r="AC606" s="359"/>
      <c r="AD606" s="359"/>
      <c r="AE606" s="351"/>
      <c r="AF606" s="333"/>
      <c r="AG606" s="333"/>
      <c r="AH606" s="351"/>
      <c r="AI606" s="351"/>
      <c r="AJ606" s="351"/>
      <c r="AK606" s="351"/>
      <c r="AL606" s="351"/>
      <c r="AM606" s="351"/>
      <c r="AN606" s="351"/>
      <c r="AO606" s="351"/>
      <c r="AP606" s="351"/>
      <c r="AQ606" s="351"/>
      <c r="AR606" s="351"/>
      <c r="AS606" s="351"/>
      <c r="AT606" s="351"/>
      <c r="AU606" s="351"/>
      <c r="AV606" s="351"/>
      <c r="AW606" s="351"/>
      <c r="AX606" s="351"/>
      <c r="AY606" s="351"/>
    </row>
    <row r="607" spans="1:51" ht="13">
      <c r="A607" s="333"/>
      <c r="B607" s="351"/>
      <c r="C607" s="351"/>
      <c r="D607" s="333"/>
      <c r="E607" s="333"/>
      <c r="F607" s="333"/>
      <c r="G607" s="359"/>
      <c r="H607" s="359"/>
      <c r="I607" s="351"/>
      <c r="J607" s="359"/>
      <c r="K607" s="359"/>
      <c r="L607" s="359"/>
      <c r="M607" s="351"/>
      <c r="N607" s="351"/>
      <c r="O607" s="351"/>
      <c r="P607" s="351"/>
      <c r="Q607" s="351"/>
      <c r="R607" s="351"/>
      <c r="S607" s="351"/>
      <c r="T607" s="351"/>
      <c r="U607" s="351"/>
      <c r="V607" s="351"/>
      <c r="W607" s="351"/>
      <c r="X607" s="359"/>
      <c r="Y607" s="359"/>
      <c r="Z607" s="359"/>
      <c r="AA607" s="351"/>
      <c r="AB607" s="351"/>
      <c r="AC607" s="359"/>
      <c r="AD607" s="359"/>
      <c r="AE607" s="351"/>
      <c r="AF607" s="333"/>
      <c r="AG607" s="333"/>
      <c r="AH607" s="351"/>
      <c r="AI607" s="351"/>
      <c r="AJ607" s="351"/>
      <c r="AK607" s="351"/>
      <c r="AL607" s="351"/>
      <c r="AM607" s="351"/>
      <c r="AN607" s="351"/>
      <c r="AO607" s="351"/>
      <c r="AP607" s="351"/>
      <c r="AQ607" s="351"/>
      <c r="AR607" s="351"/>
      <c r="AS607" s="351"/>
      <c r="AT607" s="351"/>
      <c r="AU607" s="351"/>
      <c r="AV607" s="351"/>
      <c r="AW607" s="351"/>
      <c r="AX607" s="351"/>
      <c r="AY607" s="351"/>
    </row>
    <row r="608" spans="1:51" ht="13">
      <c r="A608" s="333"/>
      <c r="B608" s="351"/>
      <c r="C608" s="351"/>
      <c r="D608" s="333"/>
      <c r="E608" s="333"/>
      <c r="F608" s="333"/>
      <c r="G608" s="359"/>
      <c r="H608" s="359"/>
      <c r="I608" s="351"/>
      <c r="J608" s="359"/>
      <c r="K608" s="359"/>
      <c r="L608" s="359"/>
      <c r="M608" s="351"/>
      <c r="N608" s="351"/>
      <c r="O608" s="351"/>
      <c r="P608" s="351"/>
      <c r="Q608" s="351"/>
      <c r="R608" s="351"/>
      <c r="S608" s="351"/>
      <c r="T608" s="351"/>
      <c r="U608" s="351"/>
      <c r="V608" s="351"/>
      <c r="W608" s="351"/>
      <c r="X608" s="359"/>
      <c r="Y608" s="359"/>
      <c r="Z608" s="359"/>
      <c r="AA608" s="351"/>
      <c r="AB608" s="351"/>
      <c r="AC608" s="359"/>
      <c r="AD608" s="359"/>
      <c r="AE608" s="351"/>
      <c r="AF608" s="333"/>
      <c r="AG608" s="333"/>
      <c r="AH608" s="351"/>
      <c r="AI608" s="351"/>
      <c r="AJ608" s="351"/>
      <c r="AK608" s="351"/>
      <c r="AL608" s="351"/>
      <c r="AM608" s="351"/>
      <c r="AN608" s="351"/>
      <c r="AO608" s="351"/>
      <c r="AP608" s="351"/>
      <c r="AQ608" s="351"/>
      <c r="AR608" s="351"/>
      <c r="AS608" s="351"/>
      <c r="AT608" s="351"/>
      <c r="AU608" s="351"/>
      <c r="AV608" s="351"/>
      <c r="AW608" s="351"/>
      <c r="AX608" s="351"/>
      <c r="AY608" s="351"/>
    </row>
    <row r="609" spans="1:51" ht="13">
      <c r="A609" s="333"/>
      <c r="B609" s="351"/>
      <c r="C609" s="351"/>
      <c r="D609" s="333"/>
      <c r="E609" s="333"/>
      <c r="F609" s="333"/>
      <c r="G609" s="359"/>
      <c r="H609" s="359"/>
      <c r="I609" s="351"/>
      <c r="J609" s="359"/>
      <c r="K609" s="359"/>
      <c r="L609" s="359"/>
      <c r="M609" s="351"/>
      <c r="N609" s="351"/>
      <c r="O609" s="351"/>
      <c r="P609" s="351"/>
      <c r="Q609" s="351"/>
      <c r="R609" s="351"/>
      <c r="S609" s="351"/>
      <c r="T609" s="351"/>
      <c r="U609" s="351"/>
      <c r="V609" s="351"/>
      <c r="W609" s="351"/>
      <c r="X609" s="359"/>
      <c r="Y609" s="359"/>
      <c r="Z609" s="359"/>
      <c r="AA609" s="351"/>
      <c r="AB609" s="351"/>
      <c r="AC609" s="359"/>
      <c r="AD609" s="359"/>
      <c r="AE609" s="351"/>
      <c r="AF609" s="333"/>
      <c r="AG609" s="333"/>
      <c r="AH609" s="351"/>
      <c r="AI609" s="351"/>
      <c r="AJ609" s="351"/>
      <c r="AK609" s="351"/>
      <c r="AL609" s="351"/>
      <c r="AM609" s="351"/>
      <c r="AN609" s="351"/>
      <c r="AO609" s="351"/>
      <c r="AP609" s="351"/>
      <c r="AQ609" s="351"/>
      <c r="AR609" s="351"/>
      <c r="AS609" s="351"/>
      <c r="AT609" s="351"/>
      <c r="AU609" s="351"/>
      <c r="AV609" s="351"/>
      <c r="AW609" s="351"/>
      <c r="AX609" s="351"/>
      <c r="AY609" s="351"/>
    </row>
    <row r="610" spans="1:51" ht="13">
      <c r="A610" s="333"/>
      <c r="B610" s="351"/>
      <c r="C610" s="351"/>
      <c r="D610" s="333"/>
      <c r="E610" s="333"/>
      <c r="F610" s="333"/>
      <c r="G610" s="359"/>
      <c r="H610" s="359"/>
      <c r="I610" s="351"/>
      <c r="J610" s="359"/>
      <c r="K610" s="359"/>
      <c r="L610" s="359"/>
      <c r="M610" s="351"/>
      <c r="N610" s="351"/>
      <c r="O610" s="351"/>
      <c r="P610" s="351"/>
      <c r="Q610" s="351"/>
      <c r="R610" s="351"/>
      <c r="S610" s="351"/>
      <c r="T610" s="351"/>
      <c r="U610" s="351"/>
      <c r="V610" s="351"/>
      <c r="W610" s="351"/>
      <c r="X610" s="359"/>
      <c r="Y610" s="359"/>
      <c r="Z610" s="359"/>
      <c r="AA610" s="351"/>
      <c r="AB610" s="351"/>
      <c r="AC610" s="359"/>
      <c r="AD610" s="359"/>
      <c r="AE610" s="351"/>
      <c r="AF610" s="333"/>
      <c r="AG610" s="333"/>
      <c r="AH610" s="351"/>
      <c r="AI610" s="351"/>
      <c r="AJ610" s="351"/>
      <c r="AK610" s="351"/>
      <c r="AL610" s="351"/>
      <c r="AM610" s="351"/>
      <c r="AN610" s="351"/>
      <c r="AO610" s="351"/>
      <c r="AP610" s="351"/>
      <c r="AQ610" s="351"/>
      <c r="AR610" s="351"/>
      <c r="AS610" s="351"/>
      <c r="AT610" s="351"/>
      <c r="AU610" s="351"/>
      <c r="AV610" s="351"/>
      <c r="AW610" s="351"/>
      <c r="AX610" s="351"/>
      <c r="AY610" s="351"/>
    </row>
    <row r="611" spans="1:51" ht="13">
      <c r="A611" s="333"/>
      <c r="B611" s="351"/>
      <c r="C611" s="351"/>
      <c r="D611" s="333"/>
      <c r="E611" s="333"/>
      <c r="F611" s="333"/>
      <c r="G611" s="359"/>
      <c r="H611" s="359"/>
      <c r="I611" s="351"/>
      <c r="J611" s="359"/>
      <c r="K611" s="359"/>
      <c r="L611" s="359"/>
      <c r="M611" s="351"/>
      <c r="N611" s="351"/>
      <c r="O611" s="351"/>
      <c r="P611" s="351"/>
      <c r="Q611" s="351"/>
      <c r="R611" s="351"/>
      <c r="S611" s="351"/>
      <c r="T611" s="351"/>
      <c r="U611" s="351"/>
      <c r="V611" s="351"/>
      <c r="W611" s="351"/>
      <c r="X611" s="359"/>
      <c r="Y611" s="359"/>
      <c r="Z611" s="359"/>
      <c r="AA611" s="351"/>
      <c r="AB611" s="351"/>
      <c r="AC611" s="359"/>
      <c r="AD611" s="359"/>
      <c r="AE611" s="351"/>
      <c r="AF611" s="333"/>
      <c r="AG611" s="333"/>
      <c r="AH611" s="351"/>
      <c r="AI611" s="351"/>
      <c r="AJ611" s="351"/>
      <c r="AK611" s="351"/>
      <c r="AL611" s="351"/>
      <c r="AM611" s="351"/>
      <c r="AN611" s="351"/>
      <c r="AO611" s="351"/>
      <c r="AP611" s="351"/>
      <c r="AQ611" s="351"/>
      <c r="AR611" s="351"/>
      <c r="AS611" s="351"/>
      <c r="AT611" s="351"/>
      <c r="AU611" s="351"/>
      <c r="AV611" s="351"/>
      <c r="AW611" s="351"/>
      <c r="AX611" s="351"/>
      <c r="AY611" s="351"/>
    </row>
    <row r="612" spans="1:51" ht="13">
      <c r="A612" s="333"/>
      <c r="B612" s="351"/>
      <c r="C612" s="351"/>
      <c r="D612" s="333"/>
      <c r="E612" s="333"/>
      <c r="F612" s="333"/>
      <c r="G612" s="359"/>
      <c r="H612" s="359"/>
      <c r="I612" s="351"/>
      <c r="J612" s="359"/>
      <c r="K612" s="359"/>
      <c r="L612" s="359"/>
      <c r="M612" s="351"/>
      <c r="N612" s="351"/>
      <c r="O612" s="351"/>
      <c r="P612" s="351"/>
      <c r="Q612" s="351"/>
      <c r="R612" s="351"/>
      <c r="S612" s="351"/>
      <c r="T612" s="351"/>
      <c r="U612" s="351"/>
      <c r="V612" s="351"/>
      <c r="W612" s="351"/>
      <c r="X612" s="359"/>
      <c r="Y612" s="359"/>
      <c r="Z612" s="359"/>
      <c r="AA612" s="351"/>
      <c r="AB612" s="351"/>
      <c r="AC612" s="359"/>
      <c r="AD612" s="359"/>
      <c r="AE612" s="351"/>
      <c r="AF612" s="333"/>
      <c r="AG612" s="333"/>
      <c r="AH612" s="351"/>
      <c r="AI612" s="351"/>
      <c r="AJ612" s="351"/>
      <c r="AK612" s="351"/>
      <c r="AL612" s="351"/>
      <c r="AM612" s="351"/>
      <c r="AN612" s="351"/>
      <c r="AO612" s="351"/>
      <c r="AP612" s="351"/>
      <c r="AQ612" s="351"/>
      <c r="AR612" s="351"/>
      <c r="AS612" s="351"/>
      <c r="AT612" s="351"/>
      <c r="AU612" s="351"/>
      <c r="AV612" s="351"/>
      <c r="AW612" s="351"/>
      <c r="AX612" s="351"/>
      <c r="AY612" s="351"/>
    </row>
    <row r="613" spans="1:51" ht="13">
      <c r="A613" s="333"/>
      <c r="B613" s="351"/>
      <c r="C613" s="351"/>
      <c r="D613" s="333"/>
      <c r="E613" s="333"/>
      <c r="F613" s="333"/>
      <c r="G613" s="359"/>
      <c r="H613" s="359"/>
      <c r="I613" s="351"/>
      <c r="J613" s="359"/>
      <c r="K613" s="359"/>
      <c r="L613" s="359"/>
      <c r="M613" s="351"/>
      <c r="N613" s="351"/>
      <c r="O613" s="351"/>
      <c r="P613" s="351"/>
      <c r="Q613" s="351"/>
      <c r="R613" s="351"/>
      <c r="S613" s="351"/>
      <c r="T613" s="351"/>
      <c r="U613" s="351"/>
      <c r="V613" s="351"/>
      <c r="W613" s="351"/>
      <c r="X613" s="359"/>
      <c r="Y613" s="359"/>
      <c r="Z613" s="359"/>
      <c r="AA613" s="351"/>
      <c r="AB613" s="351"/>
      <c r="AC613" s="359"/>
      <c r="AD613" s="359"/>
      <c r="AE613" s="351"/>
      <c r="AF613" s="333"/>
      <c r="AG613" s="333"/>
      <c r="AH613" s="351"/>
      <c r="AI613" s="351"/>
      <c r="AJ613" s="351"/>
      <c r="AK613" s="351"/>
      <c r="AL613" s="351"/>
      <c r="AM613" s="351"/>
      <c r="AN613" s="351"/>
      <c r="AO613" s="351"/>
      <c r="AP613" s="351"/>
      <c r="AQ613" s="351"/>
      <c r="AR613" s="351"/>
      <c r="AS613" s="351"/>
      <c r="AT613" s="351"/>
      <c r="AU613" s="351"/>
      <c r="AV613" s="351"/>
      <c r="AW613" s="351"/>
      <c r="AX613" s="351"/>
      <c r="AY613" s="351"/>
    </row>
    <row r="614" spans="1:51" ht="13">
      <c r="A614" s="333"/>
      <c r="B614" s="351"/>
      <c r="C614" s="351"/>
      <c r="D614" s="333"/>
      <c r="E614" s="333"/>
      <c r="F614" s="333"/>
      <c r="G614" s="359"/>
      <c r="H614" s="359"/>
      <c r="I614" s="351"/>
      <c r="J614" s="359"/>
      <c r="K614" s="359"/>
      <c r="L614" s="359"/>
      <c r="M614" s="351"/>
      <c r="N614" s="351"/>
      <c r="O614" s="351"/>
      <c r="P614" s="351"/>
      <c r="Q614" s="351"/>
      <c r="R614" s="351"/>
      <c r="S614" s="351"/>
      <c r="T614" s="351"/>
      <c r="U614" s="351"/>
      <c r="V614" s="351"/>
      <c r="W614" s="351"/>
      <c r="X614" s="359"/>
      <c r="Y614" s="359"/>
      <c r="Z614" s="359"/>
      <c r="AA614" s="351"/>
      <c r="AB614" s="351"/>
      <c r="AC614" s="359"/>
      <c r="AD614" s="359"/>
      <c r="AE614" s="351"/>
      <c r="AF614" s="333"/>
      <c r="AG614" s="333"/>
      <c r="AH614" s="351"/>
      <c r="AI614" s="351"/>
      <c r="AJ614" s="351"/>
      <c r="AK614" s="351"/>
      <c r="AL614" s="351"/>
      <c r="AM614" s="351"/>
      <c r="AN614" s="351"/>
      <c r="AO614" s="351"/>
      <c r="AP614" s="351"/>
      <c r="AQ614" s="351"/>
      <c r="AR614" s="351"/>
      <c r="AS614" s="351"/>
      <c r="AT614" s="351"/>
      <c r="AU614" s="351"/>
      <c r="AV614" s="351"/>
      <c r="AW614" s="351"/>
      <c r="AX614" s="351"/>
      <c r="AY614" s="351"/>
    </row>
    <row r="615" spans="1:51" ht="13">
      <c r="A615" s="333"/>
      <c r="B615" s="351"/>
      <c r="C615" s="351"/>
      <c r="D615" s="333"/>
      <c r="E615" s="333"/>
      <c r="F615" s="333"/>
      <c r="G615" s="359"/>
      <c r="H615" s="359"/>
      <c r="I615" s="351"/>
      <c r="J615" s="359"/>
      <c r="K615" s="359"/>
      <c r="L615" s="359"/>
      <c r="M615" s="351"/>
      <c r="N615" s="351"/>
      <c r="O615" s="351"/>
      <c r="P615" s="351"/>
      <c r="Q615" s="351"/>
      <c r="R615" s="351"/>
      <c r="S615" s="351"/>
      <c r="T615" s="351"/>
      <c r="U615" s="351"/>
      <c r="V615" s="351"/>
      <c r="W615" s="351"/>
      <c r="X615" s="359"/>
      <c r="Y615" s="359"/>
      <c r="Z615" s="359"/>
      <c r="AA615" s="351"/>
      <c r="AB615" s="351"/>
      <c r="AC615" s="359"/>
      <c r="AD615" s="359"/>
      <c r="AE615" s="351"/>
      <c r="AF615" s="333"/>
      <c r="AG615" s="333"/>
      <c r="AH615" s="351"/>
      <c r="AI615" s="351"/>
      <c r="AJ615" s="351"/>
      <c r="AK615" s="351"/>
      <c r="AL615" s="351"/>
      <c r="AM615" s="351"/>
      <c r="AN615" s="351"/>
      <c r="AO615" s="351"/>
      <c r="AP615" s="351"/>
      <c r="AQ615" s="351"/>
      <c r="AR615" s="351"/>
      <c r="AS615" s="351"/>
      <c r="AT615" s="351"/>
      <c r="AU615" s="351"/>
      <c r="AV615" s="351"/>
      <c r="AW615" s="351"/>
      <c r="AX615" s="351"/>
      <c r="AY615" s="351"/>
    </row>
    <row r="616" spans="1:51" ht="13">
      <c r="A616" s="333"/>
      <c r="B616" s="351"/>
      <c r="C616" s="351"/>
      <c r="D616" s="333"/>
      <c r="E616" s="333"/>
      <c r="F616" s="333"/>
      <c r="G616" s="359"/>
      <c r="H616" s="359"/>
      <c r="I616" s="351"/>
      <c r="J616" s="359"/>
      <c r="K616" s="359"/>
      <c r="L616" s="359"/>
      <c r="M616" s="351"/>
      <c r="N616" s="351"/>
      <c r="O616" s="351"/>
      <c r="P616" s="351"/>
      <c r="Q616" s="351"/>
      <c r="R616" s="351"/>
      <c r="S616" s="351"/>
      <c r="T616" s="351"/>
      <c r="U616" s="351"/>
      <c r="V616" s="351"/>
      <c r="W616" s="351"/>
      <c r="X616" s="359"/>
      <c r="Y616" s="359"/>
      <c r="Z616" s="359"/>
      <c r="AA616" s="351"/>
      <c r="AB616" s="351"/>
      <c r="AC616" s="359"/>
      <c r="AD616" s="359"/>
      <c r="AE616" s="351"/>
      <c r="AF616" s="333"/>
      <c r="AG616" s="333"/>
      <c r="AH616" s="351"/>
      <c r="AI616" s="351"/>
      <c r="AJ616" s="351"/>
      <c r="AK616" s="351"/>
      <c r="AL616" s="351"/>
      <c r="AM616" s="351"/>
      <c r="AN616" s="351"/>
      <c r="AO616" s="351"/>
      <c r="AP616" s="351"/>
      <c r="AQ616" s="351"/>
      <c r="AR616" s="351"/>
      <c r="AS616" s="351"/>
      <c r="AT616" s="351"/>
      <c r="AU616" s="351"/>
      <c r="AV616" s="351"/>
      <c r="AW616" s="351"/>
      <c r="AX616" s="351"/>
      <c r="AY616" s="351"/>
    </row>
    <row r="617" spans="1:51" ht="13">
      <c r="A617" s="333"/>
      <c r="B617" s="351"/>
      <c r="C617" s="351"/>
      <c r="D617" s="333"/>
      <c r="E617" s="333"/>
      <c r="F617" s="333"/>
      <c r="G617" s="359"/>
      <c r="H617" s="359"/>
      <c r="I617" s="351"/>
      <c r="J617" s="359"/>
      <c r="K617" s="359"/>
      <c r="L617" s="359"/>
      <c r="M617" s="351"/>
      <c r="N617" s="351"/>
      <c r="O617" s="351"/>
      <c r="P617" s="351"/>
      <c r="Q617" s="351"/>
      <c r="R617" s="351"/>
      <c r="S617" s="351"/>
      <c r="T617" s="351"/>
      <c r="U617" s="351"/>
      <c r="V617" s="351"/>
      <c r="W617" s="351"/>
      <c r="X617" s="359"/>
      <c r="Y617" s="359"/>
      <c r="Z617" s="359"/>
      <c r="AA617" s="351"/>
      <c r="AB617" s="351"/>
      <c r="AC617" s="359"/>
      <c r="AD617" s="359"/>
      <c r="AE617" s="351"/>
      <c r="AF617" s="333"/>
      <c r="AG617" s="333"/>
      <c r="AH617" s="351"/>
      <c r="AI617" s="351"/>
      <c r="AJ617" s="351"/>
      <c r="AK617" s="351"/>
      <c r="AL617" s="351"/>
      <c r="AM617" s="351"/>
      <c r="AN617" s="351"/>
      <c r="AO617" s="351"/>
      <c r="AP617" s="351"/>
      <c r="AQ617" s="351"/>
      <c r="AR617" s="351"/>
      <c r="AS617" s="351"/>
      <c r="AT617" s="351"/>
      <c r="AU617" s="351"/>
      <c r="AV617" s="351"/>
      <c r="AW617" s="351"/>
      <c r="AX617" s="351"/>
      <c r="AY617" s="351"/>
    </row>
    <row r="618" spans="1:51" ht="13">
      <c r="A618" s="333"/>
      <c r="B618" s="351"/>
      <c r="C618" s="351"/>
      <c r="D618" s="333"/>
      <c r="E618" s="333"/>
      <c r="F618" s="333"/>
      <c r="G618" s="359"/>
      <c r="H618" s="359"/>
      <c r="I618" s="351"/>
      <c r="J618" s="359"/>
      <c r="K618" s="359"/>
      <c r="L618" s="359"/>
      <c r="M618" s="351"/>
      <c r="N618" s="351"/>
      <c r="O618" s="351"/>
      <c r="P618" s="351"/>
      <c r="Q618" s="351"/>
      <c r="R618" s="351"/>
      <c r="S618" s="351"/>
      <c r="T618" s="351"/>
      <c r="U618" s="351"/>
      <c r="V618" s="351"/>
      <c r="W618" s="351"/>
      <c r="X618" s="359"/>
      <c r="Y618" s="359"/>
      <c r="Z618" s="359"/>
      <c r="AA618" s="351"/>
      <c r="AB618" s="351"/>
      <c r="AC618" s="359"/>
      <c r="AD618" s="359"/>
      <c r="AE618" s="351"/>
      <c r="AF618" s="333"/>
      <c r="AG618" s="333"/>
      <c r="AH618" s="351"/>
      <c r="AI618" s="351"/>
      <c r="AJ618" s="351"/>
      <c r="AK618" s="351"/>
      <c r="AL618" s="351"/>
      <c r="AM618" s="351"/>
      <c r="AN618" s="351"/>
      <c r="AO618" s="351"/>
      <c r="AP618" s="351"/>
      <c r="AQ618" s="351"/>
      <c r="AR618" s="351"/>
      <c r="AS618" s="351"/>
      <c r="AT618" s="351"/>
      <c r="AU618" s="351"/>
      <c r="AV618" s="351"/>
      <c r="AW618" s="351"/>
      <c r="AX618" s="351"/>
      <c r="AY618" s="351"/>
    </row>
    <row r="619" spans="1:51" ht="13">
      <c r="A619" s="333"/>
      <c r="B619" s="351"/>
      <c r="C619" s="351"/>
      <c r="D619" s="333"/>
      <c r="E619" s="333"/>
      <c r="F619" s="333"/>
      <c r="G619" s="359"/>
      <c r="H619" s="359"/>
      <c r="I619" s="351"/>
      <c r="J619" s="359"/>
      <c r="K619" s="359"/>
      <c r="L619" s="359"/>
      <c r="M619" s="351"/>
      <c r="N619" s="351"/>
      <c r="O619" s="351"/>
      <c r="P619" s="351"/>
      <c r="Q619" s="351"/>
      <c r="R619" s="351"/>
      <c r="S619" s="351"/>
      <c r="T619" s="351"/>
      <c r="U619" s="351"/>
      <c r="V619" s="351"/>
      <c r="W619" s="351"/>
      <c r="X619" s="359"/>
      <c r="Y619" s="359"/>
      <c r="Z619" s="359"/>
      <c r="AA619" s="351"/>
      <c r="AB619" s="351"/>
      <c r="AC619" s="359"/>
      <c r="AD619" s="359"/>
      <c r="AE619" s="351"/>
      <c r="AF619" s="333"/>
      <c r="AG619" s="333"/>
      <c r="AH619" s="351"/>
      <c r="AI619" s="351"/>
      <c r="AJ619" s="351"/>
      <c r="AK619" s="351"/>
      <c r="AL619" s="351"/>
      <c r="AM619" s="351"/>
      <c r="AN619" s="351"/>
      <c r="AO619" s="351"/>
      <c r="AP619" s="351"/>
      <c r="AQ619" s="351"/>
      <c r="AR619" s="351"/>
      <c r="AS619" s="351"/>
      <c r="AT619" s="351"/>
      <c r="AU619" s="351"/>
      <c r="AV619" s="351"/>
      <c r="AW619" s="351"/>
      <c r="AX619" s="351"/>
      <c r="AY619" s="351"/>
    </row>
    <row r="620" spans="1:51" ht="13">
      <c r="A620" s="333"/>
      <c r="B620" s="351"/>
      <c r="C620" s="351"/>
      <c r="D620" s="333"/>
      <c r="E620" s="333"/>
      <c r="F620" s="333"/>
      <c r="G620" s="359"/>
      <c r="H620" s="359"/>
      <c r="I620" s="351"/>
      <c r="J620" s="359"/>
      <c r="K620" s="359"/>
      <c r="L620" s="359"/>
      <c r="M620" s="351"/>
      <c r="N620" s="351"/>
      <c r="O620" s="351"/>
      <c r="P620" s="351"/>
      <c r="Q620" s="351"/>
      <c r="R620" s="351"/>
      <c r="S620" s="351"/>
      <c r="T620" s="351"/>
      <c r="U620" s="351"/>
      <c r="V620" s="351"/>
      <c r="W620" s="351"/>
      <c r="X620" s="359"/>
      <c r="Y620" s="359"/>
      <c r="Z620" s="359"/>
      <c r="AA620" s="351"/>
      <c r="AB620" s="351"/>
      <c r="AC620" s="359"/>
      <c r="AD620" s="359"/>
      <c r="AE620" s="351"/>
      <c r="AF620" s="333"/>
      <c r="AG620" s="333"/>
      <c r="AH620" s="351"/>
      <c r="AI620" s="351"/>
      <c r="AJ620" s="351"/>
      <c r="AK620" s="351"/>
      <c r="AL620" s="351"/>
      <c r="AM620" s="351"/>
      <c r="AN620" s="351"/>
      <c r="AO620" s="351"/>
      <c r="AP620" s="351"/>
      <c r="AQ620" s="351"/>
      <c r="AR620" s="351"/>
      <c r="AS620" s="351"/>
      <c r="AT620" s="351"/>
      <c r="AU620" s="351"/>
      <c r="AV620" s="351"/>
      <c r="AW620" s="351"/>
      <c r="AX620" s="351"/>
      <c r="AY620" s="351"/>
    </row>
    <row r="621" spans="1:51" ht="13">
      <c r="A621" s="333"/>
      <c r="B621" s="351"/>
      <c r="C621" s="351"/>
      <c r="D621" s="333"/>
      <c r="E621" s="333"/>
      <c r="F621" s="333"/>
      <c r="G621" s="359"/>
      <c r="H621" s="359"/>
      <c r="I621" s="351"/>
      <c r="J621" s="359"/>
      <c r="K621" s="359"/>
      <c r="L621" s="359"/>
      <c r="M621" s="351"/>
      <c r="N621" s="351"/>
      <c r="O621" s="351"/>
      <c r="P621" s="351"/>
      <c r="Q621" s="351"/>
      <c r="R621" s="351"/>
      <c r="S621" s="351"/>
      <c r="T621" s="351"/>
      <c r="U621" s="351"/>
      <c r="V621" s="351"/>
      <c r="W621" s="351"/>
      <c r="X621" s="359"/>
      <c r="Y621" s="359"/>
      <c r="Z621" s="359"/>
      <c r="AA621" s="351"/>
      <c r="AB621" s="351"/>
      <c r="AC621" s="359"/>
      <c r="AD621" s="359"/>
      <c r="AE621" s="351"/>
      <c r="AF621" s="333"/>
      <c r="AG621" s="333"/>
      <c r="AH621" s="351"/>
      <c r="AI621" s="351"/>
      <c r="AJ621" s="351"/>
      <c r="AK621" s="351"/>
      <c r="AL621" s="351"/>
      <c r="AM621" s="351"/>
      <c r="AN621" s="351"/>
      <c r="AO621" s="351"/>
      <c r="AP621" s="351"/>
      <c r="AQ621" s="351"/>
      <c r="AR621" s="351"/>
      <c r="AS621" s="351"/>
      <c r="AT621" s="351"/>
      <c r="AU621" s="351"/>
      <c r="AV621" s="351"/>
      <c r="AW621" s="351"/>
      <c r="AX621" s="351"/>
      <c r="AY621" s="351"/>
    </row>
    <row r="622" spans="1:51" ht="13">
      <c r="A622" s="333"/>
      <c r="B622" s="351"/>
      <c r="C622" s="351"/>
      <c r="D622" s="333"/>
      <c r="E622" s="333"/>
      <c r="F622" s="333"/>
      <c r="G622" s="359"/>
      <c r="H622" s="359"/>
      <c r="I622" s="351"/>
      <c r="J622" s="359"/>
      <c r="K622" s="359"/>
      <c r="L622" s="359"/>
      <c r="M622" s="351"/>
      <c r="N622" s="351"/>
      <c r="O622" s="351"/>
      <c r="P622" s="351"/>
      <c r="Q622" s="351"/>
      <c r="R622" s="351"/>
      <c r="S622" s="351"/>
      <c r="T622" s="351"/>
      <c r="U622" s="351"/>
      <c r="V622" s="351"/>
      <c r="W622" s="351"/>
      <c r="X622" s="359"/>
      <c r="Y622" s="359"/>
      <c r="Z622" s="359"/>
      <c r="AA622" s="351"/>
      <c r="AB622" s="351"/>
      <c r="AC622" s="359"/>
      <c r="AD622" s="359"/>
      <c r="AE622" s="351"/>
      <c r="AF622" s="333"/>
      <c r="AG622" s="333"/>
      <c r="AH622" s="351"/>
      <c r="AI622" s="351"/>
      <c r="AJ622" s="351"/>
      <c r="AK622" s="351"/>
      <c r="AL622" s="351"/>
      <c r="AM622" s="351"/>
      <c r="AN622" s="351"/>
      <c r="AO622" s="351"/>
      <c r="AP622" s="351"/>
      <c r="AQ622" s="351"/>
      <c r="AR622" s="351"/>
      <c r="AS622" s="351"/>
      <c r="AT622" s="351"/>
      <c r="AU622" s="351"/>
      <c r="AV622" s="351"/>
      <c r="AW622" s="351"/>
      <c r="AX622" s="351"/>
      <c r="AY622" s="351"/>
    </row>
    <row r="623" spans="1:51" ht="13">
      <c r="A623" s="333"/>
      <c r="B623" s="351"/>
      <c r="C623" s="351"/>
      <c r="D623" s="333"/>
      <c r="E623" s="333"/>
      <c r="F623" s="333"/>
      <c r="G623" s="359"/>
      <c r="H623" s="359"/>
      <c r="I623" s="351"/>
      <c r="J623" s="359"/>
      <c r="K623" s="359"/>
      <c r="L623" s="359"/>
      <c r="M623" s="351"/>
      <c r="N623" s="351"/>
      <c r="O623" s="351"/>
      <c r="P623" s="351"/>
      <c r="Q623" s="351"/>
      <c r="R623" s="351"/>
      <c r="S623" s="351"/>
      <c r="T623" s="351"/>
      <c r="U623" s="351"/>
      <c r="V623" s="351"/>
      <c r="W623" s="351"/>
      <c r="X623" s="359"/>
      <c r="Y623" s="359"/>
      <c r="Z623" s="359"/>
      <c r="AA623" s="351"/>
      <c r="AB623" s="351"/>
      <c r="AC623" s="359"/>
      <c r="AD623" s="359"/>
      <c r="AE623" s="351"/>
      <c r="AF623" s="333"/>
      <c r="AG623" s="333"/>
      <c r="AH623" s="351"/>
      <c r="AI623" s="351"/>
      <c r="AJ623" s="351"/>
      <c r="AK623" s="351"/>
      <c r="AL623" s="351"/>
      <c r="AM623" s="351"/>
      <c r="AN623" s="351"/>
      <c r="AO623" s="351"/>
      <c r="AP623" s="351"/>
      <c r="AQ623" s="351"/>
      <c r="AR623" s="351"/>
      <c r="AS623" s="351"/>
      <c r="AT623" s="351"/>
      <c r="AU623" s="351"/>
      <c r="AV623" s="351"/>
      <c r="AW623" s="351"/>
      <c r="AX623" s="351"/>
      <c r="AY623" s="351"/>
    </row>
    <row r="624" spans="1:51" ht="13">
      <c r="A624" s="333"/>
      <c r="B624" s="351"/>
      <c r="C624" s="351"/>
      <c r="D624" s="333"/>
      <c r="E624" s="333"/>
      <c r="F624" s="333"/>
      <c r="G624" s="359"/>
      <c r="H624" s="359"/>
      <c r="I624" s="351"/>
      <c r="J624" s="359"/>
      <c r="K624" s="359"/>
      <c r="L624" s="359"/>
      <c r="M624" s="351"/>
      <c r="N624" s="351"/>
      <c r="O624" s="351"/>
      <c r="P624" s="351"/>
      <c r="Q624" s="351"/>
      <c r="R624" s="351"/>
      <c r="S624" s="351"/>
      <c r="T624" s="351"/>
      <c r="U624" s="351"/>
      <c r="V624" s="351"/>
      <c r="W624" s="351"/>
      <c r="X624" s="359"/>
      <c r="Y624" s="359"/>
      <c r="Z624" s="359"/>
      <c r="AA624" s="351"/>
      <c r="AB624" s="351"/>
      <c r="AC624" s="359"/>
      <c r="AD624" s="359"/>
      <c r="AE624" s="351"/>
      <c r="AF624" s="333"/>
      <c r="AG624" s="333"/>
      <c r="AH624" s="351"/>
      <c r="AI624" s="351"/>
      <c r="AJ624" s="351"/>
      <c r="AK624" s="351"/>
      <c r="AL624" s="351"/>
      <c r="AM624" s="351"/>
      <c r="AN624" s="351"/>
      <c r="AO624" s="351"/>
      <c r="AP624" s="351"/>
      <c r="AQ624" s="351"/>
      <c r="AR624" s="351"/>
      <c r="AS624" s="351"/>
      <c r="AT624" s="351"/>
      <c r="AU624" s="351"/>
      <c r="AV624" s="351"/>
      <c r="AW624" s="351"/>
      <c r="AX624" s="351"/>
      <c r="AY624" s="351"/>
    </row>
    <row r="625" spans="1:51" ht="13">
      <c r="A625" s="333"/>
      <c r="B625" s="351"/>
      <c r="C625" s="351"/>
      <c r="D625" s="333"/>
      <c r="E625" s="333"/>
      <c r="F625" s="333"/>
      <c r="G625" s="359"/>
      <c r="H625" s="359"/>
      <c r="I625" s="351"/>
      <c r="J625" s="359"/>
      <c r="K625" s="359"/>
      <c r="L625" s="359"/>
      <c r="M625" s="351"/>
      <c r="N625" s="351"/>
      <c r="O625" s="351"/>
      <c r="P625" s="351"/>
      <c r="Q625" s="351"/>
      <c r="R625" s="351"/>
      <c r="S625" s="351"/>
      <c r="T625" s="351"/>
      <c r="U625" s="351"/>
      <c r="V625" s="351"/>
      <c r="W625" s="351"/>
      <c r="X625" s="359"/>
      <c r="Y625" s="359"/>
      <c r="Z625" s="359"/>
      <c r="AA625" s="351"/>
      <c r="AB625" s="351"/>
      <c r="AC625" s="359"/>
      <c r="AD625" s="359"/>
      <c r="AE625" s="351"/>
      <c r="AF625" s="333"/>
      <c r="AG625" s="333"/>
      <c r="AH625" s="351"/>
      <c r="AI625" s="351"/>
      <c r="AJ625" s="351"/>
      <c r="AK625" s="351"/>
      <c r="AL625" s="351"/>
      <c r="AM625" s="351"/>
      <c r="AN625" s="351"/>
      <c r="AO625" s="351"/>
      <c r="AP625" s="351"/>
      <c r="AQ625" s="351"/>
      <c r="AR625" s="351"/>
      <c r="AS625" s="351"/>
      <c r="AT625" s="351"/>
      <c r="AU625" s="351"/>
      <c r="AV625" s="351"/>
      <c r="AW625" s="351"/>
      <c r="AX625" s="351"/>
      <c r="AY625" s="351"/>
    </row>
    <row r="626" spans="1:51" ht="13">
      <c r="A626" s="333"/>
      <c r="B626" s="351"/>
      <c r="C626" s="351"/>
      <c r="D626" s="333"/>
      <c r="E626" s="333"/>
      <c r="F626" s="333"/>
      <c r="G626" s="359"/>
      <c r="H626" s="359"/>
      <c r="I626" s="351"/>
      <c r="J626" s="359"/>
      <c r="K626" s="359"/>
      <c r="L626" s="359"/>
      <c r="M626" s="351"/>
      <c r="N626" s="351"/>
      <c r="O626" s="351"/>
      <c r="P626" s="351"/>
      <c r="Q626" s="351"/>
      <c r="R626" s="351"/>
      <c r="S626" s="351"/>
      <c r="T626" s="351"/>
      <c r="U626" s="351"/>
      <c r="V626" s="351"/>
      <c r="W626" s="351"/>
      <c r="X626" s="359"/>
      <c r="Y626" s="359"/>
      <c r="Z626" s="359"/>
      <c r="AA626" s="351"/>
      <c r="AB626" s="351"/>
      <c r="AC626" s="359"/>
      <c r="AD626" s="359"/>
      <c r="AE626" s="351"/>
      <c r="AF626" s="333"/>
      <c r="AG626" s="333"/>
      <c r="AH626" s="351"/>
      <c r="AI626" s="351"/>
      <c r="AJ626" s="351"/>
      <c r="AK626" s="351"/>
      <c r="AL626" s="351"/>
      <c r="AM626" s="351"/>
      <c r="AN626" s="351"/>
      <c r="AO626" s="351"/>
      <c r="AP626" s="351"/>
      <c r="AQ626" s="351"/>
      <c r="AR626" s="351"/>
      <c r="AS626" s="351"/>
      <c r="AT626" s="351"/>
      <c r="AU626" s="351"/>
      <c r="AV626" s="351"/>
      <c r="AW626" s="351"/>
      <c r="AX626" s="351"/>
      <c r="AY626" s="351"/>
    </row>
    <row r="627" spans="1:51" ht="13">
      <c r="A627" s="333"/>
      <c r="B627" s="351"/>
      <c r="C627" s="351"/>
      <c r="D627" s="333"/>
      <c r="E627" s="333"/>
      <c r="F627" s="333"/>
      <c r="G627" s="359"/>
      <c r="H627" s="359"/>
      <c r="I627" s="351"/>
      <c r="J627" s="359"/>
      <c r="K627" s="359"/>
      <c r="L627" s="359"/>
      <c r="M627" s="351"/>
      <c r="N627" s="351"/>
      <c r="O627" s="351"/>
      <c r="P627" s="351"/>
      <c r="Q627" s="351"/>
      <c r="R627" s="351"/>
      <c r="S627" s="351"/>
      <c r="T627" s="351"/>
      <c r="U627" s="351"/>
      <c r="V627" s="351"/>
      <c r="W627" s="351"/>
      <c r="X627" s="359"/>
      <c r="Y627" s="359"/>
      <c r="Z627" s="359"/>
      <c r="AA627" s="351"/>
      <c r="AB627" s="351"/>
      <c r="AC627" s="359"/>
      <c r="AD627" s="359"/>
      <c r="AE627" s="351"/>
      <c r="AF627" s="333"/>
      <c r="AG627" s="333"/>
      <c r="AH627" s="351"/>
      <c r="AI627" s="351"/>
      <c r="AJ627" s="351"/>
      <c r="AK627" s="351"/>
      <c r="AL627" s="351"/>
      <c r="AM627" s="351"/>
      <c r="AN627" s="351"/>
      <c r="AO627" s="351"/>
      <c r="AP627" s="351"/>
      <c r="AQ627" s="351"/>
      <c r="AR627" s="351"/>
      <c r="AS627" s="351"/>
      <c r="AT627" s="351"/>
      <c r="AU627" s="351"/>
      <c r="AV627" s="351"/>
      <c r="AW627" s="351"/>
      <c r="AX627" s="351"/>
      <c r="AY627" s="351"/>
    </row>
    <row r="628" spans="1:51" ht="13">
      <c r="A628" s="333"/>
      <c r="B628" s="351"/>
      <c r="C628" s="351"/>
      <c r="D628" s="333"/>
      <c r="E628" s="333"/>
      <c r="F628" s="333"/>
      <c r="G628" s="359"/>
      <c r="H628" s="359"/>
      <c r="I628" s="351"/>
      <c r="J628" s="359"/>
      <c r="K628" s="359"/>
      <c r="L628" s="359"/>
      <c r="M628" s="351"/>
      <c r="N628" s="351"/>
      <c r="O628" s="351"/>
      <c r="P628" s="351"/>
      <c r="Q628" s="351"/>
      <c r="R628" s="351"/>
      <c r="S628" s="351"/>
      <c r="T628" s="351"/>
      <c r="U628" s="351"/>
      <c r="V628" s="351"/>
      <c r="W628" s="351"/>
      <c r="X628" s="359"/>
      <c r="Y628" s="359"/>
      <c r="Z628" s="359"/>
      <c r="AA628" s="351"/>
      <c r="AB628" s="351"/>
      <c r="AC628" s="359"/>
      <c r="AD628" s="359"/>
      <c r="AE628" s="351"/>
      <c r="AF628" s="333"/>
      <c r="AG628" s="333"/>
      <c r="AH628" s="351"/>
      <c r="AI628" s="351"/>
      <c r="AJ628" s="351"/>
      <c r="AK628" s="351"/>
      <c r="AL628" s="351"/>
      <c r="AM628" s="351"/>
      <c r="AN628" s="351"/>
      <c r="AO628" s="351"/>
      <c r="AP628" s="351"/>
      <c r="AQ628" s="351"/>
      <c r="AR628" s="351"/>
      <c r="AS628" s="351"/>
      <c r="AT628" s="351"/>
      <c r="AU628" s="351"/>
      <c r="AV628" s="351"/>
      <c r="AW628" s="351"/>
      <c r="AX628" s="351"/>
      <c r="AY628" s="351"/>
    </row>
    <row r="629" spans="1:51" ht="13">
      <c r="A629" s="333"/>
      <c r="B629" s="351"/>
      <c r="C629" s="351"/>
      <c r="D629" s="333"/>
      <c r="E629" s="333"/>
      <c r="F629" s="333"/>
      <c r="G629" s="359"/>
      <c r="H629" s="359"/>
      <c r="I629" s="351"/>
      <c r="J629" s="359"/>
      <c r="K629" s="359"/>
      <c r="L629" s="359"/>
      <c r="M629" s="351"/>
      <c r="N629" s="351"/>
      <c r="O629" s="351"/>
      <c r="P629" s="351"/>
      <c r="Q629" s="351"/>
      <c r="R629" s="351"/>
      <c r="S629" s="351"/>
      <c r="T629" s="351"/>
      <c r="U629" s="351"/>
      <c r="V629" s="351"/>
      <c r="W629" s="351"/>
      <c r="X629" s="359"/>
      <c r="Y629" s="359"/>
      <c r="Z629" s="359"/>
      <c r="AA629" s="351"/>
      <c r="AB629" s="351"/>
      <c r="AC629" s="359"/>
      <c r="AD629" s="359"/>
      <c r="AE629" s="351"/>
      <c r="AF629" s="333"/>
      <c r="AG629" s="333"/>
      <c r="AH629" s="351"/>
      <c r="AI629" s="351"/>
      <c r="AJ629" s="351"/>
      <c r="AK629" s="351"/>
      <c r="AL629" s="351"/>
      <c r="AM629" s="351"/>
      <c r="AN629" s="351"/>
      <c r="AO629" s="351"/>
      <c r="AP629" s="351"/>
      <c r="AQ629" s="351"/>
      <c r="AR629" s="351"/>
      <c r="AS629" s="351"/>
      <c r="AT629" s="351"/>
      <c r="AU629" s="351"/>
      <c r="AV629" s="351"/>
      <c r="AW629" s="351"/>
      <c r="AX629" s="351"/>
      <c r="AY629" s="351"/>
    </row>
    <row r="630" spans="1:51" ht="13">
      <c r="A630" s="333"/>
      <c r="B630" s="351"/>
      <c r="C630" s="351"/>
      <c r="D630" s="333"/>
      <c r="E630" s="333"/>
      <c r="F630" s="333"/>
      <c r="G630" s="359"/>
      <c r="H630" s="359"/>
      <c r="I630" s="351"/>
      <c r="J630" s="359"/>
      <c r="K630" s="359"/>
      <c r="L630" s="359"/>
      <c r="M630" s="351"/>
      <c r="N630" s="351"/>
      <c r="O630" s="351"/>
      <c r="P630" s="351"/>
      <c r="Q630" s="351"/>
      <c r="R630" s="351"/>
      <c r="S630" s="351"/>
      <c r="T630" s="351"/>
      <c r="U630" s="351"/>
      <c r="V630" s="351"/>
      <c r="W630" s="351"/>
      <c r="X630" s="359"/>
      <c r="Y630" s="359"/>
      <c r="Z630" s="359"/>
      <c r="AA630" s="351"/>
      <c r="AB630" s="351"/>
      <c r="AC630" s="359"/>
      <c r="AD630" s="359"/>
      <c r="AE630" s="351"/>
      <c r="AF630" s="333"/>
      <c r="AG630" s="333"/>
      <c r="AH630" s="351"/>
      <c r="AI630" s="351"/>
      <c r="AJ630" s="351"/>
      <c r="AK630" s="351"/>
      <c r="AL630" s="351"/>
      <c r="AM630" s="351"/>
      <c r="AN630" s="351"/>
      <c r="AO630" s="351"/>
      <c r="AP630" s="351"/>
      <c r="AQ630" s="351"/>
      <c r="AR630" s="351"/>
      <c r="AS630" s="351"/>
      <c r="AT630" s="351"/>
      <c r="AU630" s="351"/>
      <c r="AV630" s="351"/>
      <c r="AW630" s="351"/>
      <c r="AX630" s="351"/>
      <c r="AY630" s="351"/>
    </row>
    <row r="631" spans="1:51" ht="13">
      <c r="A631" s="333"/>
      <c r="B631" s="351"/>
      <c r="C631" s="351"/>
      <c r="D631" s="333"/>
      <c r="E631" s="333"/>
      <c r="F631" s="333"/>
      <c r="G631" s="359"/>
      <c r="H631" s="359"/>
      <c r="I631" s="351"/>
      <c r="J631" s="359"/>
      <c r="K631" s="359"/>
      <c r="L631" s="359"/>
      <c r="M631" s="351"/>
      <c r="N631" s="351"/>
      <c r="O631" s="351"/>
      <c r="P631" s="351"/>
      <c r="Q631" s="351"/>
      <c r="R631" s="351"/>
      <c r="S631" s="351"/>
      <c r="T631" s="351"/>
      <c r="U631" s="351"/>
      <c r="V631" s="351"/>
      <c r="W631" s="351"/>
      <c r="X631" s="359"/>
      <c r="Y631" s="359"/>
      <c r="Z631" s="359"/>
      <c r="AA631" s="351"/>
      <c r="AB631" s="351"/>
      <c r="AC631" s="359"/>
      <c r="AD631" s="359"/>
      <c r="AE631" s="351"/>
      <c r="AF631" s="333"/>
      <c r="AG631" s="333"/>
      <c r="AH631" s="351"/>
      <c r="AI631" s="351"/>
      <c r="AJ631" s="351"/>
      <c r="AK631" s="351"/>
      <c r="AL631" s="351"/>
      <c r="AM631" s="351"/>
      <c r="AN631" s="351"/>
      <c r="AO631" s="351"/>
      <c r="AP631" s="351"/>
      <c r="AQ631" s="351"/>
      <c r="AR631" s="351"/>
      <c r="AS631" s="351"/>
      <c r="AT631" s="351"/>
      <c r="AU631" s="351"/>
      <c r="AV631" s="351"/>
      <c r="AW631" s="351"/>
      <c r="AX631" s="351"/>
      <c r="AY631" s="351"/>
    </row>
    <row r="632" spans="1:51" ht="13">
      <c r="A632" s="333"/>
      <c r="B632" s="351"/>
      <c r="C632" s="351"/>
      <c r="D632" s="333"/>
      <c r="E632" s="333"/>
      <c r="F632" s="333"/>
      <c r="G632" s="359"/>
      <c r="H632" s="359"/>
      <c r="I632" s="351"/>
      <c r="J632" s="359"/>
      <c r="K632" s="359"/>
      <c r="L632" s="359"/>
      <c r="M632" s="351"/>
      <c r="N632" s="351"/>
      <c r="O632" s="351"/>
      <c r="P632" s="351"/>
      <c r="Q632" s="351"/>
      <c r="R632" s="351"/>
      <c r="S632" s="351"/>
      <c r="T632" s="351"/>
      <c r="U632" s="351"/>
      <c r="V632" s="351"/>
      <c r="W632" s="351"/>
      <c r="X632" s="359"/>
      <c r="Y632" s="359"/>
      <c r="Z632" s="359"/>
      <c r="AA632" s="351"/>
      <c r="AB632" s="351"/>
      <c r="AC632" s="359"/>
      <c r="AD632" s="359"/>
      <c r="AE632" s="351"/>
      <c r="AF632" s="333"/>
      <c r="AG632" s="333"/>
      <c r="AH632" s="351"/>
      <c r="AI632" s="351"/>
      <c r="AJ632" s="351"/>
      <c r="AK632" s="351"/>
      <c r="AL632" s="351"/>
      <c r="AM632" s="351"/>
      <c r="AN632" s="351"/>
      <c r="AO632" s="351"/>
      <c r="AP632" s="351"/>
      <c r="AQ632" s="351"/>
      <c r="AR632" s="351"/>
      <c r="AS632" s="351"/>
      <c r="AT632" s="351"/>
      <c r="AU632" s="351"/>
      <c r="AV632" s="351"/>
      <c r="AW632" s="351"/>
      <c r="AX632" s="351"/>
      <c r="AY632" s="351"/>
    </row>
    <row r="633" spans="1:51" ht="13">
      <c r="A633" s="333"/>
      <c r="B633" s="351"/>
      <c r="C633" s="351"/>
      <c r="D633" s="333"/>
      <c r="E633" s="333"/>
      <c r="F633" s="333"/>
      <c r="G633" s="359"/>
      <c r="H633" s="359"/>
      <c r="I633" s="351"/>
      <c r="J633" s="359"/>
      <c r="K633" s="359"/>
      <c r="L633" s="359"/>
      <c r="M633" s="351"/>
      <c r="N633" s="351"/>
      <c r="O633" s="351"/>
      <c r="P633" s="351"/>
      <c r="Q633" s="351"/>
      <c r="R633" s="351"/>
      <c r="S633" s="351"/>
      <c r="T633" s="351"/>
      <c r="U633" s="351"/>
      <c r="V633" s="351"/>
      <c r="W633" s="351"/>
      <c r="X633" s="359"/>
      <c r="Y633" s="359"/>
      <c r="Z633" s="359"/>
      <c r="AA633" s="351"/>
      <c r="AB633" s="351"/>
      <c r="AC633" s="359"/>
      <c r="AD633" s="359"/>
      <c r="AE633" s="351"/>
      <c r="AF633" s="333"/>
      <c r="AG633" s="333"/>
      <c r="AH633" s="351"/>
      <c r="AI633" s="351"/>
      <c r="AJ633" s="351"/>
      <c r="AK633" s="351"/>
      <c r="AL633" s="351"/>
      <c r="AM633" s="351"/>
      <c r="AN633" s="351"/>
      <c r="AO633" s="351"/>
      <c r="AP633" s="351"/>
      <c r="AQ633" s="351"/>
      <c r="AR633" s="351"/>
      <c r="AS633" s="351"/>
      <c r="AT633" s="351"/>
      <c r="AU633" s="351"/>
      <c r="AV633" s="351"/>
      <c r="AW633" s="351"/>
      <c r="AX633" s="351"/>
      <c r="AY633" s="351"/>
    </row>
    <row r="634" spans="1:51" ht="13">
      <c r="A634" s="333"/>
      <c r="B634" s="351"/>
      <c r="C634" s="351"/>
      <c r="D634" s="333"/>
      <c r="E634" s="333"/>
      <c r="F634" s="333"/>
      <c r="G634" s="359"/>
      <c r="H634" s="359"/>
      <c r="I634" s="351"/>
      <c r="J634" s="359"/>
      <c r="K634" s="359"/>
      <c r="L634" s="359"/>
      <c r="M634" s="351"/>
      <c r="N634" s="351"/>
      <c r="O634" s="351"/>
      <c r="P634" s="351"/>
      <c r="Q634" s="351"/>
      <c r="R634" s="351"/>
      <c r="S634" s="351"/>
      <c r="T634" s="351"/>
      <c r="U634" s="351"/>
      <c r="V634" s="351"/>
      <c r="W634" s="351"/>
      <c r="X634" s="359"/>
      <c r="Y634" s="359"/>
      <c r="Z634" s="359"/>
      <c r="AA634" s="351"/>
      <c r="AB634" s="351"/>
      <c r="AC634" s="359"/>
      <c r="AD634" s="359"/>
      <c r="AE634" s="351"/>
      <c r="AF634" s="333"/>
      <c r="AG634" s="333"/>
      <c r="AH634" s="351"/>
      <c r="AI634" s="351"/>
      <c r="AJ634" s="351"/>
      <c r="AK634" s="351"/>
      <c r="AL634" s="351"/>
      <c r="AM634" s="351"/>
      <c r="AN634" s="351"/>
      <c r="AO634" s="351"/>
      <c r="AP634" s="351"/>
      <c r="AQ634" s="351"/>
      <c r="AR634" s="351"/>
      <c r="AS634" s="351"/>
      <c r="AT634" s="351"/>
      <c r="AU634" s="351"/>
      <c r="AV634" s="351"/>
      <c r="AW634" s="351"/>
      <c r="AX634" s="351"/>
      <c r="AY634" s="351"/>
    </row>
    <row r="635" spans="1:51" ht="13">
      <c r="A635" s="333"/>
      <c r="B635" s="351"/>
      <c r="C635" s="351"/>
      <c r="D635" s="333"/>
      <c r="E635" s="333"/>
      <c r="F635" s="333"/>
      <c r="G635" s="359"/>
      <c r="H635" s="359"/>
      <c r="I635" s="351"/>
      <c r="J635" s="359"/>
      <c r="K635" s="359"/>
      <c r="L635" s="359"/>
      <c r="M635" s="351"/>
      <c r="N635" s="351"/>
      <c r="O635" s="351"/>
      <c r="P635" s="351"/>
      <c r="Q635" s="351"/>
      <c r="R635" s="351"/>
      <c r="S635" s="351"/>
      <c r="T635" s="351"/>
      <c r="U635" s="351"/>
      <c r="V635" s="351"/>
      <c r="W635" s="351"/>
      <c r="X635" s="359"/>
      <c r="Y635" s="359"/>
      <c r="Z635" s="359"/>
      <c r="AA635" s="351"/>
      <c r="AB635" s="351"/>
      <c r="AC635" s="359"/>
      <c r="AD635" s="359"/>
      <c r="AE635" s="351"/>
      <c r="AF635" s="333"/>
      <c r="AG635" s="333"/>
      <c r="AH635" s="351"/>
      <c r="AI635" s="351"/>
      <c r="AJ635" s="351"/>
      <c r="AK635" s="351"/>
      <c r="AL635" s="351"/>
      <c r="AM635" s="351"/>
      <c r="AN635" s="351"/>
      <c r="AO635" s="351"/>
      <c r="AP635" s="351"/>
      <c r="AQ635" s="351"/>
      <c r="AR635" s="351"/>
      <c r="AS635" s="351"/>
      <c r="AT635" s="351"/>
      <c r="AU635" s="351"/>
      <c r="AV635" s="351"/>
      <c r="AW635" s="351"/>
      <c r="AX635" s="351"/>
      <c r="AY635" s="351"/>
    </row>
    <row r="636" spans="1:51" ht="13">
      <c r="A636" s="333"/>
      <c r="B636" s="351"/>
      <c r="C636" s="351"/>
      <c r="D636" s="333"/>
      <c r="E636" s="333"/>
      <c r="F636" s="333"/>
      <c r="G636" s="359"/>
      <c r="H636" s="359"/>
      <c r="I636" s="351"/>
      <c r="J636" s="359"/>
      <c r="K636" s="359"/>
      <c r="L636" s="359"/>
      <c r="M636" s="351"/>
      <c r="N636" s="351"/>
      <c r="O636" s="351"/>
      <c r="P636" s="351"/>
      <c r="Q636" s="351"/>
      <c r="R636" s="351"/>
      <c r="S636" s="351"/>
      <c r="T636" s="351"/>
      <c r="U636" s="351"/>
      <c r="V636" s="351"/>
      <c r="W636" s="351"/>
      <c r="X636" s="359"/>
      <c r="Y636" s="359"/>
      <c r="Z636" s="359"/>
      <c r="AA636" s="351"/>
      <c r="AB636" s="351"/>
      <c r="AC636" s="359"/>
      <c r="AD636" s="359"/>
      <c r="AE636" s="351"/>
      <c r="AF636" s="333"/>
      <c r="AG636" s="333"/>
      <c r="AH636" s="351"/>
      <c r="AI636" s="351"/>
      <c r="AJ636" s="351"/>
      <c r="AK636" s="351"/>
      <c r="AL636" s="351"/>
      <c r="AM636" s="351"/>
      <c r="AN636" s="351"/>
      <c r="AO636" s="351"/>
      <c r="AP636" s="351"/>
      <c r="AQ636" s="351"/>
      <c r="AR636" s="351"/>
      <c r="AS636" s="351"/>
      <c r="AT636" s="351"/>
      <c r="AU636" s="351"/>
      <c r="AV636" s="351"/>
      <c r="AW636" s="351"/>
      <c r="AX636" s="351"/>
      <c r="AY636" s="351"/>
    </row>
    <row r="637" spans="1:51" ht="13">
      <c r="A637" s="333"/>
      <c r="B637" s="351"/>
      <c r="C637" s="351"/>
      <c r="D637" s="333"/>
      <c r="E637" s="333"/>
      <c r="F637" s="333"/>
      <c r="G637" s="359"/>
      <c r="H637" s="359"/>
      <c r="I637" s="351"/>
      <c r="J637" s="359"/>
      <c r="K637" s="359"/>
      <c r="L637" s="359"/>
      <c r="M637" s="351"/>
      <c r="N637" s="351"/>
      <c r="O637" s="351"/>
      <c r="P637" s="351"/>
      <c r="Q637" s="351"/>
      <c r="R637" s="351"/>
      <c r="S637" s="351"/>
      <c r="T637" s="351"/>
      <c r="U637" s="351"/>
      <c r="V637" s="351"/>
      <c r="W637" s="351"/>
      <c r="X637" s="359"/>
      <c r="Y637" s="359"/>
      <c r="Z637" s="359"/>
      <c r="AA637" s="351"/>
      <c r="AB637" s="351"/>
      <c r="AC637" s="359"/>
      <c r="AD637" s="359"/>
      <c r="AE637" s="351"/>
      <c r="AF637" s="333"/>
      <c r="AG637" s="333"/>
      <c r="AH637" s="351"/>
      <c r="AI637" s="351"/>
      <c r="AJ637" s="351"/>
      <c r="AK637" s="351"/>
      <c r="AL637" s="351"/>
      <c r="AM637" s="351"/>
      <c r="AN637" s="351"/>
      <c r="AO637" s="351"/>
      <c r="AP637" s="351"/>
      <c r="AQ637" s="351"/>
      <c r="AR637" s="351"/>
      <c r="AS637" s="351"/>
      <c r="AT637" s="351"/>
      <c r="AU637" s="351"/>
      <c r="AV637" s="351"/>
      <c r="AW637" s="351"/>
      <c r="AX637" s="351"/>
      <c r="AY637" s="351"/>
    </row>
    <row r="638" spans="1:51" ht="13">
      <c r="A638" s="333"/>
      <c r="B638" s="351"/>
      <c r="C638" s="351"/>
      <c r="D638" s="333"/>
      <c r="E638" s="333"/>
      <c r="F638" s="333"/>
      <c r="G638" s="359"/>
      <c r="H638" s="359"/>
      <c r="I638" s="351"/>
      <c r="J638" s="359"/>
      <c r="K638" s="359"/>
      <c r="L638" s="359"/>
      <c r="M638" s="351"/>
      <c r="N638" s="351"/>
      <c r="O638" s="351"/>
      <c r="P638" s="351"/>
      <c r="Q638" s="351"/>
      <c r="R638" s="351"/>
      <c r="S638" s="351"/>
      <c r="T638" s="351"/>
      <c r="U638" s="351"/>
      <c r="V638" s="351"/>
      <c r="W638" s="351"/>
      <c r="X638" s="359"/>
      <c r="Y638" s="359"/>
      <c r="Z638" s="359"/>
      <c r="AA638" s="351"/>
      <c r="AB638" s="351"/>
      <c r="AC638" s="359"/>
      <c r="AD638" s="359"/>
      <c r="AE638" s="351"/>
      <c r="AF638" s="333"/>
      <c r="AG638" s="333"/>
      <c r="AH638" s="351"/>
      <c r="AI638" s="351"/>
      <c r="AJ638" s="351"/>
      <c r="AK638" s="351"/>
      <c r="AL638" s="351"/>
      <c r="AM638" s="351"/>
      <c r="AN638" s="351"/>
      <c r="AO638" s="351"/>
      <c r="AP638" s="351"/>
      <c r="AQ638" s="351"/>
      <c r="AR638" s="351"/>
      <c r="AS638" s="351"/>
      <c r="AT638" s="351"/>
      <c r="AU638" s="351"/>
      <c r="AV638" s="351"/>
      <c r="AW638" s="351"/>
      <c r="AX638" s="351"/>
      <c r="AY638" s="351"/>
    </row>
    <row r="639" spans="1:51" ht="13">
      <c r="A639" s="333"/>
      <c r="B639" s="351"/>
      <c r="C639" s="351"/>
      <c r="D639" s="333"/>
      <c r="E639" s="333"/>
      <c r="F639" s="333"/>
      <c r="G639" s="359"/>
      <c r="H639" s="359"/>
      <c r="I639" s="351"/>
      <c r="J639" s="359"/>
      <c r="K639" s="359"/>
      <c r="L639" s="359"/>
      <c r="M639" s="351"/>
      <c r="N639" s="351"/>
      <c r="O639" s="351"/>
      <c r="P639" s="351"/>
      <c r="Q639" s="351"/>
      <c r="R639" s="351"/>
      <c r="S639" s="351"/>
      <c r="T639" s="351"/>
      <c r="U639" s="351"/>
      <c r="V639" s="351"/>
      <c r="W639" s="351"/>
      <c r="X639" s="359"/>
      <c r="Y639" s="359"/>
      <c r="Z639" s="359"/>
      <c r="AA639" s="351"/>
      <c r="AB639" s="351"/>
      <c r="AC639" s="359"/>
      <c r="AD639" s="359"/>
      <c r="AE639" s="351"/>
      <c r="AF639" s="333"/>
      <c r="AG639" s="333"/>
      <c r="AH639" s="351"/>
      <c r="AI639" s="351"/>
      <c r="AJ639" s="351"/>
      <c r="AK639" s="351"/>
      <c r="AL639" s="351"/>
      <c r="AM639" s="351"/>
      <c r="AN639" s="351"/>
      <c r="AO639" s="351"/>
      <c r="AP639" s="351"/>
      <c r="AQ639" s="351"/>
      <c r="AR639" s="351"/>
      <c r="AS639" s="351"/>
      <c r="AT639" s="351"/>
      <c r="AU639" s="351"/>
      <c r="AV639" s="351"/>
      <c r="AW639" s="351"/>
      <c r="AX639" s="351"/>
      <c r="AY639" s="351"/>
    </row>
    <row r="640" spans="1:51" ht="13">
      <c r="A640" s="333"/>
      <c r="B640" s="351"/>
      <c r="C640" s="351"/>
      <c r="D640" s="333"/>
      <c r="E640" s="333"/>
      <c r="F640" s="333"/>
      <c r="G640" s="359"/>
      <c r="H640" s="359"/>
      <c r="I640" s="351"/>
      <c r="J640" s="359"/>
      <c r="K640" s="359"/>
      <c r="L640" s="359"/>
      <c r="M640" s="351"/>
      <c r="N640" s="351"/>
      <c r="O640" s="351"/>
      <c r="P640" s="351"/>
      <c r="Q640" s="351"/>
      <c r="R640" s="351"/>
      <c r="S640" s="351"/>
      <c r="T640" s="351"/>
      <c r="U640" s="351"/>
      <c r="V640" s="351"/>
      <c r="W640" s="351"/>
      <c r="X640" s="359"/>
      <c r="Y640" s="359"/>
      <c r="Z640" s="359"/>
      <c r="AA640" s="351"/>
      <c r="AB640" s="351"/>
      <c r="AC640" s="359"/>
      <c r="AD640" s="359"/>
      <c r="AE640" s="351"/>
      <c r="AF640" s="333"/>
      <c r="AG640" s="333"/>
      <c r="AH640" s="351"/>
      <c r="AI640" s="351"/>
      <c r="AJ640" s="351"/>
      <c r="AK640" s="351"/>
      <c r="AL640" s="351"/>
      <c r="AM640" s="351"/>
      <c r="AN640" s="351"/>
      <c r="AO640" s="351"/>
      <c r="AP640" s="351"/>
      <c r="AQ640" s="351"/>
      <c r="AR640" s="351"/>
      <c r="AS640" s="351"/>
      <c r="AT640" s="351"/>
      <c r="AU640" s="351"/>
      <c r="AV640" s="351"/>
      <c r="AW640" s="351"/>
      <c r="AX640" s="351"/>
      <c r="AY640" s="351"/>
    </row>
    <row r="641" spans="1:51" ht="13">
      <c r="A641" s="333"/>
      <c r="B641" s="351"/>
      <c r="C641" s="351"/>
      <c r="D641" s="333"/>
      <c r="E641" s="333"/>
      <c r="F641" s="333"/>
      <c r="G641" s="359"/>
      <c r="H641" s="359"/>
      <c r="I641" s="351"/>
      <c r="J641" s="359"/>
      <c r="K641" s="359"/>
      <c r="L641" s="359"/>
      <c r="M641" s="351"/>
      <c r="N641" s="351"/>
      <c r="O641" s="351"/>
      <c r="P641" s="351"/>
      <c r="Q641" s="351"/>
      <c r="R641" s="351"/>
      <c r="S641" s="351"/>
      <c r="T641" s="351"/>
      <c r="U641" s="351"/>
      <c r="V641" s="351"/>
      <c r="W641" s="351"/>
      <c r="X641" s="359"/>
      <c r="Y641" s="359"/>
      <c r="Z641" s="359"/>
      <c r="AA641" s="351"/>
      <c r="AB641" s="351"/>
      <c r="AC641" s="359"/>
      <c r="AD641" s="359"/>
      <c r="AE641" s="351"/>
      <c r="AF641" s="333"/>
      <c r="AG641" s="333"/>
      <c r="AH641" s="351"/>
      <c r="AI641" s="351"/>
      <c r="AJ641" s="351"/>
      <c r="AK641" s="351"/>
      <c r="AL641" s="351"/>
      <c r="AM641" s="351"/>
      <c r="AN641" s="351"/>
      <c r="AO641" s="351"/>
      <c r="AP641" s="351"/>
      <c r="AQ641" s="351"/>
      <c r="AR641" s="351"/>
      <c r="AS641" s="351"/>
      <c r="AT641" s="351"/>
      <c r="AU641" s="351"/>
      <c r="AV641" s="351"/>
      <c r="AW641" s="351"/>
      <c r="AX641" s="351"/>
      <c r="AY641" s="351"/>
    </row>
    <row r="642" spans="1:51" ht="13">
      <c r="A642" s="333"/>
      <c r="B642" s="351"/>
      <c r="C642" s="351"/>
      <c r="D642" s="333"/>
      <c r="E642" s="333"/>
      <c r="F642" s="333"/>
      <c r="G642" s="359"/>
      <c r="H642" s="359"/>
      <c r="I642" s="351"/>
      <c r="J642" s="359"/>
      <c r="K642" s="359"/>
      <c r="L642" s="359"/>
      <c r="M642" s="351"/>
      <c r="N642" s="351"/>
      <c r="O642" s="351"/>
      <c r="P642" s="351"/>
      <c r="Q642" s="351"/>
      <c r="R642" s="351"/>
      <c r="S642" s="351"/>
      <c r="T642" s="351"/>
      <c r="U642" s="351"/>
      <c r="V642" s="351"/>
      <c r="W642" s="351"/>
      <c r="X642" s="359"/>
      <c r="Y642" s="359"/>
      <c r="Z642" s="359"/>
      <c r="AA642" s="351"/>
      <c r="AB642" s="351"/>
      <c r="AC642" s="359"/>
      <c r="AD642" s="359"/>
      <c r="AE642" s="351"/>
      <c r="AF642" s="333"/>
      <c r="AG642" s="333"/>
      <c r="AH642" s="351"/>
      <c r="AI642" s="351"/>
      <c r="AJ642" s="351"/>
      <c r="AK642" s="351"/>
      <c r="AL642" s="351"/>
      <c r="AM642" s="351"/>
      <c r="AN642" s="351"/>
      <c r="AO642" s="351"/>
      <c r="AP642" s="351"/>
      <c r="AQ642" s="351"/>
      <c r="AR642" s="351"/>
      <c r="AS642" s="351"/>
      <c r="AT642" s="351"/>
      <c r="AU642" s="351"/>
      <c r="AV642" s="351"/>
      <c r="AW642" s="351"/>
      <c r="AX642" s="351"/>
      <c r="AY642" s="351"/>
    </row>
    <row r="643" spans="1:51" ht="13">
      <c r="A643" s="333"/>
      <c r="B643" s="351"/>
      <c r="C643" s="351"/>
      <c r="D643" s="333"/>
      <c r="E643" s="333"/>
      <c r="F643" s="333"/>
      <c r="G643" s="359"/>
      <c r="H643" s="359"/>
      <c r="I643" s="351"/>
      <c r="J643" s="359"/>
      <c r="K643" s="359"/>
      <c r="L643" s="359"/>
      <c r="M643" s="351"/>
      <c r="N643" s="351"/>
      <c r="O643" s="351"/>
      <c r="P643" s="351"/>
      <c r="Q643" s="351"/>
      <c r="R643" s="351"/>
      <c r="S643" s="351"/>
      <c r="T643" s="351"/>
      <c r="U643" s="351"/>
      <c r="V643" s="351"/>
      <c r="W643" s="351"/>
      <c r="X643" s="359"/>
      <c r="Y643" s="359"/>
      <c r="Z643" s="359"/>
      <c r="AA643" s="351"/>
      <c r="AB643" s="351"/>
      <c r="AC643" s="359"/>
      <c r="AD643" s="359"/>
      <c r="AE643" s="351"/>
      <c r="AF643" s="333"/>
      <c r="AG643" s="333"/>
      <c r="AH643" s="351"/>
      <c r="AI643" s="351"/>
      <c r="AJ643" s="351"/>
      <c r="AK643" s="351"/>
      <c r="AL643" s="351"/>
      <c r="AM643" s="351"/>
      <c r="AN643" s="351"/>
      <c r="AO643" s="351"/>
      <c r="AP643" s="351"/>
      <c r="AQ643" s="351"/>
      <c r="AR643" s="351"/>
      <c r="AS643" s="351"/>
      <c r="AT643" s="351"/>
      <c r="AU643" s="351"/>
      <c r="AV643" s="351"/>
      <c r="AW643" s="351"/>
      <c r="AX643" s="351"/>
      <c r="AY643" s="351"/>
    </row>
    <row r="644" spans="1:51" ht="13">
      <c r="A644" s="333"/>
      <c r="B644" s="351"/>
      <c r="C644" s="351"/>
      <c r="D644" s="333"/>
      <c r="E644" s="333"/>
      <c r="F644" s="333"/>
      <c r="G644" s="359"/>
      <c r="H644" s="359"/>
      <c r="I644" s="351"/>
      <c r="J644" s="359"/>
      <c r="K644" s="359"/>
      <c r="L644" s="359"/>
      <c r="M644" s="351"/>
      <c r="N644" s="351"/>
      <c r="O644" s="351"/>
      <c r="P644" s="351"/>
      <c r="Q644" s="351"/>
      <c r="R644" s="351"/>
      <c r="S644" s="351"/>
      <c r="T644" s="351"/>
      <c r="U644" s="351"/>
      <c r="V644" s="351"/>
      <c r="W644" s="351"/>
      <c r="X644" s="359"/>
      <c r="Y644" s="359"/>
      <c r="Z644" s="359"/>
      <c r="AA644" s="351"/>
      <c r="AB644" s="351"/>
      <c r="AC644" s="359"/>
      <c r="AD644" s="359"/>
      <c r="AE644" s="351"/>
      <c r="AF644" s="333"/>
      <c r="AG644" s="333"/>
      <c r="AH644" s="351"/>
      <c r="AI644" s="351"/>
      <c r="AJ644" s="351"/>
      <c r="AK644" s="351"/>
      <c r="AL644" s="351"/>
      <c r="AM644" s="351"/>
      <c r="AN644" s="351"/>
      <c r="AO644" s="351"/>
      <c r="AP644" s="351"/>
      <c r="AQ644" s="351"/>
      <c r="AR644" s="351"/>
      <c r="AS644" s="351"/>
      <c r="AT644" s="351"/>
      <c r="AU644" s="351"/>
      <c r="AV644" s="351"/>
      <c r="AW644" s="351"/>
      <c r="AX644" s="351"/>
      <c r="AY644" s="351"/>
    </row>
    <row r="645" spans="1:51" ht="13">
      <c r="A645" s="333"/>
      <c r="B645" s="351"/>
      <c r="C645" s="351"/>
      <c r="D645" s="333"/>
      <c r="E645" s="333"/>
      <c r="F645" s="333"/>
      <c r="G645" s="359"/>
      <c r="H645" s="359"/>
      <c r="I645" s="351"/>
      <c r="J645" s="359"/>
      <c r="K645" s="359"/>
      <c r="L645" s="359"/>
      <c r="M645" s="351"/>
      <c r="N645" s="351"/>
      <c r="O645" s="351"/>
      <c r="P645" s="351"/>
      <c r="Q645" s="351"/>
      <c r="R645" s="351"/>
      <c r="S645" s="351"/>
      <c r="T645" s="351"/>
      <c r="U645" s="351"/>
      <c r="V645" s="351"/>
      <c r="W645" s="351"/>
      <c r="X645" s="359"/>
      <c r="Y645" s="359"/>
      <c r="Z645" s="359"/>
      <c r="AA645" s="351"/>
      <c r="AB645" s="351"/>
      <c r="AC645" s="359"/>
      <c r="AD645" s="359"/>
      <c r="AE645" s="351"/>
      <c r="AF645" s="333"/>
      <c r="AG645" s="333"/>
      <c r="AH645" s="351"/>
      <c r="AI645" s="351"/>
      <c r="AJ645" s="351"/>
      <c r="AK645" s="351"/>
      <c r="AL645" s="351"/>
      <c r="AM645" s="351"/>
      <c r="AN645" s="351"/>
      <c r="AO645" s="351"/>
      <c r="AP645" s="351"/>
      <c r="AQ645" s="351"/>
      <c r="AR645" s="351"/>
      <c r="AS645" s="351"/>
      <c r="AT645" s="351"/>
      <c r="AU645" s="351"/>
      <c r="AV645" s="351"/>
      <c r="AW645" s="351"/>
      <c r="AX645" s="351"/>
      <c r="AY645" s="351"/>
    </row>
    <row r="646" spans="1:51" ht="13">
      <c r="A646" s="333"/>
      <c r="B646" s="351"/>
      <c r="C646" s="351"/>
      <c r="D646" s="333"/>
      <c r="E646" s="333"/>
      <c r="F646" s="333"/>
      <c r="G646" s="359"/>
      <c r="H646" s="359"/>
      <c r="I646" s="351"/>
      <c r="J646" s="359"/>
      <c r="K646" s="359"/>
      <c r="L646" s="359"/>
      <c r="M646" s="351"/>
      <c r="N646" s="351"/>
      <c r="O646" s="351"/>
      <c r="P646" s="351"/>
      <c r="Q646" s="351"/>
      <c r="R646" s="351"/>
      <c r="S646" s="351"/>
      <c r="T646" s="351"/>
      <c r="U646" s="351"/>
      <c r="V646" s="351"/>
      <c r="W646" s="351"/>
      <c r="X646" s="359"/>
      <c r="Y646" s="359"/>
      <c r="Z646" s="359"/>
      <c r="AA646" s="351"/>
      <c r="AB646" s="351"/>
      <c r="AC646" s="359"/>
      <c r="AD646" s="359"/>
      <c r="AE646" s="351"/>
      <c r="AF646" s="333"/>
      <c r="AG646" s="333"/>
      <c r="AH646" s="351"/>
      <c r="AI646" s="351"/>
      <c r="AJ646" s="351"/>
      <c r="AK646" s="351"/>
      <c r="AL646" s="351"/>
      <c r="AM646" s="351"/>
      <c r="AN646" s="351"/>
      <c r="AO646" s="351"/>
      <c r="AP646" s="351"/>
      <c r="AQ646" s="351"/>
      <c r="AR646" s="351"/>
      <c r="AS646" s="351"/>
      <c r="AT646" s="351"/>
      <c r="AU646" s="351"/>
      <c r="AV646" s="351"/>
      <c r="AW646" s="351"/>
      <c r="AX646" s="351"/>
      <c r="AY646" s="351"/>
    </row>
    <row r="647" spans="1:51" ht="13">
      <c r="A647" s="333"/>
      <c r="B647" s="351"/>
      <c r="C647" s="351"/>
      <c r="D647" s="333"/>
      <c r="E647" s="333"/>
      <c r="F647" s="333"/>
      <c r="G647" s="359"/>
      <c r="H647" s="359"/>
      <c r="I647" s="351"/>
      <c r="J647" s="359"/>
      <c r="K647" s="359"/>
      <c r="L647" s="359"/>
      <c r="M647" s="351"/>
      <c r="N647" s="351"/>
      <c r="O647" s="351"/>
      <c r="P647" s="351"/>
      <c r="Q647" s="351"/>
      <c r="R647" s="351"/>
      <c r="S647" s="351"/>
      <c r="T647" s="351"/>
      <c r="U647" s="351"/>
      <c r="V647" s="351"/>
      <c r="W647" s="351"/>
      <c r="X647" s="359"/>
      <c r="Y647" s="359"/>
      <c r="Z647" s="359"/>
      <c r="AA647" s="351"/>
      <c r="AB647" s="351"/>
      <c r="AC647" s="359"/>
      <c r="AD647" s="359"/>
      <c r="AE647" s="351"/>
      <c r="AF647" s="333"/>
      <c r="AG647" s="333"/>
      <c r="AH647" s="351"/>
      <c r="AI647" s="351"/>
      <c r="AJ647" s="351"/>
      <c r="AK647" s="351"/>
      <c r="AL647" s="351"/>
      <c r="AM647" s="351"/>
      <c r="AN647" s="351"/>
      <c r="AO647" s="351"/>
      <c r="AP647" s="351"/>
      <c r="AQ647" s="351"/>
      <c r="AR647" s="351"/>
      <c r="AS647" s="351"/>
      <c r="AT647" s="351"/>
      <c r="AU647" s="351"/>
      <c r="AV647" s="351"/>
      <c r="AW647" s="351"/>
      <c r="AX647" s="351"/>
      <c r="AY647" s="351"/>
    </row>
    <row r="648" spans="1:51" ht="13">
      <c r="A648" s="333"/>
      <c r="B648" s="351"/>
      <c r="C648" s="351"/>
      <c r="D648" s="333"/>
      <c r="E648" s="333"/>
      <c r="F648" s="333"/>
      <c r="G648" s="359"/>
      <c r="H648" s="359"/>
      <c r="I648" s="351"/>
      <c r="J648" s="359"/>
      <c r="K648" s="359"/>
      <c r="L648" s="359"/>
      <c r="M648" s="351"/>
      <c r="N648" s="351"/>
      <c r="O648" s="351"/>
      <c r="P648" s="351"/>
      <c r="Q648" s="351"/>
      <c r="R648" s="351"/>
      <c r="S648" s="351"/>
      <c r="T648" s="351"/>
      <c r="U648" s="351"/>
      <c r="V648" s="351"/>
      <c r="W648" s="351"/>
      <c r="X648" s="359"/>
      <c r="Y648" s="359"/>
      <c r="Z648" s="359"/>
      <c r="AA648" s="351"/>
      <c r="AB648" s="351"/>
      <c r="AC648" s="359"/>
      <c r="AD648" s="359"/>
      <c r="AE648" s="351"/>
      <c r="AF648" s="333"/>
      <c r="AG648" s="333"/>
      <c r="AH648" s="351"/>
      <c r="AI648" s="351"/>
      <c r="AJ648" s="351"/>
      <c r="AK648" s="351"/>
      <c r="AL648" s="351"/>
      <c r="AM648" s="351"/>
      <c r="AN648" s="351"/>
      <c r="AO648" s="351"/>
      <c r="AP648" s="351"/>
      <c r="AQ648" s="351"/>
      <c r="AR648" s="351"/>
      <c r="AS648" s="351"/>
      <c r="AT648" s="351"/>
      <c r="AU648" s="351"/>
      <c r="AV648" s="351"/>
      <c r="AW648" s="351"/>
      <c r="AX648" s="351"/>
      <c r="AY648" s="351"/>
    </row>
    <row r="649" spans="1:51" ht="13">
      <c r="A649" s="333"/>
      <c r="B649" s="351"/>
      <c r="C649" s="351"/>
      <c r="D649" s="333"/>
      <c r="E649" s="333"/>
      <c r="F649" s="333"/>
      <c r="G649" s="359"/>
      <c r="H649" s="359"/>
      <c r="I649" s="351"/>
      <c r="J649" s="359"/>
      <c r="K649" s="359"/>
      <c r="L649" s="359"/>
      <c r="M649" s="351"/>
      <c r="N649" s="351"/>
      <c r="O649" s="351"/>
      <c r="P649" s="351"/>
      <c r="Q649" s="351"/>
      <c r="R649" s="351"/>
      <c r="S649" s="351"/>
      <c r="T649" s="351"/>
      <c r="U649" s="351"/>
      <c r="V649" s="351"/>
      <c r="W649" s="351"/>
      <c r="X649" s="359"/>
      <c r="Y649" s="359"/>
      <c r="Z649" s="359"/>
      <c r="AA649" s="351"/>
      <c r="AB649" s="351"/>
      <c r="AC649" s="359"/>
      <c r="AD649" s="359"/>
      <c r="AE649" s="351"/>
      <c r="AF649" s="333"/>
      <c r="AG649" s="333"/>
      <c r="AH649" s="351"/>
      <c r="AI649" s="351"/>
      <c r="AJ649" s="351"/>
      <c r="AK649" s="351"/>
      <c r="AL649" s="351"/>
      <c r="AM649" s="351"/>
      <c r="AN649" s="351"/>
      <c r="AO649" s="351"/>
      <c r="AP649" s="351"/>
      <c r="AQ649" s="351"/>
      <c r="AR649" s="351"/>
      <c r="AS649" s="351"/>
      <c r="AT649" s="351"/>
      <c r="AU649" s="351"/>
      <c r="AV649" s="351"/>
      <c r="AW649" s="351"/>
      <c r="AX649" s="351"/>
      <c r="AY649" s="351"/>
    </row>
    <row r="650" spans="1:51" ht="13">
      <c r="A650" s="333"/>
      <c r="B650" s="351"/>
      <c r="C650" s="351"/>
      <c r="D650" s="333"/>
      <c r="E650" s="333"/>
      <c r="F650" s="333"/>
      <c r="G650" s="359"/>
      <c r="H650" s="359"/>
      <c r="I650" s="351"/>
      <c r="J650" s="359"/>
      <c r="K650" s="359"/>
      <c r="L650" s="359"/>
      <c r="M650" s="351"/>
      <c r="N650" s="351"/>
      <c r="O650" s="351"/>
      <c r="P650" s="351"/>
      <c r="Q650" s="351"/>
      <c r="R650" s="351"/>
      <c r="S650" s="351"/>
      <c r="T650" s="351"/>
      <c r="U650" s="351"/>
      <c r="V650" s="351"/>
      <c r="W650" s="351"/>
      <c r="X650" s="359"/>
      <c r="Y650" s="359"/>
      <c r="Z650" s="359"/>
      <c r="AA650" s="351"/>
      <c r="AB650" s="351"/>
      <c r="AC650" s="359"/>
      <c r="AD650" s="359"/>
      <c r="AE650" s="351"/>
      <c r="AF650" s="333"/>
      <c r="AG650" s="333"/>
      <c r="AH650" s="351"/>
      <c r="AI650" s="351"/>
      <c r="AJ650" s="351"/>
      <c r="AK650" s="351"/>
      <c r="AL650" s="351"/>
      <c r="AM650" s="351"/>
      <c r="AN650" s="351"/>
      <c r="AO650" s="351"/>
      <c r="AP650" s="351"/>
      <c r="AQ650" s="351"/>
      <c r="AR650" s="351"/>
      <c r="AS650" s="351"/>
      <c r="AT650" s="351"/>
      <c r="AU650" s="351"/>
      <c r="AV650" s="351"/>
      <c r="AW650" s="351"/>
      <c r="AX650" s="351"/>
      <c r="AY650" s="351"/>
    </row>
    <row r="651" spans="1:51" ht="13">
      <c r="A651" s="333"/>
      <c r="B651" s="351"/>
      <c r="C651" s="351"/>
      <c r="D651" s="333"/>
      <c r="E651" s="333"/>
      <c r="F651" s="333"/>
      <c r="G651" s="359"/>
      <c r="H651" s="359"/>
      <c r="I651" s="351"/>
      <c r="J651" s="359"/>
      <c r="K651" s="359"/>
      <c r="L651" s="359"/>
      <c r="M651" s="351"/>
      <c r="N651" s="351"/>
      <c r="O651" s="351"/>
      <c r="P651" s="351"/>
      <c r="Q651" s="351"/>
      <c r="R651" s="351"/>
      <c r="S651" s="351"/>
      <c r="T651" s="351"/>
      <c r="U651" s="351"/>
      <c r="V651" s="351"/>
      <c r="W651" s="351"/>
      <c r="X651" s="359"/>
      <c r="Y651" s="359"/>
      <c r="Z651" s="359"/>
      <c r="AA651" s="351"/>
      <c r="AB651" s="351"/>
      <c r="AC651" s="359"/>
      <c r="AD651" s="359"/>
      <c r="AE651" s="351"/>
      <c r="AF651" s="333"/>
      <c r="AG651" s="333"/>
      <c r="AH651" s="351"/>
      <c r="AI651" s="351"/>
      <c r="AJ651" s="351"/>
      <c r="AK651" s="351"/>
      <c r="AL651" s="351"/>
      <c r="AM651" s="351"/>
      <c r="AN651" s="351"/>
      <c r="AO651" s="351"/>
      <c r="AP651" s="351"/>
      <c r="AQ651" s="351"/>
      <c r="AR651" s="351"/>
      <c r="AS651" s="351"/>
      <c r="AT651" s="351"/>
      <c r="AU651" s="351"/>
      <c r="AV651" s="351"/>
      <c r="AW651" s="351"/>
      <c r="AX651" s="351"/>
      <c r="AY651" s="351"/>
    </row>
    <row r="652" spans="1:51" ht="13">
      <c r="A652" s="333"/>
      <c r="B652" s="351"/>
      <c r="C652" s="351"/>
      <c r="D652" s="333"/>
      <c r="E652" s="333"/>
      <c r="F652" s="333"/>
      <c r="G652" s="359"/>
      <c r="H652" s="359"/>
      <c r="I652" s="351"/>
      <c r="J652" s="359"/>
      <c r="K652" s="359"/>
      <c r="L652" s="359"/>
      <c r="M652" s="351"/>
      <c r="N652" s="351"/>
      <c r="O652" s="351"/>
      <c r="P652" s="351"/>
      <c r="Q652" s="351"/>
      <c r="R652" s="351"/>
      <c r="S652" s="351"/>
      <c r="T652" s="351"/>
      <c r="U652" s="351"/>
      <c r="V652" s="351"/>
      <c r="W652" s="351"/>
      <c r="X652" s="359"/>
      <c r="Y652" s="359"/>
      <c r="Z652" s="359"/>
      <c r="AA652" s="351"/>
      <c r="AB652" s="351"/>
      <c r="AC652" s="359"/>
      <c r="AD652" s="359"/>
      <c r="AE652" s="351"/>
      <c r="AF652" s="333"/>
      <c r="AG652" s="333"/>
      <c r="AH652" s="351"/>
      <c r="AI652" s="351"/>
      <c r="AJ652" s="351"/>
      <c r="AK652" s="351"/>
      <c r="AL652" s="351"/>
      <c r="AM652" s="351"/>
      <c r="AN652" s="351"/>
      <c r="AO652" s="351"/>
      <c r="AP652" s="351"/>
      <c r="AQ652" s="351"/>
      <c r="AR652" s="351"/>
      <c r="AS652" s="351"/>
      <c r="AT652" s="351"/>
      <c r="AU652" s="351"/>
      <c r="AV652" s="351"/>
      <c r="AW652" s="351"/>
      <c r="AX652" s="351"/>
      <c r="AY652" s="351"/>
    </row>
    <row r="653" spans="1:51" ht="13">
      <c r="A653" s="333"/>
      <c r="B653" s="351"/>
      <c r="C653" s="351"/>
      <c r="D653" s="333"/>
      <c r="E653" s="333"/>
      <c r="F653" s="333"/>
      <c r="G653" s="359"/>
      <c r="H653" s="359"/>
      <c r="I653" s="351"/>
      <c r="J653" s="359"/>
      <c r="K653" s="359"/>
      <c r="L653" s="359"/>
      <c r="M653" s="351"/>
      <c r="N653" s="351"/>
      <c r="O653" s="351"/>
      <c r="P653" s="351"/>
      <c r="Q653" s="351"/>
      <c r="R653" s="351"/>
      <c r="S653" s="351"/>
      <c r="T653" s="351"/>
      <c r="U653" s="351"/>
      <c r="V653" s="351"/>
      <c r="W653" s="351"/>
      <c r="X653" s="359"/>
      <c r="Y653" s="359"/>
      <c r="Z653" s="359"/>
      <c r="AA653" s="351"/>
      <c r="AB653" s="351"/>
      <c r="AC653" s="359"/>
      <c r="AD653" s="359"/>
      <c r="AE653" s="351"/>
      <c r="AF653" s="333"/>
      <c r="AG653" s="333"/>
      <c r="AH653" s="351"/>
      <c r="AI653" s="351"/>
      <c r="AJ653" s="351"/>
      <c r="AK653" s="351"/>
      <c r="AL653" s="351"/>
      <c r="AM653" s="351"/>
      <c r="AN653" s="351"/>
      <c r="AO653" s="351"/>
      <c r="AP653" s="351"/>
      <c r="AQ653" s="351"/>
      <c r="AR653" s="351"/>
      <c r="AS653" s="351"/>
      <c r="AT653" s="351"/>
      <c r="AU653" s="351"/>
      <c r="AV653" s="351"/>
      <c r="AW653" s="351"/>
      <c r="AX653" s="351"/>
      <c r="AY653" s="351"/>
    </row>
    <row r="654" spans="1:51" ht="13">
      <c r="A654" s="333"/>
      <c r="B654" s="351"/>
      <c r="C654" s="351"/>
      <c r="D654" s="333"/>
      <c r="E654" s="333"/>
      <c r="F654" s="333"/>
      <c r="G654" s="359"/>
      <c r="H654" s="359"/>
      <c r="I654" s="351"/>
      <c r="J654" s="359"/>
      <c r="K654" s="359"/>
      <c r="L654" s="359"/>
      <c r="M654" s="351"/>
      <c r="N654" s="351"/>
      <c r="O654" s="351"/>
      <c r="P654" s="351"/>
      <c r="Q654" s="351"/>
      <c r="R654" s="351"/>
      <c r="S654" s="351"/>
      <c r="T654" s="351"/>
      <c r="U654" s="351"/>
      <c r="V654" s="351"/>
      <c r="W654" s="351"/>
      <c r="X654" s="359"/>
      <c r="Y654" s="359"/>
      <c r="Z654" s="359"/>
      <c r="AA654" s="351"/>
      <c r="AB654" s="351"/>
      <c r="AC654" s="359"/>
      <c r="AD654" s="359"/>
      <c r="AE654" s="351"/>
      <c r="AF654" s="333"/>
      <c r="AG654" s="333"/>
      <c r="AH654" s="351"/>
      <c r="AI654" s="351"/>
      <c r="AJ654" s="351"/>
      <c r="AK654" s="351"/>
      <c r="AL654" s="351"/>
      <c r="AM654" s="351"/>
      <c r="AN654" s="351"/>
      <c r="AO654" s="351"/>
      <c r="AP654" s="351"/>
      <c r="AQ654" s="351"/>
      <c r="AR654" s="351"/>
      <c r="AS654" s="351"/>
      <c r="AT654" s="351"/>
      <c r="AU654" s="351"/>
      <c r="AV654" s="351"/>
      <c r="AW654" s="351"/>
      <c r="AX654" s="351"/>
      <c r="AY654" s="351"/>
    </row>
    <row r="655" spans="1:51" ht="13">
      <c r="A655" s="333"/>
      <c r="B655" s="351"/>
      <c r="C655" s="351"/>
      <c r="D655" s="333"/>
      <c r="E655" s="333"/>
      <c r="F655" s="333"/>
      <c r="G655" s="359"/>
      <c r="H655" s="359"/>
      <c r="I655" s="351"/>
      <c r="J655" s="359"/>
      <c r="K655" s="359"/>
      <c r="L655" s="359"/>
      <c r="M655" s="351"/>
      <c r="N655" s="351"/>
      <c r="O655" s="351"/>
      <c r="P655" s="351"/>
      <c r="Q655" s="351"/>
      <c r="R655" s="351"/>
      <c r="S655" s="351"/>
      <c r="T655" s="351"/>
      <c r="U655" s="351"/>
      <c r="V655" s="351"/>
      <c r="W655" s="351"/>
      <c r="X655" s="359"/>
      <c r="Y655" s="359"/>
      <c r="Z655" s="359"/>
      <c r="AA655" s="351"/>
      <c r="AB655" s="351"/>
      <c r="AC655" s="359"/>
      <c r="AD655" s="359"/>
      <c r="AE655" s="351"/>
      <c r="AF655" s="333"/>
      <c r="AG655" s="333"/>
      <c r="AH655" s="351"/>
      <c r="AI655" s="351"/>
      <c r="AJ655" s="351"/>
      <c r="AK655" s="351"/>
      <c r="AL655" s="351"/>
      <c r="AM655" s="351"/>
      <c r="AN655" s="351"/>
      <c r="AO655" s="351"/>
      <c r="AP655" s="351"/>
      <c r="AQ655" s="351"/>
      <c r="AR655" s="351"/>
      <c r="AS655" s="351"/>
      <c r="AT655" s="351"/>
      <c r="AU655" s="351"/>
      <c r="AV655" s="351"/>
      <c r="AW655" s="351"/>
      <c r="AX655" s="351"/>
      <c r="AY655" s="351"/>
    </row>
    <row r="656" spans="1:51" ht="13">
      <c r="A656" s="333"/>
      <c r="B656" s="351"/>
      <c r="C656" s="351"/>
      <c r="D656" s="333"/>
      <c r="E656" s="333"/>
      <c r="F656" s="333"/>
      <c r="G656" s="359"/>
      <c r="H656" s="359"/>
      <c r="I656" s="351"/>
      <c r="J656" s="359"/>
      <c r="K656" s="359"/>
      <c r="L656" s="359"/>
      <c r="M656" s="351"/>
      <c r="N656" s="351"/>
      <c r="O656" s="351"/>
      <c r="P656" s="351"/>
      <c r="Q656" s="351"/>
      <c r="R656" s="351"/>
      <c r="S656" s="351"/>
      <c r="T656" s="351"/>
      <c r="U656" s="351"/>
      <c r="V656" s="351"/>
      <c r="W656" s="351"/>
      <c r="X656" s="359"/>
      <c r="Y656" s="359"/>
      <c r="Z656" s="359"/>
      <c r="AA656" s="351"/>
      <c r="AB656" s="351"/>
      <c r="AC656" s="359"/>
      <c r="AD656" s="359"/>
      <c r="AE656" s="351"/>
      <c r="AF656" s="333"/>
      <c r="AG656" s="333"/>
      <c r="AH656" s="351"/>
      <c r="AI656" s="351"/>
      <c r="AJ656" s="351"/>
      <c r="AK656" s="351"/>
      <c r="AL656" s="351"/>
      <c r="AM656" s="351"/>
      <c r="AN656" s="351"/>
      <c r="AO656" s="351"/>
      <c r="AP656" s="351"/>
      <c r="AQ656" s="351"/>
      <c r="AR656" s="351"/>
      <c r="AS656" s="351"/>
      <c r="AT656" s="351"/>
      <c r="AU656" s="351"/>
      <c r="AV656" s="351"/>
      <c r="AW656" s="351"/>
      <c r="AX656" s="351"/>
      <c r="AY656" s="351"/>
    </row>
    <row r="657" spans="1:51" ht="13">
      <c r="A657" s="333"/>
      <c r="B657" s="351"/>
      <c r="C657" s="351"/>
      <c r="D657" s="333"/>
      <c r="E657" s="333"/>
      <c r="F657" s="333"/>
      <c r="G657" s="359"/>
      <c r="H657" s="359"/>
      <c r="I657" s="351"/>
      <c r="J657" s="359"/>
      <c r="K657" s="359"/>
      <c r="L657" s="359"/>
      <c r="M657" s="351"/>
      <c r="N657" s="351"/>
      <c r="O657" s="351"/>
      <c r="P657" s="351"/>
      <c r="Q657" s="351"/>
      <c r="R657" s="351"/>
      <c r="S657" s="351"/>
      <c r="T657" s="351"/>
      <c r="U657" s="351"/>
      <c r="V657" s="351"/>
      <c r="W657" s="351"/>
      <c r="X657" s="359"/>
      <c r="Y657" s="359"/>
      <c r="Z657" s="359"/>
      <c r="AA657" s="351"/>
      <c r="AB657" s="351"/>
      <c r="AC657" s="359"/>
      <c r="AD657" s="359"/>
      <c r="AE657" s="351"/>
      <c r="AF657" s="333"/>
      <c r="AG657" s="333"/>
      <c r="AH657" s="351"/>
      <c r="AI657" s="351"/>
      <c r="AJ657" s="351"/>
      <c r="AK657" s="351"/>
      <c r="AL657" s="351"/>
      <c r="AM657" s="351"/>
      <c r="AN657" s="351"/>
      <c r="AO657" s="351"/>
      <c r="AP657" s="351"/>
      <c r="AQ657" s="351"/>
      <c r="AR657" s="351"/>
      <c r="AS657" s="351"/>
      <c r="AT657" s="351"/>
      <c r="AU657" s="351"/>
      <c r="AV657" s="351"/>
      <c r="AW657" s="351"/>
      <c r="AX657" s="351"/>
      <c r="AY657" s="351"/>
    </row>
    <row r="658" spans="1:51" ht="13">
      <c r="A658" s="333"/>
      <c r="B658" s="351"/>
      <c r="C658" s="351"/>
      <c r="D658" s="333"/>
      <c r="E658" s="333"/>
      <c r="F658" s="333"/>
      <c r="G658" s="359"/>
      <c r="H658" s="359"/>
      <c r="I658" s="351"/>
      <c r="J658" s="359"/>
      <c r="K658" s="359"/>
      <c r="L658" s="359"/>
      <c r="M658" s="351"/>
      <c r="N658" s="351"/>
      <c r="O658" s="351"/>
      <c r="P658" s="351"/>
      <c r="Q658" s="351"/>
      <c r="R658" s="351"/>
      <c r="S658" s="351"/>
      <c r="T658" s="351"/>
      <c r="U658" s="351"/>
      <c r="V658" s="351"/>
      <c r="W658" s="351"/>
      <c r="X658" s="359"/>
      <c r="Y658" s="359"/>
      <c r="Z658" s="359"/>
      <c r="AA658" s="351"/>
      <c r="AB658" s="351"/>
      <c r="AC658" s="359"/>
      <c r="AD658" s="359"/>
      <c r="AE658" s="351"/>
      <c r="AF658" s="333"/>
      <c r="AG658" s="333"/>
      <c r="AH658" s="351"/>
      <c r="AI658" s="351"/>
      <c r="AJ658" s="351"/>
      <c r="AK658" s="351"/>
      <c r="AL658" s="351"/>
      <c r="AM658" s="351"/>
      <c r="AN658" s="351"/>
      <c r="AO658" s="351"/>
      <c r="AP658" s="351"/>
      <c r="AQ658" s="351"/>
      <c r="AR658" s="351"/>
      <c r="AS658" s="351"/>
      <c r="AT658" s="351"/>
      <c r="AU658" s="351"/>
      <c r="AV658" s="351"/>
      <c r="AW658" s="351"/>
      <c r="AX658" s="351"/>
      <c r="AY658" s="351"/>
    </row>
    <row r="659" spans="1:51" ht="13">
      <c r="A659" s="333"/>
      <c r="B659" s="351"/>
      <c r="C659" s="351"/>
      <c r="D659" s="333"/>
      <c r="E659" s="333"/>
      <c r="F659" s="333"/>
      <c r="G659" s="359"/>
      <c r="H659" s="359"/>
      <c r="I659" s="351"/>
      <c r="J659" s="359"/>
      <c r="K659" s="359"/>
      <c r="L659" s="359"/>
      <c r="M659" s="351"/>
      <c r="N659" s="351"/>
      <c r="O659" s="351"/>
      <c r="P659" s="351"/>
      <c r="Q659" s="351"/>
      <c r="R659" s="351"/>
      <c r="S659" s="351"/>
      <c r="T659" s="351"/>
      <c r="U659" s="351"/>
      <c r="V659" s="351"/>
      <c r="W659" s="351"/>
      <c r="X659" s="359"/>
      <c r="Y659" s="359"/>
      <c r="Z659" s="359"/>
      <c r="AA659" s="351"/>
      <c r="AB659" s="351"/>
      <c r="AC659" s="359"/>
      <c r="AD659" s="359"/>
      <c r="AE659" s="351"/>
      <c r="AF659" s="333"/>
      <c r="AG659" s="333"/>
      <c r="AH659" s="351"/>
      <c r="AI659" s="351"/>
      <c r="AJ659" s="351"/>
      <c r="AK659" s="351"/>
      <c r="AL659" s="351"/>
      <c r="AM659" s="351"/>
      <c r="AN659" s="351"/>
      <c r="AO659" s="351"/>
      <c r="AP659" s="351"/>
      <c r="AQ659" s="351"/>
      <c r="AR659" s="351"/>
      <c r="AS659" s="351"/>
      <c r="AT659" s="351"/>
      <c r="AU659" s="351"/>
      <c r="AV659" s="351"/>
      <c r="AW659" s="351"/>
      <c r="AX659" s="351"/>
      <c r="AY659" s="351"/>
    </row>
    <row r="660" spans="1:51" ht="13">
      <c r="A660" s="333"/>
      <c r="B660" s="351"/>
      <c r="C660" s="351"/>
      <c r="D660" s="333"/>
      <c r="E660" s="333"/>
      <c r="F660" s="333"/>
      <c r="G660" s="359"/>
      <c r="H660" s="359"/>
      <c r="I660" s="351"/>
      <c r="J660" s="359"/>
      <c r="K660" s="359"/>
      <c r="L660" s="359"/>
      <c r="M660" s="351"/>
      <c r="N660" s="351"/>
      <c r="O660" s="351"/>
      <c r="P660" s="351"/>
      <c r="Q660" s="351"/>
      <c r="R660" s="351"/>
      <c r="S660" s="351"/>
      <c r="T660" s="351"/>
      <c r="U660" s="351"/>
      <c r="V660" s="351"/>
      <c r="W660" s="351"/>
      <c r="X660" s="359"/>
      <c r="Y660" s="359"/>
      <c r="Z660" s="359"/>
      <c r="AA660" s="351"/>
      <c r="AB660" s="351"/>
      <c r="AC660" s="359"/>
      <c r="AD660" s="359"/>
      <c r="AE660" s="351"/>
      <c r="AF660" s="333"/>
      <c r="AG660" s="333"/>
      <c r="AH660" s="351"/>
      <c r="AI660" s="351"/>
      <c r="AJ660" s="351"/>
      <c r="AK660" s="351"/>
      <c r="AL660" s="351"/>
      <c r="AM660" s="351"/>
      <c r="AN660" s="351"/>
      <c r="AO660" s="351"/>
      <c r="AP660" s="351"/>
      <c r="AQ660" s="351"/>
      <c r="AR660" s="351"/>
      <c r="AS660" s="351"/>
      <c r="AT660" s="351"/>
      <c r="AU660" s="351"/>
      <c r="AV660" s="351"/>
      <c r="AW660" s="351"/>
      <c r="AX660" s="351"/>
      <c r="AY660" s="351"/>
    </row>
    <row r="661" spans="1:51" ht="13">
      <c r="A661" s="333"/>
      <c r="B661" s="351"/>
      <c r="C661" s="351"/>
      <c r="D661" s="333"/>
      <c r="E661" s="333"/>
      <c r="F661" s="333"/>
      <c r="G661" s="359"/>
      <c r="H661" s="359"/>
      <c r="I661" s="351"/>
      <c r="J661" s="359"/>
      <c r="K661" s="359"/>
      <c r="L661" s="359"/>
      <c r="M661" s="351"/>
      <c r="N661" s="351"/>
      <c r="O661" s="351"/>
      <c r="P661" s="351"/>
      <c r="Q661" s="351"/>
      <c r="R661" s="351"/>
      <c r="S661" s="351"/>
      <c r="T661" s="351"/>
      <c r="U661" s="351"/>
      <c r="V661" s="351"/>
      <c r="W661" s="351"/>
      <c r="X661" s="359"/>
      <c r="Y661" s="359"/>
      <c r="Z661" s="359"/>
      <c r="AA661" s="351"/>
      <c r="AB661" s="351"/>
      <c r="AC661" s="359"/>
      <c r="AD661" s="359"/>
      <c r="AE661" s="351"/>
      <c r="AF661" s="333"/>
      <c r="AG661" s="333"/>
      <c r="AH661" s="351"/>
      <c r="AI661" s="351"/>
      <c r="AJ661" s="351"/>
      <c r="AK661" s="351"/>
      <c r="AL661" s="351"/>
      <c r="AM661" s="351"/>
      <c r="AN661" s="351"/>
      <c r="AO661" s="351"/>
      <c r="AP661" s="351"/>
      <c r="AQ661" s="351"/>
      <c r="AR661" s="351"/>
      <c r="AS661" s="351"/>
      <c r="AT661" s="351"/>
      <c r="AU661" s="351"/>
      <c r="AV661" s="351"/>
      <c r="AW661" s="351"/>
      <c r="AX661" s="351"/>
      <c r="AY661" s="351"/>
    </row>
    <row r="662" spans="1:51" ht="13">
      <c r="A662" s="333"/>
      <c r="B662" s="351"/>
      <c r="C662" s="351"/>
      <c r="D662" s="333"/>
      <c r="E662" s="333"/>
      <c r="F662" s="333"/>
      <c r="G662" s="359"/>
      <c r="H662" s="359"/>
      <c r="I662" s="351"/>
      <c r="J662" s="359"/>
      <c r="K662" s="359"/>
      <c r="L662" s="359"/>
      <c r="M662" s="351"/>
      <c r="N662" s="351"/>
      <c r="O662" s="351"/>
      <c r="P662" s="351"/>
      <c r="Q662" s="351"/>
      <c r="R662" s="351"/>
      <c r="S662" s="351"/>
      <c r="T662" s="351"/>
      <c r="U662" s="351"/>
      <c r="V662" s="351"/>
      <c r="W662" s="351"/>
      <c r="X662" s="359"/>
      <c r="Y662" s="359"/>
      <c r="Z662" s="359"/>
      <c r="AA662" s="351"/>
      <c r="AB662" s="351"/>
      <c r="AC662" s="359"/>
      <c r="AD662" s="359"/>
      <c r="AE662" s="351"/>
      <c r="AF662" s="333"/>
      <c r="AG662" s="333"/>
      <c r="AH662" s="351"/>
      <c r="AI662" s="351"/>
      <c r="AJ662" s="351"/>
      <c r="AK662" s="351"/>
      <c r="AL662" s="351"/>
      <c r="AM662" s="351"/>
      <c r="AN662" s="351"/>
      <c r="AO662" s="351"/>
      <c r="AP662" s="351"/>
      <c r="AQ662" s="351"/>
      <c r="AR662" s="351"/>
      <c r="AS662" s="351"/>
      <c r="AT662" s="351"/>
      <c r="AU662" s="351"/>
      <c r="AV662" s="351"/>
      <c r="AW662" s="351"/>
      <c r="AX662" s="351"/>
      <c r="AY662" s="351"/>
    </row>
    <row r="663" spans="1:51" ht="13">
      <c r="A663" s="333"/>
      <c r="B663" s="351"/>
      <c r="C663" s="351"/>
      <c r="D663" s="333"/>
      <c r="E663" s="333"/>
      <c r="F663" s="333"/>
      <c r="G663" s="359"/>
      <c r="H663" s="359"/>
      <c r="I663" s="351"/>
      <c r="J663" s="359"/>
      <c r="K663" s="359"/>
      <c r="L663" s="359"/>
      <c r="M663" s="351"/>
      <c r="N663" s="351"/>
      <c r="O663" s="351"/>
      <c r="P663" s="351"/>
      <c r="Q663" s="351"/>
      <c r="R663" s="351"/>
      <c r="S663" s="351"/>
      <c r="T663" s="351"/>
      <c r="U663" s="351"/>
      <c r="V663" s="351"/>
      <c r="W663" s="351"/>
      <c r="X663" s="359"/>
      <c r="Y663" s="359"/>
      <c r="Z663" s="359"/>
      <c r="AA663" s="351"/>
      <c r="AB663" s="351"/>
      <c r="AC663" s="359"/>
      <c r="AD663" s="359"/>
      <c r="AE663" s="351"/>
      <c r="AF663" s="333"/>
      <c r="AG663" s="333"/>
      <c r="AH663" s="351"/>
      <c r="AI663" s="351"/>
      <c r="AJ663" s="351"/>
      <c r="AK663" s="351"/>
      <c r="AL663" s="351"/>
      <c r="AM663" s="351"/>
      <c r="AN663" s="351"/>
      <c r="AO663" s="351"/>
      <c r="AP663" s="351"/>
      <c r="AQ663" s="351"/>
      <c r="AR663" s="351"/>
      <c r="AS663" s="351"/>
      <c r="AT663" s="351"/>
      <c r="AU663" s="351"/>
      <c r="AV663" s="351"/>
      <c r="AW663" s="351"/>
      <c r="AX663" s="351"/>
      <c r="AY663" s="351"/>
    </row>
    <row r="664" spans="1:51" ht="13">
      <c r="A664" s="333"/>
      <c r="B664" s="351"/>
      <c r="C664" s="351"/>
      <c r="D664" s="333"/>
      <c r="E664" s="333"/>
      <c r="F664" s="333"/>
      <c r="G664" s="359"/>
      <c r="H664" s="359"/>
      <c r="I664" s="351"/>
      <c r="J664" s="359"/>
      <c r="K664" s="359"/>
      <c r="L664" s="359"/>
      <c r="M664" s="351"/>
      <c r="N664" s="351"/>
      <c r="O664" s="351"/>
      <c r="P664" s="351"/>
      <c r="Q664" s="351"/>
      <c r="R664" s="351"/>
      <c r="S664" s="351"/>
      <c r="T664" s="351"/>
      <c r="U664" s="351"/>
      <c r="V664" s="351"/>
      <c r="W664" s="351"/>
      <c r="X664" s="359"/>
      <c r="Y664" s="359"/>
      <c r="Z664" s="359"/>
      <c r="AA664" s="351"/>
      <c r="AB664" s="351"/>
      <c r="AC664" s="359"/>
      <c r="AD664" s="359"/>
      <c r="AE664" s="351"/>
      <c r="AF664" s="333"/>
      <c r="AG664" s="333"/>
      <c r="AH664" s="351"/>
      <c r="AI664" s="351"/>
      <c r="AJ664" s="351"/>
      <c r="AK664" s="351"/>
      <c r="AL664" s="351"/>
      <c r="AM664" s="351"/>
      <c r="AN664" s="351"/>
      <c r="AO664" s="351"/>
      <c r="AP664" s="351"/>
      <c r="AQ664" s="351"/>
      <c r="AR664" s="351"/>
      <c r="AS664" s="351"/>
      <c r="AT664" s="351"/>
      <c r="AU664" s="351"/>
      <c r="AV664" s="351"/>
      <c r="AW664" s="351"/>
      <c r="AX664" s="351"/>
      <c r="AY664" s="351"/>
    </row>
    <row r="665" spans="1:51" ht="13">
      <c r="A665" s="333"/>
      <c r="B665" s="351"/>
      <c r="C665" s="351"/>
      <c r="D665" s="333"/>
      <c r="E665" s="333"/>
      <c r="F665" s="333"/>
      <c r="G665" s="359"/>
      <c r="H665" s="359"/>
      <c r="I665" s="351"/>
      <c r="J665" s="359"/>
      <c r="K665" s="359"/>
      <c r="L665" s="359"/>
      <c r="M665" s="351"/>
      <c r="N665" s="351"/>
      <c r="O665" s="351"/>
      <c r="P665" s="351"/>
      <c r="Q665" s="351"/>
      <c r="R665" s="351"/>
      <c r="S665" s="351"/>
      <c r="T665" s="351"/>
      <c r="U665" s="351"/>
      <c r="V665" s="351"/>
      <c r="W665" s="351"/>
      <c r="X665" s="359"/>
      <c r="Y665" s="359"/>
      <c r="Z665" s="359"/>
      <c r="AA665" s="351"/>
      <c r="AB665" s="351"/>
      <c r="AC665" s="359"/>
      <c r="AD665" s="359"/>
      <c r="AE665" s="351"/>
      <c r="AF665" s="333"/>
      <c r="AG665" s="333"/>
      <c r="AH665" s="351"/>
      <c r="AI665" s="351"/>
      <c r="AJ665" s="351"/>
      <c r="AK665" s="351"/>
      <c r="AL665" s="351"/>
      <c r="AM665" s="351"/>
      <c r="AN665" s="351"/>
      <c r="AO665" s="351"/>
      <c r="AP665" s="351"/>
      <c r="AQ665" s="351"/>
      <c r="AR665" s="351"/>
      <c r="AS665" s="351"/>
      <c r="AT665" s="351"/>
      <c r="AU665" s="351"/>
      <c r="AV665" s="351"/>
      <c r="AW665" s="351"/>
      <c r="AX665" s="351"/>
      <c r="AY665" s="351"/>
    </row>
    <row r="666" spans="1:51" ht="13">
      <c r="A666" s="333"/>
      <c r="B666" s="351"/>
      <c r="C666" s="351"/>
      <c r="D666" s="333"/>
      <c r="E666" s="333"/>
      <c r="F666" s="333"/>
      <c r="G666" s="359"/>
      <c r="H666" s="359"/>
      <c r="I666" s="351"/>
      <c r="J666" s="359"/>
      <c r="K666" s="359"/>
      <c r="L666" s="359"/>
      <c r="M666" s="351"/>
      <c r="N666" s="351"/>
      <c r="O666" s="351"/>
      <c r="P666" s="351"/>
      <c r="Q666" s="351"/>
      <c r="R666" s="351"/>
      <c r="S666" s="351"/>
      <c r="T666" s="351"/>
      <c r="U666" s="351"/>
      <c r="V666" s="351"/>
      <c r="W666" s="351"/>
      <c r="X666" s="359"/>
      <c r="Y666" s="359"/>
      <c r="Z666" s="359"/>
      <c r="AA666" s="351"/>
      <c r="AB666" s="351"/>
      <c r="AC666" s="359"/>
      <c r="AD666" s="359"/>
      <c r="AE666" s="351"/>
      <c r="AF666" s="333"/>
      <c r="AG666" s="333"/>
      <c r="AH666" s="351"/>
      <c r="AI666" s="351"/>
      <c r="AJ666" s="351"/>
      <c r="AK666" s="351"/>
      <c r="AL666" s="351"/>
      <c r="AM666" s="351"/>
      <c r="AN666" s="351"/>
      <c r="AO666" s="351"/>
      <c r="AP666" s="351"/>
      <c r="AQ666" s="351"/>
      <c r="AR666" s="351"/>
      <c r="AS666" s="351"/>
      <c r="AT666" s="351"/>
      <c r="AU666" s="351"/>
      <c r="AV666" s="351"/>
      <c r="AW666" s="351"/>
      <c r="AX666" s="351"/>
      <c r="AY666" s="351"/>
    </row>
    <row r="667" spans="1:51" ht="13">
      <c r="A667" s="333"/>
      <c r="B667" s="351"/>
      <c r="C667" s="351"/>
      <c r="D667" s="333"/>
      <c r="E667" s="333"/>
      <c r="F667" s="333"/>
      <c r="G667" s="359"/>
      <c r="H667" s="359"/>
      <c r="I667" s="351"/>
      <c r="J667" s="359"/>
      <c r="K667" s="359"/>
      <c r="L667" s="359"/>
      <c r="M667" s="351"/>
      <c r="N667" s="351"/>
      <c r="O667" s="351"/>
      <c r="P667" s="351"/>
      <c r="Q667" s="351"/>
      <c r="R667" s="351"/>
      <c r="S667" s="351"/>
      <c r="T667" s="351"/>
      <c r="U667" s="351"/>
      <c r="V667" s="351"/>
      <c r="W667" s="351"/>
      <c r="X667" s="359"/>
      <c r="Y667" s="359"/>
      <c r="Z667" s="359"/>
      <c r="AA667" s="351"/>
      <c r="AB667" s="351"/>
      <c r="AC667" s="359"/>
      <c r="AD667" s="359"/>
      <c r="AE667" s="351"/>
      <c r="AF667" s="333"/>
      <c r="AG667" s="333"/>
      <c r="AH667" s="351"/>
      <c r="AI667" s="351"/>
      <c r="AJ667" s="351"/>
      <c r="AK667" s="351"/>
      <c r="AL667" s="351"/>
      <c r="AM667" s="351"/>
      <c r="AN667" s="351"/>
      <c r="AO667" s="351"/>
      <c r="AP667" s="351"/>
      <c r="AQ667" s="351"/>
      <c r="AR667" s="351"/>
      <c r="AS667" s="351"/>
      <c r="AT667" s="351"/>
      <c r="AU667" s="351"/>
      <c r="AV667" s="351"/>
      <c r="AW667" s="351"/>
      <c r="AX667" s="351"/>
      <c r="AY667" s="351"/>
    </row>
    <row r="668" spans="1:51" ht="13">
      <c r="A668" s="333"/>
      <c r="B668" s="351"/>
      <c r="C668" s="351"/>
      <c r="D668" s="333"/>
      <c r="E668" s="333"/>
      <c r="F668" s="333"/>
      <c r="G668" s="359"/>
      <c r="H668" s="359"/>
      <c r="I668" s="351"/>
      <c r="J668" s="359"/>
      <c r="K668" s="359"/>
      <c r="L668" s="359"/>
      <c r="M668" s="351"/>
      <c r="N668" s="351"/>
      <c r="O668" s="351"/>
      <c r="P668" s="351"/>
      <c r="Q668" s="351"/>
      <c r="R668" s="351"/>
      <c r="S668" s="351"/>
      <c r="T668" s="351"/>
      <c r="U668" s="351"/>
      <c r="V668" s="351"/>
      <c r="W668" s="351"/>
      <c r="X668" s="359"/>
      <c r="Y668" s="359"/>
      <c r="Z668" s="359"/>
      <c r="AA668" s="351"/>
      <c r="AB668" s="351"/>
      <c r="AC668" s="359"/>
      <c r="AD668" s="359"/>
      <c r="AE668" s="351"/>
      <c r="AF668" s="333"/>
      <c r="AG668" s="333"/>
      <c r="AH668" s="351"/>
      <c r="AI668" s="351"/>
      <c r="AJ668" s="351"/>
      <c r="AK668" s="351"/>
      <c r="AL668" s="351"/>
      <c r="AM668" s="351"/>
      <c r="AN668" s="351"/>
      <c r="AO668" s="351"/>
      <c r="AP668" s="351"/>
      <c r="AQ668" s="351"/>
      <c r="AR668" s="351"/>
      <c r="AS668" s="351"/>
      <c r="AT668" s="351"/>
      <c r="AU668" s="351"/>
      <c r="AV668" s="351"/>
      <c r="AW668" s="351"/>
      <c r="AX668" s="351"/>
      <c r="AY668" s="351"/>
    </row>
    <row r="669" spans="1:51" ht="13">
      <c r="A669" s="333"/>
      <c r="B669" s="351"/>
      <c r="C669" s="351"/>
      <c r="D669" s="333"/>
      <c r="E669" s="333"/>
      <c r="F669" s="333"/>
      <c r="G669" s="359"/>
      <c r="H669" s="359"/>
      <c r="I669" s="351"/>
      <c r="J669" s="359"/>
      <c r="K669" s="359"/>
      <c r="L669" s="359"/>
      <c r="M669" s="351"/>
      <c r="N669" s="351"/>
      <c r="O669" s="351"/>
      <c r="P669" s="351"/>
      <c r="Q669" s="351"/>
      <c r="R669" s="351"/>
      <c r="S669" s="351"/>
      <c r="T669" s="351"/>
      <c r="U669" s="351"/>
      <c r="V669" s="351"/>
      <c r="W669" s="351"/>
      <c r="X669" s="359"/>
      <c r="Y669" s="359"/>
      <c r="Z669" s="359"/>
      <c r="AA669" s="351"/>
      <c r="AB669" s="351"/>
      <c r="AC669" s="359"/>
      <c r="AD669" s="359"/>
      <c r="AE669" s="351"/>
      <c r="AF669" s="333"/>
      <c r="AG669" s="333"/>
      <c r="AH669" s="351"/>
      <c r="AI669" s="351"/>
      <c r="AJ669" s="351"/>
      <c r="AK669" s="351"/>
      <c r="AL669" s="351"/>
      <c r="AM669" s="351"/>
      <c r="AN669" s="351"/>
      <c r="AO669" s="351"/>
      <c r="AP669" s="351"/>
      <c r="AQ669" s="351"/>
      <c r="AR669" s="351"/>
      <c r="AS669" s="351"/>
      <c r="AT669" s="351"/>
      <c r="AU669" s="351"/>
      <c r="AV669" s="351"/>
      <c r="AW669" s="351"/>
      <c r="AX669" s="351"/>
      <c r="AY669" s="351"/>
    </row>
    <row r="670" spans="1:51" ht="13">
      <c r="A670" s="333"/>
      <c r="B670" s="351"/>
      <c r="C670" s="351"/>
      <c r="D670" s="333"/>
      <c r="E670" s="333"/>
      <c r="F670" s="333"/>
      <c r="G670" s="359"/>
      <c r="H670" s="359"/>
      <c r="I670" s="351"/>
      <c r="J670" s="359"/>
      <c r="K670" s="359"/>
      <c r="L670" s="359"/>
      <c r="M670" s="351"/>
      <c r="N670" s="351"/>
      <c r="O670" s="351"/>
      <c r="P670" s="351"/>
      <c r="Q670" s="351"/>
      <c r="R670" s="351"/>
      <c r="S670" s="351"/>
      <c r="T670" s="351"/>
      <c r="U670" s="351"/>
      <c r="V670" s="351"/>
      <c r="W670" s="351"/>
      <c r="X670" s="359"/>
      <c r="Y670" s="359"/>
      <c r="Z670" s="359"/>
      <c r="AA670" s="351"/>
      <c r="AB670" s="351"/>
      <c r="AC670" s="359"/>
      <c r="AD670" s="359"/>
      <c r="AE670" s="351"/>
      <c r="AF670" s="333"/>
      <c r="AG670" s="333"/>
      <c r="AH670" s="351"/>
      <c r="AI670" s="351"/>
      <c r="AJ670" s="351"/>
      <c r="AK670" s="351"/>
      <c r="AL670" s="351"/>
      <c r="AM670" s="351"/>
      <c r="AN670" s="351"/>
      <c r="AO670" s="351"/>
      <c r="AP670" s="351"/>
      <c r="AQ670" s="351"/>
      <c r="AR670" s="351"/>
      <c r="AS670" s="351"/>
      <c r="AT670" s="351"/>
      <c r="AU670" s="351"/>
      <c r="AV670" s="351"/>
      <c r="AW670" s="351"/>
      <c r="AX670" s="351"/>
      <c r="AY670" s="351"/>
    </row>
    <row r="671" spans="1:51" ht="13">
      <c r="A671" s="333"/>
      <c r="B671" s="351"/>
      <c r="C671" s="351"/>
      <c r="D671" s="333"/>
      <c r="E671" s="333"/>
      <c r="F671" s="333"/>
      <c r="G671" s="359"/>
      <c r="H671" s="359"/>
      <c r="I671" s="351"/>
      <c r="J671" s="359"/>
      <c r="K671" s="359"/>
      <c r="L671" s="359"/>
      <c r="M671" s="351"/>
      <c r="N671" s="351"/>
      <c r="O671" s="351"/>
      <c r="P671" s="351"/>
      <c r="Q671" s="351"/>
      <c r="R671" s="351"/>
      <c r="S671" s="351"/>
      <c r="T671" s="351"/>
      <c r="U671" s="351"/>
      <c r="V671" s="351"/>
      <c r="W671" s="351"/>
      <c r="X671" s="359"/>
      <c r="Y671" s="359"/>
      <c r="Z671" s="359"/>
      <c r="AA671" s="351"/>
      <c r="AB671" s="351"/>
      <c r="AC671" s="359"/>
      <c r="AD671" s="359"/>
      <c r="AE671" s="351"/>
      <c r="AF671" s="333"/>
      <c r="AG671" s="333"/>
      <c r="AH671" s="351"/>
      <c r="AI671" s="351"/>
      <c r="AJ671" s="351"/>
      <c r="AK671" s="351"/>
      <c r="AL671" s="351"/>
      <c r="AM671" s="351"/>
      <c r="AN671" s="351"/>
      <c r="AO671" s="351"/>
      <c r="AP671" s="351"/>
      <c r="AQ671" s="351"/>
      <c r="AR671" s="351"/>
      <c r="AS671" s="351"/>
      <c r="AT671" s="351"/>
      <c r="AU671" s="351"/>
      <c r="AV671" s="351"/>
      <c r="AW671" s="351"/>
      <c r="AX671" s="351"/>
      <c r="AY671" s="351"/>
    </row>
    <row r="672" spans="1:51" ht="13">
      <c r="A672" s="333"/>
      <c r="B672" s="351"/>
      <c r="C672" s="351"/>
      <c r="D672" s="333"/>
      <c r="E672" s="333"/>
      <c r="F672" s="333"/>
      <c r="G672" s="359"/>
      <c r="H672" s="359"/>
      <c r="I672" s="351"/>
      <c r="J672" s="359"/>
      <c r="K672" s="359"/>
      <c r="L672" s="359"/>
      <c r="M672" s="351"/>
      <c r="N672" s="351"/>
      <c r="O672" s="351"/>
      <c r="P672" s="351"/>
      <c r="Q672" s="351"/>
      <c r="R672" s="351"/>
      <c r="S672" s="351"/>
      <c r="T672" s="351"/>
      <c r="U672" s="351"/>
      <c r="V672" s="351"/>
      <c r="W672" s="351"/>
      <c r="X672" s="359"/>
      <c r="Y672" s="359"/>
      <c r="Z672" s="359"/>
      <c r="AA672" s="351"/>
      <c r="AB672" s="351"/>
      <c r="AC672" s="359"/>
      <c r="AD672" s="359"/>
      <c r="AE672" s="351"/>
      <c r="AF672" s="333"/>
      <c r="AG672" s="333"/>
      <c r="AH672" s="351"/>
      <c r="AI672" s="351"/>
      <c r="AJ672" s="351"/>
      <c r="AK672" s="351"/>
      <c r="AL672" s="351"/>
      <c r="AM672" s="351"/>
      <c r="AN672" s="351"/>
      <c r="AO672" s="351"/>
      <c r="AP672" s="351"/>
      <c r="AQ672" s="351"/>
      <c r="AR672" s="351"/>
      <c r="AS672" s="351"/>
      <c r="AT672" s="351"/>
      <c r="AU672" s="351"/>
      <c r="AV672" s="351"/>
      <c r="AW672" s="351"/>
      <c r="AX672" s="351"/>
      <c r="AY672" s="351"/>
    </row>
    <row r="673" spans="1:51" ht="13">
      <c r="A673" s="333"/>
      <c r="B673" s="351"/>
      <c r="C673" s="351"/>
      <c r="D673" s="333"/>
      <c r="E673" s="333"/>
      <c r="F673" s="333"/>
      <c r="G673" s="359"/>
      <c r="H673" s="359"/>
      <c r="I673" s="351"/>
      <c r="J673" s="359"/>
      <c r="K673" s="359"/>
      <c r="L673" s="359"/>
      <c r="M673" s="351"/>
      <c r="N673" s="351"/>
      <c r="O673" s="351"/>
      <c r="P673" s="351"/>
      <c r="Q673" s="351"/>
      <c r="R673" s="351"/>
      <c r="S673" s="351"/>
      <c r="T673" s="351"/>
      <c r="U673" s="351"/>
      <c r="V673" s="351"/>
      <c r="W673" s="351"/>
      <c r="X673" s="359"/>
      <c r="Y673" s="359"/>
      <c r="Z673" s="359"/>
      <c r="AA673" s="351"/>
      <c r="AB673" s="351"/>
      <c r="AC673" s="359"/>
      <c r="AD673" s="359"/>
      <c r="AE673" s="351"/>
      <c r="AF673" s="333"/>
      <c r="AG673" s="333"/>
      <c r="AH673" s="351"/>
      <c r="AI673" s="351"/>
      <c r="AJ673" s="351"/>
      <c r="AK673" s="351"/>
      <c r="AL673" s="351"/>
      <c r="AM673" s="351"/>
      <c r="AN673" s="351"/>
      <c r="AO673" s="351"/>
      <c r="AP673" s="351"/>
      <c r="AQ673" s="351"/>
      <c r="AR673" s="351"/>
      <c r="AS673" s="351"/>
      <c r="AT673" s="351"/>
      <c r="AU673" s="351"/>
      <c r="AV673" s="351"/>
      <c r="AW673" s="351"/>
      <c r="AX673" s="351"/>
      <c r="AY673" s="351"/>
    </row>
    <row r="674" spans="1:51" ht="13">
      <c r="A674" s="333"/>
      <c r="B674" s="351"/>
      <c r="C674" s="351"/>
      <c r="D674" s="333"/>
      <c r="E674" s="333"/>
      <c r="F674" s="333"/>
      <c r="G674" s="359"/>
      <c r="H674" s="359"/>
      <c r="I674" s="351"/>
      <c r="J674" s="359"/>
      <c r="K674" s="359"/>
      <c r="L674" s="359"/>
      <c r="M674" s="351"/>
      <c r="N674" s="351"/>
      <c r="O674" s="351"/>
      <c r="P674" s="351"/>
      <c r="Q674" s="351"/>
      <c r="R674" s="351"/>
      <c r="S674" s="351"/>
      <c r="T674" s="351"/>
      <c r="U674" s="351"/>
      <c r="V674" s="351"/>
      <c r="W674" s="351"/>
      <c r="X674" s="359"/>
      <c r="Y674" s="359"/>
      <c r="Z674" s="359"/>
      <c r="AA674" s="351"/>
      <c r="AB674" s="351"/>
      <c r="AC674" s="359"/>
      <c r="AD674" s="359"/>
      <c r="AE674" s="351"/>
      <c r="AF674" s="333"/>
      <c r="AG674" s="333"/>
      <c r="AH674" s="351"/>
      <c r="AI674" s="351"/>
      <c r="AJ674" s="351"/>
      <c r="AK674" s="351"/>
      <c r="AL674" s="351"/>
      <c r="AM674" s="351"/>
      <c r="AN674" s="351"/>
      <c r="AO674" s="351"/>
      <c r="AP674" s="351"/>
      <c r="AQ674" s="351"/>
      <c r="AR674" s="351"/>
      <c r="AS674" s="351"/>
      <c r="AT674" s="351"/>
      <c r="AU674" s="351"/>
      <c r="AV674" s="351"/>
      <c r="AW674" s="351"/>
      <c r="AX674" s="351"/>
      <c r="AY674" s="351"/>
    </row>
    <row r="675" spans="1:51" ht="13">
      <c r="A675" s="333"/>
      <c r="B675" s="351"/>
      <c r="C675" s="351"/>
      <c r="D675" s="333"/>
      <c r="E675" s="333"/>
      <c r="F675" s="333"/>
      <c r="G675" s="359"/>
      <c r="H675" s="359"/>
      <c r="I675" s="351"/>
      <c r="J675" s="359"/>
      <c r="K675" s="359"/>
      <c r="L675" s="359"/>
      <c r="M675" s="351"/>
      <c r="N675" s="351"/>
      <c r="O675" s="351"/>
      <c r="P675" s="351"/>
      <c r="Q675" s="351"/>
      <c r="R675" s="351"/>
      <c r="S675" s="351"/>
      <c r="T675" s="351"/>
      <c r="U675" s="351"/>
      <c r="V675" s="351"/>
      <c r="W675" s="351"/>
      <c r="X675" s="359"/>
      <c r="Y675" s="359"/>
      <c r="Z675" s="359"/>
      <c r="AA675" s="351"/>
      <c r="AB675" s="351"/>
      <c r="AC675" s="359"/>
      <c r="AD675" s="359"/>
      <c r="AE675" s="351"/>
      <c r="AF675" s="333"/>
      <c r="AG675" s="333"/>
      <c r="AH675" s="351"/>
      <c r="AI675" s="351"/>
      <c r="AJ675" s="351"/>
      <c r="AK675" s="351"/>
      <c r="AL675" s="351"/>
      <c r="AM675" s="351"/>
      <c r="AN675" s="351"/>
      <c r="AO675" s="351"/>
      <c r="AP675" s="351"/>
      <c r="AQ675" s="351"/>
      <c r="AR675" s="351"/>
      <c r="AS675" s="351"/>
      <c r="AT675" s="351"/>
      <c r="AU675" s="351"/>
      <c r="AV675" s="351"/>
      <c r="AW675" s="351"/>
      <c r="AX675" s="351"/>
      <c r="AY675" s="351"/>
    </row>
    <row r="676" spans="1:51" ht="13">
      <c r="A676" s="333"/>
      <c r="B676" s="351"/>
      <c r="C676" s="351"/>
      <c r="D676" s="333"/>
      <c r="E676" s="333"/>
      <c r="F676" s="333"/>
      <c r="G676" s="359"/>
      <c r="H676" s="359"/>
      <c r="I676" s="351"/>
      <c r="J676" s="359"/>
      <c r="K676" s="359"/>
      <c r="L676" s="359"/>
      <c r="M676" s="351"/>
      <c r="N676" s="351"/>
      <c r="O676" s="351"/>
      <c r="P676" s="351"/>
      <c r="Q676" s="351"/>
      <c r="R676" s="351"/>
      <c r="S676" s="351"/>
      <c r="T676" s="351"/>
      <c r="U676" s="351"/>
      <c r="V676" s="351"/>
      <c r="W676" s="351"/>
      <c r="X676" s="359"/>
      <c r="Y676" s="359"/>
      <c r="Z676" s="359"/>
      <c r="AA676" s="351"/>
      <c r="AB676" s="351"/>
      <c r="AC676" s="359"/>
      <c r="AD676" s="359"/>
      <c r="AE676" s="351"/>
      <c r="AF676" s="333"/>
      <c r="AG676" s="333"/>
      <c r="AH676" s="351"/>
      <c r="AI676" s="351"/>
      <c r="AJ676" s="351"/>
      <c r="AK676" s="351"/>
      <c r="AL676" s="351"/>
      <c r="AM676" s="351"/>
      <c r="AN676" s="351"/>
      <c r="AO676" s="351"/>
      <c r="AP676" s="351"/>
      <c r="AQ676" s="351"/>
      <c r="AR676" s="351"/>
      <c r="AS676" s="351"/>
      <c r="AT676" s="351"/>
      <c r="AU676" s="351"/>
      <c r="AV676" s="351"/>
      <c r="AW676" s="351"/>
      <c r="AX676" s="351"/>
      <c r="AY676" s="351"/>
    </row>
    <row r="677" spans="1:51" ht="13">
      <c r="A677" s="333"/>
      <c r="B677" s="351"/>
      <c r="C677" s="351"/>
      <c r="D677" s="333"/>
      <c r="E677" s="333"/>
      <c r="F677" s="333"/>
      <c r="G677" s="359"/>
      <c r="H677" s="359"/>
      <c r="I677" s="351"/>
      <c r="J677" s="359"/>
      <c r="K677" s="359"/>
      <c r="L677" s="359"/>
      <c r="M677" s="351"/>
      <c r="N677" s="351"/>
      <c r="O677" s="351"/>
      <c r="P677" s="351"/>
      <c r="Q677" s="351"/>
      <c r="R677" s="351"/>
      <c r="S677" s="351"/>
      <c r="T677" s="351"/>
      <c r="U677" s="351"/>
      <c r="V677" s="351"/>
      <c r="W677" s="351"/>
      <c r="X677" s="359"/>
      <c r="Y677" s="359"/>
      <c r="Z677" s="359"/>
      <c r="AA677" s="351"/>
      <c r="AB677" s="351"/>
      <c r="AC677" s="359"/>
      <c r="AD677" s="359"/>
      <c r="AE677" s="351"/>
      <c r="AF677" s="333"/>
      <c r="AG677" s="333"/>
      <c r="AH677" s="351"/>
      <c r="AI677" s="351"/>
      <c r="AJ677" s="351"/>
      <c r="AK677" s="351"/>
      <c r="AL677" s="351"/>
      <c r="AM677" s="351"/>
      <c r="AN677" s="351"/>
      <c r="AO677" s="351"/>
      <c r="AP677" s="351"/>
      <c r="AQ677" s="351"/>
      <c r="AR677" s="351"/>
      <c r="AS677" s="351"/>
      <c r="AT677" s="351"/>
      <c r="AU677" s="351"/>
      <c r="AV677" s="351"/>
      <c r="AW677" s="351"/>
      <c r="AX677" s="351"/>
      <c r="AY677" s="351"/>
    </row>
    <row r="678" spans="1:51" ht="13">
      <c r="A678" s="333"/>
      <c r="B678" s="351"/>
      <c r="C678" s="351"/>
      <c r="D678" s="333"/>
      <c r="E678" s="333"/>
      <c r="F678" s="333"/>
      <c r="G678" s="359"/>
      <c r="H678" s="359"/>
      <c r="I678" s="351"/>
      <c r="J678" s="359"/>
      <c r="K678" s="359"/>
      <c r="L678" s="359"/>
      <c r="M678" s="351"/>
      <c r="N678" s="351"/>
      <c r="O678" s="351"/>
      <c r="P678" s="351"/>
      <c r="Q678" s="351"/>
      <c r="R678" s="351"/>
      <c r="S678" s="351"/>
      <c r="T678" s="351"/>
      <c r="U678" s="351"/>
      <c r="V678" s="351"/>
      <c r="W678" s="351"/>
      <c r="X678" s="359"/>
      <c r="Y678" s="359"/>
      <c r="Z678" s="359"/>
      <c r="AA678" s="351"/>
      <c r="AB678" s="351"/>
      <c r="AC678" s="359"/>
      <c r="AD678" s="359"/>
      <c r="AE678" s="351"/>
      <c r="AF678" s="333"/>
      <c r="AG678" s="333"/>
      <c r="AH678" s="351"/>
      <c r="AI678" s="351"/>
      <c r="AJ678" s="351"/>
      <c r="AK678" s="351"/>
      <c r="AL678" s="351"/>
      <c r="AM678" s="351"/>
      <c r="AN678" s="351"/>
      <c r="AO678" s="351"/>
      <c r="AP678" s="351"/>
      <c r="AQ678" s="351"/>
      <c r="AR678" s="351"/>
      <c r="AS678" s="351"/>
      <c r="AT678" s="351"/>
      <c r="AU678" s="351"/>
      <c r="AV678" s="351"/>
      <c r="AW678" s="351"/>
      <c r="AX678" s="351"/>
      <c r="AY678" s="351"/>
    </row>
    <row r="679" spans="1:51" ht="13">
      <c r="A679" s="333"/>
      <c r="B679" s="351"/>
      <c r="C679" s="351"/>
      <c r="D679" s="333"/>
      <c r="E679" s="333"/>
      <c r="F679" s="333"/>
      <c r="G679" s="359"/>
      <c r="H679" s="359"/>
      <c r="I679" s="351"/>
      <c r="J679" s="359"/>
      <c r="K679" s="359"/>
      <c r="L679" s="359"/>
      <c r="M679" s="351"/>
      <c r="N679" s="351"/>
      <c r="O679" s="351"/>
      <c r="P679" s="351"/>
      <c r="Q679" s="351"/>
      <c r="R679" s="351"/>
      <c r="S679" s="351"/>
      <c r="T679" s="351"/>
      <c r="U679" s="351"/>
      <c r="V679" s="351"/>
      <c r="W679" s="351"/>
      <c r="X679" s="359"/>
      <c r="Y679" s="359"/>
      <c r="Z679" s="359"/>
      <c r="AA679" s="351"/>
      <c r="AB679" s="351"/>
      <c r="AC679" s="359"/>
      <c r="AD679" s="359"/>
      <c r="AE679" s="351"/>
      <c r="AF679" s="333"/>
      <c r="AG679" s="333"/>
      <c r="AH679" s="351"/>
      <c r="AI679" s="351"/>
      <c r="AJ679" s="351"/>
      <c r="AK679" s="351"/>
      <c r="AL679" s="351"/>
      <c r="AM679" s="351"/>
      <c r="AN679" s="351"/>
      <c r="AO679" s="351"/>
      <c r="AP679" s="351"/>
      <c r="AQ679" s="351"/>
      <c r="AR679" s="351"/>
      <c r="AS679" s="351"/>
      <c r="AT679" s="351"/>
      <c r="AU679" s="351"/>
      <c r="AV679" s="351"/>
      <c r="AW679" s="351"/>
      <c r="AX679" s="351"/>
      <c r="AY679" s="351"/>
    </row>
    <row r="680" spans="1:51" ht="13">
      <c r="A680" s="333"/>
      <c r="B680" s="351"/>
      <c r="C680" s="351"/>
      <c r="D680" s="333"/>
      <c r="E680" s="333"/>
      <c r="F680" s="333"/>
      <c r="G680" s="359"/>
      <c r="H680" s="359"/>
      <c r="I680" s="351"/>
      <c r="J680" s="359"/>
      <c r="K680" s="359"/>
      <c r="L680" s="359"/>
      <c r="M680" s="351"/>
      <c r="N680" s="351"/>
      <c r="O680" s="351"/>
      <c r="P680" s="351"/>
      <c r="Q680" s="351"/>
      <c r="R680" s="351"/>
      <c r="S680" s="351"/>
      <c r="T680" s="351"/>
      <c r="U680" s="351"/>
      <c r="V680" s="351"/>
      <c r="W680" s="351"/>
      <c r="X680" s="359"/>
      <c r="Y680" s="359"/>
      <c r="Z680" s="359"/>
      <c r="AA680" s="351"/>
      <c r="AB680" s="351"/>
      <c r="AC680" s="359"/>
      <c r="AD680" s="359"/>
      <c r="AE680" s="351"/>
      <c r="AF680" s="333"/>
      <c r="AG680" s="333"/>
      <c r="AH680" s="351"/>
      <c r="AI680" s="351"/>
      <c r="AJ680" s="351"/>
      <c r="AK680" s="351"/>
      <c r="AL680" s="351"/>
      <c r="AM680" s="351"/>
      <c r="AN680" s="351"/>
      <c r="AO680" s="351"/>
      <c r="AP680" s="351"/>
      <c r="AQ680" s="351"/>
      <c r="AR680" s="351"/>
      <c r="AS680" s="351"/>
      <c r="AT680" s="351"/>
      <c r="AU680" s="351"/>
      <c r="AV680" s="351"/>
      <c r="AW680" s="351"/>
      <c r="AX680" s="351"/>
      <c r="AY680" s="351"/>
    </row>
    <row r="681" spans="1:51" ht="13">
      <c r="A681" s="333"/>
      <c r="B681" s="351"/>
      <c r="C681" s="351"/>
      <c r="D681" s="333"/>
      <c r="E681" s="333"/>
      <c r="F681" s="333"/>
      <c r="G681" s="359"/>
      <c r="H681" s="359"/>
      <c r="I681" s="351"/>
      <c r="J681" s="359"/>
      <c r="K681" s="359"/>
      <c r="L681" s="359"/>
      <c r="M681" s="351"/>
      <c r="N681" s="351"/>
      <c r="O681" s="351"/>
      <c r="P681" s="351"/>
      <c r="Q681" s="351"/>
      <c r="R681" s="351"/>
      <c r="S681" s="351"/>
      <c r="T681" s="351"/>
      <c r="U681" s="351"/>
      <c r="V681" s="351"/>
      <c r="W681" s="351"/>
      <c r="X681" s="359"/>
      <c r="Y681" s="359"/>
      <c r="Z681" s="359"/>
      <c r="AA681" s="351"/>
      <c r="AB681" s="351"/>
      <c r="AC681" s="359"/>
      <c r="AD681" s="359"/>
      <c r="AE681" s="351"/>
      <c r="AF681" s="333"/>
      <c r="AG681" s="333"/>
      <c r="AH681" s="351"/>
      <c r="AI681" s="351"/>
      <c r="AJ681" s="351"/>
      <c r="AK681" s="351"/>
      <c r="AL681" s="351"/>
      <c r="AM681" s="351"/>
      <c r="AN681" s="351"/>
      <c r="AO681" s="351"/>
      <c r="AP681" s="351"/>
      <c r="AQ681" s="351"/>
      <c r="AR681" s="351"/>
      <c r="AS681" s="351"/>
      <c r="AT681" s="351"/>
      <c r="AU681" s="351"/>
      <c r="AV681" s="351"/>
      <c r="AW681" s="351"/>
      <c r="AX681" s="351"/>
      <c r="AY681" s="351"/>
    </row>
    <row r="682" spans="1:51" ht="13">
      <c r="A682" s="333"/>
      <c r="B682" s="351"/>
      <c r="C682" s="351"/>
      <c r="D682" s="333"/>
      <c r="E682" s="333"/>
      <c r="F682" s="333"/>
      <c r="G682" s="359"/>
      <c r="H682" s="359"/>
      <c r="I682" s="351"/>
      <c r="J682" s="359"/>
      <c r="K682" s="359"/>
      <c r="L682" s="359"/>
      <c r="M682" s="351"/>
      <c r="N682" s="351"/>
      <c r="O682" s="351"/>
      <c r="P682" s="351"/>
      <c r="Q682" s="351"/>
      <c r="R682" s="351"/>
      <c r="S682" s="351"/>
      <c r="T682" s="351"/>
      <c r="U682" s="351"/>
      <c r="V682" s="351"/>
      <c r="W682" s="351"/>
      <c r="X682" s="359"/>
      <c r="Y682" s="359"/>
      <c r="Z682" s="359"/>
      <c r="AA682" s="351"/>
      <c r="AB682" s="351"/>
      <c r="AC682" s="359"/>
      <c r="AD682" s="359"/>
      <c r="AE682" s="351"/>
      <c r="AF682" s="333"/>
      <c r="AG682" s="333"/>
      <c r="AH682" s="351"/>
      <c r="AI682" s="351"/>
      <c r="AJ682" s="351"/>
      <c r="AK682" s="351"/>
      <c r="AL682" s="351"/>
      <c r="AM682" s="351"/>
      <c r="AN682" s="351"/>
      <c r="AO682" s="351"/>
      <c r="AP682" s="351"/>
      <c r="AQ682" s="351"/>
      <c r="AR682" s="351"/>
      <c r="AS682" s="351"/>
      <c r="AT682" s="351"/>
      <c r="AU682" s="351"/>
      <c r="AV682" s="351"/>
      <c r="AW682" s="351"/>
      <c r="AX682" s="351"/>
      <c r="AY682" s="351"/>
    </row>
    <row r="683" spans="1:51" ht="13">
      <c r="A683" s="333"/>
      <c r="B683" s="351"/>
      <c r="C683" s="351"/>
      <c r="D683" s="333"/>
      <c r="E683" s="333"/>
      <c r="F683" s="333"/>
      <c r="G683" s="359"/>
      <c r="H683" s="359"/>
      <c r="I683" s="351"/>
      <c r="J683" s="359"/>
      <c r="K683" s="359"/>
      <c r="L683" s="359"/>
      <c r="M683" s="351"/>
      <c r="N683" s="351"/>
      <c r="O683" s="351"/>
      <c r="P683" s="351"/>
      <c r="Q683" s="351"/>
      <c r="R683" s="351"/>
      <c r="S683" s="351"/>
      <c r="T683" s="351"/>
      <c r="U683" s="351"/>
      <c r="V683" s="351"/>
      <c r="W683" s="351"/>
      <c r="X683" s="359"/>
      <c r="Y683" s="359"/>
      <c r="Z683" s="359"/>
      <c r="AA683" s="351"/>
      <c r="AB683" s="351"/>
      <c r="AC683" s="359"/>
      <c r="AD683" s="359"/>
      <c r="AE683" s="351"/>
      <c r="AF683" s="333"/>
      <c r="AG683" s="333"/>
      <c r="AH683" s="351"/>
      <c r="AI683" s="351"/>
      <c r="AJ683" s="351"/>
      <c r="AK683" s="351"/>
      <c r="AL683" s="351"/>
      <c r="AM683" s="351"/>
      <c r="AN683" s="351"/>
      <c r="AO683" s="351"/>
      <c r="AP683" s="351"/>
      <c r="AQ683" s="351"/>
      <c r="AR683" s="351"/>
      <c r="AS683" s="351"/>
      <c r="AT683" s="351"/>
      <c r="AU683" s="351"/>
      <c r="AV683" s="351"/>
      <c r="AW683" s="351"/>
      <c r="AX683" s="351"/>
      <c r="AY683" s="351"/>
    </row>
    <row r="684" spans="1:51" ht="13">
      <c r="A684" s="333"/>
      <c r="B684" s="351"/>
      <c r="C684" s="351"/>
      <c r="D684" s="333"/>
      <c r="E684" s="333"/>
      <c r="F684" s="333"/>
      <c r="G684" s="359"/>
      <c r="H684" s="359"/>
      <c r="I684" s="351"/>
      <c r="J684" s="359"/>
      <c r="K684" s="359"/>
      <c r="L684" s="359"/>
      <c r="M684" s="351"/>
      <c r="N684" s="351"/>
      <c r="O684" s="351"/>
      <c r="P684" s="351"/>
      <c r="Q684" s="351"/>
      <c r="R684" s="351"/>
      <c r="S684" s="351"/>
      <c r="T684" s="351"/>
      <c r="U684" s="351"/>
      <c r="V684" s="351"/>
      <c r="W684" s="351"/>
      <c r="X684" s="359"/>
      <c r="Y684" s="359"/>
      <c r="Z684" s="359"/>
      <c r="AA684" s="351"/>
      <c r="AB684" s="351"/>
      <c r="AC684" s="359"/>
      <c r="AD684" s="359"/>
      <c r="AE684" s="351"/>
      <c r="AF684" s="333"/>
      <c r="AG684" s="333"/>
      <c r="AH684" s="351"/>
      <c r="AI684" s="351"/>
      <c r="AJ684" s="351"/>
      <c r="AK684" s="351"/>
      <c r="AL684" s="351"/>
      <c r="AM684" s="351"/>
      <c r="AN684" s="351"/>
      <c r="AO684" s="351"/>
      <c r="AP684" s="351"/>
      <c r="AQ684" s="351"/>
      <c r="AR684" s="351"/>
      <c r="AS684" s="351"/>
      <c r="AT684" s="351"/>
      <c r="AU684" s="351"/>
      <c r="AV684" s="351"/>
      <c r="AW684" s="351"/>
      <c r="AX684" s="351"/>
      <c r="AY684" s="351"/>
    </row>
    <row r="685" spans="1:51" ht="13">
      <c r="A685" s="333"/>
      <c r="B685" s="351"/>
      <c r="C685" s="351"/>
      <c r="D685" s="333"/>
      <c r="E685" s="333"/>
      <c r="F685" s="333"/>
      <c r="G685" s="359"/>
      <c r="H685" s="359"/>
      <c r="I685" s="351"/>
      <c r="J685" s="359"/>
      <c r="K685" s="359"/>
      <c r="L685" s="359"/>
      <c r="M685" s="351"/>
      <c r="N685" s="351"/>
      <c r="O685" s="351"/>
      <c r="P685" s="351"/>
      <c r="Q685" s="351"/>
      <c r="R685" s="351"/>
      <c r="S685" s="351"/>
      <c r="T685" s="351"/>
      <c r="U685" s="351"/>
      <c r="V685" s="351"/>
      <c r="W685" s="351"/>
      <c r="X685" s="359"/>
      <c r="Y685" s="359"/>
      <c r="Z685" s="359"/>
      <c r="AA685" s="351"/>
      <c r="AB685" s="351"/>
      <c r="AC685" s="359"/>
      <c r="AD685" s="359"/>
      <c r="AE685" s="351"/>
      <c r="AF685" s="333"/>
      <c r="AG685" s="333"/>
      <c r="AH685" s="351"/>
      <c r="AI685" s="351"/>
      <c r="AJ685" s="351"/>
      <c r="AK685" s="351"/>
      <c r="AL685" s="351"/>
      <c r="AM685" s="351"/>
      <c r="AN685" s="351"/>
      <c r="AO685" s="351"/>
      <c r="AP685" s="351"/>
      <c r="AQ685" s="351"/>
      <c r="AR685" s="351"/>
      <c r="AS685" s="351"/>
      <c r="AT685" s="351"/>
      <c r="AU685" s="351"/>
      <c r="AV685" s="351"/>
      <c r="AW685" s="351"/>
      <c r="AX685" s="351"/>
      <c r="AY685" s="351"/>
    </row>
    <row r="686" spans="1:51" ht="13">
      <c r="A686" s="333"/>
      <c r="B686" s="351"/>
      <c r="C686" s="351"/>
      <c r="D686" s="333"/>
      <c r="E686" s="333"/>
      <c r="F686" s="333"/>
      <c r="G686" s="359"/>
      <c r="H686" s="359"/>
      <c r="I686" s="351"/>
      <c r="J686" s="359"/>
      <c r="K686" s="359"/>
      <c r="L686" s="359"/>
      <c r="M686" s="351"/>
      <c r="N686" s="351"/>
      <c r="O686" s="351"/>
      <c r="P686" s="351"/>
      <c r="Q686" s="351"/>
      <c r="R686" s="351"/>
      <c r="S686" s="351"/>
      <c r="T686" s="351"/>
      <c r="U686" s="351"/>
      <c r="V686" s="351"/>
      <c r="W686" s="351"/>
      <c r="X686" s="359"/>
      <c r="Y686" s="359"/>
      <c r="Z686" s="359"/>
      <c r="AA686" s="351"/>
      <c r="AB686" s="351"/>
      <c r="AC686" s="359"/>
      <c r="AD686" s="359"/>
      <c r="AE686" s="351"/>
      <c r="AF686" s="333"/>
      <c r="AG686" s="333"/>
      <c r="AH686" s="351"/>
      <c r="AI686" s="351"/>
      <c r="AJ686" s="351"/>
      <c r="AK686" s="351"/>
      <c r="AL686" s="351"/>
      <c r="AM686" s="351"/>
      <c r="AN686" s="351"/>
      <c r="AO686" s="351"/>
      <c r="AP686" s="351"/>
      <c r="AQ686" s="351"/>
      <c r="AR686" s="351"/>
      <c r="AS686" s="351"/>
      <c r="AT686" s="351"/>
      <c r="AU686" s="351"/>
      <c r="AV686" s="351"/>
      <c r="AW686" s="351"/>
      <c r="AX686" s="351"/>
      <c r="AY686" s="351"/>
    </row>
    <row r="687" spans="1:51" ht="13">
      <c r="A687" s="333"/>
      <c r="B687" s="351"/>
      <c r="C687" s="351"/>
      <c r="D687" s="333"/>
      <c r="E687" s="333"/>
      <c r="F687" s="333"/>
      <c r="G687" s="359"/>
      <c r="H687" s="359"/>
      <c r="I687" s="351"/>
      <c r="J687" s="359"/>
      <c r="K687" s="359"/>
      <c r="L687" s="359"/>
      <c r="M687" s="351"/>
      <c r="N687" s="351"/>
      <c r="O687" s="351"/>
      <c r="P687" s="351"/>
      <c r="Q687" s="351"/>
      <c r="R687" s="351"/>
      <c r="S687" s="351"/>
      <c r="T687" s="351"/>
      <c r="U687" s="351"/>
      <c r="V687" s="351"/>
      <c r="W687" s="351"/>
      <c r="X687" s="359"/>
      <c r="Y687" s="359"/>
      <c r="Z687" s="359"/>
      <c r="AA687" s="351"/>
      <c r="AB687" s="351"/>
      <c r="AC687" s="359"/>
      <c r="AD687" s="359"/>
      <c r="AE687" s="351"/>
      <c r="AF687" s="333"/>
      <c r="AG687" s="333"/>
      <c r="AH687" s="351"/>
      <c r="AI687" s="351"/>
      <c r="AJ687" s="351"/>
      <c r="AK687" s="351"/>
      <c r="AL687" s="351"/>
      <c r="AM687" s="351"/>
      <c r="AN687" s="351"/>
      <c r="AO687" s="351"/>
      <c r="AP687" s="351"/>
      <c r="AQ687" s="351"/>
      <c r="AR687" s="351"/>
      <c r="AS687" s="351"/>
      <c r="AT687" s="351"/>
      <c r="AU687" s="351"/>
      <c r="AV687" s="351"/>
      <c r="AW687" s="351"/>
      <c r="AX687" s="351"/>
      <c r="AY687" s="351"/>
    </row>
    <row r="688" spans="1:51" ht="13">
      <c r="A688" s="333"/>
      <c r="B688" s="351"/>
      <c r="C688" s="351"/>
      <c r="D688" s="333"/>
      <c r="E688" s="333"/>
      <c r="F688" s="333"/>
      <c r="G688" s="359"/>
      <c r="H688" s="359"/>
      <c r="I688" s="351"/>
      <c r="J688" s="359"/>
      <c r="K688" s="359"/>
      <c r="L688" s="359"/>
      <c r="M688" s="351"/>
      <c r="N688" s="351"/>
      <c r="O688" s="351"/>
      <c r="P688" s="351"/>
      <c r="Q688" s="351"/>
      <c r="R688" s="351"/>
      <c r="S688" s="351"/>
      <c r="T688" s="351"/>
      <c r="U688" s="351"/>
      <c r="V688" s="351"/>
      <c r="W688" s="351"/>
      <c r="X688" s="359"/>
      <c r="Y688" s="359"/>
      <c r="Z688" s="359"/>
      <c r="AA688" s="351"/>
      <c r="AB688" s="351"/>
      <c r="AC688" s="359"/>
      <c r="AD688" s="359"/>
      <c r="AE688" s="351"/>
      <c r="AF688" s="333"/>
      <c r="AG688" s="333"/>
      <c r="AH688" s="351"/>
      <c r="AI688" s="351"/>
      <c r="AJ688" s="351"/>
      <c r="AK688" s="351"/>
      <c r="AL688" s="351"/>
      <c r="AM688" s="351"/>
      <c r="AN688" s="351"/>
      <c r="AO688" s="351"/>
      <c r="AP688" s="351"/>
      <c r="AQ688" s="351"/>
      <c r="AR688" s="351"/>
      <c r="AS688" s="351"/>
      <c r="AT688" s="351"/>
      <c r="AU688" s="351"/>
      <c r="AV688" s="351"/>
      <c r="AW688" s="351"/>
      <c r="AX688" s="351"/>
      <c r="AY688" s="351"/>
    </row>
    <row r="689" spans="1:51" ht="13">
      <c r="A689" s="333"/>
      <c r="B689" s="351"/>
      <c r="C689" s="351"/>
      <c r="D689" s="333"/>
      <c r="E689" s="333"/>
      <c r="F689" s="333"/>
      <c r="G689" s="359"/>
      <c r="H689" s="359"/>
      <c r="I689" s="351"/>
      <c r="J689" s="359"/>
      <c r="K689" s="359"/>
      <c r="L689" s="359"/>
      <c r="M689" s="351"/>
      <c r="N689" s="351"/>
      <c r="O689" s="351"/>
      <c r="P689" s="351"/>
      <c r="Q689" s="351"/>
      <c r="R689" s="351"/>
      <c r="S689" s="351"/>
      <c r="T689" s="351"/>
      <c r="U689" s="351"/>
      <c r="V689" s="351"/>
      <c r="W689" s="351"/>
      <c r="X689" s="359"/>
      <c r="Y689" s="359"/>
      <c r="Z689" s="359"/>
      <c r="AA689" s="351"/>
      <c r="AB689" s="351"/>
      <c r="AC689" s="359"/>
      <c r="AD689" s="359"/>
      <c r="AE689" s="351"/>
      <c r="AF689" s="333"/>
      <c r="AG689" s="333"/>
      <c r="AH689" s="351"/>
      <c r="AI689" s="351"/>
      <c r="AJ689" s="351"/>
      <c r="AK689" s="351"/>
      <c r="AL689" s="351"/>
      <c r="AM689" s="351"/>
      <c r="AN689" s="351"/>
      <c r="AO689" s="351"/>
      <c r="AP689" s="351"/>
      <c r="AQ689" s="351"/>
      <c r="AR689" s="351"/>
      <c r="AS689" s="351"/>
      <c r="AT689" s="351"/>
      <c r="AU689" s="351"/>
      <c r="AV689" s="351"/>
      <c r="AW689" s="351"/>
      <c r="AX689" s="351"/>
      <c r="AY689" s="351"/>
    </row>
    <row r="690" spans="1:51" ht="13">
      <c r="A690" s="333"/>
      <c r="B690" s="351"/>
      <c r="C690" s="351"/>
      <c r="D690" s="333"/>
      <c r="E690" s="333"/>
      <c r="F690" s="333"/>
      <c r="G690" s="359"/>
      <c r="H690" s="359"/>
      <c r="I690" s="351"/>
      <c r="J690" s="359"/>
      <c r="K690" s="359"/>
      <c r="L690" s="359"/>
      <c r="M690" s="351"/>
      <c r="N690" s="351"/>
      <c r="O690" s="351"/>
      <c r="P690" s="351"/>
      <c r="Q690" s="351"/>
      <c r="R690" s="351"/>
      <c r="S690" s="351"/>
      <c r="T690" s="351"/>
      <c r="U690" s="351"/>
      <c r="V690" s="351"/>
      <c r="W690" s="351"/>
      <c r="X690" s="359"/>
      <c r="Y690" s="359"/>
      <c r="Z690" s="359"/>
      <c r="AA690" s="351"/>
      <c r="AB690" s="351"/>
      <c r="AC690" s="359"/>
      <c r="AD690" s="359"/>
      <c r="AE690" s="351"/>
      <c r="AF690" s="333"/>
      <c r="AG690" s="333"/>
      <c r="AH690" s="351"/>
      <c r="AI690" s="351"/>
      <c r="AJ690" s="351"/>
      <c r="AK690" s="351"/>
      <c r="AL690" s="351"/>
      <c r="AM690" s="351"/>
      <c r="AN690" s="351"/>
      <c r="AO690" s="351"/>
      <c r="AP690" s="351"/>
      <c r="AQ690" s="351"/>
      <c r="AR690" s="351"/>
      <c r="AS690" s="351"/>
      <c r="AT690" s="351"/>
      <c r="AU690" s="351"/>
      <c r="AV690" s="351"/>
      <c r="AW690" s="351"/>
      <c r="AX690" s="351"/>
      <c r="AY690" s="351"/>
    </row>
    <row r="691" spans="1:51" ht="13">
      <c r="A691" s="333"/>
      <c r="B691" s="351"/>
      <c r="C691" s="351"/>
      <c r="D691" s="333"/>
      <c r="E691" s="333"/>
      <c r="F691" s="333"/>
      <c r="G691" s="359"/>
      <c r="H691" s="359"/>
      <c r="I691" s="351"/>
      <c r="J691" s="359"/>
      <c r="K691" s="359"/>
      <c r="L691" s="359"/>
      <c r="M691" s="351"/>
      <c r="N691" s="351"/>
      <c r="O691" s="351"/>
      <c r="P691" s="351"/>
      <c r="Q691" s="351"/>
      <c r="R691" s="351"/>
      <c r="S691" s="351"/>
      <c r="T691" s="351"/>
      <c r="U691" s="351"/>
      <c r="V691" s="351"/>
      <c r="W691" s="351"/>
      <c r="X691" s="359"/>
      <c r="Y691" s="359"/>
      <c r="Z691" s="359"/>
      <c r="AA691" s="351"/>
      <c r="AB691" s="351"/>
      <c r="AC691" s="359"/>
      <c r="AD691" s="359"/>
      <c r="AE691" s="351"/>
      <c r="AF691" s="333"/>
      <c r="AG691" s="333"/>
      <c r="AH691" s="351"/>
      <c r="AI691" s="351"/>
      <c r="AJ691" s="351"/>
      <c r="AK691" s="351"/>
      <c r="AL691" s="351"/>
      <c r="AM691" s="351"/>
      <c r="AN691" s="351"/>
      <c r="AO691" s="351"/>
      <c r="AP691" s="351"/>
      <c r="AQ691" s="351"/>
      <c r="AR691" s="351"/>
      <c r="AS691" s="351"/>
      <c r="AT691" s="351"/>
      <c r="AU691" s="351"/>
      <c r="AV691" s="351"/>
      <c r="AW691" s="351"/>
      <c r="AX691" s="351"/>
      <c r="AY691" s="351"/>
    </row>
    <row r="692" spans="1:51" ht="13">
      <c r="A692" s="333"/>
      <c r="B692" s="351"/>
      <c r="C692" s="351"/>
      <c r="D692" s="333"/>
      <c r="E692" s="333"/>
      <c r="F692" s="333"/>
      <c r="G692" s="359"/>
      <c r="H692" s="359"/>
      <c r="I692" s="351"/>
      <c r="J692" s="359"/>
      <c r="K692" s="359"/>
      <c r="L692" s="359"/>
      <c r="M692" s="351"/>
      <c r="N692" s="351"/>
      <c r="O692" s="351"/>
      <c r="P692" s="351"/>
      <c r="Q692" s="351"/>
      <c r="R692" s="351"/>
      <c r="S692" s="351"/>
      <c r="T692" s="351"/>
      <c r="U692" s="351"/>
      <c r="V692" s="351"/>
      <c r="W692" s="351"/>
      <c r="X692" s="359"/>
      <c r="Y692" s="359"/>
      <c r="Z692" s="359"/>
      <c r="AA692" s="351"/>
      <c r="AB692" s="351"/>
      <c r="AC692" s="359"/>
      <c r="AD692" s="359"/>
      <c r="AE692" s="351"/>
      <c r="AF692" s="333"/>
      <c r="AG692" s="333"/>
      <c r="AH692" s="351"/>
      <c r="AI692" s="351"/>
      <c r="AJ692" s="351"/>
      <c r="AK692" s="351"/>
      <c r="AL692" s="351"/>
      <c r="AM692" s="351"/>
      <c r="AN692" s="351"/>
      <c r="AO692" s="351"/>
      <c r="AP692" s="351"/>
      <c r="AQ692" s="351"/>
      <c r="AR692" s="351"/>
      <c r="AS692" s="351"/>
      <c r="AT692" s="351"/>
      <c r="AU692" s="351"/>
      <c r="AV692" s="351"/>
      <c r="AW692" s="351"/>
      <c r="AX692" s="351"/>
      <c r="AY692" s="351"/>
    </row>
    <row r="693" spans="1:51" ht="13">
      <c r="A693" s="333"/>
      <c r="B693" s="351"/>
      <c r="C693" s="351"/>
      <c r="D693" s="333"/>
      <c r="E693" s="333"/>
      <c r="F693" s="333"/>
      <c r="G693" s="359"/>
      <c r="H693" s="359"/>
      <c r="I693" s="351"/>
      <c r="J693" s="359"/>
      <c r="K693" s="359"/>
      <c r="L693" s="359"/>
      <c r="M693" s="351"/>
      <c r="N693" s="351"/>
      <c r="O693" s="351"/>
      <c r="P693" s="351"/>
      <c r="Q693" s="351"/>
      <c r="R693" s="351"/>
      <c r="S693" s="351"/>
      <c r="T693" s="351"/>
      <c r="U693" s="351"/>
      <c r="V693" s="351"/>
      <c r="W693" s="351"/>
      <c r="X693" s="359"/>
      <c r="Y693" s="359"/>
      <c r="Z693" s="359"/>
      <c r="AA693" s="351"/>
      <c r="AB693" s="351"/>
      <c r="AC693" s="359"/>
      <c r="AD693" s="359"/>
      <c r="AE693" s="351"/>
      <c r="AF693" s="333"/>
      <c r="AG693" s="333"/>
      <c r="AH693" s="351"/>
      <c r="AI693" s="351"/>
      <c r="AJ693" s="351"/>
      <c r="AK693" s="351"/>
      <c r="AL693" s="351"/>
      <c r="AM693" s="351"/>
      <c r="AN693" s="351"/>
      <c r="AO693" s="351"/>
      <c r="AP693" s="351"/>
      <c r="AQ693" s="351"/>
      <c r="AR693" s="351"/>
      <c r="AS693" s="351"/>
      <c r="AT693" s="351"/>
      <c r="AU693" s="351"/>
      <c r="AV693" s="351"/>
      <c r="AW693" s="351"/>
      <c r="AX693" s="351"/>
      <c r="AY693" s="351"/>
    </row>
    <row r="694" spans="1:51" ht="13">
      <c r="A694" s="333"/>
      <c r="B694" s="351"/>
      <c r="C694" s="351"/>
      <c r="D694" s="333"/>
      <c r="E694" s="333"/>
      <c r="F694" s="333"/>
      <c r="G694" s="359"/>
      <c r="H694" s="359"/>
      <c r="I694" s="351"/>
      <c r="J694" s="359"/>
      <c r="K694" s="359"/>
      <c r="L694" s="359"/>
      <c r="M694" s="351"/>
      <c r="N694" s="351"/>
      <c r="O694" s="351"/>
      <c r="P694" s="351"/>
      <c r="Q694" s="351"/>
      <c r="R694" s="351"/>
      <c r="S694" s="351"/>
      <c r="T694" s="351"/>
      <c r="U694" s="351"/>
      <c r="V694" s="351"/>
      <c r="W694" s="351"/>
      <c r="X694" s="359"/>
      <c r="Y694" s="359"/>
      <c r="Z694" s="359"/>
      <c r="AA694" s="351"/>
      <c r="AB694" s="351"/>
      <c r="AC694" s="359"/>
      <c r="AD694" s="359"/>
      <c r="AE694" s="351"/>
      <c r="AF694" s="333"/>
      <c r="AG694" s="333"/>
      <c r="AH694" s="351"/>
      <c r="AI694" s="351"/>
      <c r="AJ694" s="351"/>
      <c r="AK694" s="351"/>
      <c r="AL694" s="351"/>
      <c r="AM694" s="351"/>
      <c r="AN694" s="351"/>
      <c r="AO694" s="351"/>
      <c r="AP694" s="351"/>
      <c r="AQ694" s="351"/>
      <c r="AR694" s="351"/>
      <c r="AS694" s="351"/>
      <c r="AT694" s="351"/>
      <c r="AU694" s="351"/>
      <c r="AV694" s="351"/>
      <c r="AW694" s="351"/>
      <c r="AX694" s="351"/>
      <c r="AY694" s="351"/>
    </row>
    <row r="695" spans="1:51" ht="13">
      <c r="A695" s="333"/>
      <c r="B695" s="351"/>
      <c r="C695" s="351"/>
      <c r="D695" s="333"/>
      <c r="E695" s="333"/>
      <c r="F695" s="333"/>
      <c r="G695" s="359"/>
      <c r="H695" s="359"/>
      <c r="I695" s="351"/>
      <c r="J695" s="359"/>
      <c r="K695" s="359"/>
      <c r="L695" s="359"/>
      <c r="M695" s="351"/>
      <c r="N695" s="351"/>
      <c r="O695" s="351"/>
      <c r="P695" s="351"/>
      <c r="Q695" s="351"/>
      <c r="R695" s="351"/>
      <c r="S695" s="351"/>
      <c r="T695" s="351"/>
      <c r="U695" s="351"/>
      <c r="V695" s="351"/>
      <c r="W695" s="351"/>
      <c r="X695" s="359"/>
      <c r="Y695" s="359"/>
      <c r="Z695" s="359"/>
      <c r="AA695" s="351"/>
      <c r="AB695" s="351"/>
      <c r="AC695" s="359"/>
      <c r="AD695" s="359"/>
      <c r="AE695" s="351"/>
      <c r="AF695" s="333"/>
      <c r="AG695" s="333"/>
      <c r="AH695" s="351"/>
      <c r="AI695" s="351"/>
      <c r="AJ695" s="351"/>
      <c r="AK695" s="351"/>
      <c r="AL695" s="351"/>
      <c r="AM695" s="351"/>
      <c r="AN695" s="351"/>
      <c r="AO695" s="351"/>
      <c r="AP695" s="351"/>
      <c r="AQ695" s="351"/>
      <c r="AR695" s="351"/>
      <c r="AS695" s="351"/>
      <c r="AT695" s="351"/>
      <c r="AU695" s="351"/>
      <c r="AV695" s="351"/>
      <c r="AW695" s="351"/>
      <c r="AX695" s="351"/>
      <c r="AY695" s="351"/>
    </row>
    <row r="696" spans="1:51" ht="13">
      <c r="A696" s="333"/>
      <c r="B696" s="351"/>
      <c r="C696" s="351"/>
      <c r="D696" s="333"/>
      <c r="E696" s="333"/>
      <c r="F696" s="333"/>
      <c r="G696" s="359"/>
      <c r="H696" s="359"/>
      <c r="I696" s="351"/>
      <c r="J696" s="359"/>
      <c r="K696" s="359"/>
      <c r="L696" s="359"/>
      <c r="M696" s="351"/>
      <c r="N696" s="351"/>
      <c r="O696" s="351"/>
      <c r="P696" s="351"/>
      <c r="Q696" s="351"/>
      <c r="R696" s="351"/>
      <c r="S696" s="351"/>
      <c r="T696" s="351"/>
      <c r="U696" s="351"/>
      <c r="V696" s="351"/>
      <c r="W696" s="351"/>
      <c r="X696" s="359"/>
      <c r="Y696" s="359"/>
      <c r="Z696" s="359"/>
      <c r="AA696" s="351"/>
      <c r="AB696" s="351"/>
      <c r="AC696" s="359"/>
      <c r="AD696" s="359"/>
      <c r="AE696" s="351"/>
      <c r="AF696" s="333"/>
      <c r="AG696" s="333"/>
      <c r="AH696" s="351"/>
      <c r="AI696" s="351"/>
      <c r="AJ696" s="351"/>
      <c r="AK696" s="351"/>
      <c r="AL696" s="351"/>
      <c r="AM696" s="351"/>
      <c r="AN696" s="351"/>
      <c r="AO696" s="351"/>
      <c r="AP696" s="351"/>
      <c r="AQ696" s="351"/>
      <c r="AR696" s="351"/>
      <c r="AS696" s="351"/>
      <c r="AT696" s="351"/>
      <c r="AU696" s="351"/>
      <c r="AV696" s="351"/>
      <c r="AW696" s="351"/>
      <c r="AX696" s="351"/>
      <c r="AY696" s="351"/>
    </row>
    <row r="697" spans="1:51" ht="13">
      <c r="A697" s="333"/>
      <c r="B697" s="351"/>
      <c r="C697" s="351"/>
      <c r="D697" s="333"/>
      <c r="E697" s="333"/>
      <c r="F697" s="333"/>
      <c r="G697" s="359"/>
      <c r="H697" s="359"/>
      <c r="I697" s="351"/>
      <c r="J697" s="359"/>
      <c r="K697" s="359"/>
      <c r="L697" s="359"/>
      <c r="M697" s="351"/>
      <c r="N697" s="351"/>
      <c r="O697" s="351"/>
      <c r="P697" s="351"/>
      <c r="Q697" s="351"/>
      <c r="R697" s="351"/>
      <c r="S697" s="351"/>
      <c r="T697" s="351"/>
      <c r="U697" s="351"/>
      <c r="V697" s="351"/>
      <c r="W697" s="351"/>
      <c r="X697" s="359"/>
      <c r="Y697" s="359"/>
      <c r="Z697" s="359"/>
      <c r="AA697" s="351"/>
      <c r="AB697" s="351"/>
      <c r="AC697" s="359"/>
      <c r="AD697" s="359"/>
      <c r="AE697" s="351"/>
      <c r="AF697" s="333"/>
      <c r="AG697" s="333"/>
      <c r="AH697" s="351"/>
      <c r="AI697" s="351"/>
      <c r="AJ697" s="351"/>
      <c r="AK697" s="351"/>
      <c r="AL697" s="351"/>
      <c r="AM697" s="351"/>
      <c r="AN697" s="351"/>
      <c r="AO697" s="351"/>
      <c r="AP697" s="351"/>
      <c r="AQ697" s="351"/>
      <c r="AR697" s="351"/>
      <c r="AS697" s="351"/>
      <c r="AT697" s="351"/>
      <c r="AU697" s="351"/>
      <c r="AV697" s="351"/>
      <c r="AW697" s="351"/>
      <c r="AX697" s="351"/>
      <c r="AY697" s="351"/>
    </row>
    <row r="698" spans="1:51" ht="13">
      <c r="A698" s="333"/>
      <c r="B698" s="351"/>
      <c r="C698" s="351"/>
      <c r="D698" s="333"/>
      <c r="E698" s="333"/>
      <c r="F698" s="333"/>
      <c r="G698" s="359"/>
      <c r="H698" s="359"/>
      <c r="I698" s="351"/>
      <c r="J698" s="359"/>
      <c r="K698" s="359"/>
      <c r="L698" s="359"/>
      <c r="M698" s="351"/>
      <c r="N698" s="351"/>
      <c r="O698" s="351"/>
      <c r="P698" s="351"/>
      <c r="Q698" s="351"/>
      <c r="R698" s="351"/>
      <c r="S698" s="351"/>
      <c r="T698" s="351"/>
      <c r="U698" s="351"/>
      <c r="V698" s="351"/>
      <c r="W698" s="351"/>
      <c r="X698" s="359"/>
      <c r="Y698" s="359"/>
      <c r="Z698" s="359"/>
      <c r="AA698" s="351"/>
      <c r="AB698" s="351"/>
      <c r="AC698" s="359"/>
      <c r="AD698" s="359"/>
      <c r="AE698" s="351"/>
      <c r="AF698" s="333"/>
      <c r="AG698" s="333"/>
      <c r="AH698" s="351"/>
      <c r="AI698" s="351"/>
      <c r="AJ698" s="351"/>
      <c r="AK698" s="351"/>
      <c r="AL698" s="351"/>
      <c r="AM698" s="351"/>
      <c r="AN698" s="351"/>
      <c r="AO698" s="351"/>
      <c r="AP698" s="351"/>
      <c r="AQ698" s="351"/>
      <c r="AR698" s="351"/>
      <c r="AS698" s="351"/>
      <c r="AT698" s="351"/>
      <c r="AU698" s="351"/>
      <c r="AV698" s="351"/>
      <c r="AW698" s="351"/>
      <c r="AX698" s="351"/>
      <c r="AY698" s="351"/>
    </row>
    <row r="699" spans="1:51" ht="13">
      <c r="A699" s="333"/>
      <c r="B699" s="351"/>
      <c r="C699" s="351"/>
      <c r="D699" s="333"/>
      <c r="E699" s="333"/>
      <c r="F699" s="333"/>
      <c r="G699" s="359"/>
      <c r="H699" s="359"/>
      <c r="I699" s="351"/>
      <c r="J699" s="359"/>
      <c r="K699" s="359"/>
      <c r="L699" s="359"/>
      <c r="M699" s="351"/>
      <c r="N699" s="351"/>
      <c r="O699" s="351"/>
      <c r="P699" s="351"/>
      <c r="Q699" s="351"/>
      <c r="R699" s="351"/>
      <c r="S699" s="351"/>
      <c r="T699" s="351"/>
      <c r="U699" s="351"/>
      <c r="V699" s="351"/>
      <c r="W699" s="351"/>
      <c r="X699" s="359"/>
      <c r="Y699" s="359"/>
      <c r="Z699" s="359"/>
      <c r="AA699" s="351"/>
      <c r="AB699" s="351"/>
      <c r="AC699" s="359"/>
      <c r="AD699" s="359"/>
      <c r="AE699" s="351"/>
      <c r="AF699" s="333"/>
      <c r="AG699" s="333"/>
      <c r="AH699" s="351"/>
      <c r="AI699" s="351"/>
      <c r="AJ699" s="351"/>
      <c r="AK699" s="351"/>
      <c r="AL699" s="351"/>
      <c r="AM699" s="351"/>
      <c r="AN699" s="351"/>
      <c r="AO699" s="351"/>
      <c r="AP699" s="351"/>
      <c r="AQ699" s="351"/>
      <c r="AR699" s="351"/>
      <c r="AS699" s="351"/>
      <c r="AT699" s="351"/>
      <c r="AU699" s="351"/>
      <c r="AV699" s="351"/>
      <c r="AW699" s="351"/>
      <c r="AX699" s="351"/>
      <c r="AY699" s="351"/>
    </row>
    <row r="700" spans="1:51" ht="13">
      <c r="A700" s="333"/>
      <c r="B700" s="351"/>
      <c r="C700" s="351"/>
      <c r="D700" s="333"/>
      <c r="E700" s="333"/>
      <c r="F700" s="333"/>
      <c r="G700" s="359"/>
      <c r="H700" s="359"/>
      <c r="I700" s="351"/>
      <c r="J700" s="359"/>
      <c r="K700" s="359"/>
      <c r="L700" s="359"/>
      <c r="M700" s="351"/>
      <c r="N700" s="351"/>
      <c r="O700" s="351"/>
      <c r="P700" s="351"/>
      <c r="Q700" s="351"/>
      <c r="R700" s="351"/>
      <c r="S700" s="351"/>
      <c r="T700" s="351"/>
      <c r="U700" s="351"/>
      <c r="V700" s="351"/>
      <c r="W700" s="351"/>
      <c r="X700" s="359"/>
      <c r="Y700" s="359"/>
      <c r="Z700" s="359"/>
      <c r="AA700" s="351"/>
      <c r="AB700" s="351"/>
      <c r="AC700" s="359"/>
      <c r="AD700" s="359"/>
      <c r="AE700" s="351"/>
      <c r="AF700" s="333"/>
      <c r="AG700" s="333"/>
      <c r="AH700" s="351"/>
      <c r="AI700" s="351"/>
      <c r="AJ700" s="351"/>
      <c r="AK700" s="351"/>
      <c r="AL700" s="351"/>
      <c r="AM700" s="351"/>
      <c r="AN700" s="351"/>
      <c r="AO700" s="351"/>
      <c r="AP700" s="351"/>
      <c r="AQ700" s="351"/>
      <c r="AR700" s="351"/>
      <c r="AS700" s="351"/>
      <c r="AT700" s="351"/>
      <c r="AU700" s="351"/>
      <c r="AV700" s="351"/>
      <c r="AW700" s="351"/>
      <c r="AX700" s="351"/>
      <c r="AY700" s="351"/>
    </row>
    <row r="701" spans="1:51" ht="13">
      <c r="A701" s="333"/>
      <c r="B701" s="351"/>
      <c r="C701" s="351"/>
      <c r="D701" s="333"/>
      <c r="E701" s="333"/>
      <c r="F701" s="333"/>
      <c r="G701" s="359"/>
      <c r="H701" s="359"/>
      <c r="I701" s="351"/>
      <c r="J701" s="359"/>
      <c r="K701" s="359"/>
      <c r="L701" s="359"/>
      <c r="M701" s="351"/>
      <c r="N701" s="351"/>
      <c r="O701" s="351"/>
      <c r="P701" s="351"/>
      <c r="Q701" s="351"/>
      <c r="R701" s="351"/>
      <c r="S701" s="351"/>
      <c r="T701" s="351"/>
      <c r="U701" s="351"/>
      <c r="V701" s="351"/>
      <c r="W701" s="351"/>
      <c r="X701" s="359"/>
      <c r="Y701" s="359"/>
      <c r="Z701" s="359"/>
      <c r="AA701" s="351"/>
      <c r="AB701" s="351"/>
      <c r="AC701" s="359"/>
      <c r="AD701" s="359"/>
      <c r="AE701" s="351"/>
      <c r="AF701" s="333"/>
      <c r="AG701" s="333"/>
      <c r="AH701" s="351"/>
      <c r="AI701" s="351"/>
      <c r="AJ701" s="351"/>
      <c r="AK701" s="351"/>
      <c r="AL701" s="351"/>
      <c r="AM701" s="351"/>
      <c r="AN701" s="351"/>
      <c r="AO701" s="351"/>
      <c r="AP701" s="351"/>
      <c r="AQ701" s="351"/>
      <c r="AR701" s="351"/>
      <c r="AS701" s="351"/>
      <c r="AT701" s="351"/>
      <c r="AU701" s="351"/>
      <c r="AV701" s="351"/>
      <c r="AW701" s="351"/>
      <c r="AX701" s="351"/>
      <c r="AY701" s="351"/>
    </row>
    <row r="702" spans="1:51" ht="13">
      <c r="A702" s="333"/>
      <c r="B702" s="351"/>
      <c r="C702" s="351"/>
      <c r="D702" s="333"/>
      <c r="E702" s="333"/>
      <c r="F702" s="333"/>
      <c r="G702" s="359"/>
      <c r="H702" s="359"/>
      <c r="I702" s="351"/>
      <c r="J702" s="359"/>
      <c r="K702" s="359"/>
      <c r="L702" s="359"/>
      <c r="M702" s="351"/>
      <c r="N702" s="351"/>
      <c r="O702" s="351"/>
      <c r="P702" s="351"/>
      <c r="Q702" s="351"/>
      <c r="R702" s="351"/>
      <c r="S702" s="351"/>
      <c r="T702" s="351"/>
      <c r="U702" s="351"/>
      <c r="V702" s="351"/>
      <c r="W702" s="351"/>
      <c r="X702" s="359"/>
      <c r="Y702" s="359"/>
      <c r="Z702" s="359"/>
      <c r="AA702" s="351"/>
      <c r="AB702" s="351"/>
      <c r="AC702" s="359"/>
      <c r="AD702" s="359"/>
      <c r="AE702" s="351"/>
      <c r="AF702" s="333"/>
      <c r="AG702" s="333"/>
      <c r="AH702" s="351"/>
      <c r="AI702" s="351"/>
      <c r="AJ702" s="351"/>
      <c r="AK702" s="351"/>
      <c r="AL702" s="351"/>
      <c r="AM702" s="351"/>
      <c r="AN702" s="351"/>
      <c r="AO702" s="351"/>
      <c r="AP702" s="351"/>
      <c r="AQ702" s="351"/>
      <c r="AR702" s="351"/>
      <c r="AS702" s="351"/>
      <c r="AT702" s="351"/>
      <c r="AU702" s="351"/>
      <c r="AV702" s="351"/>
      <c r="AW702" s="351"/>
      <c r="AX702" s="351"/>
      <c r="AY702" s="351"/>
    </row>
    <row r="703" spans="1:51" ht="13">
      <c r="A703" s="333"/>
      <c r="B703" s="351"/>
      <c r="C703" s="351"/>
      <c r="D703" s="333"/>
      <c r="E703" s="333"/>
      <c r="F703" s="333"/>
      <c r="G703" s="359"/>
      <c r="H703" s="359"/>
      <c r="I703" s="351"/>
      <c r="J703" s="359"/>
      <c r="K703" s="359"/>
      <c r="L703" s="359"/>
      <c r="M703" s="351"/>
      <c r="N703" s="351"/>
      <c r="O703" s="351"/>
      <c r="P703" s="351"/>
      <c r="Q703" s="351"/>
      <c r="R703" s="351"/>
      <c r="S703" s="351"/>
      <c r="T703" s="351"/>
      <c r="U703" s="351"/>
      <c r="V703" s="351"/>
      <c r="W703" s="351"/>
      <c r="X703" s="359"/>
      <c r="Y703" s="359"/>
      <c r="Z703" s="359"/>
      <c r="AA703" s="351"/>
      <c r="AB703" s="351"/>
      <c r="AC703" s="359"/>
      <c r="AD703" s="359"/>
      <c r="AE703" s="351"/>
      <c r="AF703" s="333"/>
      <c r="AG703" s="333"/>
      <c r="AH703" s="351"/>
      <c r="AI703" s="351"/>
      <c r="AJ703" s="351"/>
      <c r="AK703" s="351"/>
      <c r="AL703" s="351"/>
      <c r="AM703" s="351"/>
      <c r="AN703" s="351"/>
      <c r="AO703" s="351"/>
      <c r="AP703" s="351"/>
      <c r="AQ703" s="351"/>
      <c r="AR703" s="351"/>
      <c r="AS703" s="351"/>
      <c r="AT703" s="351"/>
      <c r="AU703" s="351"/>
      <c r="AV703" s="351"/>
      <c r="AW703" s="351"/>
      <c r="AX703" s="351"/>
      <c r="AY703" s="351"/>
    </row>
    <row r="704" spans="1:51" ht="13">
      <c r="A704" s="333"/>
      <c r="B704" s="351"/>
      <c r="C704" s="351"/>
      <c r="D704" s="333"/>
      <c r="E704" s="333"/>
      <c r="F704" s="333"/>
      <c r="G704" s="359"/>
      <c r="H704" s="359"/>
      <c r="I704" s="351"/>
      <c r="J704" s="359"/>
      <c r="K704" s="359"/>
      <c r="L704" s="359"/>
      <c r="M704" s="351"/>
      <c r="N704" s="351"/>
      <c r="O704" s="351"/>
      <c r="P704" s="351"/>
      <c r="Q704" s="351"/>
      <c r="R704" s="351"/>
      <c r="S704" s="351"/>
      <c r="T704" s="351"/>
      <c r="U704" s="351"/>
      <c r="V704" s="351"/>
      <c r="W704" s="351"/>
      <c r="X704" s="359"/>
      <c r="Y704" s="359"/>
      <c r="Z704" s="359"/>
      <c r="AA704" s="351"/>
      <c r="AB704" s="351"/>
      <c r="AC704" s="359"/>
      <c r="AD704" s="359"/>
      <c r="AE704" s="351"/>
      <c r="AF704" s="333"/>
      <c r="AG704" s="333"/>
      <c r="AH704" s="351"/>
      <c r="AI704" s="351"/>
      <c r="AJ704" s="351"/>
      <c r="AK704" s="351"/>
      <c r="AL704" s="351"/>
      <c r="AM704" s="351"/>
      <c r="AN704" s="351"/>
      <c r="AO704" s="351"/>
      <c r="AP704" s="351"/>
      <c r="AQ704" s="351"/>
      <c r="AR704" s="351"/>
      <c r="AS704" s="351"/>
      <c r="AT704" s="351"/>
      <c r="AU704" s="351"/>
      <c r="AV704" s="351"/>
      <c r="AW704" s="351"/>
      <c r="AX704" s="351"/>
      <c r="AY704" s="351"/>
    </row>
    <row r="705" spans="1:51" ht="13">
      <c r="A705" s="333"/>
      <c r="B705" s="351"/>
      <c r="C705" s="351"/>
      <c r="D705" s="333"/>
      <c r="E705" s="333"/>
      <c r="F705" s="333"/>
      <c r="G705" s="359"/>
      <c r="H705" s="359"/>
      <c r="I705" s="351"/>
      <c r="J705" s="359"/>
      <c r="K705" s="359"/>
      <c r="L705" s="359"/>
      <c r="M705" s="351"/>
      <c r="N705" s="351"/>
      <c r="O705" s="351"/>
      <c r="P705" s="351"/>
      <c r="Q705" s="351"/>
      <c r="R705" s="351"/>
      <c r="S705" s="351"/>
      <c r="T705" s="351"/>
      <c r="U705" s="351"/>
      <c r="V705" s="351"/>
      <c r="W705" s="351"/>
      <c r="X705" s="359"/>
      <c r="Y705" s="359"/>
      <c r="Z705" s="359"/>
      <c r="AA705" s="351"/>
      <c r="AB705" s="351"/>
      <c r="AC705" s="359"/>
      <c r="AD705" s="359"/>
      <c r="AE705" s="351"/>
      <c r="AF705" s="333"/>
      <c r="AG705" s="333"/>
      <c r="AH705" s="351"/>
      <c r="AI705" s="351"/>
      <c r="AJ705" s="351"/>
      <c r="AK705" s="351"/>
      <c r="AL705" s="351"/>
      <c r="AM705" s="351"/>
      <c r="AN705" s="351"/>
      <c r="AO705" s="351"/>
      <c r="AP705" s="351"/>
      <c r="AQ705" s="351"/>
      <c r="AR705" s="351"/>
      <c r="AS705" s="351"/>
      <c r="AT705" s="351"/>
      <c r="AU705" s="351"/>
      <c r="AV705" s="351"/>
      <c r="AW705" s="351"/>
      <c r="AX705" s="351"/>
      <c r="AY705" s="351"/>
    </row>
    <row r="706" spans="1:51" ht="13">
      <c r="A706" s="333"/>
      <c r="B706" s="351"/>
      <c r="C706" s="351"/>
      <c r="D706" s="333"/>
      <c r="E706" s="333"/>
      <c r="F706" s="333"/>
      <c r="G706" s="359"/>
      <c r="H706" s="359"/>
      <c r="I706" s="351"/>
      <c r="J706" s="359"/>
      <c r="K706" s="359"/>
      <c r="L706" s="359"/>
      <c r="M706" s="351"/>
      <c r="N706" s="351"/>
      <c r="O706" s="351"/>
      <c r="P706" s="351"/>
      <c r="Q706" s="351"/>
      <c r="R706" s="351"/>
      <c r="S706" s="351"/>
      <c r="T706" s="351"/>
      <c r="U706" s="351"/>
      <c r="V706" s="351"/>
      <c r="W706" s="351"/>
      <c r="X706" s="359"/>
      <c r="Y706" s="359"/>
      <c r="Z706" s="359"/>
      <c r="AA706" s="351"/>
      <c r="AB706" s="351"/>
      <c r="AC706" s="359"/>
      <c r="AD706" s="359"/>
      <c r="AE706" s="351"/>
      <c r="AF706" s="333"/>
      <c r="AG706" s="333"/>
      <c r="AH706" s="351"/>
      <c r="AI706" s="351"/>
      <c r="AJ706" s="351"/>
      <c r="AK706" s="351"/>
      <c r="AL706" s="351"/>
      <c r="AM706" s="351"/>
      <c r="AN706" s="351"/>
      <c r="AO706" s="351"/>
      <c r="AP706" s="351"/>
      <c r="AQ706" s="351"/>
      <c r="AR706" s="351"/>
      <c r="AS706" s="351"/>
      <c r="AT706" s="351"/>
      <c r="AU706" s="351"/>
      <c r="AV706" s="351"/>
      <c r="AW706" s="351"/>
      <c r="AX706" s="351"/>
      <c r="AY706" s="351"/>
    </row>
    <row r="707" spans="1:51" ht="13">
      <c r="A707" s="333"/>
      <c r="B707" s="351"/>
      <c r="C707" s="351"/>
      <c r="D707" s="333"/>
      <c r="E707" s="333"/>
      <c r="F707" s="333"/>
      <c r="G707" s="359"/>
      <c r="H707" s="359"/>
      <c r="I707" s="351"/>
      <c r="J707" s="359"/>
      <c r="K707" s="359"/>
      <c r="L707" s="359"/>
      <c r="M707" s="351"/>
      <c r="N707" s="351"/>
      <c r="O707" s="351"/>
      <c r="P707" s="351"/>
      <c r="Q707" s="351"/>
      <c r="R707" s="351"/>
      <c r="S707" s="351"/>
      <c r="T707" s="351"/>
      <c r="U707" s="351"/>
      <c r="V707" s="351"/>
      <c r="W707" s="351"/>
      <c r="X707" s="359"/>
      <c r="Y707" s="359"/>
      <c r="Z707" s="359"/>
      <c r="AA707" s="351"/>
      <c r="AB707" s="351"/>
      <c r="AC707" s="359"/>
      <c r="AD707" s="359"/>
      <c r="AE707" s="351"/>
      <c r="AF707" s="333"/>
      <c r="AG707" s="333"/>
      <c r="AH707" s="351"/>
      <c r="AI707" s="351"/>
      <c r="AJ707" s="351"/>
      <c r="AK707" s="351"/>
      <c r="AL707" s="351"/>
      <c r="AM707" s="351"/>
      <c r="AN707" s="351"/>
      <c r="AO707" s="351"/>
      <c r="AP707" s="351"/>
      <c r="AQ707" s="351"/>
      <c r="AR707" s="351"/>
      <c r="AS707" s="351"/>
      <c r="AT707" s="351"/>
      <c r="AU707" s="351"/>
      <c r="AV707" s="351"/>
      <c r="AW707" s="351"/>
      <c r="AX707" s="351"/>
      <c r="AY707" s="351"/>
    </row>
    <row r="708" spans="1:51" ht="13">
      <c r="A708" s="333"/>
      <c r="B708" s="351"/>
      <c r="C708" s="351"/>
      <c r="D708" s="333"/>
      <c r="E708" s="333"/>
      <c r="F708" s="333"/>
      <c r="G708" s="359"/>
      <c r="H708" s="359"/>
      <c r="I708" s="351"/>
      <c r="J708" s="359"/>
      <c r="K708" s="359"/>
      <c r="L708" s="359"/>
      <c r="M708" s="351"/>
      <c r="N708" s="351"/>
      <c r="O708" s="351"/>
      <c r="P708" s="351"/>
      <c r="Q708" s="351"/>
      <c r="R708" s="351"/>
      <c r="S708" s="351"/>
      <c r="T708" s="351"/>
      <c r="U708" s="351"/>
      <c r="V708" s="351"/>
      <c r="W708" s="351"/>
      <c r="X708" s="359"/>
      <c r="Y708" s="359"/>
      <c r="Z708" s="359"/>
      <c r="AA708" s="351"/>
      <c r="AB708" s="351"/>
      <c r="AC708" s="359"/>
      <c r="AD708" s="359"/>
      <c r="AE708" s="351"/>
      <c r="AF708" s="333"/>
      <c r="AG708" s="333"/>
      <c r="AH708" s="351"/>
      <c r="AI708" s="351"/>
      <c r="AJ708" s="351"/>
      <c r="AK708" s="351"/>
      <c r="AL708" s="351"/>
      <c r="AM708" s="351"/>
      <c r="AN708" s="351"/>
      <c r="AO708" s="351"/>
      <c r="AP708" s="351"/>
      <c r="AQ708" s="351"/>
      <c r="AR708" s="351"/>
      <c r="AS708" s="351"/>
      <c r="AT708" s="351"/>
      <c r="AU708" s="351"/>
      <c r="AV708" s="351"/>
      <c r="AW708" s="351"/>
      <c r="AX708" s="351"/>
      <c r="AY708" s="351"/>
    </row>
    <row r="709" spans="1:51" ht="13">
      <c r="A709" s="333"/>
      <c r="B709" s="351"/>
      <c r="C709" s="351"/>
      <c r="D709" s="333"/>
      <c r="E709" s="333"/>
      <c r="F709" s="333"/>
      <c r="G709" s="359"/>
      <c r="H709" s="359"/>
      <c r="I709" s="351"/>
      <c r="J709" s="359"/>
      <c r="K709" s="359"/>
      <c r="L709" s="359"/>
      <c r="M709" s="351"/>
      <c r="N709" s="351"/>
      <c r="O709" s="351"/>
      <c r="P709" s="351"/>
      <c r="Q709" s="351"/>
      <c r="R709" s="351"/>
      <c r="S709" s="351"/>
      <c r="T709" s="351"/>
      <c r="U709" s="351"/>
      <c r="V709" s="351"/>
      <c r="W709" s="351"/>
      <c r="X709" s="359"/>
      <c r="Y709" s="359"/>
      <c r="Z709" s="359"/>
      <c r="AA709" s="351"/>
      <c r="AB709" s="351"/>
      <c r="AC709" s="359"/>
      <c r="AD709" s="359"/>
      <c r="AE709" s="351"/>
      <c r="AF709" s="333"/>
      <c r="AG709" s="333"/>
      <c r="AH709" s="351"/>
      <c r="AI709" s="351"/>
      <c r="AJ709" s="351"/>
      <c r="AK709" s="351"/>
      <c r="AL709" s="351"/>
      <c r="AM709" s="351"/>
      <c r="AN709" s="351"/>
      <c r="AO709" s="351"/>
      <c r="AP709" s="351"/>
      <c r="AQ709" s="351"/>
      <c r="AR709" s="351"/>
      <c r="AS709" s="351"/>
      <c r="AT709" s="351"/>
      <c r="AU709" s="351"/>
      <c r="AV709" s="351"/>
      <c r="AW709" s="351"/>
      <c r="AX709" s="351"/>
      <c r="AY709" s="351"/>
    </row>
    <row r="710" spans="1:51" ht="13">
      <c r="A710" s="333"/>
      <c r="B710" s="351"/>
      <c r="C710" s="351"/>
      <c r="D710" s="333"/>
      <c r="E710" s="333"/>
      <c r="F710" s="333"/>
      <c r="G710" s="359"/>
      <c r="H710" s="359"/>
      <c r="I710" s="351"/>
      <c r="J710" s="359"/>
      <c r="K710" s="359"/>
      <c r="L710" s="359"/>
      <c r="M710" s="351"/>
      <c r="N710" s="351"/>
      <c r="O710" s="351"/>
      <c r="P710" s="351"/>
      <c r="Q710" s="351"/>
      <c r="R710" s="351"/>
      <c r="S710" s="351"/>
      <c r="T710" s="351"/>
      <c r="U710" s="351"/>
      <c r="V710" s="351"/>
      <c r="W710" s="351"/>
      <c r="X710" s="359"/>
      <c r="Y710" s="359"/>
      <c r="Z710" s="359"/>
      <c r="AA710" s="351"/>
      <c r="AB710" s="351"/>
      <c r="AC710" s="359"/>
      <c r="AD710" s="359"/>
      <c r="AE710" s="351"/>
      <c r="AF710" s="333"/>
      <c r="AG710" s="333"/>
      <c r="AH710" s="351"/>
      <c r="AI710" s="351"/>
      <c r="AJ710" s="351"/>
      <c r="AK710" s="351"/>
      <c r="AL710" s="351"/>
      <c r="AM710" s="351"/>
      <c r="AN710" s="351"/>
      <c r="AO710" s="351"/>
      <c r="AP710" s="351"/>
      <c r="AQ710" s="351"/>
      <c r="AR710" s="351"/>
      <c r="AS710" s="351"/>
      <c r="AT710" s="351"/>
      <c r="AU710" s="351"/>
      <c r="AV710" s="351"/>
      <c r="AW710" s="351"/>
      <c r="AX710" s="351"/>
      <c r="AY710" s="351"/>
    </row>
    <row r="711" spans="1:51" ht="13">
      <c r="A711" s="333"/>
      <c r="B711" s="351"/>
      <c r="C711" s="351"/>
      <c r="D711" s="333"/>
      <c r="E711" s="333"/>
      <c r="F711" s="333"/>
      <c r="G711" s="359"/>
      <c r="H711" s="359"/>
      <c r="I711" s="351"/>
      <c r="J711" s="359"/>
      <c r="K711" s="359"/>
      <c r="L711" s="359"/>
      <c r="M711" s="351"/>
      <c r="N711" s="351"/>
      <c r="O711" s="351"/>
      <c r="P711" s="351"/>
      <c r="Q711" s="351"/>
      <c r="R711" s="351"/>
      <c r="S711" s="351"/>
      <c r="T711" s="351"/>
      <c r="U711" s="351"/>
      <c r="V711" s="351"/>
      <c r="W711" s="351"/>
      <c r="X711" s="359"/>
      <c r="Y711" s="359"/>
      <c r="Z711" s="359"/>
      <c r="AA711" s="351"/>
      <c r="AB711" s="351"/>
      <c r="AC711" s="359"/>
      <c r="AD711" s="359"/>
      <c r="AE711" s="351"/>
      <c r="AF711" s="333"/>
      <c r="AG711" s="333"/>
      <c r="AH711" s="351"/>
      <c r="AI711" s="351"/>
      <c r="AJ711" s="351"/>
      <c r="AK711" s="351"/>
      <c r="AL711" s="351"/>
      <c r="AM711" s="351"/>
      <c r="AN711" s="351"/>
      <c r="AO711" s="351"/>
      <c r="AP711" s="351"/>
      <c r="AQ711" s="351"/>
      <c r="AR711" s="351"/>
      <c r="AS711" s="351"/>
      <c r="AT711" s="351"/>
      <c r="AU711" s="351"/>
      <c r="AV711" s="351"/>
      <c r="AW711" s="351"/>
      <c r="AX711" s="351"/>
      <c r="AY711" s="351"/>
    </row>
    <row r="712" spans="1:51" ht="13">
      <c r="A712" s="333"/>
      <c r="B712" s="351"/>
      <c r="C712" s="351"/>
      <c r="D712" s="333"/>
      <c r="E712" s="333"/>
      <c r="F712" s="333"/>
      <c r="G712" s="359"/>
      <c r="H712" s="359"/>
      <c r="I712" s="351"/>
      <c r="J712" s="359"/>
      <c r="K712" s="359"/>
      <c r="L712" s="359"/>
      <c r="M712" s="351"/>
      <c r="N712" s="351"/>
      <c r="O712" s="351"/>
      <c r="P712" s="351"/>
      <c r="Q712" s="351"/>
      <c r="R712" s="351"/>
      <c r="S712" s="351"/>
      <c r="T712" s="351"/>
      <c r="U712" s="351"/>
      <c r="V712" s="351"/>
      <c r="W712" s="351"/>
      <c r="X712" s="359"/>
      <c r="Y712" s="359"/>
      <c r="Z712" s="359"/>
      <c r="AA712" s="351"/>
      <c r="AB712" s="351"/>
      <c r="AC712" s="359"/>
      <c r="AD712" s="359"/>
      <c r="AE712" s="351"/>
      <c r="AF712" s="333"/>
      <c r="AG712" s="333"/>
      <c r="AH712" s="351"/>
      <c r="AI712" s="351"/>
      <c r="AJ712" s="351"/>
      <c r="AK712" s="351"/>
      <c r="AL712" s="351"/>
      <c r="AM712" s="351"/>
      <c r="AN712" s="351"/>
      <c r="AO712" s="351"/>
      <c r="AP712" s="351"/>
      <c r="AQ712" s="351"/>
      <c r="AR712" s="351"/>
      <c r="AS712" s="351"/>
      <c r="AT712" s="351"/>
      <c r="AU712" s="351"/>
      <c r="AV712" s="351"/>
      <c r="AW712" s="351"/>
      <c r="AX712" s="351"/>
      <c r="AY712" s="351"/>
    </row>
    <row r="713" spans="1:51" ht="13">
      <c r="A713" s="333"/>
      <c r="B713" s="351"/>
      <c r="C713" s="351"/>
      <c r="D713" s="333"/>
      <c r="E713" s="333"/>
      <c r="F713" s="333"/>
      <c r="G713" s="359"/>
      <c r="H713" s="359"/>
      <c r="I713" s="351"/>
      <c r="J713" s="359"/>
      <c r="K713" s="359"/>
      <c r="L713" s="359"/>
      <c r="M713" s="351"/>
      <c r="N713" s="351"/>
      <c r="O713" s="351"/>
      <c r="P713" s="351"/>
      <c r="Q713" s="351"/>
      <c r="R713" s="351"/>
      <c r="S713" s="351"/>
      <c r="T713" s="351"/>
      <c r="U713" s="351"/>
      <c r="V713" s="351"/>
      <c r="W713" s="351"/>
      <c r="X713" s="359"/>
      <c r="Y713" s="359"/>
      <c r="Z713" s="359"/>
      <c r="AA713" s="351"/>
      <c r="AB713" s="351"/>
      <c r="AC713" s="359"/>
      <c r="AD713" s="359"/>
      <c r="AE713" s="351"/>
      <c r="AF713" s="333"/>
      <c r="AG713" s="333"/>
      <c r="AH713" s="351"/>
      <c r="AI713" s="351"/>
      <c r="AJ713" s="351"/>
      <c r="AK713" s="351"/>
      <c r="AL713" s="351"/>
      <c r="AM713" s="351"/>
      <c r="AN713" s="351"/>
      <c r="AO713" s="351"/>
      <c r="AP713" s="351"/>
      <c r="AQ713" s="351"/>
      <c r="AR713" s="351"/>
      <c r="AS713" s="351"/>
      <c r="AT713" s="351"/>
      <c r="AU713" s="351"/>
      <c r="AV713" s="351"/>
      <c r="AW713" s="351"/>
      <c r="AX713" s="351"/>
      <c r="AY713" s="351"/>
    </row>
    <row r="714" spans="1:51" ht="13">
      <c r="A714" s="333"/>
      <c r="B714" s="351"/>
      <c r="C714" s="351"/>
      <c r="D714" s="333"/>
      <c r="E714" s="333"/>
      <c r="F714" s="333"/>
      <c r="G714" s="359"/>
      <c r="H714" s="359"/>
      <c r="I714" s="351"/>
      <c r="J714" s="359"/>
      <c r="K714" s="359"/>
      <c r="L714" s="359"/>
      <c r="M714" s="351"/>
      <c r="N714" s="351"/>
      <c r="O714" s="351"/>
      <c r="P714" s="351"/>
      <c r="Q714" s="351"/>
      <c r="R714" s="351"/>
      <c r="S714" s="351"/>
      <c r="T714" s="351"/>
      <c r="U714" s="351"/>
      <c r="V714" s="351"/>
      <c r="W714" s="351"/>
      <c r="X714" s="359"/>
      <c r="Y714" s="359"/>
      <c r="Z714" s="359"/>
      <c r="AA714" s="351"/>
      <c r="AB714" s="351"/>
      <c r="AC714" s="359"/>
      <c r="AD714" s="359"/>
      <c r="AE714" s="351"/>
      <c r="AF714" s="333"/>
      <c r="AG714" s="333"/>
      <c r="AH714" s="351"/>
      <c r="AI714" s="351"/>
      <c r="AJ714" s="351"/>
      <c r="AK714" s="351"/>
      <c r="AL714" s="351"/>
      <c r="AM714" s="351"/>
      <c r="AN714" s="351"/>
      <c r="AO714" s="351"/>
      <c r="AP714" s="351"/>
      <c r="AQ714" s="351"/>
      <c r="AR714" s="351"/>
      <c r="AS714" s="351"/>
      <c r="AT714" s="351"/>
      <c r="AU714" s="351"/>
      <c r="AV714" s="351"/>
      <c r="AW714" s="351"/>
      <c r="AX714" s="351"/>
      <c r="AY714" s="351"/>
    </row>
    <row r="715" spans="1:51" ht="13">
      <c r="A715" s="333"/>
      <c r="B715" s="351"/>
      <c r="C715" s="351"/>
      <c r="D715" s="333"/>
      <c r="E715" s="333"/>
      <c r="F715" s="333"/>
      <c r="G715" s="359"/>
      <c r="H715" s="359"/>
      <c r="I715" s="351"/>
      <c r="J715" s="359"/>
      <c r="K715" s="359"/>
      <c r="L715" s="359"/>
      <c r="M715" s="351"/>
      <c r="N715" s="351"/>
      <c r="O715" s="351"/>
      <c r="P715" s="351"/>
      <c r="Q715" s="351"/>
      <c r="R715" s="351"/>
      <c r="S715" s="351"/>
      <c r="T715" s="351"/>
      <c r="U715" s="351"/>
      <c r="V715" s="351"/>
      <c r="W715" s="351"/>
      <c r="X715" s="359"/>
      <c r="Y715" s="359"/>
      <c r="Z715" s="359"/>
      <c r="AA715" s="351"/>
      <c r="AB715" s="351"/>
      <c r="AC715" s="359"/>
      <c r="AD715" s="359"/>
      <c r="AE715" s="351"/>
      <c r="AF715" s="333"/>
      <c r="AG715" s="333"/>
      <c r="AH715" s="351"/>
      <c r="AI715" s="351"/>
      <c r="AJ715" s="351"/>
      <c r="AK715" s="351"/>
      <c r="AL715" s="351"/>
      <c r="AM715" s="351"/>
      <c r="AN715" s="351"/>
      <c r="AO715" s="351"/>
      <c r="AP715" s="351"/>
      <c r="AQ715" s="351"/>
      <c r="AR715" s="351"/>
      <c r="AS715" s="351"/>
      <c r="AT715" s="351"/>
      <c r="AU715" s="351"/>
      <c r="AV715" s="351"/>
      <c r="AW715" s="351"/>
      <c r="AX715" s="351"/>
      <c r="AY715" s="351"/>
    </row>
    <row r="716" spans="1:51" ht="13">
      <c r="A716" s="333"/>
      <c r="B716" s="351"/>
      <c r="C716" s="351"/>
      <c r="D716" s="333"/>
      <c r="E716" s="333"/>
      <c r="F716" s="333"/>
      <c r="G716" s="359"/>
      <c r="H716" s="359"/>
      <c r="I716" s="351"/>
      <c r="J716" s="359"/>
      <c r="K716" s="359"/>
      <c r="L716" s="359"/>
      <c r="M716" s="351"/>
      <c r="N716" s="351"/>
      <c r="O716" s="351"/>
      <c r="P716" s="351"/>
      <c r="Q716" s="351"/>
      <c r="R716" s="351"/>
      <c r="S716" s="351"/>
      <c r="T716" s="351"/>
      <c r="U716" s="351"/>
      <c r="V716" s="351"/>
      <c r="W716" s="351"/>
      <c r="X716" s="359"/>
      <c r="Y716" s="359"/>
      <c r="Z716" s="359"/>
      <c r="AA716" s="351"/>
      <c r="AB716" s="351"/>
      <c r="AC716" s="359"/>
      <c r="AD716" s="359"/>
      <c r="AE716" s="351"/>
      <c r="AF716" s="333"/>
      <c r="AG716" s="333"/>
      <c r="AH716" s="351"/>
      <c r="AI716" s="351"/>
      <c r="AJ716" s="351"/>
      <c r="AK716" s="351"/>
      <c r="AL716" s="351"/>
      <c r="AM716" s="351"/>
      <c r="AN716" s="351"/>
      <c r="AO716" s="351"/>
      <c r="AP716" s="351"/>
      <c r="AQ716" s="351"/>
      <c r="AR716" s="351"/>
      <c r="AS716" s="351"/>
      <c r="AT716" s="351"/>
      <c r="AU716" s="351"/>
      <c r="AV716" s="351"/>
      <c r="AW716" s="351"/>
      <c r="AX716" s="351"/>
      <c r="AY716" s="351"/>
    </row>
    <row r="717" spans="1:51" ht="13">
      <c r="A717" s="333"/>
      <c r="B717" s="351"/>
      <c r="C717" s="351"/>
      <c r="D717" s="333"/>
      <c r="E717" s="333"/>
      <c r="F717" s="333"/>
      <c r="G717" s="359"/>
      <c r="H717" s="359"/>
      <c r="I717" s="351"/>
      <c r="J717" s="359"/>
      <c r="K717" s="359"/>
      <c r="L717" s="359"/>
      <c r="M717" s="351"/>
      <c r="N717" s="351"/>
      <c r="O717" s="351"/>
      <c r="P717" s="351"/>
      <c r="Q717" s="351"/>
      <c r="R717" s="351"/>
      <c r="S717" s="351"/>
      <c r="T717" s="351"/>
      <c r="U717" s="351"/>
      <c r="V717" s="351"/>
      <c r="W717" s="351"/>
      <c r="X717" s="359"/>
      <c r="Y717" s="359"/>
      <c r="Z717" s="359"/>
      <c r="AA717" s="351"/>
      <c r="AB717" s="351"/>
      <c r="AC717" s="359"/>
      <c r="AD717" s="359"/>
      <c r="AE717" s="351"/>
      <c r="AF717" s="333"/>
      <c r="AG717" s="333"/>
      <c r="AH717" s="351"/>
      <c r="AI717" s="351"/>
      <c r="AJ717" s="351"/>
      <c r="AK717" s="351"/>
      <c r="AL717" s="351"/>
      <c r="AM717" s="351"/>
      <c r="AN717" s="351"/>
      <c r="AO717" s="351"/>
      <c r="AP717" s="351"/>
      <c r="AQ717" s="351"/>
      <c r="AR717" s="351"/>
      <c r="AS717" s="351"/>
      <c r="AT717" s="351"/>
      <c r="AU717" s="351"/>
      <c r="AV717" s="351"/>
      <c r="AW717" s="351"/>
      <c r="AX717" s="351"/>
      <c r="AY717" s="351"/>
    </row>
    <row r="718" spans="1:51" ht="13">
      <c r="A718" s="333"/>
      <c r="B718" s="351"/>
      <c r="C718" s="351"/>
      <c r="D718" s="333"/>
      <c r="E718" s="333"/>
      <c r="F718" s="333"/>
      <c r="G718" s="359"/>
      <c r="H718" s="359"/>
      <c r="I718" s="351"/>
      <c r="J718" s="359"/>
      <c r="K718" s="359"/>
      <c r="L718" s="359"/>
      <c r="M718" s="351"/>
      <c r="N718" s="351"/>
      <c r="O718" s="351"/>
      <c r="P718" s="351"/>
      <c r="Q718" s="351"/>
      <c r="R718" s="351"/>
      <c r="S718" s="351"/>
      <c r="T718" s="351"/>
      <c r="U718" s="351"/>
      <c r="V718" s="351"/>
      <c r="W718" s="351"/>
      <c r="X718" s="359"/>
      <c r="Y718" s="359"/>
      <c r="Z718" s="359"/>
      <c r="AA718" s="351"/>
      <c r="AB718" s="351"/>
      <c r="AC718" s="359"/>
      <c r="AD718" s="359"/>
      <c r="AE718" s="351"/>
      <c r="AF718" s="333"/>
      <c r="AG718" s="333"/>
      <c r="AH718" s="351"/>
      <c r="AI718" s="351"/>
      <c r="AJ718" s="351"/>
      <c r="AK718" s="351"/>
      <c r="AL718" s="351"/>
      <c r="AM718" s="351"/>
      <c r="AN718" s="351"/>
      <c r="AO718" s="351"/>
      <c r="AP718" s="351"/>
      <c r="AQ718" s="351"/>
      <c r="AR718" s="351"/>
      <c r="AS718" s="351"/>
      <c r="AT718" s="351"/>
      <c r="AU718" s="351"/>
      <c r="AV718" s="351"/>
      <c r="AW718" s="351"/>
      <c r="AX718" s="351"/>
      <c r="AY718" s="351"/>
    </row>
    <row r="719" spans="1:51" ht="13">
      <c r="A719" s="333"/>
      <c r="B719" s="351"/>
      <c r="C719" s="351"/>
      <c r="D719" s="333"/>
      <c r="E719" s="333"/>
      <c r="F719" s="333"/>
      <c r="G719" s="359"/>
      <c r="H719" s="359"/>
      <c r="I719" s="351"/>
      <c r="J719" s="359"/>
      <c r="K719" s="359"/>
      <c r="L719" s="359"/>
      <c r="M719" s="351"/>
      <c r="N719" s="351"/>
      <c r="O719" s="351"/>
      <c r="P719" s="351"/>
      <c r="Q719" s="351"/>
      <c r="R719" s="351"/>
      <c r="S719" s="351"/>
      <c r="T719" s="351"/>
      <c r="U719" s="351"/>
      <c r="V719" s="351"/>
      <c r="W719" s="351"/>
      <c r="X719" s="359"/>
      <c r="Y719" s="359"/>
      <c r="Z719" s="359"/>
      <c r="AA719" s="351"/>
      <c r="AB719" s="351"/>
      <c r="AC719" s="359"/>
      <c r="AD719" s="359"/>
      <c r="AE719" s="351"/>
      <c r="AF719" s="333"/>
      <c r="AG719" s="333"/>
      <c r="AH719" s="351"/>
      <c r="AI719" s="351"/>
      <c r="AJ719" s="351"/>
      <c r="AK719" s="351"/>
      <c r="AL719" s="351"/>
      <c r="AM719" s="351"/>
      <c r="AN719" s="351"/>
      <c r="AO719" s="351"/>
      <c r="AP719" s="351"/>
      <c r="AQ719" s="351"/>
      <c r="AR719" s="351"/>
      <c r="AS719" s="351"/>
      <c r="AT719" s="351"/>
      <c r="AU719" s="351"/>
      <c r="AV719" s="351"/>
      <c r="AW719" s="351"/>
      <c r="AX719" s="351"/>
      <c r="AY719" s="351"/>
    </row>
    <row r="720" spans="1:51" ht="13">
      <c r="A720" s="333"/>
      <c r="B720" s="351"/>
      <c r="C720" s="351"/>
      <c r="D720" s="333"/>
      <c r="E720" s="333"/>
      <c r="F720" s="333"/>
      <c r="G720" s="359"/>
      <c r="H720" s="359"/>
      <c r="I720" s="351"/>
      <c r="J720" s="359"/>
      <c r="K720" s="359"/>
      <c r="L720" s="359"/>
      <c r="M720" s="351"/>
      <c r="N720" s="351"/>
      <c r="O720" s="351"/>
      <c r="P720" s="351"/>
      <c r="Q720" s="351"/>
      <c r="R720" s="351"/>
      <c r="S720" s="351"/>
      <c r="T720" s="351"/>
      <c r="U720" s="351"/>
      <c r="V720" s="351"/>
      <c r="W720" s="351"/>
      <c r="X720" s="359"/>
      <c r="Y720" s="359"/>
      <c r="Z720" s="359"/>
      <c r="AA720" s="351"/>
      <c r="AB720" s="351"/>
      <c r="AC720" s="359"/>
      <c r="AD720" s="359"/>
      <c r="AE720" s="351"/>
      <c r="AF720" s="333"/>
      <c r="AG720" s="333"/>
      <c r="AH720" s="351"/>
      <c r="AI720" s="351"/>
      <c r="AJ720" s="351"/>
      <c r="AK720" s="351"/>
      <c r="AL720" s="351"/>
      <c r="AM720" s="351"/>
      <c r="AN720" s="351"/>
      <c r="AO720" s="351"/>
      <c r="AP720" s="351"/>
      <c r="AQ720" s="351"/>
      <c r="AR720" s="351"/>
      <c r="AS720" s="351"/>
      <c r="AT720" s="351"/>
      <c r="AU720" s="351"/>
      <c r="AV720" s="351"/>
      <c r="AW720" s="351"/>
      <c r="AX720" s="351"/>
      <c r="AY720" s="351"/>
    </row>
    <row r="721" spans="1:51" ht="13">
      <c r="A721" s="333"/>
      <c r="B721" s="351"/>
      <c r="C721" s="351"/>
      <c r="D721" s="333"/>
      <c r="E721" s="333"/>
      <c r="F721" s="333"/>
      <c r="G721" s="359"/>
      <c r="H721" s="359"/>
      <c r="I721" s="351"/>
      <c r="J721" s="359"/>
      <c r="K721" s="359"/>
      <c r="L721" s="359"/>
      <c r="M721" s="351"/>
      <c r="N721" s="351"/>
      <c r="O721" s="351"/>
      <c r="P721" s="351"/>
      <c r="Q721" s="351"/>
      <c r="R721" s="351"/>
      <c r="S721" s="351"/>
      <c r="T721" s="351"/>
      <c r="U721" s="351"/>
      <c r="V721" s="351"/>
      <c r="W721" s="351"/>
      <c r="X721" s="359"/>
      <c r="Y721" s="359"/>
      <c r="Z721" s="359"/>
      <c r="AA721" s="351"/>
      <c r="AB721" s="351"/>
      <c r="AC721" s="359"/>
      <c r="AD721" s="359"/>
      <c r="AE721" s="351"/>
      <c r="AF721" s="333"/>
      <c r="AG721" s="333"/>
      <c r="AH721" s="351"/>
      <c r="AI721" s="351"/>
      <c r="AJ721" s="351"/>
      <c r="AK721" s="351"/>
      <c r="AL721" s="351"/>
      <c r="AM721" s="351"/>
      <c r="AN721" s="351"/>
      <c r="AO721" s="351"/>
      <c r="AP721" s="351"/>
      <c r="AQ721" s="351"/>
      <c r="AR721" s="351"/>
      <c r="AS721" s="351"/>
      <c r="AT721" s="351"/>
      <c r="AU721" s="351"/>
      <c r="AV721" s="351"/>
      <c r="AW721" s="351"/>
      <c r="AX721" s="351"/>
      <c r="AY721" s="351"/>
    </row>
    <row r="722" spans="1:51" ht="13">
      <c r="A722" s="333"/>
      <c r="B722" s="351"/>
      <c r="C722" s="351"/>
      <c r="D722" s="333"/>
      <c r="E722" s="333"/>
      <c r="F722" s="333"/>
      <c r="G722" s="359"/>
      <c r="H722" s="359"/>
      <c r="I722" s="351"/>
      <c r="J722" s="359"/>
      <c r="K722" s="359"/>
      <c r="L722" s="359"/>
      <c r="M722" s="351"/>
      <c r="N722" s="351"/>
      <c r="O722" s="351"/>
      <c r="P722" s="351"/>
      <c r="Q722" s="351"/>
      <c r="R722" s="351"/>
      <c r="S722" s="351"/>
      <c r="T722" s="351"/>
      <c r="U722" s="351"/>
      <c r="V722" s="351"/>
      <c r="W722" s="351"/>
      <c r="X722" s="359"/>
      <c r="Y722" s="359"/>
      <c r="Z722" s="359"/>
      <c r="AA722" s="351"/>
      <c r="AB722" s="351"/>
      <c r="AC722" s="359"/>
      <c r="AD722" s="359"/>
      <c r="AE722" s="351"/>
      <c r="AF722" s="333"/>
      <c r="AG722" s="333"/>
      <c r="AH722" s="351"/>
      <c r="AI722" s="351"/>
      <c r="AJ722" s="351"/>
      <c r="AK722" s="351"/>
      <c r="AL722" s="351"/>
      <c r="AM722" s="351"/>
      <c r="AN722" s="351"/>
      <c r="AO722" s="351"/>
      <c r="AP722" s="351"/>
      <c r="AQ722" s="351"/>
      <c r="AR722" s="351"/>
      <c r="AS722" s="351"/>
      <c r="AT722" s="351"/>
      <c r="AU722" s="351"/>
      <c r="AV722" s="351"/>
      <c r="AW722" s="351"/>
      <c r="AX722" s="351"/>
      <c r="AY722" s="351"/>
    </row>
    <row r="723" spans="1:51" ht="13">
      <c r="A723" s="333"/>
      <c r="B723" s="351"/>
      <c r="C723" s="351"/>
      <c r="D723" s="333"/>
      <c r="E723" s="333"/>
      <c r="F723" s="333"/>
      <c r="G723" s="359"/>
      <c r="H723" s="359"/>
      <c r="I723" s="351"/>
      <c r="J723" s="359"/>
      <c r="K723" s="359"/>
      <c r="L723" s="359"/>
      <c r="M723" s="351"/>
      <c r="N723" s="351"/>
      <c r="O723" s="351"/>
      <c r="P723" s="351"/>
      <c r="Q723" s="351"/>
      <c r="R723" s="351"/>
      <c r="S723" s="351"/>
      <c r="T723" s="351"/>
      <c r="U723" s="351"/>
      <c r="V723" s="351"/>
      <c r="W723" s="351"/>
      <c r="X723" s="359"/>
      <c r="Y723" s="359"/>
      <c r="Z723" s="359"/>
      <c r="AA723" s="351"/>
      <c r="AB723" s="351"/>
      <c r="AC723" s="359"/>
      <c r="AD723" s="359"/>
      <c r="AE723" s="351"/>
      <c r="AF723" s="333"/>
      <c r="AG723" s="333"/>
      <c r="AH723" s="351"/>
      <c r="AI723" s="351"/>
      <c r="AJ723" s="351"/>
      <c r="AK723" s="351"/>
      <c r="AL723" s="351"/>
      <c r="AM723" s="351"/>
      <c r="AN723" s="351"/>
      <c r="AO723" s="351"/>
      <c r="AP723" s="351"/>
      <c r="AQ723" s="351"/>
      <c r="AR723" s="351"/>
      <c r="AS723" s="351"/>
      <c r="AT723" s="351"/>
      <c r="AU723" s="351"/>
      <c r="AV723" s="351"/>
      <c r="AW723" s="351"/>
      <c r="AX723" s="351"/>
      <c r="AY723" s="351"/>
    </row>
    <row r="724" spans="1:51" ht="13">
      <c r="A724" s="333"/>
      <c r="B724" s="351"/>
      <c r="C724" s="351"/>
      <c r="D724" s="333"/>
      <c r="E724" s="333"/>
      <c r="F724" s="333"/>
      <c r="G724" s="359"/>
      <c r="H724" s="359"/>
      <c r="I724" s="351"/>
      <c r="J724" s="359"/>
      <c r="K724" s="359"/>
      <c r="L724" s="359"/>
      <c r="M724" s="351"/>
      <c r="N724" s="351"/>
      <c r="O724" s="351"/>
      <c r="P724" s="351"/>
      <c r="Q724" s="351"/>
      <c r="R724" s="351"/>
      <c r="S724" s="351"/>
      <c r="T724" s="351"/>
      <c r="U724" s="351"/>
      <c r="V724" s="351"/>
      <c r="W724" s="351"/>
      <c r="X724" s="359"/>
      <c r="Y724" s="359"/>
      <c r="Z724" s="359"/>
      <c r="AA724" s="351"/>
      <c r="AB724" s="351"/>
      <c r="AC724" s="359"/>
      <c r="AD724" s="359"/>
      <c r="AE724" s="351"/>
      <c r="AF724" s="333"/>
      <c r="AG724" s="333"/>
      <c r="AH724" s="351"/>
      <c r="AI724" s="351"/>
      <c r="AJ724" s="351"/>
      <c r="AK724" s="351"/>
      <c r="AL724" s="351"/>
      <c r="AM724" s="351"/>
      <c r="AN724" s="351"/>
      <c r="AO724" s="351"/>
      <c r="AP724" s="351"/>
      <c r="AQ724" s="351"/>
      <c r="AR724" s="351"/>
      <c r="AS724" s="351"/>
      <c r="AT724" s="351"/>
      <c r="AU724" s="351"/>
      <c r="AV724" s="351"/>
      <c r="AW724" s="351"/>
      <c r="AX724" s="351"/>
      <c r="AY724" s="351"/>
    </row>
    <row r="725" spans="1:51" ht="13">
      <c r="A725" s="333"/>
      <c r="B725" s="351"/>
      <c r="C725" s="351"/>
      <c r="D725" s="333"/>
      <c r="E725" s="333"/>
      <c r="F725" s="333"/>
      <c r="G725" s="359"/>
      <c r="H725" s="359"/>
      <c r="I725" s="351"/>
      <c r="J725" s="359"/>
      <c r="K725" s="359"/>
      <c r="L725" s="359"/>
      <c r="M725" s="351"/>
      <c r="N725" s="351"/>
      <c r="O725" s="351"/>
      <c r="P725" s="351"/>
      <c r="Q725" s="351"/>
      <c r="R725" s="351"/>
      <c r="S725" s="351"/>
      <c r="T725" s="351"/>
      <c r="U725" s="351"/>
      <c r="V725" s="351"/>
      <c r="W725" s="351"/>
      <c r="X725" s="359"/>
      <c r="Y725" s="359"/>
      <c r="Z725" s="359"/>
      <c r="AA725" s="351"/>
      <c r="AB725" s="351"/>
      <c r="AC725" s="359"/>
      <c r="AD725" s="359"/>
      <c r="AE725" s="351"/>
      <c r="AF725" s="333"/>
      <c r="AG725" s="333"/>
      <c r="AH725" s="351"/>
      <c r="AI725" s="351"/>
      <c r="AJ725" s="351"/>
      <c r="AK725" s="351"/>
      <c r="AL725" s="351"/>
      <c r="AM725" s="351"/>
      <c r="AN725" s="351"/>
      <c r="AO725" s="351"/>
      <c r="AP725" s="351"/>
      <c r="AQ725" s="351"/>
      <c r="AR725" s="351"/>
      <c r="AS725" s="351"/>
      <c r="AT725" s="351"/>
      <c r="AU725" s="351"/>
      <c r="AV725" s="351"/>
      <c r="AW725" s="351"/>
      <c r="AX725" s="351"/>
      <c r="AY725" s="351"/>
    </row>
    <row r="726" spans="1:51" ht="13">
      <c r="A726" s="333"/>
      <c r="B726" s="351"/>
      <c r="C726" s="351"/>
      <c r="D726" s="333"/>
      <c r="E726" s="333"/>
      <c r="F726" s="333"/>
      <c r="G726" s="359"/>
      <c r="H726" s="359"/>
      <c r="I726" s="351"/>
      <c r="J726" s="359"/>
      <c r="K726" s="359"/>
      <c r="L726" s="359"/>
      <c r="M726" s="351"/>
      <c r="N726" s="351"/>
      <c r="O726" s="351"/>
      <c r="P726" s="351"/>
      <c r="Q726" s="351"/>
      <c r="R726" s="351"/>
      <c r="S726" s="351"/>
      <c r="T726" s="351"/>
      <c r="U726" s="351"/>
      <c r="V726" s="351"/>
      <c r="W726" s="351"/>
      <c r="X726" s="359"/>
      <c r="Y726" s="359"/>
      <c r="Z726" s="359"/>
      <c r="AA726" s="351"/>
      <c r="AB726" s="351"/>
      <c r="AC726" s="359"/>
      <c r="AD726" s="359"/>
      <c r="AE726" s="351"/>
      <c r="AF726" s="333"/>
      <c r="AG726" s="333"/>
      <c r="AH726" s="351"/>
      <c r="AI726" s="351"/>
      <c r="AJ726" s="351"/>
      <c r="AK726" s="351"/>
      <c r="AL726" s="351"/>
      <c r="AM726" s="351"/>
      <c r="AN726" s="351"/>
      <c r="AO726" s="351"/>
      <c r="AP726" s="351"/>
      <c r="AQ726" s="351"/>
      <c r="AR726" s="351"/>
      <c r="AS726" s="351"/>
      <c r="AT726" s="351"/>
      <c r="AU726" s="351"/>
      <c r="AV726" s="351"/>
      <c r="AW726" s="351"/>
      <c r="AX726" s="351"/>
      <c r="AY726" s="351"/>
    </row>
    <row r="727" spans="1:51" ht="13">
      <c r="A727" s="333"/>
      <c r="B727" s="351"/>
      <c r="C727" s="351"/>
      <c r="D727" s="333"/>
      <c r="E727" s="333"/>
      <c r="F727" s="333"/>
      <c r="G727" s="359"/>
      <c r="H727" s="359"/>
      <c r="I727" s="351"/>
      <c r="J727" s="359"/>
      <c r="K727" s="359"/>
      <c r="L727" s="359"/>
      <c r="M727" s="351"/>
      <c r="N727" s="351"/>
      <c r="O727" s="351"/>
      <c r="P727" s="351"/>
      <c r="Q727" s="351"/>
      <c r="R727" s="351"/>
      <c r="S727" s="351"/>
      <c r="T727" s="351"/>
      <c r="U727" s="351"/>
      <c r="V727" s="351"/>
      <c r="W727" s="351"/>
      <c r="X727" s="359"/>
      <c r="Y727" s="359"/>
      <c r="Z727" s="359"/>
      <c r="AA727" s="351"/>
      <c r="AB727" s="351"/>
      <c r="AC727" s="359"/>
      <c r="AD727" s="359"/>
      <c r="AE727" s="351"/>
      <c r="AF727" s="333"/>
      <c r="AG727" s="333"/>
      <c r="AH727" s="351"/>
      <c r="AI727" s="351"/>
      <c r="AJ727" s="351"/>
      <c r="AK727" s="351"/>
      <c r="AL727" s="351"/>
      <c r="AM727" s="351"/>
      <c r="AN727" s="351"/>
      <c r="AO727" s="351"/>
      <c r="AP727" s="351"/>
      <c r="AQ727" s="351"/>
      <c r="AR727" s="351"/>
      <c r="AS727" s="351"/>
      <c r="AT727" s="351"/>
      <c r="AU727" s="351"/>
      <c r="AV727" s="351"/>
      <c r="AW727" s="351"/>
      <c r="AX727" s="351"/>
      <c r="AY727" s="351"/>
    </row>
    <row r="728" spans="1:51" ht="13">
      <c r="A728" s="333"/>
      <c r="B728" s="351"/>
      <c r="C728" s="351"/>
      <c r="D728" s="333"/>
      <c r="E728" s="333"/>
      <c r="F728" s="333"/>
      <c r="G728" s="359"/>
      <c r="H728" s="359"/>
      <c r="I728" s="351"/>
      <c r="J728" s="359"/>
      <c r="K728" s="359"/>
      <c r="L728" s="359"/>
      <c r="M728" s="351"/>
      <c r="N728" s="351"/>
      <c r="O728" s="351"/>
      <c r="P728" s="351"/>
      <c r="Q728" s="351"/>
      <c r="R728" s="351"/>
      <c r="S728" s="351"/>
      <c r="T728" s="351"/>
      <c r="U728" s="351"/>
      <c r="V728" s="351"/>
      <c r="W728" s="351"/>
      <c r="X728" s="359"/>
      <c r="Y728" s="359"/>
      <c r="Z728" s="359"/>
      <c r="AA728" s="351"/>
      <c r="AB728" s="351"/>
      <c r="AC728" s="359"/>
      <c r="AD728" s="359"/>
      <c r="AE728" s="351"/>
      <c r="AF728" s="333"/>
      <c r="AG728" s="333"/>
      <c r="AH728" s="351"/>
      <c r="AI728" s="351"/>
      <c r="AJ728" s="351"/>
      <c r="AK728" s="351"/>
      <c r="AL728" s="351"/>
      <c r="AM728" s="351"/>
      <c r="AN728" s="351"/>
      <c r="AO728" s="351"/>
      <c r="AP728" s="351"/>
      <c r="AQ728" s="351"/>
      <c r="AR728" s="351"/>
      <c r="AS728" s="351"/>
      <c r="AT728" s="351"/>
      <c r="AU728" s="351"/>
      <c r="AV728" s="351"/>
      <c r="AW728" s="351"/>
      <c r="AX728" s="351"/>
      <c r="AY728" s="351"/>
    </row>
    <row r="729" spans="1:51" ht="13">
      <c r="A729" s="333"/>
      <c r="B729" s="351"/>
      <c r="C729" s="351"/>
      <c r="D729" s="333"/>
      <c r="E729" s="333"/>
      <c r="F729" s="333"/>
      <c r="G729" s="359"/>
      <c r="H729" s="359"/>
      <c r="I729" s="351"/>
      <c r="J729" s="359"/>
      <c r="K729" s="359"/>
      <c r="L729" s="359"/>
      <c r="M729" s="351"/>
      <c r="N729" s="351"/>
      <c r="O729" s="351"/>
      <c r="P729" s="351"/>
      <c r="Q729" s="351"/>
      <c r="R729" s="351"/>
      <c r="S729" s="351"/>
      <c r="T729" s="351"/>
      <c r="U729" s="351"/>
      <c r="V729" s="351"/>
      <c r="W729" s="351"/>
      <c r="X729" s="359"/>
      <c r="Y729" s="359"/>
      <c r="Z729" s="359"/>
      <c r="AA729" s="351"/>
      <c r="AB729" s="351"/>
      <c r="AC729" s="359"/>
      <c r="AD729" s="359"/>
      <c r="AE729" s="351"/>
      <c r="AF729" s="333"/>
      <c r="AG729" s="333"/>
      <c r="AH729" s="351"/>
      <c r="AI729" s="351"/>
      <c r="AJ729" s="351"/>
      <c r="AK729" s="351"/>
      <c r="AL729" s="351"/>
      <c r="AM729" s="351"/>
      <c r="AN729" s="351"/>
      <c r="AO729" s="351"/>
      <c r="AP729" s="351"/>
      <c r="AQ729" s="351"/>
      <c r="AR729" s="351"/>
      <c r="AS729" s="351"/>
      <c r="AT729" s="351"/>
      <c r="AU729" s="351"/>
      <c r="AV729" s="351"/>
      <c r="AW729" s="351"/>
      <c r="AX729" s="351"/>
      <c r="AY729" s="351"/>
    </row>
    <row r="730" spans="1:51" ht="13">
      <c r="A730" s="333"/>
      <c r="B730" s="351"/>
      <c r="C730" s="351"/>
      <c r="D730" s="333"/>
      <c r="E730" s="333"/>
      <c r="F730" s="333"/>
      <c r="G730" s="359"/>
      <c r="H730" s="359"/>
      <c r="I730" s="351"/>
      <c r="J730" s="359"/>
      <c r="K730" s="359"/>
      <c r="L730" s="359"/>
      <c r="M730" s="351"/>
      <c r="N730" s="351"/>
      <c r="O730" s="351"/>
      <c r="P730" s="351"/>
      <c r="Q730" s="351"/>
      <c r="R730" s="351"/>
      <c r="S730" s="351"/>
      <c r="T730" s="351"/>
      <c r="U730" s="351"/>
      <c r="V730" s="351"/>
      <c r="W730" s="351"/>
      <c r="X730" s="359"/>
      <c r="Y730" s="359"/>
      <c r="Z730" s="359"/>
      <c r="AA730" s="351"/>
      <c r="AB730" s="351"/>
      <c r="AC730" s="359"/>
      <c r="AD730" s="359"/>
      <c r="AE730" s="351"/>
      <c r="AF730" s="333"/>
      <c r="AG730" s="333"/>
      <c r="AH730" s="351"/>
      <c r="AI730" s="351"/>
      <c r="AJ730" s="351"/>
      <c r="AK730" s="351"/>
      <c r="AL730" s="351"/>
      <c r="AM730" s="351"/>
      <c r="AN730" s="351"/>
      <c r="AO730" s="351"/>
      <c r="AP730" s="351"/>
      <c r="AQ730" s="351"/>
      <c r="AR730" s="351"/>
      <c r="AS730" s="351"/>
      <c r="AT730" s="351"/>
      <c r="AU730" s="351"/>
      <c r="AV730" s="351"/>
      <c r="AW730" s="351"/>
      <c r="AX730" s="351"/>
      <c r="AY730" s="351"/>
    </row>
    <row r="731" spans="1:51" ht="13">
      <c r="A731" s="333"/>
      <c r="B731" s="351"/>
      <c r="C731" s="351"/>
      <c r="D731" s="333"/>
      <c r="E731" s="333"/>
      <c r="F731" s="333"/>
      <c r="G731" s="359"/>
      <c r="H731" s="359"/>
      <c r="I731" s="351"/>
      <c r="J731" s="359"/>
      <c r="K731" s="359"/>
      <c r="L731" s="359"/>
      <c r="M731" s="351"/>
      <c r="N731" s="351"/>
      <c r="O731" s="351"/>
      <c r="P731" s="351"/>
      <c r="Q731" s="351"/>
      <c r="R731" s="351"/>
      <c r="S731" s="351"/>
      <c r="T731" s="351"/>
      <c r="U731" s="351"/>
      <c r="V731" s="351"/>
      <c r="W731" s="351"/>
      <c r="X731" s="359"/>
      <c r="Y731" s="359"/>
      <c r="Z731" s="359"/>
      <c r="AA731" s="351"/>
      <c r="AB731" s="351"/>
      <c r="AC731" s="359"/>
      <c r="AD731" s="359"/>
      <c r="AE731" s="351"/>
      <c r="AF731" s="333"/>
      <c r="AG731" s="333"/>
      <c r="AH731" s="351"/>
      <c r="AI731" s="351"/>
      <c r="AJ731" s="351"/>
      <c r="AK731" s="351"/>
      <c r="AL731" s="351"/>
      <c r="AM731" s="351"/>
      <c r="AN731" s="351"/>
      <c r="AO731" s="351"/>
      <c r="AP731" s="351"/>
      <c r="AQ731" s="351"/>
      <c r="AR731" s="351"/>
      <c r="AS731" s="351"/>
      <c r="AT731" s="351"/>
      <c r="AU731" s="351"/>
      <c r="AV731" s="351"/>
      <c r="AW731" s="351"/>
      <c r="AX731" s="351"/>
      <c r="AY731" s="351"/>
    </row>
    <row r="732" spans="1:51" ht="13">
      <c r="A732" s="333"/>
      <c r="B732" s="351"/>
      <c r="C732" s="351"/>
      <c r="D732" s="333"/>
      <c r="E732" s="333"/>
      <c r="F732" s="333"/>
      <c r="G732" s="359"/>
      <c r="H732" s="359"/>
      <c r="I732" s="351"/>
      <c r="J732" s="359"/>
      <c r="K732" s="359"/>
      <c r="L732" s="359"/>
      <c r="M732" s="351"/>
      <c r="N732" s="351"/>
      <c r="O732" s="351"/>
      <c r="P732" s="351"/>
      <c r="Q732" s="351"/>
      <c r="R732" s="351"/>
      <c r="S732" s="351"/>
      <c r="T732" s="351"/>
      <c r="U732" s="351"/>
      <c r="V732" s="351"/>
      <c r="W732" s="351"/>
      <c r="X732" s="359"/>
      <c r="Y732" s="359"/>
      <c r="Z732" s="359"/>
      <c r="AA732" s="351"/>
      <c r="AB732" s="351"/>
      <c r="AC732" s="359"/>
      <c r="AD732" s="359"/>
      <c r="AE732" s="351"/>
      <c r="AF732" s="333"/>
      <c r="AG732" s="333"/>
      <c r="AH732" s="351"/>
      <c r="AI732" s="351"/>
      <c r="AJ732" s="351"/>
      <c r="AK732" s="351"/>
      <c r="AL732" s="351"/>
      <c r="AM732" s="351"/>
      <c r="AN732" s="351"/>
      <c r="AO732" s="351"/>
      <c r="AP732" s="351"/>
      <c r="AQ732" s="351"/>
      <c r="AR732" s="351"/>
      <c r="AS732" s="351"/>
      <c r="AT732" s="351"/>
      <c r="AU732" s="351"/>
      <c r="AV732" s="351"/>
      <c r="AW732" s="351"/>
      <c r="AX732" s="351"/>
      <c r="AY732" s="351"/>
    </row>
    <row r="733" spans="1:51" ht="13">
      <c r="A733" s="333"/>
      <c r="B733" s="351"/>
      <c r="C733" s="351"/>
      <c r="D733" s="333"/>
      <c r="E733" s="333"/>
      <c r="F733" s="333"/>
      <c r="G733" s="359"/>
      <c r="H733" s="359"/>
      <c r="I733" s="351"/>
      <c r="J733" s="359"/>
      <c r="K733" s="359"/>
      <c r="L733" s="359"/>
      <c r="M733" s="351"/>
      <c r="N733" s="351"/>
      <c r="O733" s="351"/>
      <c r="P733" s="351"/>
      <c r="Q733" s="351"/>
      <c r="R733" s="351"/>
      <c r="S733" s="351"/>
      <c r="T733" s="351"/>
      <c r="U733" s="351"/>
      <c r="V733" s="351"/>
      <c r="W733" s="351"/>
      <c r="X733" s="359"/>
      <c r="Y733" s="359"/>
      <c r="Z733" s="359"/>
      <c r="AA733" s="351"/>
      <c r="AB733" s="351"/>
      <c r="AC733" s="359"/>
      <c r="AD733" s="359"/>
      <c r="AE733" s="351"/>
      <c r="AF733" s="333"/>
      <c r="AG733" s="333"/>
      <c r="AH733" s="351"/>
      <c r="AI733" s="351"/>
      <c r="AJ733" s="351"/>
      <c r="AK733" s="351"/>
      <c r="AL733" s="351"/>
      <c r="AM733" s="351"/>
      <c r="AN733" s="351"/>
      <c r="AO733" s="351"/>
      <c r="AP733" s="351"/>
      <c r="AQ733" s="351"/>
      <c r="AR733" s="351"/>
      <c r="AS733" s="351"/>
      <c r="AT733" s="351"/>
      <c r="AU733" s="351"/>
      <c r="AV733" s="351"/>
      <c r="AW733" s="351"/>
      <c r="AX733" s="351"/>
      <c r="AY733" s="351"/>
    </row>
    <row r="734" spans="1:51" ht="13">
      <c r="A734" s="333"/>
      <c r="B734" s="351"/>
      <c r="C734" s="351"/>
      <c r="D734" s="333"/>
      <c r="E734" s="333"/>
      <c r="F734" s="333"/>
      <c r="G734" s="359"/>
      <c r="H734" s="359"/>
      <c r="I734" s="351"/>
      <c r="J734" s="359"/>
      <c r="K734" s="359"/>
      <c r="L734" s="359"/>
      <c r="M734" s="351"/>
      <c r="N734" s="351"/>
      <c r="O734" s="351"/>
      <c r="P734" s="351"/>
      <c r="Q734" s="351"/>
      <c r="R734" s="351"/>
      <c r="S734" s="351"/>
      <c r="T734" s="351"/>
      <c r="U734" s="351"/>
      <c r="V734" s="351"/>
      <c r="W734" s="351"/>
      <c r="X734" s="359"/>
      <c r="Y734" s="359"/>
      <c r="Z734" s="359"/>
      <c r="AA734" s="351"/>
      <c r="AB734" s="351"/>
      <c r="AC734" s="359"/>
      <c r="AD734" s="359"/>
      <c r="AE734" s="351"/>
      <c r="AF734" s="333"/>
      <c r="AG734" s="333"/>
      <c r="AH734" s="351"/>
      <c r="AI734" s="351"/>
      <c r="AJ734" s="351"/>
      <c r="AK734" s="351"/>
      <c r="AL734" s="351"/>
      <c r="AM734" s="351"/>
      <c r="AN734" s="351"/>
      <c r="AO734" s="351"/>
      <c r="AP734" s="351"/>
      <c r="AQ734" s="351"/>
      <c r="AR734" s="351"/>
      <c r="AS734" s="351"/>
      <c r="AT734" s="351"/>
      <c r="AU734" s="351"/>
      <c r="AV734" s="351"/>
      <c r="AW734" s="351"/>
      <c r="AX734" s="351"/>
      <c r="AY734" s="351"/>
    </row>
    <row r="735" spans="1:51" ht="13">
      <c r="A735" s="333"/>
      <c r="B735" s="351"/>
      <c r="C735" s="351"/>
      <c r="D735" s="333"/>
      <c r="E735" s="333"/>
      <c r="F735" s="333"/>
      <c r="G735" s="359"/>
      <c r="H735" s="359"/>
      <c r="I735" s="351"/>
      <c r="J735" s="359"/>
      <c r="K735" s="359"/>
      <c r="L735" s="359"/>
      <c r="M735" s="351"/>
      <c r="N735" s="351"/>
      <c r="O735" s="351"/>
      <c r="P735" s="351"/>
      <c r="Q735" s="351"/>
      <c r="R735" s="351"/>
      <c r="S735" s="351"/>
      <c r="T735" s="351"/>
      <c r="U735" s="351"/>
      <c r="V735" s="351"/>
      <c r="W735" s="351"/>
      <c r="X735" s="359"/>
      <c r="Y735" s="359"/>
      <c r="Z735" s="359"/>
      <c r="AA735" s="351"/>
      <c r="AB735" s="351"/>
      <c r="AC735" s="359"/>
      <c r="AD735" s="359"/>
      <c r="AE735" s="351"/>
      <c r="AF735" s="333"/>
      <c r="AG735" s="333"/>
      <c r="AH735" s="351"/>
      <c r="AI735" s="351"/>
      <c r="AJ735" s="351"/>
      <c r="AK735" s="351"/>
      <c r="AL735" s="351"/>
      <c r="AM735" s="351"/>
      <c r="AN735" s="351"/>
      <c r="AO735" s="351"/>
      <c r="AP735" s="351"/>
      <c r="AQ735" s="351"/>
      <c r="AR735" s="351"/>
      <c r="AS735" s="351"/>
      <c r="AT735" s="351"/>
      <c r="AU735" s="351"/>
      <c r="AV735" s="351"/>
      <c r="AW735" s="351"/>
      <c r="AX735" s="351"/>
      <c r="AY735" s="351"/>
    </row>
    <row r="736" spans="1:51" ht="13">
      <c r="A736" s="333"/>
      <c r="B736" s="351"/>
      <c r="C736" s="351"/>
      <c r="D736" s="333"/>
      <c r="E736" s="333"/>
      <c r="F736" s="333"/>
      <c r="G736" s="359"/>
      <c r="H736" s="359"/>
      <c r="I736" s="351"/>
      <c r="J736" s="359"/>
      <c r="K736" s="359"/>
      <c r="L736" s="359"/>
      <c r="M736" s="351"/>
      <c r="N736" s="351"/>
      <c r="O736" s="351"/>
      <c r="P736" s="351"/>
      <c r="Q736" s="351"/>
      <c r="R736" s="351"/>
      <c r="S736" s="351"/>
      <c r="T736" s="351"/>
      <c r="U736" s="351"/>
      <c r="V736" s="351"/>
      <c r="W736" s="351"/>
      <c r="X736" s="359"/>
      <c r="Y736" s="359"/>
      <c r="Z736" s="359"/>
      <c r="AA736" s="351"/>
      <c r="AB736" s="351"/>
      <c r="AC736" s="359"/>
      <c r="AD736" s="359"/>
      <c r="AE736" s="351"/>
      <c r="AF736" s="333"/>
      <c r="AG736" s="333"/>
      <c r="AH736" s="351"/>
      <c r="AI736" s="351"/>
      <c r="AJ736" s="351"/>
      <c r="AK736" s="351"/>
      <c r="AL736" s="351"/>
      <c r="AM736" s="351"/>
      <c r="AN736" s="351"/>
      <c r="AO736" s="351"/>
      <c r="AP736" s="351"/>
      <c r="AQ736" s="351"/>
      <c r="AR736" s="351"/>
      <c r="AS736" s="351"/>
      <c r="AT736" s="351"/>
      <c r="AU736" s="351"/>
      <c r="AV736" s="351"/>
      <c r="AW736" s="351"/>
      <c r="AX736" s="351"/>
      <c r="AY736" s="351"/>
    </row>
    <row r="737" spans="1:51" ht="13">
      <c r="A737" s="333"/>
      <c r="B737" s="351"/>
      <c r="C737" s="351"/>
      <c r="D737" s="333"/>
      <c r="E737" s="333"/>
      <c r="F737" s="333"/>
      <c r="G737" s="359"/>
      <c r="H737" s="359"/>
      <c r="I737" s="351"/>
      <c r="J737" s="359"/>
      <c r="K737" s="359"/>
      <c r="L737" s="359"/>
      <c r="M737" s="351"/>
      <c r="N737" s="351"/>
      <c r="O737" s="351"/>
      <c r="P737" s="351"/>
      <c r="Q737" s="351"/>
      <c r="R737" s="351"/>
      <c r="S737" s="351"/>
      <c r="T737" s="351"/>
      <c r="U737" s="351"/>
      <c r="V737" s="351"/>
      <c r="W737" s="351"/>
      <c r="X737" s="359"/>
      <c r="Y737" s="359"/>
      <c r="Z737" s="359"/>
      <c r="AA737" s="351"/>
      <c r="AB737" s="351"/>
      <c r="AC737" s="359"/>
      <c r="AD737" s="359"/>
      <c r="AE737" s="351"/>
      <c r="AF737" s="333"/>
      <c r="AG737" s="333"/>
      <c r="AH737" s="351"/>
      <c r="AI737" s="351"/>
      <c r="AJ737" s="351"/>
      <c r="AK737" s="351"/>
      <c r="AL737" s="351"/>
      <c r="AM737" s="351"/>
      <c r="AN737" s="351"/>
      <c r="AO737" s="351"/>
      <c r="AP737" s="351"/>
      <c r="AQ737" s="351"/>
      <c r="AR737" s="351"/>
      <c r="AS737" s="351"/>
      <c r="AT737" s="351"/>
      <c r="AU737" s="351"/>
      <c r="AV737" s="351"/>
      <c r="AW737" s="351"/>
      <c r="AX737" s="351"/>
      <c r="AY737" s="351"/>
    </row>
    <row r="738" spans="1:51" ht="13">
      <c r="A738" s="333"/>
      <c r="B738" s="351"/>
      <c r="C738" s="351"/>
      <c r="D738" s="333"/>
      <c r="E738" s="333"/>
      <c r="F738" s="333"/>
      <c r="G738" s="359"/>
      <c r="H738" s="359"/>
      <c r="I738" s="351"/>
      <c r="J738" s="359"/>
      <c r="K738" s="359"/>
      <c r="L738" s="359"/>
      <c r="M738" s="351"/>
      <c r="N738" s="351"/>
      <c r="O738" s="351"/>
      <c r="P738" s="351"/>
      <c r="Q738" s="351"/>
      <c r="R738" s="351"/>
      <c r="S738" s="351"/>
      <c r="T738" s="351"/>
      <c r="U738" s="351"/>
      <c r="V738" s="351"/>
      <c r="W738" s="351"/>
      <c r="X738" s="359"/>
      <c r="Y738" s="359"/>
      <c r="Z738" s="359"/>
      <c r="AA738" s="351"/>
      <c r="AB738" s="351"/>
      <c r="AC738" s="359"/>
      <c r="AD738" s="359"/>
      <c r="AE738" s="351"/>
      <c r="AF738" s="333"/>
      <c r="AG738" s="333"/>
      <c r="AH738" s="351"/>
      <c r="AI738" s="351"/>
      <c r="AJ738" s="351"/>
      <c r="AK738" s="351"/>
      <c r="AL738" s="351"/>
      <c r="AM738" s="351"/>
      <c r="AN738" s="351"/>
      <c r="AO738" s="351"/>
      <c r="AP738" s="351"/>
      <c r="AQ738" s="351"/>
      <c r="AR738" s="351"/>
      <c r="AS738" s="351"/>
      <c r="AT738" s="351"/>
      <c r="AU738" s="351"/>
      <c r="AV738" s="351"/>
      <c r="AW738" s="351"/>
      <c r="AX738" s="351"/>
      <c r="AY738" s="351"/>
    </row>
    <row r="739" spans="1:51" ht="13">
      <c r="A739" s="333"/>
      <c r="B739" s="351"/>
      <c r="C739" s="351"/>
      <c r="D739" s="333"/>
      <c r="E739" s="333"/>
      <c r="F739" s="333"/>
      <c r="G739" s="359"/>
      <c r="H739" s="359"/>
      <c r="I739" s="351"/>
      <c r="J739" s="359"/>
      <c r="K739" s="359"/>
      <c r="L739" s="359"/>
      <c r="M739" s="351"/>
      <c r="N739" s="351"/>
      <c r="O739" s="351"/>
      <c r="P739" s="351"/>
      <c r="Q739" s="351"/>
      <c r="R739" s="351"/>
      <c r="S739" s="351"/>
      <c r="T739" s="351"/>
      <c r="U739" s="351"/>
      <c r="V739" s="351"/>
      <c r="W739" s="351"/>
      <c r="X739" s="359"/>
      <c r="Y739" s="359"/>
      <c r="Z739" s="359"/>
      <c r="AA739" s="351"/>
      <c r="AB739" s="351"/>
      <c r="AC739" s="359"/>
      <c r="AD739" s="359"/>
      <c r="AE739" s="351"/>
      <c r="AF739" s="333"/>
      <c r="AG739" s="333"/>
      <c r="AH739" s="351"/>
      <c r="AI739" s="351"/>
      <c r="AJ739" s="351"/>
      <c r="AK739" s="351"/>
      <c r="AL739" s="351"/>
      <c r="AM739" s="351"/>
      <c r="AN739" s="351"/>
      <c r="AO739" s="351"/>
      <c r="AP739" s="351"/>
      <c r="AQ739" s="351"/>
      <c r="AR739" s="351"/>
      <c r="AS739" s="351"/>
      <c r="AT739" s="351"/>
      <c r="AU739" s="351"/>
      <c r="AV739" s="351"/>
      <c r="AW739" s="351"/>
      <c r="AX739" s="351"/>
      <c r="AY739" s="351"/>
    </row>
    <row r="740" spans="1:51" ht="13">
      <c r="A740" s="333"/>
      <c r="B740" s="351"/>
      <c r="C740" s="351"/>
      <c r="D740" s="333"/>
      <c r="E740" s="333"/>
      <c r="F740" s="333"/>
      <c r="G740" s="359"/>
      <c r="H740" s="359"/>
      <c r="I740" s="351"/>
      <c r="J740" s="359"/>
      <c r="K740" s="359"/>
      <c r="L740" s="359"/>
      <c r="M740" s="351"/>
      <c r="N740" s="351"/>
      <c r="O740" s="351"/>
      <c r="P740" s="351"/>
      <c r="Q740" s="351"/>
      <c r="R740" s="351"/>
      <c r="S740" s="351"/>
      <c r="T740" s="351"/>
      <c r="U740" s="351"/>
      <c r="V740" s="351"/>
      <c r="W740" s="351"/>
      <c r="X740" s="359"/>
      <c r="Y740" s="359"/>
      <c r="Z740" s="359"/>
      <c r="AA740" s="351"/>
      <c r="AB740" s="351"/>
      <c r="AC740" s="359"/>
      <c r="AD740" s="359"/>
      <c r="AE740" s="351"/>
      <c r="AF740" s="333"/>
      <c r="AG740" s="333"/>
      <c r="AH740" s="351"/>
      <c r="AI740" s="351"/>
      <c r="AJ740" s="351"/>
      <c r="AK740" s="351"/>
      <c r="AL740" s="351"/>
      <c r="AM740" s="351"/>
      <c r="AN740" s="351"/>
      <c r="AO740" s="351"/>
      <c r="AP740" s="351"/>
      <c r="AQ740" s="351"/>
      <c r="AR740" s="351"/>
      <c r="AS740" s="351"/>
      <c r="AT740" s="351"/>
      <c r="AU740" s="351"/>
      <c r="AV740" s="351"/>
      <c r="AW740" s="351"/>
      <c r="AX740" s="351"/>
      <c r="AY740" s="351"/>
    </row>
    <row r="741" spans="1:51" ht="13">
      <c r="A741" s="333"/>
      <c r="B741" s="351"/>
      <c r="C741" s="351"/>
      <c r="D741" s="333"/>
      <c r="E741" s="333"/>
      <c r="F741" s="333"/>
      <c r="G741" s="359"/>
      <c r="H741" s="359"/>
      <c r="I741" s="351"/>
      <c r="J741" s="359"/>
      <c r="K741" s="359"/>
      <c r="L741" s="359"/>
      <c r="M741" s="351"/>
      <c r="N741" s="351"/>
      <c r="O741" s="351"/>
      <c r="P741" s="351"/>
      <c r="Q741" s="351"/>
      <c r="R741" s="351"/>
      <c r="S741" s="351"/>
      <c r="T741" s="351"/>
      <c r="U741" s="351"/>
      <c r="V741" s="351"/>
      <c r="W741" s="351"/>
      <c r="X741" s="359"/>
      <c r="Y741" s="359"/>
      <c r="Z741" s="359"/>
      <c r="AA741" s="351"/>
      <c r="AB741" s="351"/>
      <c r="AC741" s="359"/>
      <c r="AD741" s="359"/>
      <c r="AE741" s="351"/>
      <c r="AF741" s="333"/>
      <c r="AG741" s="333"/>
      <c r="AH741" s="351"/>
      <c r="AI741" s="351"/>
      <c r="AJ741" s="351"/>
      <c r="AK741" s="351"/>
      <c r="AL741" s="351"/>
      <c r="AM741" s="351"/>
      <c r="AN741" s="351"/>
      <c r="AO741" s="351"/>
      <c r="AP741" s="351"/>
      <c r="AQ741" s="351"/>
      <c r="AR741" s="351"/>
      <c r="AS741" s="351"/>
      <c r="AT741" s="351"/>
      <c r="AU741" s="351"/>
      <c r="AV741" s="351"/>
      <c r="AW741" s="351"/>
      <c r="AX741" s="351"/>
      <c r="AY741" s="351"/>
    </row>
    <row r="742" spans="1:51" ht="13">
      <c r="A742" s="333"/>
      <c r="B742" s="351"/>
      <c r="C742" s="351"/>
      <c r="D742" s="333"/>
      <c r="E742" s="333"/>
      <c r="F742" s="333"/>
      <c r="G742" s="359"/>
      <c r="H742" s="359"/>
      <c r="I742" s="351"/>
      <c r="J742" s="359"/>
      <c r="K742" s="359"/>
      <c r="L742" s="359"/>
      <c r="M742" s="351"/>
      <c r="N742" s="351"/>
      <c r="O742" s="351"/>
      <c r="P742" s="351"/>
      <c r="Q742" s="351"/>
      <c r="R742" s="351"/>
      <c r="S742" s="351"/>
      <c r="T742" s="351"/>
      <c r="U742" s="351"/>
      <c r="V742" s="351"/>
      <c r="W742" s="351"/>
      <c r="X742" s="359"/>
      <c r="Y742" s="359"/>
      <c r="Z742" s="359"/>
      <c r="AA742" s="351"/>
      <c r="AB742" s="351"/>
      <c r="AC742" s="359"/>
      <c r="AD742" s="359"/>
      <c r="AE742" s="351"/>
      <c r="AF742" s="333"/>
      <c r="AG742" s="333"/>
      <c r="AH742" s="351"/>
      <c r="AI742" s="351"/>
      <c r="AJ742" s="351"/>
      <c r="AK742" s="351"/>
      <c r="AL742" s="351"/>
      <c r="AM742" s="351"/>
      <c r="AN742" s="351"/>
      <c r="AO742" s="351"/>
      <c r="AP742" s="351"/>
      <c r="AQ742" s="351"/>
      <c r="AR742" s="351"/>
      <c r="AS742" s="351"/>
      <c r="AT742" s="351"/>
      <c r="AU742" s="351"/>
      <c r="AV742" s="351"/>
      <c r="AW742" s="351"/>
      <c r="AX742" s="351"/>
      <c r="AY742" s="351"/>
    </row>
    <row r="743" spans="1:51" ht="13">
      <c r="A743" s="333"/>
      <c r="B743" s="351"/>
      <c r="C743" s="351"/>
      <c r="D743" s="333"/>
      <c r="E743" s="333"/>
      <c r="F743" s="333"/>
      <c r="G743" s="359"/>
      <c r="H743" s="359"/>
      <c r="I743" s="351"/>
      <c r="J743" s="359"/>
      <c r="K743" s="359"/>
      <c r="L743" s="359"/>
      <c r="M743" s="351"/>
      <c r="N743" s="351"/>
      <c r="O743" s="351"/>
      <c r="P743" s="351"/>
      <c r="Q743" s="351"/>
      <c r="R743" s="351"/>
      <c r="S743" s="351"/>
      <c r="T743" s="351"/>
      <c r="U743" s="351"/>
      <c r="V743" s="351"/>
      <c r="W743" s="351"/>
      <c r="X743" s="359"/>
      <c r="Y743" s="359"/>
      <c r="Z743" s="359"/>
      <c r="AA743" s="351"/>
      <c r="AB743" s="351"/>
      <c r="AC743" s="359"/>
      <c r="AD743" s="359"/>
      <c r="AE743" s="351"/>
      <c r="AF743" s="333"/>
      <c r="AG743" s="333"/>
      <c r="AH743" s="351"/>
      <c r="AI743" s="351"/>
      <c r="AJ743" s="351"/>
      <c r="AK743" s="351"/>
      <c r="AL743" s="351"/>
      <c r="AM743" s="351"/>
      <c r="AN743" s="351"/>
      <c r="AO743" s="351"/>
      <c r="AP743" s="351"/>
      <c r="AQ743" s="351"/>
      <c r="AR743" s="351"/>
      <c r="AS743" s="351"/>
      <c r="AT743" s="351"/>
      <c r="AU743" s="351"/>
      <c r="AV743" s="351"/>
      <c r="AW743" s="351"/>
      <c r="AX743" s="351"/>
      <c r="AY743" s="351"/>
    </row>
    <row r="744" spans="1:51" ht="13">
      <c r="A744" s="333"/>
      <c r="B744" s="351"/>
      <c r="C744" s="351"/>
      <c r="D744" s="333"/>
      <c r="E744" s="333"/>
      <c r="F744" s="333"/>
      <c r="G744" s="359"/>
      <c r="H744" s="359"/>
      <c r="I744" s="351"/>
      <c r="J744" s="359"/>
      <c r="K744" s="359"/>
      <c r="L744" s="359"/>
      <c r="M744" s="351"/>
      <c r="N744" s="351"/>
      <c r="O744" s="351"/>
      <c r="P744" s="351"/>
      <c r="Q744" s="351"/>
      <c r="R744" s="351"/>
      <c r="S744" s="351"/>
      <c r="T744" s="351"/>
      <c r="U744" s="351"/>
      <c r="V744" s="351"/>
      <c r="W744" s="351"/>
      <c r="X744" s="359"/>
      <c r="Y744" s="359"/>
      <c r="Z744" s="359"/>
      <c r="AA744" s="351"/>
      <c r="AB744" s="351"/>
      <c r="AC744" s="359"/>
      <c r="AD744" s="359"/>
      <c r="AE744" s="351"/>
      <c r="AF744" s="333"/>
      <c r="AG744" s="333"/>
      <c r="AH744" s="351"/>
      <c r="AI744" s="351"/>
      <c r="AJ744" s="351"/>
      <c r="AK744" s="351"/>
      <c r="AL744" s="351"/>
      <c r="AM744" s="351"/>
      <c r="AN744" s="351"/>
      <c r="AO744" s="351"/>
      <c r="AP744" s="351"/>
      <c r="AQ744" s="351"/>
      <c r="AR744" s="351"/>
      <c r="AS744" s="351"/>
      <c r="AT744" s="351"/>
      <c r="AU744" s="351"/>
      <c r="AV744" s="351"/>
      <c r="AW744" s="351"/>
      <c r="AX744" s="351"/>
      <c r="AY744" s="351"/>
    </row>
    <row r="745" spans="1:51" ht="13">
      <c r="A745" s="333"/>
      <c r="B745" s="351"/>
      <c r="C745" s="351"/>
      <c r="D745" s="333"/>
      <c r="E745" s="333"/>
      <c r="F745" s="333"/>
      <c r="G745" s="359"/>
      <c r="H745" s="359"/>
      <c r="I745" s="351"/>
      <c r="J745" s="359"/>
      <c r="K745" s="359"/>
      <c r="L745" s="359"/>
      <c r="M745" s="351"/>
      <c r="N745" s="351"/>
      <c r="O745" s="351"/>
      <c r="P745" s="351"/>
      <c r="Q745" s="351"/>
      <c r="R745" s="351"/>
      <c r="S745" s="351"/>
      <c r="T745" s="351"/>
      <c r="U745" s="351"/>
      <c r="V745" s="351"/>
      <c r="W745" s="351"/>
      <c r="X745" s="359"/>
      <c r="Y745" s="359"/>
      <c r="Z745" s="359"/>
      <c r="AA745" s="351"/>
      <c r="AB745" s="351"/>
      <c r="AC745" s="359"/>
      <c r="AD745" s="359"/>
      <c r="AE745" s="351"/>
      <c r="AF745" s="333"/>
      <c r="AG745" s="333"/>
      <c r="AH745" s="351"/>
      <c r="AI745" s="351"/>
      <c r="AJ745" s="351"/>
      <c r="AK745" s="351"/>
      <c r="AL745" s="351"/>
      <c r="AM745" s="351"/>
      <c r="AN745" s="351"/>
      <c r="AO745" s="351"/>
      <c r="AP745" s="351"/>
      <c r="AQ745" s="351"/>
      <c r="AR745" s="351"/>
      <c r="AS745" s="351"/>
      <c r="AT745" s="351"/>
      <c r="AU745" s="351"/>
      <c r="AV745" s="351"/>
      <c r="AW745" s="351"/>
      <c r="AX745" s="351"/>
      <c r="AY745" s="351"/>
    </row>
    <row r="746" spans="1:51" ht="13">
      <c r="A746" s="333"/>
      <c r="B746" s="351"/>
      <c r="C746" s="351"/>
      <c r="D746" s="333"/>
      <c r="E746" s="333"/>
      <c r="F746" s="333"/>
      <c r="G746" s="359"/>
      <c r="H746" s="359"/>
      <c r="I746" s="351"/>
      <c r="J746" s="359"/>
      <c r="K746" s="359"/>
      <c r="L746" s="359"/>
      <c r="M746" s="351"/>
      <c r="N746" s="351"/>
      <c r="O746" s="351"/>
      <c r="P746" s="351"/>
      <c r="Q746" s="351"/>
      <c r="R746" s="351"/>
      <c r="S746" s="351"/>
      <c r="T746" s="351"/>
      <c r="U746" s="351"/>
      <c r="V746" s="351"/>
      <c r="W746" s="351"/>
      <c r="X746" s="359"/>
      <c r="Y746" s="359"/>
      <c r="Z746" s="359"/>
      <c r="AA746" s="351"/>
      <c r="AB746" s="351"/>
      <c r="AC746" s="359"/>
      <c r="AD746" s="359"/>
      <c r="AE746" s="351"/>
      <c r="AF746" s="333"/>
      <c r="AG746" s="333"/>
      <c r="AH746" s="351"/>
      <c r="AI746" s="351"/>
      <c r="AJ746" s="351"/>
      <c r="AK746" s="351"/>
      <c r="AL746" s="351"/>
      <c r="AM746" s="351"/>
      <c r="AN746" s="351"/>
      <c r="AO746" s="351"/>
      <c r="AP746" s="351"/>
      <c r="AQ746" s="351"/>
      <c r="AR746" s="351"/>
      <c r="AS746" s="351"/>
      <c r="AT746" s="351"/>
      <c r="AU746" s="351"/>
      <c r="AV746" s="351"/>
      <c r="AW746" s="351"/>
      <c r="AX746" s="351"/>
      <c r="AY746" s="351"/>
    </row>
    <row r="747" spans="1:51" ht="13">
      <c r="A747" s="333"/>
      <c r="B747" s="351"/>
      <c r="C747" s="351"/>
      <c r="D747" s="333"/>
      <c r="E747" s="333"/>
      <c r="F747" s="333"/>
      <c r="G747" s="359"/>
      <c r="H747" s="359"/>
      <c r="I747" s="351"/>
      <c r="J747" s="359"/>
      <c r="K747" s="359"/>
      <c r="L747" s="359"/>
      <c r="M747" s="351"/>
      <c r="N747" s="351"/>
      <c r="O747" s="351"/>
      <c r="P747" s="351"/>
      <c r="Q747" s="351"/>
      <c r="R747" s="351"/>
      <c r="S747" s="351"/>
      <c r="T747" s="351"/>
      <c r="U747" s="351"/>
      <c r="V747" s="351"/>
      <c r="W747" s="351"/>
      <c r="X747" s="359"/>
      <c r="Y747" s="359"/>
      <c r="Z747" s="359"/>
      <c r="AA747" s="351"/>
      <c r="AB747" s="351"/>
      <c r="AC747" s="359"/>
      <c r="AD747" s="359"/>
      <c r="AE747" s="351"/>
      <c r="AF747" s="333"/>
      <c r="AG747" s="333"/>
      <c r="AH747" s="351"/>
      <c r="AI747" s="351"/>
      <c r="AJ747" s="351"/>
      <c r="AK747" s="351"/>
      <c r="AL747" s="351"/>
      <c r="AM747" s="351"/>
      <c r="AN747" s="351"/>
      <c r="AO747" s="351"/>
      <c r="AP747" s="351"/>
      <c r="AQ747" s="351"/>
      <c r="AR747" s="351"/>
      <c r="AS747" s="351"/>
      <c r="AT747" s="351"/>
      <c r="AU747" s="351"/>
      <c r="AV747" s="351"/>
      <c r="AW747" s="351"/>
      <c r="AX747" s="351"/>
      <c r="AY747" s="351"/>
    </row>
    <row r="748" spans="1:51" ht="13">
      <c r="A748" s="333"/>
      <c r="B748" s="351"/>
      <c r="C748" s="351"/>
      <c r="D748" s="333"/>
      <c r="E748" s="333"/>
      <c r="F748" s="333"/>
      <c r="G748" s="359"/>
      <c r="H748" s="359"/>
      <c r="I748" s="351"/>
      <c r="J748" s="359"/>
      <c r="K748" s="359"/>
      <c r="L748" s="359"/>
      <c r="M748" s="351"/>
      <c r="N748" s="351"/>
      <c r="O748" s="351"/>
      <c r="P748" s="351"/>
      <c r="Q748" s="351"/>
      <c r="R748" s="351"/>
      <c r="S748" s="351"/>
      <c r="T748" s="351"/>
      <c r="U748" s="351"/>
      <c r="V748" s="351"/>
      <c r="W748" s="351"/>
      <c r="X748" s="359"/>
      <c r="Y748" s="359"/>
      <c r="Z748" s="359"/>
      <c r="AA748" s="351"/>
      <c r="AB748" s="351"/>
      <c r="AC748" s="359"/>
      <c r="AD748" s="359"/>
      <c r="AE748" s="351"/>
      <c r="AF748" s="333"/>
      <c r="AG748" s="333"/>
      <c r="AH748" s="351"/>
      <c r="AI748" s="351"/>
      <c r="AJ748" s="351"/>
      <c r="AK748" s="351"/>
      <c r="AL748" s="351"/>
      <c r="AM748" s="351"/>
      <c r="AN748" s="351"/>
      <c r="AO748" s="351"/>
      <c r="AP748" s="351"/>
      <c r="AQ748" s="351"/>
      <c r="AR748" s="351"/>
      <c r="AS748" s="351"/>
      <c r="AT748" s="351"/>
      <c r="AU748" s="351"/>
      <c r="AV748" s="351"/>
      <c r="AW748" s="351"/>
      <c r="AX748" s="351"/>
      <c r="AY748" s="351"/>
    </row>
    <row r="749" spans="1:51" ht="13">
      <c r="A749" s="333"/>
      <c r="B749" s="351"/>
      <c r="C749" s="351"/>
      <c r="D749" s="333"/>
      <c r="E749" s="333"/>
      <c r="F749" s="333"/>
      <c r="G749" s="359"/>
      <c r="H749" s="359"/>
      <c r="I749" s="351"/>
      <c r="J749" s="359"/>
      <c r="K749" s="359"/>
      <c r="L749" s="359"/>
      <c r="M749" s="351"/>
      <c r="N749" s="351"/>
      <c r="O749" s="351"/>
      <c r="P749" s="351"/>
      <c r="Q749" s="351"/>
      <c r="R749" s="351"/>
      <c r="S749" s="351"/>
      <c r="T749" s="351"/>
      <c r="U749" s="351"/>
      <c r="V749" s="351"/>
      <c r="W749" s="351"/>
      <c r="X749" s="359"/>
      <c r="Y749" s="359"/>
      <c r="Z749" s="359"/>
      <c r="AA749" s="351"/>
      <c r="AB749" s="351"/>
      <c r="AC749" s="359"/>
      <c r="AD749" s="359"/>
      <c r="AE749" s="351"/>
      <c r="AF749" s="333"/>
      <c r="AG749" s="333"/>
      <c r="AH749" s="351"/>
      <c r="AI749" s="351"/>
      <c r="AJ749" s="351"/>
      <c r="AK749" s="351"/>
      <c r="AL749" s="351"/>
      <c r="AM749" s="351"/>
      <c r="AN749" s="351"/>
      <c r="AO749" s="351"/>
      <c r="AP749" s="351"/>
      <c r="AQ749" s="351"/>
      <c r="AR749" s="351"/>
      <c r="AS749" s="351"/>
      <c r="AT749" s="351"/>
      <c r="AU749" s="351"/>
      <c r="AV749" s="351"/>
      <c r="AW749" s="351"/>
      <c r="AX749" s="351"/>
      <c r="AY749" s="351"/>
    </row>
    <row r="750" spans="1:51" ht="13">
      <c r="A750" s="333"/>
      <c r="B750" s="351"/>
      <c r="C750" s="351"/>
      <c r="D750" s="333"/>
      <c r="E750" s="333"/>
      <c r="F750" s="333"/>
      <c r="G750" s="359"/>
      <c r="H750" s="359"/>
      <c r="I750" s="351"/>
      <c r="J750" s="359"/>
      <c r="K750" s="359"/>
      <c r="L750" s="359"/>
      <c r="M750" s="351"/>
      <c r="N750" s="351"/>
      <c r="O750" s="351"/>
      <c r="P750" s="351"/>
      <c r="Q750" s="351"/>
      <c r="R750" s="351"/>
      <c r="S750" s="351"/>
      <c r="T750" s="351"/>
      <c r="U750" s="351"/>
      <c r="V750" s="351"/>
      <c r="W750" s="351"/>
      <c r="X750" s="359"/>
      <c r="Y750" s="359"/>
      <c r="Z750" s="359"/>
      <c r="AA750" s="351"/>
      <c r="AB750" s="351"/>
      <c r="AC750" s="359"/>
      <c r="AD750" s="359"/>
      <c r="AE750" s="351"/>
      <c r="AF750" s="333"/>
      <c r="AG750" s="333"/>
      <c r="AH750" s="351"/>
      <c r="AI750" s="351"/>
      <c r="AJ750" s="351"/>
      <c r="AK750" s="351"/>
      <c r="AL750" s="351"/>
      <c r="AM750" s="351"/>
      <c r="AN750" s="351"/>
      <c r="AO750" s="351"/>
      <c r="AP750" s="351"/>
      <c r="AQ750" s="351"/>
      <c r="AR750" s="351"/>
      <c r="AS750" s="351"/>
      <c r="AT750" s="351"/>
      <c r="AU750" s="351"/>
      <c r="AV750" s="351"/>
      <c r="AW750" s="351"/>
      <c r="AX750" s="351"/>
      <c r="AY750" s="351"/>
    </row>
    <row r="751" spans="1:51" ht="13">
      <c r="A751" s="333"/>
      <c r="B751" s="351"/>
      <c r="C751" s="351"/>
      <c r="D751" s="333"/>
      <c r="E751" s="333"/>
      <c r="F751" s="333"/>
      <c r="G751" s="359"/>
      <c r="H751" s="359"/>
      <c r="I751" s="351"/>
      <c r="J751" s="359"/>
      <c r="K751" s="359"/>
      <c r="L751" s="359"/>
      <c r="M751" s="351"/>
      <c r="N751" s="351"/>
      <c r="O751" s="351"/>
      <c r="P751" s="351"/>
      <c r="Q751" s="351"/>
      <c r="R751" s="351"/>
      <c r="S751" s="351"/>
      <c r="T751" s="351"/>
      <c r="U751" s="351"/>
      <c r="V751" s="351"/>
      <c r="W751" s="351"/>
      <c r="X751" s="359"/>
      <c r="Y751" s="359"/>
      <c r="Z751" s="359"/>
      <c r="AA751" s="351"/>
      <c r="AB751" s="351"/>
      <c r="AC751" s="359"/>
      <c r="AD751" s="359"/>
      <c r="AE751" s="351"/>
      <c r="AF751" s="333"/>
      <c r="AG751" s="333"/>
      <c r="AH751" s="351"/>
      <c r="AI751" s="351"/>
      <c r="AJ751" s="351"/>
      <c r="AK751" s="351"/>
      <c r="AL751" s="351"/>
      <c r="AM751" s="351"/>
      <c r="AN751" s="351"/>
      <c r="AO751" s="351"/>
      <c r="AP751" s="351"/>
      <c r="AQ751" s="351"/>
      <c r="AR751" s="351"/>
      <c r="AS751" s="351"/>
      <c r="AT751" s="351"/>
      <c r="AU751" s="351"/>
      <c r="AV751" s="351"/>
      <c r="AW751" s="351"/>
      <c r="AX751" s="351"/>
      <c r="AY751" s="351"/>
    </row>
    <row r="752" spans="1:51" ht="13">
      <c r="A752" s="333"/>
      <c r="B752" s="351"/>
      <c r="C752" s="351"/>
      <c r="D752" s="333"/>
      <c r="E752" s="333"/>
      <c r="F752" s="333"/>
      <c r="G752" s="359"/>
      <c r="H752" s="359"/>
      <c r="I752" s="351"/>
      <c r="J752" s="359"/>
      <c r="K752" s="359"/>
      <c r="L752" s="359"/>
      <c r="M752" s="351"/>
      <c r="N752" s="351"/>
      <c r="O752" s="351"/>
      <c r="P752" s="351"/>
      <c r="Q752" s="351"/>
      <c r="R752" s="351"/>
      <c r="S752" s="351"/>
      <c r="T752" s="351"/>
      <c r="U752" s="351"/>
      <c r="V752" s="351"/>
      <c r="W752" s="351"/>
      <c r="X752" s="359"/>
      <c r="Y752" s="359"/>
      <c r="Z752" s="359"/>
      <c r="AA752" s="351"/>
      <c r="AB752" s="351"/>
      <c r="AC752" s="359"/>
      <c r="AD752" s="359"/>
      <c r="AE752" s="351"/>
      <c r="AF752" s="333"/>
      <c r="AG752" s="333"/>
      <c r="AH752" s="351"/>
      <c r="AI752" s="351"/>
      <c r="AJ752" s="351"/>
      <c r="AK752" s="351"/>
      <c r="AL752" s="351"/>
      <c r="AM752" s="351"/>
      <c r="AN752" s="351"/>
      <c r="AO752" s="351"/>
      <c r="AP752" s="351"/>
      <c r="AQ752" s="351"/>
      <c r="AR752" s="351"/>
      <c r="AS752" s="351"/>
      <c r="AT752" s="351"/>
      <c r="AU752" s="351"/>
      <c r="AV752" s="351"/>
      <c r="AW752" s="351"/>
      <c r="AX752" s="351"/>
      <c r="AY752" s="351"/>
    </row>
    <row r="753" spans="1:51" ht="13">
      <c r="A753" s="333"/>
      <c r="B753" s="351"/>
      <c r="C753" s="351"/>
      <c r="D753" s="333"/>
      <c r="E753" s="333"/>
      <c r="F753" s="333"/>
      <c r="G753" s="359"/>
      <c r="H753" s="359"/>
      <c r="I753" s="351"/>
      <c r="J753" s="359"/>
      <c r="K753" s="359"/>
      <c r="L753" s="359"/>
      <c r="M753" s="351"/>
      <c r="N753" s="351"/>
      <c r="O753" s="351"/>
      <c r="P753" s="351"/>
      <c r="Q753" s="351"/>
      <c r="R753" s="351"/>
      <c r="S753" s="351"/>
      <c r="T753" s="351"/>
      <c r="U753" s="351"/>
      <c r="V753" s="351"/>
      <c r="W753" s="351"/>
      <c r="X753" s="359"/>
      <c r="Y753" s="359"/>
      <c r="Z753" s="359"/>
      <c r="AA753" s="351"/>
      <c r="AB753" s="351"/>
      <c r="AC753" s="359"/>
      <c r="AD753" s="359"/>
      <c r="AE753" s="351"/>
      <c r="AF753" s="333"/>
      <c r="AG753" s="333"/>
      <c r="AH753" s="351"/>
      <c r="AI753" s="351"/>
      <c r="AJ753" s="351"/>
      <c r="AK753" s="351"/>
      <c r="AL753" s="351"/>
      <c r="AM753" s="351"/>
      <c r="AN753" s="351"/>
      <c r="AO753" s="351"/>
      <c r="AP753" s="351"/>
      <c r="AQ753" s="351"/>
      <c r="AR753" s="351"/>
      <c r="AS753" s="351"/>
      <c r="AT753" s="351"/>
      <c r="AU753" s="351"/>
      <c r="AV753" s="351"/>
      <c r="AW753" s="351"/>
      <c r="AX753" s="351"/>
      <c r="AY753" s="351"/>
    </row>
    <row r="754" spans="1:51" ht="13">
      <c r="A754" s="333"/>
      <c r="B754" s="351"/>
      <c r="C754" s="351"/>
      <c r="D754" s="333"/>
      <c r="E754" s="333"/>
      <c r="F754" s="333"/>
      <c r="G754" s="359"/>
      <c r="H754" s="359"/>
      <c r="I754" s="351"/>
      <c r="J754" s="359"/>
      <c r="K754" s="359"/>
      <c r="L754" s="359"/>
      <c r="M754" s="351"/>
      <c r="N754" s="351"/>
      <c r="O754" s="351"/>
      <c r="P754" s="351"/>
      <c r="Q754" s="351"/>
      <c r="R754" s="351"/>
      <c r="S754" s="351"/>
      <c r="T754" s="351"/>
      <c r="U754" s="351"/>
      <c r="V754" s="351"/>
      <c r="W754" s="351"/>
      <c r="X754" s="359"/>
      <c r="Y754" s="359"/>
      <c r="Z754" s="359"/>
      <c r="AA754" s="351"/>
      <c r="AB754" s="351"/>
      <c r="AC754" s="359"/>
      <c r="AD754" s="359"/>
      <c r="AE754" s="351"/>
      <c r="AF754" s="333"/>
      <c r="AG754" s="333"/>
      <c r="AH754" s="351"/>
      <c r="AI754" s="351"/>
      <c r="AJ754" s="351"/>
      <c r="AK754" s="351"/>
      <c r="AL754" s="351"/>
      <c r="AM754" s="351"/>
      <c r="AN754" s="351"/>
      <c r="AO754" s="351"/>
      <c r="AP754" s="351"/>
      <c r="AQ754" s="351"/>
      <c r="AR754" s="351"/>
      <c r="AS754" s="351"/>
      <c r="AT754" s="351"/>
      <c r="AU754" s="351"/>
      <c r="AV754" s="351"/>
      <c r="AW754" s="351"/>
      <c r="AX754" s="351"/>
      <c r="AY754" s="351"/>
    </row>
    <row r="755" spans="1:51" ht="13">
      <c r="A755" s="333"/>
      <c r="B755" s="351"/>
      <c r="C755" s="351"/>
      <c r="D755" s="333"/>
      <c r="E755" s="333"/>
      <c r="F755" s="333"/>
      <c r="G755" s="359"/>
      <c r="H755" s="359"/>
      <c r="I755" s="351"/>
      <c r="J755" s="359"/>
      <c r="K755" s="359"/>
      <c r="L755" s="359"/>
      <c r="M755" s="351"/>
      <c r="N755" s="351"/>
      <c r="O755" s="351"/>
      <c r="P755" s="351"/>
      <c r="Q755" s="351"/>
      <c r="R755" s="351"/>
      <c r="S755" s="351"/>
      <c r="T755" s="351"/>
      <c r="U755" s="351"/>
      <c r="V755" s="351"/>
      <c r="W755" s="351"/>
      <c r="X755" s="359"/>
      <c r="Y755" s="359"/>
      <c r="Z755" s="359"/>
      <c r="AA755" s="351"/>
      <c r="AB755" s="351"/>
      <c r="AC755" s="359"/>
      <c r="AD755" s="359"/>
      <c r="AE755" s="351"/>
      <c r="AF755" s="333"/>
      <c r="AG755" s="333"/>
      <c r="AH755" s="351"/>
      <c r="AI755" s="351"/>
      <c r="AJ755" s="351"/>
      <c r="AK755" s="351"/>
      <c r="AL755" s="351"/>
      <c r="AM755" s="351"/>
      <c r="AN755" s="351"/>
      <c r="AO755" s="351"/>
      <c r="AP755" s="351"/>
      <c r="AQ755" s="351"/>
      <c r="AR755" s="351"/>
      <c r="AS755" s="351"/>
      <c r="AT755" s="351"/>
      <c r="AU755" s="351"/>
      <c r="AV755" s="351"/>
      <c r="AW755" s="351"/>
      <c r="AX755" s="351"/>
      <c r="AY755" s="351"/>
    </row>
    <row r="756" spans="1:51" ht="13">
      <c r="A756" s="333"/>
      <c r="B756" s="351"/>
      <c r="C756" s="351"/>
      <c r="D756" s="333"/>
      <c r="E756" s="333"/>
      <c r="F756" s="333"/>
      <c r="G756" s="359"/>
      <c r="H756" s="359"/>
      <c r="I756" s="351"/>
      <c r="J756" s="359"/>
      <c r="K756" s="359"/>
      <c r="L756" s="359"/>
      <c r="M756" s="351"/>
      <c r="N756" s="351"/>
      <c r="O756" s="351"/>
      <c r="P756" s="351"/>
      <c r="Q756" s="351"/>
      <c r="R756" s="351"/>
      <c r="S756" s="351"/>
      <c r="T756" s="351"/>
      <c r="U756" s="351"/>
      <c r="V756" s="351"/>
      <c r="W756" s="351"/>
      <c r="X756" s="359"/>
      <c r="Y756" s="359"/>
      <c r="Z756" s="359"/>
      <c r="AA756" s="351"/>
      <c r="AB756" s="351"/>
      <c r="AC756" s="359"/>
      <c r="AD756" s="359"/>
      <c r="AE756" s="351"/>
      <c r="AF756" s="333"/>
      <c r="AG756" s="333"/>
      <c r="AH756" s="351"/>
      <c r="AI756" s="351"/>
      <c r="AJ756" s="351"/>
      <c r="AK756" s="351"/>
      <c r="AL756" s="351"/>
      <c r="AM756" s="351"/>
      <c r="AN756" s="351"/>
      <c r="AO756" s="351"/>
      <c r="AP756" s="351"/>
      <c r="AQ756" s="351"/>
      <c r="AR756" s="351"/>
      <c r="AS756" s="351"/>
      <c r="AT756" s="351"/>
      <c r="AU756" s="351"/>
      <c r="AV756" s="351"/>
      <c r="AW756" s="351"/>
      <c r="AX756" s="351"/>
      <c r="AY756" s="351"/>
    </row>
    <row r="757" spans="1:51" ht="13">
      <c r="A757" s="333"/>
      <c r="B757" s="351"/>
      <c r="C757" s="351"/>
      <c r="D757" s="333"/>
      <c r="E757" s="333"/>
      <c r="F757" s="333"/>
      <c r="G757" s="359"/>
      <c r="H757" s="359"/>
      <c r="I757" s="351"/>
      <c r="J757" s="359"/>
      <c r="K757" s="359"/>
      <c r="L757" s="359"/>
      <c r="M757" s="351"/>
      <c r="N757" s="351"/>
      <c r="O757" s="351"/>
      <c r="P757" s="351"/>
      <c r="Q757" s="351"/>
      <c r="R757" s="351"/>
      <c r="S757" s="351"/>
      <c r="T757" s="351"/>
      <c r="U757" s="351"/>
      <c r="V757" s="351"/>
      <c r="W757" s="351"/>
      <c r="X757" s="359"/>
      <c r="Y757" s="359"/>
      <c r="Z757" s="359"/>
      <c r="AA757" s="351"/>
      <c r="AB757" s="351"/>
      <c r="AC757" s="359"/>
      <c r="AD757" s="359"/>
      <c r="AE757" s="351"/>
      <c r="AF757" s="333"/>
      <c r="AG757" s="333"/>
      <c r="AH757" s="351"/>
      <c r="AI757" s="351"/>
      <c r="AJ757" s="351"/>
      <c r="AK757" s="351"/>
      <c r="AL757" s="351"/>
      <c r="AM757" s="351"/>
      <c r="AN757" s="351"/>
      <c r="AO757" s="351"/>
      <c r="AP757" s="351"/>
      <c r="AQ757" s="351"/>
      <c r="AR757" s="351"/>
      <c r="AS757" s="351"/>
      <c r="AT757" s="351"/>
      <c r="AU757" s="351"/>
      <c r="AV757" s="351"/>
      <c r="AW757" s="351"/>
      <c r="AX757" s="351"/>
      <c r="AY757" s="351"/>
    </row>
    <row r="758" spans="1:51" ht="13">
      <c r="A758" s="333"/>
      <c r="B758" s="351"/>
      <c r="C758" s="351"/>
      <c r="D758" s="333"/>
      <c r="E758" s="333"/>
      <c r="F758" s="333"/>
      <c r="G758" s="359"/>
      <c r="H758" s="359"/>
      <c r="I758" s="351"/>
      <c r="J758" s="359"/>
      <c r="K758" s="359"/>
      <c r="L758" s="359"/>
      <c r="M758" s="351"/>
      <c r="N758" s="351"/>
      <c r="O758" s="351"/>
      <c r="P758" s="351"/>
      <c r="Q758" s="351"/>
      <c r="R758" s="351"/>
      <c r="S758" s="351"/>
      <c r="T758" s="351"/>
      <c r="U758" s="351"/>
      <c r="V758" s="351"/>
      <c r="W758" s="351"/>
      <c r="X758" s="359"/>
      <c r="Y758" s="359"/>
      <c r="Z758" s="359"/>
      <c r="AA758" s="351"/>
      <c r="AB758" s="351"/>
      <c r="AC758" s="359"/>
      <c r="AD758" s="359"/>
      <c r="AE758" s="351"/>
      <c r="AF758" s="333"/>
      <c r="AG758" s="333"/>
      <c r="AH758" s="351"/>
      <c r="AI758" s="351"/>
      <c r="AJ758" s="351"/>
      <c r="AK758" s="351"/>
      <c r="AL758" s="351"/>
      <c r="AM758" s="351"/>
      <c r="AN758" s="351"/>
      <c r="AO758" s="351"/>
      <c r="AP758" s="351"/>
      <c r="AQ758" s="351"/>
      <c r="AR758" s="351"/>
      <c r="AS758" s="351"/>
      <c r="AT758" s="351"/>
      <c r="AU758" s="351"/>
      <c r="AV758" s="351"/>
      <c r="AW758" s="351"/>
      <c r="AX758" s="351"/>
      <c r="AY758" s="351"/>
    </row>
    <row r="759" spans="1:51" ht="13">
      <c r="A759" s="333"/>
      <c r="B759" s="351"/>
      <c r="C759" s="351"/>
      <c r="D759" s="333"/>
      <c r="E759" s="333"/>
      <c r="F759" s="333"/>
      <c r="G759" s="359"/>
      <c r="H759" s="359"/>
      <c r="I759" s="351"/>
      <c r="J759" s="359"/>
      <c r="K759" s="359"/>
      <c r="L759" s="359"/>
      <c r="M759" s="351"/>
      <c r="N759" s="351"/>
      <c r="O759" s="351"/>
      <c r="P759" s="351"/>
      <c r="Q759" s="351"/>
      <c r="R759" s="351"/>
      <c r="S759" s="351"/>
      <c r="T759" s="351"/>
      <c r="U759" s="351"/>
      <c r="V759" s="351"/>
      <c r="W759" s="351"/>
      <c r="X759" s="359"/>
      <c r="Y759" s="359"/>
      <c r="Z759" s="359"/>
      <c r="AA759" s="351"/>
      <c r="AB759" s="351"/>
      <c r="AC759" s="359"/>
      <c r="AD759" s="359"/>
      <c r="AE759" s="351"/>
      <c r="AF759" s="333"/>
      <c r="AG759" s="333"/>
      <c r="AH759" s="351"/>
      <c r="AI759" s="351"/>
      <c r="AJ759" s="351"/>
      <c r="AK759" s="351"/>
      <c r="AL759" s="351"/>
      <c r="AM759" s="351"/>
      <c r="AN759" s="351"/>
      <c r="AO759" s="351"/>
      <c r="AP759" s="351"/>
      <c r="AQ759" s="351"/>
      <c r="AR759" s="351"/>
      <c r="AS759" s="351"/>
      <c r="AT759" s="351"/>
      <c r="AU759" s="351"/>
      <c r="AV759" s="351"/>
      <c r="AW759" s="351"/>
      <c r="AX759" s="351"/>
      <c r="AY759" s="351"/>
    </row>
    <row r="760" spans="1:51" ht="13">
      <c r="A760" s="333"/>
      <c r="B760" s="351"/>
      <c r="C760" s="351"/>
      <c r="D760" s="333"/>
      <c r="E760" s="333"/>
      <c r="F760" s="333"/>
      <c r="G760" s="359"/>
      <c r="H760" s="359"/>
      <c r="I760" s="351"/>
      <c r="J760" s="359"/>
      <c r="K760" s="359"/>
      <c r="L760" s="359"/>
      <c r="M760" s="351"/>
      <c r="N760" s="351"/>
      <c r="O760" s="351"/>
      <c r="P760" s="351"/>
      <c r="Q760" s="351"/>
      <c r="R760" s="351"/>
      <c r="S760" s="351"/>
      <c r="T760" s="351"/>
      <c r="U760" s="351"/>
      <c r="V760" s="351"/>
      <c r="W760" s="351"/>
      <c r="X760" s="359"/>
      <c r="Y760" s="359"/>
      <c r="Z760" s="359"/>
      <c r="AA760" s="351"/>
      <c r="AB760" s="351"/>
      <c r="AC760" s="359"/>
      <c r="AD760" s="359"/>
      <c r="AE760" s="351"/>
      <c r="AF760" s="333"/>
      <c r="AG760" s="333"/>
      <c r="AH760" s="351"/>
      <c r="AI760" s="351"/>
      <c r="AJ760" s="351"/>
      <c r="AK760" s="351"/>
      <c r="AL760" s="351"/>
      <c r="AM760" s="351"/>
      <c r="AN760" s="351"/>
      <c r="AO760" s="351"/>
      <c r="AP760" s="351"/>
      <c r="AQ760" s="351"/>
      <c r="AR760" s="351"/>
      <c r="AS760" s="351"/>
      <c r="AT760" s="351"/>
      <c r="AU760" s="351"/>
      <c r="AV760" s="351"/>
      <c r="AW760" s="351"/>
      <c r="AX760" s="351"/>
      <c r="AY760" s="351"/>
    </row>
    <row r="761" spans="1:51" ht="13">
      <c r="A761" s="333"/>
      <c r="B761" s="351"/>
      <c r="C761" s="351"/>
      <c r="D761" s="333"/>
      <c r="E761" s="333"/>
      <c r="F761" s="333"/>
      <c r="G761" s="359"/>
      <c r="H761" s="359"/>
      <c r="I761" s="351"/>
      <c r="J761" s="359"/>
      <c r="K761" s="359"/>
      <c r="L761" s="359"/>
      <c r="M761" s="351"/>
      <c r="N761" s="351"/>
      <c r="O761" s="351"/>
      <c r="P761" s="351"/>
      <c r="Q761" s="351"/>
      <c r="R761" s="351"/>
      <c r="S761" s="351"/>
      <c r="T761" s="351"/>
      <c r="U761" s="351"/>
      <c r="V761" s="351"/>
      <c r="W761" s="351"/>
      <c r="X761" s="359"/>
      <c r="Y761" s="359"/>
      <c r="Z761" s="359"/>
      <c r="AA761" s="351"/>
      <c r="AB761" s="351"/>
      <c r="AC761" s="359"/>
      <c r="AD761" s="359"/>
      <c r="AE761" s="351"/>
      <c r="AF761" s="333"/>
      <c r="AG761" s="333"/>
      <c r="AH761" s="351"/>
      <c r="AI761" s="351"/>
      <c r="AJ761" s="351"/>
      <c r="AK761" s="351"/>
      <c r="AL761" s="351"/>
      <c r="AM761" s="351"/>
      <c r="AN761" s="351"/>
      <c r="AO761" s="351"/>
      <c r="AP761" s="351"/>
      <c r="AQ761" s="351"/>
      <c r="AR761" s="351"/>
      <c r="AS761" s="351"/>
      <c r="AT761" s="351"/>
      <c r="AU761" s="351"/>
      <c r="AV761" s="351"/>
      <c r="AW761" s="351"/>
      <c r="AX761" s="351"/>
      <c r="AY761" s="351"/>
    </row>
    <row r="762" spans="1:51" ht="13">
      <c r="A762" s="333"/>
      <c r="B762" s="351"/>
      <c r="C762" s="351"/>
      <c r="D762" s="333"/>
      <c r="E762" s="333"/>
      <c r="F762" s="333"/>
      <c r="G762" s="359"/>
      <c r="H762" s="359"/>
      <c r="I762" s="351"/>
      <c r="J762" s="359"/>
      <c r="K762" s="359"/>
      <c r="L762" s="359"/>
      <c r="M762" s="351"/>
      <c r="N762" s="351"/>
      <c r="O762" s="351"/>
      <c r="P762" s="351"/>
      <c r="Q762" s="351"/>
      <c r="R762" s="351"/>
      <c r="S762" s="351"/>
      <c r="T762" s="351"/>
      <c r="U762" s="351"/>
      <c r="V762" s="351"/>
      <c r="W762" s="351"/>
      <c r="X762" s="359"/>
      <c r="Y762" s="359"/>
      <c r="Z762" s="359"/>
      <c r="AA762" s="351"/>
      <c r="AB762" s="351"/>
      <c r="AC762" s="359"/>
      <c r="AD762" s="359"/>
      <c r="AE762" s="351"/>
      <c r="AF762" s="333"/>
      <c r="AG762" s="333"/>
      <c r="AH762" s="351"/>
      <c r="AI762" s="351"/>
      <c r="AJ762" s="351"/>
      <c r="AK762" s="351"/>
      <c r="AL762" s="351"/>
      <c r="AM762" s="351"/>
      <c r="AN762" s="351"/>
      <c r="AO762" s="351"/>
      <c r="AP762" s="351"/>
      <c r="AQ762" s="351"/>
      <c r="AR762" s="351"/>
      <c r="AS762" s="351"/>
      <c r="AT762" s="351"/>
      <c r="AU762" s="351"/>
      <c r="AV762" s="351"/>
      <c r="AW762" s="351"/>
      <c r="AX762" s="351"/>
      <c r="AY762" s="351"/>
    </row>
    <row r="763" spans="1:51" ht="13">
      <c r="A763" s="333"/>
      <c r="B763" s="351"/>
      <c r="C763" s="351"/>
      <c r="D763" s="333"/>
      <c r="E763" s="333"/>
      <c r="F763" s="333"/>
      <c r="G763" s="359"/>
      <c r="H763" s="359"/>
      <c r="I763" s="351"/>
      <c r="J763" s="359"/>
      <c r="K763" s="359"/>
      <c r="L763" s="359"/>
      <c r="M763" s="351"/>
      <c r="N763" s="351"/>
      <c r="O763" s="351"/>
      <c r="P763" s="351"/>
      <c r="Q763" s="351"/>
      <c r="R763" s="351"/>
      <c r="S763" s="351"/>
      <c r="T763" s="351"/>
      <c r="U763" s="351"/>
      <c r="V763" s="351"/>
      <c r="W763" s="351"/>
      <c r="X763" s="359"/>
      <c r="Y763" s="359"/>
      <c r="Z763" s="359"/>
      <c r="AA763" s="351"/>
      <c r="AB763" s="351"/>
      <c r="AC763" s="359"/>
      <c r="AD763" s="359"/>
      <c r="AE763" s="351"/>
      <c r="AF763" s="333"/>
      <c r="AG763" s="333"/>
      <c r="AH763" s="351"/>
      <c r="AI763" s="351"/>
      <c r="AJ763" s="351"/>
      <c r="AK763" s="351"/>
      <c r="AL763" s="351"/>
      <c r="AM763" s="351"/>
      <c r="AN763" s="351"/>
      <c r="AO763" s="351"/>
      <c r="AP763" s="351"/>
      <c r="AQ763" s="351"/>
      <c r="AR763" s="351"/>
      <c r="AS763" s="351"/>
      <c r="AT763" s="351"/>
      <c r="AU763" s="351"/>
      <c r="AV763" s="351"/>
      <c r="AW763" s="351"/>
      <c r="AX763" s="351"/>
      <c r="AY763" s="351"/>
    </row>
    <row r="764" spans="1:51" ht="13">
      <c r="A764" s="333"/>
      <c r="B764" s="351"/>
      <c r="C764" s="351"/>
      <c r="D764" s="333"/>
      <c r="E764" s="333"/>
      <c r="F764" s="333"/>
      <c r="G764" s="359"/>
      <c r="H764" s="359"/>
      <c r="I764" s="351"/>
      <c r="J764" s="359"/>
      <c r="K764" s="359"/>
      <c r="L764" s="359"/>
      <c r="M764" s="351"/>
      <c r="N764" s="351"/>
      <c r="O764" s="351"/>
      <c r="P764" s="351"/>
      <c r="Q764" s="351"/>
      <c r="R764" s="351"/>
      <c r="S764" s="351"/>
      <c r="T764" s="351"/>
      <c r="U764" s="351"/>
      <c r="V764" s="351"/>
      <c r="W764" s="351"/>
      <c r="X764" s="359"/>
      <c r="Y764" s="359"/>
      <c r="Z764" s="359"/>
      <c r="AA764" s="351"/>
      <c r="AB764" s="351"/>
      <c r="AC764" s="359"/>
      <c r="AD764" s="359"/>
      <c r="AE764" s="351"/>
      <c r="AF764" s="333"/>
      <c r="AG764" s="333"/>
      <c r="AH764" s="351"/>
      <c r="AI764" s="351"/>
      <c r="AJ764" s="351"/>
      <c r="AK764" s="351"/>
      <c r="AL764" s="351"/>
      <c r="AM764" s="351"/>
      <c r="AN764" s="351"/>
      <c r="AO764" s="351"/>
      <c r="AP764" s="351"/>
      <c r="AQ764" s="351"/>
      <c r="AR764" s="351"/>
      <c r="AS764" s="351"/>
      <c r="AT764" s="351"/>
      <c r="AU764" s="351"/>
      <c r="AV764" s="351"/>
      <c r="AW764" s="351"/>
      <c r="AX764" s="351"/>
      <c r="AY764" s="351"/>
    </row>
    <row r="765" spans="1:51" ht="13">
      <c r="A765" s="333"/>
      <c r="B765" s="351"/>
      <c r="C765" s="351"/>
      <c r="D765" s="333"/>
      <c r="E765" s="333"/>
      <c r="F765" s="333"/>
      <c r="G765" s="359"/>
      <c r="H765" s="359"/>
      <c r="I765" s="351"/>
      <c r="J765" s="359"/>
      <c r="K765" s="359"/>
      <c r="L765" s="359"/>
      <c r="M765" s="351"/>
      <c r="N765" s="351"/>
      <c r="O765" s="351"/>
      <c r="P765" s="351"/>
      <c r="Q765" s="351"/>
      <c r="R765" s="351"/>
      <c r="S765" s="351"/>
      <c r="T765" s="351"/>
      <c r="U765" s="351"/>
      <c r="V765" s="351"/>
      <c r="W765" s="351"/>
      <c r="X765" s="359"/>
      <c r="Y765" s="359"/>
      <c r="Z765" s="359"/>
      <c r="AA765" s="351"/>
      <c r="AB765" s="351"/>
      <c r="AC765" s="359"/>
      <c r="AD765" s="359"/>
      <c r="AE765" s="351"/>
      <c r="AF765" s="333"/>
      <c r="AG765" s="333"/>
      <c r="AH765" s="351"/>
      <c r="AI765" s="351"/>
      <c r="AJ765" s="351"/>
      <c r="AK765" s="351"/>
      <c r="AL765" s="351"/>
      <c r="AM765" s="351"/>
      <c r="AN765" s="351"/>
      <c r="AO765" s="351"/>
      <c r="AP765" s="351"/>
      <c r="AQ765" s="351"/>
      <c r="AR765" s="351"/>
      <c r="AS765" s="351"/>
      <c r="AT765" s="351"/>
      <c r="AU765" s="351"/>
      <c r="AV765" s="351"/>
      <c r="AW765" s="351"/>
      <c r="AX765" s="351"/>
      <c r="AY765" s="351"/>
    </row>
    <row r="766" spans="1:51" ht="13">
      <c r="A766" s="333"/>
      <c r="B766" s="351"/>
      <c r="C766" s="351"/>
      <c r="D766" s="333"/>
      <c r="E766" s="333"/>
      <c r="F766" s="333"/>
      <c r="G766" s="359"/>
      <c r="H766" s="359"/>
      <c r="I766" s="351"/>
      <c r="J766" s="359"/>
      <c r="K766" s="359"/>
      <c r="L766" s="359"/>
      <c r="M766" s="351"/>
      <c r="N766" s="351"/>
      <c r="O766" s="351"/>
      <c r="P766" s="351"/>
      <c r="Q766" s="351"/>
      <c r="R766" s="351"/>
      <c r="S766" s="351"/>
      <c r="T766" s="351"/>
      <c r="U766" s="351"/>
      <c r="V766" s="351"/>
      <c r="W766" s="351"/>
      <c r="X766" s="359"/>
      <c r="Y766" s="359"/>
      <c r="Z766" s="359"/>
      <c r="AA766" s="351"/>
      <c r="AB766" s="351"/>
      <c r="AC766" s="359"/>
      <c r="AD766" s="359"/>
      <c r="AE766" s="351"/>
      <c r="AF766" s="333"/>
      <c r="AG766" s="333"/>
      <c r="AH766" s="351"/>
      <c r="AI766" s="351"/>
      <c r="AJ766" s="351"/>
      <c r="AK766" s="351"/>
      <c r="AL766" s="351"/>
      <c r="AM766" s="351"/>
      <c r="AN766" s="351"/>
      <c r="AO766" s="351"/>
      <c r="AP766" s="351"/>
      <c r="AQ766" s="351"/>
      <c r="AR766" s="351"/>
      <c r="AS766" s="351"/>
      <c r="AT766" s="351"/>
      <c r="AU766" s="351"/>
      <c r="AV766" s="351"/>
      <c r="AW766" s="351"/>
      <c r="AX766" s="351"/>
      <c r="AY766" s="351"/>
    </row>
    <row r="767" spans="1:51" ht="13">
      <c r="A767" s="333"/>
      <c r="B767" s="351"/>
      <c r="C767" s="351"/>
      <c r="D767" s="333"/>
      <c r="E767" s="333"/>
      <c r="F767" s="333"/>
      <c r="G767" s="359"/>
      <c r="H767" s="359"/>
      <c r="I767" s="351"/>
      <c r="J767" s="359"/>
      <c r="K767" s="359"/>
      <c r="L767" s="359"/>
      <c r="M767" s="351"/>
      <c r="N767" s="351"/>
      <c r="O767" s="351"/>
      <c r="P767" s="351"/>
      <c r="Q767" s="351"/>
      <c r="R767" s="351"/>
      <c r="S767" s="351"/>
      <c r="T767" s="351"/>
      <c r="U767" s="351"/>
      <c r="V767" s="351"/>
      <c r="W767" s="351"/>
      <c r="X767" s="359"/>
      <c r="Y767" s="359"/>
      <c r="Z767" s="359"/>
      <c r="AA767" s="351"/>
      <c r="AB767" s="351"/>
      <c r="AC767" s="359"/>
      <c r="AD767" s="359"/>
      <c r="AE767" s="351"/>
      <c r="AF767" s="333"/>
      <c r="AG767" s="333"/>
      <c r="AH767" s="351"/>
      <c r="AI767" s="351"/>
      <c r="AJ767" s="351"/>
      <c r="AK767" s="351"/>
      <c r="AL767" s="351"/>
      <c r="AM767" s="351"/>
      <c r="AN767" s="351"/>
      <c r="AO767" s="351"/>
      <c r="AP767" s="351"/>
      <c r="AQ767" s="351"/>
      <c r="AR767" s="351"/>
      <c r="AS767" s="351"/>
      <c r="AT767" s="351"/>
      <c r="AU767" s="351"/>
      <c r="AV767" s="351"/>
      <c r="AW767" s="351"/>
      <c r="AX767" s="351"/>
      <c r="AY767" s="351"/>
    </row>
    <row r="768" spans="1:51" ht="13">
      <c r="A768" s="333"/>
      <c r="B768" s="351"/>
      <c r="C768" s="351"/>
      <c r="D768" s="333"/>
      <c r="E768" s="333"/>
      <c r="F768" s="333"/>
      <c r="G768" s="359"/>
      <c r="H768" s="359"/>
      <c r="I768" s="351"/>
      <c r="J768" s="359"/>
      <c r="K768" s="359"/>
      <c r="L768" s="359"/>
      <c r="M768" s="351"/>
      <c r="N768" s="351"/>
      <c r="O768" s="351"/>
      <c r="P768" s="351"/>
      <c r="Q768" s="351"/>
      <c r="R768" s="351"/>
      <c r="S768" s="351"/>
      <c r="T768" s="351"/>
      <c r="U768" s="351"/>
      <c r="V768" s="351"/>
      <c r="W768" s="351"/>
      <c r="X768" s="359"/>
      <c r="Y768" s="359"/>
      <c r="Z768" s="359"/>
      <c r="AA768" s="351"/>
      <c r="AB768" s="351"/>
      <c r="AC768" s="359"/>
      <c r="AD768" s="359"/>
      <c r="AE768" s="351"/>
      <c r="AF768" s="333"/>
      <c r="AG768" s="333"/>
      <c r="AH768" s="351"/>
      <c r="AI768" s="351"/>
      <c r="AJ768" s="351"/>
      <c r="AK768" s="351"/>
      <c r="AL768" s="351"/>
      <c r="AM768" s="351"/>
      <c r="AN768" s="351"/>
      <c r="AO768" s="351"/>
      <c r="AP768" s="351"/>
      <c r="AQ768" s="351"/>
      <c r="AR768" s="351"/>
      <c r="AS768" s="351"/>
      <c r="AT768" s="351"/>
      <c r="AU768" s="351"/>
      <c r="AV768" s="351"/>
      <c r="AW768" s="351"/>
      <c r="AX768" s="351"/>
      <c r="AY768" s="351"/>
    </row>
    <row r="769" spans="1:51" ht="13">
      <c r="A769" s="333"/>
      <c r="B769" s="351"/>
      <c r="C769" s="351"/>
      <c r="D769" s="333"/>
      <c r="E769" s="333"/>
      <c r="F769" s="333"/>
      <c r="G769" s="359"/>
      <c r="H769" s="359"/>
      <c r="I769" s="351"/>
      <c r="J769" s="359"/>
      <c r="K769" s="359"/>
      <c r="L769" s="359"/>
      <c r="M769" s="351"/>
      <c r="N769" s="351"/>
      <c r="O769" s="351"/>
      <c r="P769" s="351"/>
      <c r="Q769" s="351"/>
      <c r="R769" s="351"/>
      <c r="S769" s="351"/>
      <c r="T769" s="351"/>
      <c r="U769" s="351"/>
      <c r="V769" s="351"/>
      <c r="W769" s="351"/>
      <c r="X769" s="359"/>
      <c r="Y769" s="359"/>
      <c r="Z769" s="359"/>
      <c r="AA769" s="351"/>
      <c r="AB769" s="351"/>
      <c r="AC769" s="359"/>
      <c r="AD769" s="359"/>
      <c r="AE769" s="351"/>
      <c r="AF769" s="333"/>
      <c r="AG769" s="333"/>
      <c r="AH769" s="351"/>
      <c r="AI769" s="351"/>
      <c r="AJ769" s="351"/>
      <c r="AK769" s="351"/>
      <c r="AL769" s="351"/>
      <c r="AM769" s="351"/>
      <c r="AN769" s="351"/>
      <c r="AO769" s="351"/>
      <c r="AP769" s="351"/>
      <c r="AQ769" s="351"/>
      <c r="AR769" s="351"/>
      <c r="AS769" s="351"/>
      <c r="AT769" s="351"/>
      <c r="AU769" s="351"/>
      <c r="AV769" s="351"/>
      <c r="AW769" s="351"/>
      <c r="AX769" s="351"/>
      <c r="AY769" s="351"/>
    </row>
    <row r="770" spans="1:51" ht="13">
      <c r="A770" s="333"/>
      <c r="B770" s="351"/>
      <c r="C770" s="351"/>
      <c r="D770" s="333"/>
      <c r="E770" s="333"/>
      <c r="F770" s="333"/>
      <c r="G770" s="359"/>
      <c r="H770" s="359"/>
      <c r="I770" s="351"/>
      <c r="J770" s="359"/>
      <c r="K770" s="359"/>
      <c r="L770" s="359"/>
      <c r="M770" s="351"/>
      <c r="N770" s="351"/>
      <c r="O770" s="351"/>
      <c r="P770" s="351"/>
      <c r="Q770" s="351"/>
      <c r="R770" s="351"/>
      <c r="S770" s="351"/>
      <c r="T770" s="351"/>
      <c r="U770" s="351"/>
      <c r="V770" s="351"/>
      <c r="W770" s="351"/>
      <c r="X770" s="359"/>
      <c r="Y770" s="359"/>
      <c r="Z770" s="359"/>
      <c r="AA770" s="351"/>
      <c r="AB770" s="351"/>
      <c r="AC770" s="359"/>
      <c r="AD770" s="359"/>
      <c r="AE770" s="351"/>
      <c r="AF770" s="333"/>
      <c r="AG770" s="333"/>
      <c r="AH770" s="351"/>
      <c r="AI770" s="351"/>
      <c r="AJ770" s="351"/>
      <c r="AK770" s="351"/>
      <c r="AL770" s="351"/>
      <c r="AM770" s="351"/>
      <c r="AN770" s="351"/>
      <c r="AO770" s="351"/>
      <c r="AP770" s="351"/>
      <c r="AQ770" s="351"/>
      <c r="AR770" s="351"/>
      <c r="AS770" s="351"/>
      <c r="AT770" s="351"/>
      <c r="AU770" s="351"/>
      <c r="AV770" s="351"/>
      <c r="AW770" s="351"/>
      <c r="AX770" s="351"/>
      <c r="AY770" s="351"/>
    </row>
    <row r="771" spans="1:51" ht="13">
      <c r="A771" s="333"/>
      <c r="B771" s="351"/>
      <c r="C771" s="351"/>
      <c r="D771" s="333"/>
      <c r="E771" s="333"/>
      <c r="F771" s="333"/>
      <c r="G771" s="359"/>
      <c r="H771" s="359"/>
      <c r="I771" s="351"/>
      <c r="J771" s="359"/>
      <c r="K771" s="359"/>
      <c r="L771" s="359"/>
      <c r="M771" s="351"/>
      <c r="N771" s="351"/>
      <c r="O771" s="351"/>
      <c r="P771" s="351"/>
      <c r="Q771" s="351"/>
      <c r="R771" s="351"/>
      <c r="S771" s="351"/>
      <c r="T771" s="351"/>
      <c r="U771" s="351"/>
      <c r="V771" s="351"/>
      <c r="W771" s="351"/>
      <c r="X771" s="359"/>
      <c r="Y771" s="359"/>
      <c r="Z771" s="359"/>
      <c r="AA771" s="351"/>
      <c r="AB771" s="351"/>
      <c r="AC771" s="359"/>
      <c r="AD771" s="359"/>
      <c r="AE771" s="351"/>
      <c r="AF771" s="333"/>
      <c r="AG771" s="333"/>
      <c r="AH771" s="351"/>
      <c r="AI771" s="351"/>
      <c r="AJ771" s="351"/>
      <c r="AK771" s="351"/>
      <c r="AL771" s="351"/>
      <c r="AM771" s="351"/>
      <c r="AN771" s="351"/>
      <c r="AO771" s="351"/>
      <c r="AP771" s="351"/>
      <c r="AQ771" s="351"/>
      <c r="AR771" s="351"/>
      <c r="AS771" s="351"/>
      <c r="AT771" s="351"/>
      <c r="AU771" s="351"/>
      <c r="AV771" s="351"/>
      <c r="AW771" s="351"/>
      <c r="AX771" s="351"/>
      <c r="AY771" s="351"/>
    </row>
    <row r="772" spans="1:51" ht="13">
      <c r="A772" s="333"/>
      <c r="B772" s="351"/>
      <c r="C772" s="351"/>
      <c r="D772" s="333"/>
      <c r="E772" s="333"/>
      <c r="F772" s="333"/>
      <c r="G772" s="359"/>
      <c r="H772" s="359"/>
      <c r="I772" s="351"/>
      <c r="J772" s="359"/>
      <c r="K772" s="359"/>
      <c r="L772" s="359"/>
      <c r="M772" s="351"/>
      <c r="N772" s="351"/>
      <c r="O772" s="351"/>
      <c r="P772" s="351"/>
      <c r="Q772" s="351"/>
      <c r="R772" s="351"/>
      <c r="S772" s="351"/>
      <c r="T772" s="351"/>
      <c r="U772" s="351"/>
      <c r="V772" s="351"/>
      <c r="W772" s="351"/>
      <c r="X772" s="359"/>
      <c r="Y772" s="359"/>
      <c r="Z772" s="359"/>
      <c r="AA772" s="351"/>
      <c r="AB772" s="351"/>
      <c r="AC772" s="359"/>
      <c r="AD772" s="359"/>
      <c r="AE772" s="351"/>
      <c r="AF772" s="333"/>
      <c r="AG772" s="333"/>
      <c r="AH772" s="351"/>
      <c r="AI772" s="351"/>
      <c r="AJ772" s="351"/>
      <c r="AK772" s="351"/>
      <c r="AL772" s="351"/>
      <c r="AM772" s="351"/>
      <c r="AN772" s="351"/>
      <c r="AO772" s="351"/>
      <c r="AP772" s="351"/>
      <c r="AQ772" s="351"/>
      <c r="AR772" s="351"/>
      <c r="AS772" s="351"/>
      <c r="AT772" s="351"/>
      <c r="AU772" s="351"/>
      <c r="AV772" s="351"/>
      <c r="AW772" s="351"/>
      <c r="AX772" s="351"/>
      <c r="AY772" s="351"/>
    </row>
    <row r="773" spans="1:51" ht="13">
      <c r="A773" s="333"/>
      <c r="B773" s="351"/>
      <c r="C773" s="351"/>
      <c r="D773" s="333"/>
      <c r="E773" s="333"/>
      <c r="F773" s="333"/>
      <c r="G773" s="359"/>
      <c r="H773" s="359"/>
      <c r="I773" s="351"/>
      <c r="J773" s="359"/>
      <c r="K773" s="359"/>
      <c r="L773" s="359"/>
      <c r="M773" s="351"/>
      <c r="N773" s="351"/>
      <c r="O773" s="351"/>
      <c r="P773" s="351"/>
      <c r="Q773" s="351"/>
      <c r="R773" s="351"/>
      <c r="S773" s="351"/>
      <c r="T773" s="351"/>
      <c r="U773" s="351"/>
      <c r="V773" s="351"/>
      <c r="W773" s="351"/>
      <c r="X773" s="359"/>
      <c r="Y773" s="359"/>
      <c r="Z773" s="359"/>
      <c r="AA773" s="351"/>
      <c r="AB773" s="351"/>
      <c r="AC773" s="359"/>
      <c r="AD773" s="359"/>
      <c r="AE773" s="351"/>
      <c r="AF773" s="333"/>
      <c r="AG773" s="333"/>
      <c r="AH773" s="351"/>
      <c r="AI773" s="351"/>
      <c r="AJ773" s="351"/>
      <c r="AK773" s="351"/>
      <c r="AL773" s="351"/>
      <c r="AM773" s="351"/>
      <c r="AN773" s="351"/>
      <c r="AO773" s="351"/>
      <c r="AP773" s="351"/>
      <c r="AQ773" s="351"/>
      <c r="AR773" s="351"/>
      <c r="AS773" s="351"/>
      <c r="AT773" s="351"/>
      <c r="AU773" s="351"/>
      <c r="AV773" s="351"/>
      <c r="AW773" s="351"/>
      <c r="AX773" s="351"/>
      <c r="AY773" s="351"/>
    </row>
    <row r="774" spans="1:51" ht="13">
      <c r="A774" s="333"/>
      <c r="B774" s="351"/>
      <c r="C774" s="351"/>
      <c r="D774" s="333"/>
      <c r="E774" s="333"/>
      <c r="F774" s="333"/>
      <c r="G774" s="359"/>
      <c r="H774" s="359"/>
      <c r="I774" s="351"/>
      <c r="J774" s="359"/>
      <c r="K774" s="359"/>
      <c r="L774" s="359"/>
      <c r="M774" s="351"/>
      <c r="N774" s="351"/>
      <c r="O774" s="351"/>
      <c r="P774" s="351"/>
      <c r="Q774" s="351"/>
      <c r="R774" s="351"/>
      <c r="S774" s="351"/>
      <c r="T774" s="351"/>
      <c r="U774" s="351"/>
      <c r="V774" s="351"/>
      <c r="W774" s="351"/>
      <c r="X774" s="359"/>
      <c r="Y774" s="359"/>
      <c r="Z774" s="359"/>
      <c r="AA774" s="351"/>
      <c r="AB774" s="351"/>
      <c r="AC774" s="359"/>
      <c r="AD774" s="359"/>
      <c r="AE774" s="351"/>
      <c r="AF774" s="333"/>
      <c r="AG774" s="333"/>
      <c r="AH774" s="351"/>
      <c r="AI774" s="351"/>
      <c r="AJ774" s="351"/>
      <c r="AK774" s="351"/>
      <c r="AL774" s="351"/>
      <c r="AM774" s="351"/>
      <c r="AN774" s="351"/>
      <c r="AO774" s="351"/>
      <c r="AP774" s="351"/>
      <c r="AQ774" s="351"/>
      <c r="AR774" s="351"/>
      <c r="AS774" s="351"/>
      <c r="AT774" s="351"/>
      <c r="AU774" s="351"/>
      <c r="AV774" s="351"/>
      <c r="AW774" s="351"/>
      <c r="AX774" s="351"/>
      <c r="AY774" s="351"/>
    </row>
    <row r="775" spans="1:51" ht="13">
      <c r="A775" s="333"/>
      <c r="B775" s="351"/>
      <c r="C775" s="351"/>
      <c r="D775" s="333"/>
      <c r="E775" s="333"/>
      <c r="F775" s="333"/>
      <c r="G775" s="359"/>
      <c r="H775" s="359"/>
      <c r="I775" s="351"/>
      <c r="J775" s="359"/>
      <c r="K775" s="359"/>
      <c r="L775" s="359"/>
      <c r="M775" s="351"/>
      <c r="N775" s="351"/>
      <c r="O775" s="351"/>
      <c r="P775" s="351"/>
      <c r="Q775" s="351"/>
      <c r="R775" s="351"/>
      <c r="S775" s="351"/>
      <c r="T775" s="351"/>
      <c r="U775" s="351"/>
      <c r="V775" s="351"/>
      <c r="W775" s="351"/>
      <c r="X775" s="359"/>
      <c r="Y775" s="359"/>
      <c r="Z775" s="359"/>
      <c r="AA775" s="351"/>
      <c r="AB775" s="351"/>
      <c r="AC775" s="359"/>
      <c r="AD775" s="359"/>
      <c r="AE775" s="351"/>
      <c r="AF775" s="333"/>
      <c r="AG775" s="333"/>
      <c r="AH775" s="351"/>
      <c r="AI775" s="351"/>
      <c r="AJ775" s="351"/>
      <c r="AK775" s="351"/>
      <c r="AL775" s="351"/>
      <c r="AM775" s="351"/>
      <c r="AN775" s="351"/>
      <c r="AO775" s="351"/>
      <c r="AP775" s="351"/>
      <c r="AQ775" s="351"/>
      <c r="AR775" s="351"/>
      <c r="AS775" s="351"/>
      <c r="AT775" s="351"/>
      <c r="AU775" s="351"/>
      <c r="AV775" s="351"/>
      <c r="AW775" s="351"/>
      <c r="AX775" s="351"/>
      <c r="AY775" s="351"/>
    </row>
    <row r="776" spans="1:51" ht="13">
      <c r="A776" s="333"/>
      <c r="B776" s="351"/>
      <c r="C776" s="351"/>
      <c r="D776" s="333"/>
      <c r="E776" s="333"/>
      <c r="F776" s="333"/>
      <c r="G776" s="359"/>
      <c r="H776" s="359"/>
      <c r="I776" s="351"/>
      <c r="J776" s="359"/>
      <c r="K776" s="359"/>
      <c r="L776" s="359"/>
      <c r="M776" s="351"/>
      <c r="N776" s="351"/>
      <c r="O776" s="351"/>
      <c r="P776" s="351"/>
      <c r="Q776" s="351"/>
      <c r="R776" s="351"/>
      <c r="S776" s="351"/>
      <c r="T776" s="351"/>
      <c r="U776" s="351"/>
      <c r="V776" s="351"/>
      <c r="W776" s="351"/>
      <c r="X776" s="359"/>
      <c r="Y776" s="359"/>
      <c r="Z776" s="359"/>
      <c r="AA776" s="351"/>
      <c r="AB776" s="351"/>
      <c r="AC776" s="359"/>
      <c r="AD776" s="359"/>
      <c r="AE776" s="351"/>
      <c r="AF776" s="333"/>
      <c r="AG776" s="333"/>
      <c r="AH776" s="351"/>
      <c r="AI776" s="351"/>
      <c r="AJ776" s="351"/>
      <c r="AK776" s="351"/>
      <c r="AL776" s="351"/>
      <c r="AM776" s="351"/>
      <c r="AN776" s="351"/>
      <c r="AO776" s="351"/>
      <c r="AP776" s="351"/>
      <c r="AQ776" s="351"/>
      <c r="AR776" s="351"/>
      <c r="AS776" s="351"/>
      <c r="AT776" s="351"/>
      <c r="AU776" s="351"/>
      <c r="AV776" s="351"/>
      <c r="AW776" s="351"/>
      <c r="AX776" s="351"/>
      <c r="AY776" s="351"/>
    </row>
    <row r="777" spans="1:51" ht="13">
      <c r="A777" s="333"/>
      <c r="B777" s="351"/>
      <c r="C777" s="351"/>
      <c r="D777" s="333"/>
      <c r="E777" s="333"/>
      <c r="F777" s="333"/>
      <c r="G777" s="359"/>
      <c r="H777" s="359"/>
      <c r="I777" s="351"/>
      <c r="J777" s="359"/>
      <c r="K777" s="359"/>
      <c r="L777" s="359"/>
      <c r="M777" s="351"/>
      <c r="N777" s="351"/>
      <c r="O777" s="351"/>
      <c r="P777" s="351"/>
      <c r="Q777" s="351"/>
      <c r="R777" s="351"/>
      <c r="S777" s="351"/>
      <c r="T777" s="351"/>
      <c r="U777" s="351"/>
      <c r="V777" s="351"/>
      <c r="W777" s="351"/>
      <c r="X777" s="359"/>
      <c r="Y777" s="359"/>
      <c r="Z777" s="359"/>
      <c r="AA777" s="351"/>
      <c r="AB777" s="351"/>
      <c r="AC777" s="359"/>
      <c r="AD777" s="359"/>
      <c r="AE777" s="351"/>
      <c r="AF777" s="333"/>
      <c r="AG777" s="333"/>
      <c r="AH777" s="351"/>
      <c r="AI777" s="351"/>
      <c r="AJ777" s="351"/>
      <c r="AK777" s="351"/>
      <c r="AL777" s="351"/>
      <c r="AM777" s="351"/>
      <c r="AN777" s="351"/>
      <c r="AO777" s="351"/>
      <c r="AP777" s="351"/>
      <c r="AQ777" s="351"/>
      <c r="AR777" s="351"/>
      <c r="AS777" s="351"/>
      <c r="AT777" s="351"/>
      <c r="AU777" s="351"/>
      <c r="AV777" s="351"/>
      <c r="AW777" s="351"/>
      <c r="AX777" s="351"/>
      <c r="AY777" s="351"/>
    </row>
    <row r="778" spans="1:51" ht="13">
      <c r="A778" s="333"/>
      <c r="B778" s="351"/>
      <c r="C778" s="351"/>
      <c r="D778" s="333"/>
      <c r="E778" s="333"/>
      <c r="F778" s="333"/>
      <c r="G778" s="359"/>
      <c r="H778" s="359"/>
      <c r="I778" s="351"/>
      <c r="J778" s="359"/>
      <c r="K778" s="359"/>
      <c r="L778" s="359"/>
      <c r="M778" s="351"/>
      <c r="N778" s="351"/>
      <c r="O778" s="351"/>
      <c r="P778" s="351"/>
      <c r="Q778" s="351"/>
      <c r="R778" s="351"/>
      <c r="S778" s="351"/>
      <c r="T778" s="351"/>
      <c r="U778" s="351"/>
      <c r="V778" s="351"/>
      <c r="W778" s="351"/>
      <c r="X778" s="359"/>
      <c r="Y778" s="359"/>
      <c r="Z778" s="359"/>
      <c r="AA778" s="351"/>
      <c r="AB778" s="351"/>
      <c r="AC778" s="359"/>
      <c r="AD778" s="359"/>
      <c r="AE778" s="351"/>
      <c r="AF778" s="333"/>
      <c r="AG778" s="333"/>
      <c r="AH778" s="351"/>
      <c r="AI778" s="351"/>
      <c r="AJ778" s="351"/>
      <c r="AK778" s="351"/>
      <c r="AL778" s="351"/>
      <c r="AM778" s="351"/>
      <c r="AN778" s="351"/>
      <c r="AO778" s="351"/>
      <c r="AP778" s="351"/>
      <c r="AQ778" s="351"/>
      <c r="AR778" s="351"/>
      <c r="AS778" s="351"/>
      <c r="AT778" s="351"/>
      <c r="AU778" s="351"/>
      <c r="AV778" s="351"/>
      <c r="AW778" s="351"/>
      <c r="AX778" s="351"/>
      <c r="AY778" s="351"/>
    </row>
    <row r="779" spans="1:51" ht="13">
      <c r="A779" s="333"/>
      <c r="B779" s="351"/>
      <c r="C779" s="351"/>
      <c r="D779" s="333"/>
      <c r="E779" s="333"/>
      <c r="F779" s="333"/>
      <c r="G779" s="359"/>
      <c r="H779" s="359"/>
      <c r="I779" s="351"/>
      <c r="J779" s="359"/>
      <c r="K779" s="359"/>
      <c r="L779" s="359"/>
      <c r="M779" s="351"/>
      <c r="N779" s="351"/>
      <c r="O779" s="351"/>
      <c r="P779" s="351"/>
      <c r="Q779" s="351"/>
      <c r="R779" s="351"/>
      <c r="S779" s="351"/>
      <c r="T779" s="351"/>
      <c r="U779" s="351"/>
      <c r="V779" s="351"/>
      <c r="W779" s="351"/>
      <c r="X779" s="359"/>
      <c r="Y779" s="359"/>
      <c r="Z779" s="359"/>
      <c r="AA779" s="351"/>
      <c r="AB779" s="351"/>
      <c r="AC779" s="359"/>
      <c r="AD779" s="359"/>
      <c r="AE779" s="351"/>
      <c r="AF779" s="333"/>
      <c r="AG779" s="333"/>
      <c r="AH779" s="351"/>
      <c r="AI779" s="351"/>
      <c r="AJ779" s="351"/>
      <c r="AK779" s="351"/>
      <c r="AL779" s="351"/>
      <c r="AM779" s="351"/>
      <c r="AN779" s="351"/>
      <c r="AO779" s="351"/>
      <c r="AP779" s="351"/>
      <c r="AQ779" s="351"/>
      <c r="AR779" s="351"/>
      <c r="AS779" s="351"/>
      <c r="AT779" s="351"/>
      <c r="AU779" s="351"/>
      <c r="AV779" s="351"/>
      <c r="AW779" s="351"/>
      <c r="AX779" s="351"/>
      <c r="AY779" s="351"/>
    </row>
    <row r="780" spans="1:51" ht="13">
      <c r="A780" s="333"/>
      <c r="B780" s="351"/>
      <c r="C780" s="351"/>
      <c r="D780" s="333"/>
      <c r="E780" s="333"/>
      <c r="F780" s="333"/>
      <c r="G780" s="359"/>
      <c r="H780" s="359"/>
      <c r="I780" s="351"/>
      <c r="J780" s="359"/>
      <c r="K780" s="359"/>
      <c r="L780" s="359"/>
      <c r="M780" s="351"/>
      <c r="N780" s="351"/>
      <c r="O780" s="351"/>
      <c r="P780" s="351"/>
      <c r="Q780" s="351"/>
      <c r="R780" s="351"/>
      <c r="S780" s="351"/>
      <c r="T780" s="351"/>
      <c r="U780" s="351"/>
      <c r="V780" s="351"/>
      <c r="W780" s="351"/>
      <c r="X780" s="359"/>
      <c r="Y780" s="359"/>
      <c r="Z780" s="359"/>
      <c r="AA780" s="351"/>
      <c r="AB780" s="351"/>
      <c r="AC780" s="359"/>
      <c r="AD780" s="359"/>
      <c r="AE780" s="351"/>
      <c r="AF780" s="333"/>
      <c r="AG780" s="333"/>
      <c r="AH780" s="351"/>
      <c r="AI780" s="351"/>
      <c r="AJ780" s="351"/>
      <c r="AK780" s="351"/>
      <c r="AL780" s="351"/>
      <c r="AM780" s="351"/>
      <c r="AN780" s="351"/>
      <c r="AO780" s="351"/>
      <c r="AP780" s="351"/>
      <c r="AQ780" s="351"/>
      <c r="AR780" s="351"/>
      <c r="AS780" s="351"/>
      <c r="AT780" s="351"/>
      <c r="AU780" s="351"/>
      <c r="AV780" s="351"/>
      <c r="AW780" s="351"/>
      <c r="AX780" s="351"/>
      <c r="AY780" s="351"/>
    </row>
    <row r="781" spans="1:51" ht="13">
      <c r="A781" s="333"/>
      <c r="B781" s="351"/>
      <c r="C781" s="351"/>
      <c r="D781" s="333"/>
      <c r="E781" s="333"/>
      <c r="F781" s="333"/>
      <c r="G781" s="359"/>
      <c r="H781" s="359"/>
      <c r="I781" s="351"/>
      <c r="J781" s="359"/>
      <c r="K781" s="359"/>
      <c r="L781" s="359"/>
      <c r="M781" s="351"/>
      <c r="N781" s="351"/>
      <c r="O781" s="351"/>
      <c r="P781" s="351"/>
      <c r="Q781" s="351"/>
      <c r="R781" s="351"/>
      <c r="S781" s="351"/>
      <c r="T781" s="351"/>
      <c r="U781" s="351"/>
      <c r="V781" s="351"/>
      <c r="W781" s="351"/>
      <c r="X781" s="359"/>
      <c r="Y781" s="359"/>
      <c r="Z781" s="359"/>
      <c r="AA781" s="351"/>
      <c r="AB781" s="351"/>
      <c r="AC781" s="359"/>
      <c r="AD781" s="359"/>
      <c r="AE781" s="351"/>
      <c r="AF781" s="333"/>
      <c r="AG781" s="333"/>
      <c r="AH781" s="351"/>
      <c r="AI781" s="351"/>
      <c r="AJ781" s="351"/>
      <c r="AK781" s="351"/>
      <c r="AL781" s="351"/>
      <c r="AM781" s="351"/>
      <c r="AN781" s="351"/>
      <c r="AO781" s="351"/>
      <c r="AP781" s="351"/>
      <c r="AQ781" s="351"/>
      <c r="AR781" s="351"/>
      <c r="AS781" s="351"/>
      <c r="AT781" s="351"/>
      <c r="AU781" s="351"/>
      <c r="AV781" s="351"/>
      <c r="AW781" s="351"/>
      <c r="AX781" s="351"/>
      <c r="AY781" s="351"/>
    </row>
    <row r="782" spans="1:51" ht="13">
      <c r="A782" s="333"/>
      <c r="B782" s="351"/>
      <c r="C782" s="351"/>
      <c r="D782" s="333"/>
      <c r="E782" s="333"/>
      <c r="F782" s="333"/>
      <c r="G782" s="359"/>
      <c r="H782" s="359"/>
      <c r="I782" s="351"/>
      <c r="J782" s="359"/>
      <c r="K782" s="359"/>
      <c r="L782" s="359"/>
      <c r="M782" s="351"/>
      <c r="N782" s="351"/>
      <c r="O782" s="351"/>
      <c r="P782" s="351"/>
      <c r="Q782" s="351"/>
      <c r="R782" s="351"/>
      <c r="S782" s="351"/>
      <c r="T782" s="351"/>
      <c r="U782" s="351"/>
      <c r="V782" s="351"/>
      <c r="W782" s="351"/>
      <c r="X782" s="359"/>
      <c r="Y782" s="359"/>
      <c r="Z782" s="359"/>
      <c r="AA782" s="351"/>
      <c r="AB782" s="351"/>
      <c r="AC782" s="359"/>
      <c r="AD782" s="359"/>
      <c r="AE782" s="351"/>
      <c r="AF782" s="333"/>
      <c r="AG782" s="333"/>
      <c r="AH782" s="351"/>
      <c r="AI782" s="351"/>
      <c r="AJ782" s="351"/>
      <c r="AK782" s="351"/>
      <c r="AL782" s="351"/>
      <c r="AM782" s="351"/>
      <c r="AN782" s="351"/>
      <c r="AO782" s="351"/>
      <c r="AP782" s="351"/>
      <c r="AQ782" s="351"/>
      <c r="AR782" s="351"/>
      <c r="AS782" s="351"/>
      <c r="AT782" s="351"/>
      <c r="AU782" s="351"/>
      <c r="AV782" s="351"/>
      <c r="AW782" s="351"/>
      <c r="AX782" s="351"/>
      <c r="AY782" s="351"/>
    </row>
    <row r="783" spans="1:51" ht="13">
      <c r="A783" s="333"/>
      <c r="B783" s="351"/>
      <c r="C783" s="351"/>
      <c r="D783" s="333"/>
      <c r="E783" s="333"/>
      <c r="F783" s="333"/>
      <c r="G783" s="359"/>
      <c r="H783" s="359"/>
      <c r="I783" s="351"/>
      <c r="J783" s="359"/>
      <c r="K783" s="359"/>
      <c r="L783" s="359"/>
      <c r="M783" s="351"/>
      <c r="N783" s="351"/>
      <c r="O783" s="351"/>
      <c r="P783" s="351"/>
      <c r="Q783" s="351"/>
      <c r="R783" s="351"/>
      <c r="S783" s="351"/>
      <c r="T783" s="351"/>
      <c r="U783" s="351"/>
      <c r="V783" s="351"/>
      <c r="W783" s="351"/>
      <c r="X783" s="359"/>
      <c r="Y783" s="359"/>
      <c r="Z783" s="359"/>
      <c r="AA783" s="351"/>
      <c r="AB783" s="351"/>
      <c r="AC783" s="359"/>
      <c r="AD783" s="359"/>
      <c r="AE783" s="351"/>
      <c r="AF783" s="333"/>
      <c r="AG783" s="333"/>
      <c r="AH783" s="351"/>
      <c r="AI783" s="351"/>
      <c r="AJ783" s="351"/>
      <c r="AK783" s="351"/>
      <c r="AL783" s="351"/>
      <c r="AM783" s="351"/>
      <c r="AN783" s="351"/>
      <c r="AO783" s="351"/>
      <c r="AP783" s="351"/>
      <c r="AQ783" s="351"/>
      <c r="AR783" s="351"/>
      <c r="AS783" s="351"/>
      <c r="AT783" s="351"/>
      <c r="AU783" s="351"/>
      <c r="AV783" s="351"/>
      <c r="AW783" s="351"/>
      <c r="AX783" s="351"/>
      <c r="AY783" s="351"/>
    </row>
    <row r="784" spans="1:51" ht="13">
      <c r="A784" s="333"/>
      <c r="B784" s="351"/>
      <c r="C784" s="351"/>
      <c r="D784" s="333"/>
      <c r="E784" s="333"/>
      <c r="F784" s="333"/>
      <c r="G784" s="359"/>
      <c r="H784" s="359"/>
      <c r="I784" s="351"/>
      <c r="J784" s="359"/>
      <c r="K784" s="359"/>
      <c r="L784" s="359"/>
      <c r="M784" s="351"/>
      <c r="N784" s="351"/>
      <c r="O784" s="351"/>
      <c r="P784" s="351"/>
      <c r="Q784" s="351"/>
      <c r="R784" s="351"/>
      <c r="S784" s="351"/>
      <c r="T784" s="351"/>
      <c r="U784" s="351"/>
      <c r="V784" s="351"/>
      <c r="W784" s="351"/>
      <c r="X784" s="359"/>
      <c r="Y784" s="359"/>
      <c r="Z784" s="359"/>
      <c r="AA784" s="351"/>
      <c r="AB784" s="351"/>
      <c r="AC784" s="359"/>
      <c r="AD784" s="359"/>
      <c r="AE784" s="351"/>
      <c r="AF784" s="333"/>
      <c r="AG784" s="333"/>
      <c r="AH784" s="351"/>
      <c r="AI784" s="351"/>
      <c r="AJ784" s="351"/>
      <c r="AK784" s="351"/>
      <c r="AL784" s="351"/>
      <c r="AM784" s="351"/>
      <c r="AN784" s="351"/>
      <c r="AO784" s="351"/>
      <c r="AP784" s="351"/>
      <c r="AQ784" s="351"/>
      <c r="AR784" s="351"/>
      <c r="AS784" s="351"/>
      <c r="AT784" s="351"/>
      <c r="AU784" s="351"/>
      <c r="AV784" s="351"/>
      <c r="AW784" s="351"/>
      <c r="AX784" s="351"/>
      <c r="AY784" s="351"/>
    </row>
    <row r="785" spans="1:51" ht="13">
      <c r="A785" s="333"/>
      <c r="B785" s="351"/>
      <c r="C785" s="351"/>
      <c r="D785" s="333"/>
      <c r="E785" s="333"/>
      <c r="F785" s="333"/>
      <c r="G785" s="359"/>
      <c r="H785" s="359"/>
      <c r="I785" s="351"/>
      <c r="J785" s="359"/>
      <c r="K785" s="359"/>
      <c r="L785" s="359"/>
      <c r="M785" s="351"/>
      <c r="N785" s="351"/>
      <c r="O785" s="351"/>
      <c r="P785" s="351"/>
      <c r="Q785" s="351"/>
      <c r="R785" s="351"/>
      <c r="S785" s="351"/>
      <c r="T785" s="351"/>
      <c r="U785" s="351"/>
      <c r="V785" s="351"/>
      <c r="W785" s="351"/>
      <c r="X785" s="359"/>
      <c r="Y785" s="359"/>
      <c r="Z785" s="359"/>
      <c r="AA785" s="351"/>
      <c r="AB785" s="351"/>
      <c r="AC785" s="359"/>
      <c r="AD785" s="359"/>
      <c r="AE785" s="351"/>
      <c r="AF785" s="333"/>
      <c r="AG785" s="333"/>
      <c r="AH785" s="351"/>
      <c r="AI785" s="351"/>
      <c r="AJ785" s="351"/>
      <c r="AK785" s="351"/>
      <c r="AL785" s="351"/>
      <c r="AM785" s="351"/>
      <c r="AN785" s="351"/>
      <c r="AO785" s="351"/>
      <c r="AP785" s="351"/>
      <c r="AQ785" s="351"/>
      <c r="AR785" s="351"/>
      <c r="AS785" s="351"/>
      <c r="AT785" s="351"/>
      <c r="AU785" s="351"/>
      <c r="AV785" s="351"/>
      <c r="AW785" s="351"/>
      <c r="AX785" s="351"/>
      <c r="AY785" s="351"/>
    </row>
    <row r="786" spans="1:51" ht="13">
      <c r="A786" s="333"/>
      <c r="B786" s="351"/>
      <c r="C786" s="351"/>
      <c r="D786" s="333"/>
      <c r="E786" s="333"/>
      <c r="F786" s="333"/>
      <c r="G786" s="359"/>
      <c r="H786" s="359"/>
      <c r="I786" s="351"/>
      <c r="J786" s="359"/>
      <c r="K786" s="359"/>
      <c r="L786" s="359"/>
      <c r="M786" s="351"/>
      <c r="N786" s="351"/>
      <c r="O786" s="351"/>
      <c r="P786" s="351"/>
      <c r="Q786" s="351"/>
      <c r="R786" s="351"/>
      <c r="S786" s="351"/>
      <c r="T786" s="351"/>
      <c r="U786" s="351"/>
      <c r="V786" s="351"/>
      <c r="W786" s="351"/>
      <c r="X786" s="359"/>
      <c r="Y786" s="359"/>
      <c r="Z786" s="359"/>
      <c r="AA786" s="351"/>
      <c r="AB786" s="351"/>
      <c r="AC786" s="359"/>
      <c r="AD786" s="359"/>
      <c r="AE786" s="351"/>
      <c r="AF786" s="333"/>
      <c r="AG786" s="333"/>
      <c r="AH786" s="351"/>
      <c r="AI786" s="351"/>
      <c r="AJ786" s="351"/>
      <c r="AK786" s="351"/>
      <c r="AL786" s="351"/>
      <c r="AM786" s="351"/>
      <c r="AN786" s="351"/>
      <c r="AO786" s="351"/>
      <c r="AP786" s="351"/>
      <c r="AQ786" s="351"/>
      <c r="AR786" s="351"/>
      <c r="AS786" s="351"/>
      <c r="AT786" s="351"/>
      <c r="AU786" s="351"/>
      <c r="AV786" s="351"/>
      <c r="AW786" s="351"/>
      <c r="AX786" s="351"/>
      <c r="AY786" s="351"/>
    </row>
    <row r="787" spans="1:51" ht="13">
      <c r="A787" s="333"/>
      <c r="B787" s="351"/>
      <c r="C787" s="351"/>
      <c r="D787" s="333"/>
      <c r="E787" s="333"/>
      <c r="F787" s="333"/>
      <c r="G787" s="359"/>
      <c r="H787" s="359"/>
      <c r="I787" s="351"/>
      <c r="J787" s="359"/>
      <c r="K787" s="359"/>
      <c r="L787" s="359"/>
      <c r="M787" s="351"/>
      <c r="N787" s="351"/>
      <c r="O787" s="351"/>
      <c r="P787" s="351"/>
      <c r="Q787" s="351"/>
      <c r="R787" s="351"/>
      <c r="S787" s="351"/>
      <c r="T787" s="351"/>
      <c r="U787" s="351"/>
      <c r="V787" s="351"/>
      <c r="W787" s="351"/>
      <c r="X787" s="359"/>
      <c r="Y787" s="359"/>
      <c r="Z787" s="359"/>
      <c r="AA787" s="351"/>
      <c r="AB787" s="351"/>
      <c r="AC787" s="359"/>
      <c r="AD787" s="359"/>
      <c r="AE787" s="351"/>
      <c r="AF787" s="333"/>
      <c r="AG787" s="333"/>
      <c r="AH787" s="351"/>
      <c r="AI787" s="351"/>
      <c r="AJ787" s="351"/>
      <c r="AK787" s="351"/>
      <c r="AL787" s="351"/>
      <c r="AM787" s="351"/>
      <c r="AN787" s="351"/>
      <c r="AO787" s="351"/>
      <c r="AP787" s="351"/>
      <c r="AQ787" s="351"/>
      <c r="AR787" s="351"/>
      <c r="AS787" s="351"/>
      <c r="AT787" s="351"/>
      <c r="AU787" s="351"/>
      <c r="AV787" s="351"/>
      <c r="AW787" s="351"/>
      <c r="AX787" s="351"/>
      <c r="AY787" s="351"/>
    </row>
    <row r="788" spans="1:51" ht="13">
      <c r="A788" s="333"/>
      <c r="B788" s="351"/>
      <c r="C788" s="351"/>
      <c r="D788" s="333"/>
      <c r="E788" s="333"/>
      <c r="F788" s="333"/>
      <c r="G788" s="359"/>
      <c r="H788" s="359"/>
      <c r="I788" s="351"/>
      <c r="J788" s="359"/>
      <c r="K788" s="359"/>
      <c r="L788" s="359"/>
      <c r="M788" s="351"/>
      <c r="N788" s="351"/>
      <c r="O788" s="351"/>
      <c r="P788" s="351"/>
      <c r="Q788" s="351"/>
      <c r="R788" s="351"/>
      <c r="S788" s="351"/>
      <c r="T788" s="351"/>
      <c r="U788" s="351"/>
      <c r="V788" s="351"/>
      <c r="W788" s="351"/>
      <c r="X788" s="359"/>
      <c r="Y788" s="359"/>
      <c r="Z788" s="359"/>
      <c r="AA788" s="351"/>
      <c r="AB788" s="351"/>
      <c r="AC788" s="359"/>
      <c r="AD788" s="359"/>
      <c r="AE788" s="351"/>
      <c r="AF788" s="333"/>
      <c r="AG788" s="333"/>
      <c r="AH788" s="351"/>
      <c r="AI788" s="351"/>
      <c r="AJ788" s="351"/>
      <c r="AK788" s="351"/>
      <c r="AL788" s="351"/>
      <c r="AM788" s="351"/>
      <c r="AN788" s="351"/>
      <c r="AO788" s="351"/>
      <c r="AP788" s="351"/>
      <c r="AQ788" s="351"/>
      <c r="AR788" s="351"/>
      <c r="AS788" s="351"/>
      <c r="AT788" s="351"/>
      <c r="AU788" s="351"/>
      <c r="AV788" s="351"/>
      <c r="AW788" s="351"/>
      <c r="AX788" s="351"/>
      <c r="AY788" s="351"/>
    </row>
    <row r="789" spans="1:51" ht="13">
      <c r="A789" s="333"/>
      <c r="B789" s="351"/>
      <c r="C789" s="351"/>
      <c r="D789" s="333"/>
      <c r="E789" s="333"/>
      <c r="F789" s="333"/>
      <c r="G789" s="359"/>
      <c r="H789" s="359"/>
      <c r="I789" s="351"/>
      <c r="J789" s="359"/>
      <c r="K789" s="359"/>
      <c r="L789" s="359"/>
      <c r="M789" s="351"/>
      <c r="N789" s="351"/>
      <c r="O789" s="351"/>
      <c r="P789" s="351"/>
      <c r="Q789" s="351"/>
      <c r="R789" s="351"/>
      <c r="S789" s="351"/>
      <c r="T789" s="351"/>
      <c r="U789" s="351"/>
      <c r="V789" s="351"/>
      <c r="W789" s="351"/>
      <c r="X789" s="359"/>
      <c r="Y789" s="359"/>
      <c r="Z789" s="359"/>
      <c r="AA789" s="351"/>
      <c r="AB789" s="351"/>
      <c r="AC789" s="359"/>
      <c r="AD789" s="359"/>
      <c r="AE789" s="351"/>
      <c r="AF789" s="333"/>
      <c r="AG789" s="333"/>
      <c r="AH789" s="351"/>
      <c r="AI789" s="351"/>
      <c r="AJ789" s="351"/>
      <c r="AK789" s="351"/>
      <c r="AL789" s="351"/>
      <c r="AM789" s="351"/>
      <c r="AN789" s="351"/>
      <c r="AO789" s="351"/>
      <c r="AP789" s="351"/>
      <c r="AQ789" s="351"/>
      <c r="AR789" s="351"/>
      <c r="AS789" s="351"/>
      <c r="AT789" s="351"/>
      <c r="AU789" s="351"/>
      <c r="AV789" s="351"/>
      <c r="AW789" s="351"/>
      <c r="AX789" s="351"/>
      <c r="AY789" s="351"/>
    </row>
    <row r="790" spans="1:51" ht="13">
      <c r="A790" s="333"/>
      <c r="B790" s="351"/>
      <c r="C790" s="351"/>
      <c r="D790" s="333"/>
      <c r="E790" s="333"/>
      <c r="F790" s="333"/>
      <c r="G790" s="359"/>
      <c r="H790" s="359"/>
      <c r="I790" s="351"/>
      <c r="J790" s="359"/>
      <c r="K790" s="359"/>
      <c r="L790" s="359"/>
      <c r="M790" s="351"/>
      <c r="N790" s="351"/>
      <c r="O790" s="351"/>
      <c r="P790" s="351"/>
      <c r="Q790" s="351"/>
      <c r="R790" s="351"/>
      <c r="S790" s="351"/>
      <c r="T790" s="351"/>
      <c r="U790" s="351"/>
      <c r="V790" s="351"/>
      <c r="W790" s="351"/>
      <c r="X790" s="359"/>
      <c r="Y790" s="359"/>
      <c r="Z790" s="359"/>
      <c r="AA790" s="351"/>
      <c r="AB790" s="351"/>
      <c r="AC790" s="359"/>
      <c r="AD790" s="359"/>
      <c r="AE790" s="351"/>
      <c r="AF790" s="333"/>
      <c r="AG790" s="333"/>
      <c r="AH790" s="351"/>
      <c r="AI790" s="351"/>
      <c r="AJ790" s="351"/>
      <c r="AK790" s="351"/>
      <c r="AL790" s="351"/>
      <c r="AM790" s="351"/>
      <c r="AN790" s="351"/>
      <c r="AO790" s="351"/>
      <c r="AP790" s="351"/>
      <c r="AQ790" s="351"/>
      <c r="AR790" s="351"/>
      <c r="AS790" s="351"/>
      <c r="AT790" s="351"/>
      <c r="AU790" s="351"/>
      <c r="AV790" s="351"/>
      <c r="AW790" s="351"/>
      <c r="AX790" s="351"/>
      <c r="AY790" s="351"/>
    </row>
    <row r="791" spans="1:51" ht="13">
      <c r="A791" s="333"/>
      <c r="B791" s="351"/>
      <c r="C791" s="351"/>
      <c r="D791" s="333"/>
      <c r="E791" s="333"/>
      <c r="F791" s="333"/>
      <c r="G791" s="359"/>
      <c r="H791" s="359"/>
      <c r="I791" s="351"/>
      <c r="J791" s="359"/>
      <c r="K791" s="359"/>
      <c r="L791" s="359"/>
      <c r="M791" s="351"/>
      <c r="N791" s="351"/>
      <c r="O791" s="351"/>
      <c r="P791" s="351"/>
      <c r="Q791" s="351"/>
      <c r="R791" s="351"/>
      <c r="S791" s="351"/>
      <c r="T791" s="351"/>
      <c r="U791" s="351"/>
      <c r="V791" s="351"/>
      <c r="W791" s="351"/>
      <c r="X791" s="359"/>
      <c r="Y791" s="359"/>
      <c r="Z791" s="359"/>
      <c r="AA791" s="351"/>
      <c r="AB791" s="351"/>
      <c r="AC791" s="359"/>
      <c r="AD791" s="359"/>
      <c r="AE791" s="351"/>
      <c r="AF791" s="333"/>
      <c r="AG791" s="333"/>
      <c r="AH791" s="351"/>
      <c r="AI791" s="351"/>
      <c r="AJ791" s="351"/>
      <c r="AK791" s="351"/>
      <c r="AL791" s="351"/>
      <c r="AM791" s="351"/>
      <c r="AN791" s="351"/>
      <c r="AO791" s="351"/>
      <c r="AP791" s="351"/>
      <c r="AQ791" s="351"/>
      <c r="AR791" s="351"/>
      <c r="AS791" s="351"/>
      <c r="AT791" s="351"/>
      <c r="AU791" s="351"/>
      <c r="AV791" s="351"/>
      <c r="AW791" s="351"/>
      <c r="AX791" s="351"/>
      <c r="AY791" s="351"/>
    </row>
    <row r="792" spans="1:51" ht="13">
      <c r="A792" s="333"/>
      <c r="B792" s="351"/>
      <c r="C792" s="351"/>
      <c r="D792" s="333"/>
      <c r="E792" s="333"/>
      <c r="F792" s="333"/>
      <c r="G792" s="359"/>
      <c r="H792" s="359"/>
      <c r="I792" s="351"/>
      <c r="J792" s="359"/>
      <c r="K792" s="359"/>
      <c r="L792" s="359"/>
      <c r="M792" s="351"/>
      <c r="N792" s="351"/>
      <c r="O792" s="351"/>
      <c r="P792" s="351"/>
      <c r="Q792" s="351"/>
      <c r="R792" s="351"/>
      <c r="S792" s="351"/>
      <c r="T792" s="351"/>
      <c r="U792" s="351"/>
      <c r="V792" s="351"/>
      <c r="W792" s="351"/>
      <c r="X792" s="359"/>
      <c r="Y792" s="359"/>
      <c r="Z792" s="359"/>
      <c r="AA792" s="351"/>
      <c r="AB792" s="351"/>
      <c r="AC792" s="359"/>
      <c r="AD792" s="359"/>
      <c r="AE792" s="351"/>
      <c r="AF792" s="333"/>
      <c r="AG792" s="333"/>
      <c r="AH792" s="351"/>
      <c r="AI792" s="351"/>
      <c r="AJ792" s="351"/>
      <c r="AK792" s="351"/>
      <c r="AL792" s="351"/>
      <c r="AM792" s="351"/>
      <c r="AN792" s="351"/>
      <c r="AO792" s="351"/>
      <c r="AP792" s="351"/>
      <c r="AQ792" s="351"/>
      <c r="AR792" s="351"/>
      <c r="AS792" s="351"/>
      <c r="AT792" s="351"/>
      <c r="AU792" s="351"/>
      <c r="AV792" s="351"/>
      <c r="AW792" s="351"/>
      <c r="AX792" s="351"/>
      <c r="AY792" s="351"/>
    </row>
    <row r="793" spans="1:51" ht="13">
      <c r="A793" s="333"/>
      <c r="B793" s="351"/>
      <c r="C793" s="351"/>
      <c r="D793" s="333"/>
      <c r="E793" s="333"/>
      <c r="F793" s="333"/>
      <c r="G793" s="359"/>
      <c r="H793" s="359"/>
      <c r="I793" s="351"/>
      <c r="J793" s="359"/>
      <c r="K793" s="359"/>
      <c r="L793" s="359"/>
      <c r="M793" s="351"/>
      <c r="N793" s="351"/>
      <c r="O793" s="351"/>
      <c r="P793" s="351"/>
      <c r="Q793" s="351"/>
      <c r="R793" s="351"/>
      <c r="S793" s="351"/>
      <c r="T793" s="351"/>
      <c r="U793" s="351"/>
      <c r="V793" s="351"/>
      <c r="W793" s="351"/>
      <c r="X793" s="359"/>
      <c r="Y793" s="359"/>
      <c r="Z793" s="359"/>
      <c r="AA793" s="351"/>
      <c r="AB793" s="351"/>
      <c r="AC793" s="359"/>
      <c r="AD793" s="359"/>
      <c r="AE793" s="351"/>
      <c r="AF793" s="333"/>
      <c r="AG793" s="333"/>
      <c r="AH793" s="351"/>
      <c r="AI793" s="351"/>
      <c r="AJ793" s="351"/>
      <c r="AK793" s="351"/>
      <c r="AL793" s="351"/>
      <c r="AM793" s="351"/>
      <c r="AN793" s="351"/>
      <c r="AO793" s="351"/>
      <c r="AP793" s="351"/>
      <c r="AQ793" s="351"/>
      <c r="AR793" s="351"/>
      <c r="AS793" s="351"/>
      <c r="AT793" s="351"/>
      <c r="AU793" s="351"/>
      <c r="AV793" s="351"/>
      <c r="AW793" s="351"/>
      <c r="AX793" s="351"/>
      <c r="AY793" s="351"/>
    </row>
    <row r="794" spans="1:51" ht="13">
      <c r="A794" s="333"/>
      <c r="B794" s="351"/>
      <c r="C794" s="351"/>
      <c r="D794" s="333"/>
      <c r="E794" s="333"/>
      <c r="F794" s="333"/>
      <c r="G794" s="359"/>
      <c r="H794" s="359"/>
      <c r="I794" s="351"/>
      <c r="J794" s="359"/>
      <c r="K794" s="359"/>
      <c r="L794" s="359"/>
      <c r="M794" s="351"/>
      <c r="N794" s="351"/>
      <c r="O794" s="351"/>
      <c r="P794" s="351"/>
      <c r="Q794" s="351"/>
      <c r="R794" s="351"/>
      <c r="S794" s="351"/>
      <c r="T794" s="351"/>
      <c r="U794" s="351"/>
      <c r="V794" s="351"/>
      <c r="W794" s="351"/>
      <c r="X794" s="359"/>
      <c r="Y794" s="359"/>
      <c r="Z794" s="359"/>
      <c r="AA794" s="351"/>
      <c r="AB794" s="351"/>
      <c r="AC794" s="359"/>
      <c r="AD794" s="359"/>
      <c r="AE794" s="351"/>
      <c r="AF794" s="333"/>
      <c r="AG794" s="333"/>
      <c r="AH794" s="351"/>
      <c r="AI794" s="351"/>
      <c r="AJ794" s="351"/>
      <c r="AK794" s="351"/>
      <c r="AL794" s="351"/>
      <c r="AM794" s="351"/>
      <c r="AN794" s="351"/>
      <c r="AO794" s="351"/>
      <c r="AP794" s="351"/>
      <c r="AQ794" s="351"/>
      <c r="AR794" s="351"/>
      <c r="AS794" s="351"/>
      <c r="AT794" s="351"/>
      <c r="AU794" s="351"/>
      <c r="AV794" s="351"/>
      <c r="AW794" s="351"/>
      <c r="AX794" s="351"/>
      <c r="AY794" s="351"/>
    </row>
    <row r="795" spans="1:51" ht="13">
      <c r="A795" s="333"/>
      <c r="B795" s="351"/>
      <c r="C795" s="351"/>
      <c r="D795" s="333"/>
      <c r="E795" s="333"/>
      <c r="F795" s="333"/>
      <c r="G795" s="359"/>
      <c r="H795" s="359"/>
      <c r="I795" s="351"/>
      <c r="J795" s="359"/>
      <c r="K795" s="359"/>
      <c r="L795" s="359"/>
      <c r="M795" s="351"/>
      <c r="N795" s="351"/>
      <c r="O795" s="351"/>
      <c r="P795" s="351"/>
      <c r="Q795" s="351"/>
      <c r="R795" s="351"/>
      <c r="S795" s="351"/>
      <c r="T795" s="351"/>
      <c r="U795" s="351"/>
      <c r="V795" s="351"/>
      <c r="W795" s="351"/>
      <c r="X795" s="359"/>
      <c r="Y795" s="359"/>
      <c r="Z795" s="359"/>
      <c r="AA795" s="351"/>
      <c r="AB795" s="351"/>
      <c r="AC795" s="359"/>
      <c r="AD795" s="359"/>
      <c r="AE795" s="351"/>
      <c r="AF795" s="333"/>
      <c r="AG795" s="333"/>
      <c r="AH795" s="351"/>
      <c r="AI795" s="351"/>
      <c r="AJ795" s="351"/>
      <c r="AK795" s="351"/>
      <c r="AL795" s="351"/>
      <c r="AM795" s="351"/>
      <c r="AN795" s="351"/>
      <c r="AO795" s="351"/>
      <c r="AP795" s="351"/>
      <c r="AQ795" s="351"/>
      <c r="AR795" s="351"/>
      <c r="AS795" s="351"/>
      <c r="AT795" s="351"/>
      <c r="AU795" s="351"/>
      <c r="AV795" s="351"/>
      <c r="AW795" s="351"/>
      <c r="AX795" s="351"/>
      <c r="AY795" s="351"/>
    </row>
    <row r="796" spans="1:51" ht="13">
      <c r="A796" s="333"/>
      <c r="B796" s="351"/>
      <c r="C796" s="351"/>
      <c r="D796" s="333"/>
      <c r="E796" s="333"/>
      <c r="F796" s="333"/>
      <c r="G796" s="359"/>
      <c r="H796" s="359"/>
      <c r="I796" s="351"/>
      <c r="J796" s="359"/>
      <c r="K796" s="359"/>
      <c r="L796" s="359"/>
      <c r="M796" s="351"/>
      <c r="N796" s="351"/>
      <c r="O796" s="351"/>
      <c r="P796" s="351"/>
      <c r="Q796" s="351"/>
      <c r="R796" s="351"/>
      <c r="S796" s="351"/>
      <c r="T796" s="351"/>
      <c r="U796" s="351"/>
      <c r="V796" s="351"/>
      <c r="W796" s="351"/>
      <c r="X796" s="359"/>
      <c r="Y796" s="359"/>
      <c r="Z796" s="359"/>
      <c r="AA796" s="351"/>
      <c r="AB796" s="351"/>
      <c r="AC796" s="359"/>
      <c r="AD796" s="359"/>
      <c r="AE796" s="351"/>
      <c r="AF796" s="333"/>
      <c r="AG796" s="333"/>
      <c r="AH796" s="351"/>
      <c r="AI796" s="351"/>
      <c r="AJ796" s="351"/>
      <c r="AK796" s="351"/>
      <c r="AL796" s="351"/>
      <c r="AM796" s="351"/>
      <c r="AN796" s="351"/>
      <c r="AO796" s="351"/>
      <c r="AP796" s="351"/>
      <c r="AQ796" s="351"/>
      <c r="AR796" s="351"/>
      <c r="AS796" s="351"/>
      <c r="AT796" s="351"/>
      <c r="AU796" s="351"/>
      <c r="AV796" s="351"/>
      <c r="AW796" s="351"/>
      <c r="AX796" s="351"/>
      <c r="AY796" s="351"/>
    </row>
    <row r="797" spans="1:51" ht="13">
      <c r="A797" s="333"/>
      <c r="B797" s="351"/>
      <c r="C797" s="351"/>
      <c r="D797" s="333"/>
      <c r="E797" s="333"/>
      <c r="F797" s="333"/>
      <c r="G797" s="359"/>
      <c r="H797" s="359"/>
      <c r="I797" s="351"/>
      <c r="J797" s="359"/>
      <c r="K797" s="359"/>
      <c r="L797" s="359"/>
      <c r="M797" s="351"/>
      <c r="N797" s="351"/>
      <c r="O797" s="351"/>
      <c r="P797" s="351"/>
      <c r="Q797" s="351"/>
      <c r="R797" s="351"/>
      <c r="S797" s="351"/>
      <c r="T797" s="351"/>
      <c r="U797" s="351"/>
      <c r="V797" s="351"/>
      <c r="W797" s="351"/>
      <c r="X797" s="359"/>
      <c r="Y797" s="359"/>
      <c r="Z797" s="359"/>
      <c r="AA797" s="351"/>
      <c r="AB797" s="351"/>
      <c r="AC797" s="359"/>
      <c r="AD797" s="359"/>
      <c r="AE797" s="351"/>
      <c r="AF797" s="333"/>
      <c r="AG797" s="333"/>
      <c r="AH797" s="351"/>
      <c r="AI797" s="351"/>
      <c r="AJ797" s="351"/>
      <c r="AK797" s="351"/>
      <c r="AL797" s="351"/>
      <c r="AM797" s="351"/>
      <c r="AN797" s="351"/>
      <c r="AO797" s="351"/>
      <c r="AP797" s="351"/>
      <c r="AQ797" s="351"/>
      <c r="AR797" s="351"/>
      <c r="AS797" s="351"/>
      <c r="AT797" s="351"/>
      <c r="AU797" s="351"/>
      <c r="AV797" s="351"/>
      <c r="AW797" s="351"/>
      <c r="AX797" s="351"/>
      <c r="AY797" s="351"/>
    </row>
    <row r="798" spans="1:51" ht="13">
      <c r="A798" s="333"/>
      <c r="B798" s="351"/>
      <c r="C798" s="351"/>
      <c r="D798" s="333"/>
      <c r="E798" s="333"/>
      <c r="F798" s="333"/>
      <c r="G798" s="359"/>
      <c r="H798" s="359"/>
      <c r="I798" s="351"/>
      <c r="J798" s="359"/>
      <c r="K798" s="359"/>
      <c r="L798" s="359"/>
      <c r="M798" s="351"/>
      <c r="N798" s="351"/>
      <c r="O798" s="351"/>
      <c r="P798" s="351"/>
      <c r="Q798" s="351"/>
      <c r="R798" s="351"/>
      <c r="S798" s="351"/>
      <c r="T798" s="351"/>
      <c r="U798" s="351"/>
      <c r="V798" s="351"/>
      <c r="W798" s="351"/>
      <c r="X798" s="359"/>
      <c r="Y798" s="359"/>
      <c r="Z798" s="359"/>
      <c r="AA798" s="351"/>
      <c r="AB798" s="351"/>
      <c r="AC798" s="359"/>
      <c r="AD798" s="359"/>
      <c r="AE798" s="351"/>
      <c r="AF798" s="333"/>
      <c r="AG798" s="333"/>
      <c r="AH798" s="351"/>
      <c r="AI798" s="351"/>
      <c r="AJ798" s="351"/>
      <c r="AK798" s="351"/>
      <c r="AL798" s="351"/>
      <c r="AM798" s="351"/>
      <c r="AN798" s="351"/>
      <c r="AO798" s="351"/>
      <c r="AP798" s="351"/>
      <c r="AQ798" s="351"/>
      <c r="AR798" s="351"/>
      <c r="AS798" s="351"/>
      <c r="AT798" s="351"/>
      <c r="AU798" s="351"/>
      <c r="AV798" s="351"/>
      <c r="AW798" s="351"/>
      <c r="AX798" s="351"/>
      <c r="AY798" s="351"/>
    </row>
    <row r="799" spans="1:51" ht="13">
      <c r="A799" s="333"/>
      <c r="B799" s="351"/>
      <c r="C799" s="351"/>
      <c r="D799" s="333"/>
      <c r="E799" s="333"/>
      <c r="F799" s="333"/>
      <c r="G799" s="359"/>
      <c r="H799" s="359"/>
      <c r="I799" s="351"/>
      <c r="J799" s="359"/>
      <c r="K799" s="359"/>
      <c r="L799" s="359"/>
      <c r="M799" s="351"/>
      <c r="N799" s="351"/>
      <c r="O799" s="351"/>
      <c r="P799" s="351"/>
      <c r="Q799" s="351"/>
      <c r="R799" s="351"/>
      <c r="S799" s="351"/>
      <c r="T799" s="351"/>
      <c r="U799" s="351"/>
      <c r="V799" s="351"/>
      <c r="W799" s="351"/>
      <c r="X799" s="359"/>
      <c r="Y799" s="359"/>
      <c r="Z799" s="359"/>
      <c r="AA799" s="351"/>
      <c r="AB799" s="351"/>
      <c r="AC799" s="359"/>
      <c r="AD799" s="359"/>
      <c r="AE799" s="351"/>
      <c r="AF799" s="333"/>
      <c r="AG799" s="333"/>
      <c r="AH799" s="351"/>
      <c r="AI799" s="351"/>
      <c r="AJ799" s="351"/>
      <c r="AK799" s="351"/>
      <c r="AL799" s="351"/>
      <c r="AM799" s="351"/>
      <c r="AN799" s="351"/>
      <c r="AO799" s="351"/>
      <c r="AP799" s="351"/>
      <c r="AQ799" s="351"/>
      <c r="AR799" s="351"/>
      <c r="AS799" s="351"/>
      <c r="AT799" s="351"/>
      <c r="AU799" s="351"/>
      <c r="AV799" s="351"/>
      <c r="AW799" s="351"/>
      <c r="AX799" s="351"/>
      <c r="AY799" s="351"/>
    </row>
    <row r="800" spans="1:51" ht="13">
      <c r="A800" s="333"/>
      <c r="B800" s="351"/>
      <c r="C800" s="351"/>
      <c r="D800" s="333"/>
      <c r="E800" s="333"/>
      <c r="F800" s="333"/>
      <c r="G800" s="359"/>
      <c r="H800" s="359"/>
      <c r="I800" s="351"/>
      <c r="J800" s="359"/>
      <c r="K800" s="359"/>
      <c r="L800" s="359"/>
      <c r="M800" s="351"/>
      <c r="N800" s="351"/>
      <c r="O800" s="351"/>
      <c r="P800" s="351"/>
      <c r="Q800" s="351"/>
      <c r="R800" s="351"/>
      <c r="S800" s="351"/>
      <c r="T800" s="351"/>
      <c r="U800" s="351"/>
      <c r="V800" s="351"/>
      <c r="W800" s="351"/>
      <c r="X800" s="359"/>
      <c r="Y800" s="359"/>
      <c r="Z800" s="359"/>
      <c r="AA800" s="351"/>
      <c r="AB800" s="351"/>
      <c r="AC800" s="359"/>
      <c r="AD800" s="359"/>
      <c r="AE800" s="351"/>
      <c r="AF800" s="333"/>
      <c r="AG800" s="333"/>
      <c r="AH800" s="351"/>
      <c r="AI800" s="351"/>
      <c r="AJ800" s="351"/>
      <c r="AK800" s="351"/>
      <c r="AL800" s="351"/>
      <c r="AM800" s="351"/>
      <c r="AN800" s="351"/>
      <c r="AO800" s="351"/>
      <c r="AP800" s="351"/>
      <c r="AQ800" s="351"/>
      <c r="AR800" s="351"/>
      <c r="AS800" s="351"/>
      <c r="AT800" s="351"/>
      <c r="AU800" s="351"/>
      <c r="AV800" s="351"/>
      <c r="AW800" s="351"/>
      <c r="AX800" s="351"/>
      <c r="AY800" s="351"/>
    </row>
    <row r="801" spans="1:51" ht="13">
      <c r="A801" s="333"/>
      <c r="B801" s="351"/>
      <c r="C801" s="351"/>
      <c r="D801" s="333"/>
      <c r="E801" s="333"/>
      <c r="F801" s="333"/>
      <c r="G801" s="359"/>
      <c r="H801" s="359"/>
      <c r="I801" s="351"/>
      <c r="J801" s="359"/>
      <c r="K801" s="359"/>
      <c r="L801" s="359"/>
      <c r="M801" s="351"/>
      <c r="N801" s="351"/>
      <c r="O801" s="351"/>
      <c r="P801" s="351"/>
      <c r="Q801" s="351"/>
      <c r="R801" s="351"/>
      <c r="S801" s="351"/>
      <c r="T801" s="351"/>
      <c r="U801" s="351"/>
      <c r="V801" s="351"/>
      <c r="W801" s="351"/>
      <c r="X801" s="359"/>
      <c r="Y801" s="359"/>
      <c r="Z801" s="359"/>
      <c r="AA801" s="351"/>
      <c r="AB801" s="351"/>
      <c r="AC801" s="359"/>
      <c r="AD801" s="359"/>
      <c r="AE801" s="351"/>
      <c r="AF801" s="333"/>
      <c r="AG801" s="333"/>
      <c r="AH801" s="351"/>
      <c r="AI801" s="351"/>
      <c r="AJ801" s="351"/>
      <c r="AK801" s="351"/>
      <c r="AL801" s="351"/>
      <c r="AM801" s="351"/>
      <c r="AN801" s="351"/>
      <c r="AO801" s="351"/>
      <c r="AP801" s="351"/>
      <c r="AQ801" s="351"/>
      <c r="AR801" s="351"/>
      <c r="AS801" s="351"/>
      <c r="AT801" s="351"/>
      <c r="AU801" s="351"/>
      <c r="AV801" s="351"/>
      <c r="AW801" s="351"/>
      <c r="AX801" s="351"/>
      <c r="AY801" s="351"/>
    </row>
    <row r="802" spans="1:51" ht="13">
      <c r="A802" s="333"/>
      <c r="B802" s="351"/>
      <c r="C802" s="351"/>
      <c r="D802" s="333"/>
      <c r="E802" s="333"/>
      <c r="F802" s="333"/>
      <c r="G802" s="359"/>
      <c r="H802" s="359"/>
      <c r="I802" s="351"/>
      <c r="J802" s="359"/>
      <c r="K802" s="359"/>
      <c r="L802" s="359"/>
      <c r="M802" s="351"/>
      <c r="N802" s="351"/>
      <c r="O802" s="351"/>
      <c r="P802" s="351"/>
      <c r="Q802" s="351"/>
      <c r="R802" s="351"/>
      <c r="S802" s="351"/>
      <c r="T802" s="351"/>
      <c r="U802" s="351"/>
      <c r="V802" s="351"/>
      <c r="W802" s="351"/>
      <c r="X802" s="359"/>
      <c r="Y802" s="359"/>
      <c r="Z802" s="359"/>
      <c r="AA802" s="351"/>
      <c r="AB802" s="351"/>
      <c r="AC802" s="359"/>
      <c r="AD802" s="359"/>
      <c r="AE802" s="351"/>
      <c r="AF802" s="333"/>
      <c r="AG802" s="333"/>
      <c r="AH802" s="351"/>
      <c r="AI802" s="351"/>
      <c r="AJ802" s="351"/>
      <c r="AK802" s="351"/>
      <c r="AL802" s="351"/>
      <c r="AM802" s="351"/>
      <c r="AN802" s="351"/>
      <c r="AO802" s="351"/>
      <c r="AP802" s="351"/>
      <c r="AQ802" s="351"/>
      <c r="AR802" s="351"/>
      <c r="AS802" s="351"/>
      <c r="AT802" s="351"/>
      <c r="AU802" s="351"/>
      <c r="AV802" s="351"/>
      <c r="AW802" s="351"/>
      <c r="AX802" s="351"/>
      <c r="AY802" s="351"/>
    </row>
    <row r="803" spans="1:51" ht="13">
      <c r="A803" s="333"/>
      <c r="B803" s="351"/>
      <c r="C803" s="351"/>
      <c r="D803" s="333"/>
      <c r="E803" s="333"/>
      <c r="F803" s="333"/>
      <c r="G803" s="359"/>
      <c r="H803" s="359"/>
      <c r="I803" s="351"/>
      <c r="J803" s="359"/>
      <c r="K803" s="359"/>
      <c r="L803" s="359"/>
      <c r="M803" s="351"/>
      <c r="N803" s="351"/>
      <c r="O803" s="351"/>
      <c r="P803" s="351"/>
      <c r="Q803" s="351"/>
      <c r="R803" s="351"/>
      <c r="S803" s="351"/>
      <c r="T803" s="351"/>
      <c r="U803" s="351"/>
      <c r="V803" s="351"/>
      <c r="W803" s="351"/>
      <c r="X803" s="359"/>
      <c r="Y803" s="359"/>
      <c r="Z803" s="359"/>
      <c r="AA803" s="351"/>
      <c r="AB803" s="351"/>
      <c r="AC803" s="359"/>
      <c r="AD803" s="359"/>
      <c r="AE803" s="351"/>
      <c r="AF803" s="333"/>
      <c r="AG803" s="333"/>
      <c r="AH803" s="351"/>
      <c r="AI803" s="351"/>
      <c r="AJ803" s="351"/>
      <c r="AK803" s="351"/>
      <c r="AL803" s="351"/>
      <c r="AM803" s="351"/>
      <c r="AN803" s="351"/>
      <c r="AO803" s="351"/>
      <c r="AP803" s="351"/>
      <c r="AQ803" s="351"/>
      <c r="AR803" s="351"/>
      <c r="AS803" s="351"/>
      <c r="AT803" s="351"/>
      <c r="AU803" s="351"/>
      <c r="AV803" s="351"/>
      <c r="AW803" s="351"/>
      <c r="AX803" s="351"/>
      <c r="AY803" s="351"/>
    </row>
    <row r="804" spans="1:51" ht="13">
      <c r="A804" s="333"/>
      <c r="B804" s="351"/>
      <c r="C804" s="351"/>
      <c r="D804" s="333"/>
      <c r="E804" s="333"/>
      <c r="F804" s="333"/>
      <c r="G804" s="359"/>
      <c r="H804" s="359"/>
      <c r="I804" s="351"/>
      <c r="J804" s="359"/>
      <c r="K804" s="359"/>
      <c r="L804" s="359"/>
      <c r="M804" s="351"/>
      <c r="N804" s="351"/>
      <c r="O804" s="351"/>
      <c r="P804" s="351"/>
      <c r="Q804" s="351"/>
      <c r="R804" s="351"/>
      <c r="S804" s="351"/>
      <c r="T804" s="351"/>
      <c r="U804" s="351"/>
      <c r="V804" s="351"/>
      <c r="W804" s="351"/>
      <c r="X804" s="359"/>
      <c r="Y804" s="359"/>
      <c r="Z804" s="359"/>
      <c r="AA804" s="351"/>
      <c r="AB804" s="351"/>
      <c r="AC804" s="359"/>
      <c r="AD804" s="359"/>
      <c r="AE804" s="351"/>
      <c r="AF804" s="333"/>
      <c r="AG804" s="333"/>
      <c r="AH804" s="351"/>
      <c r="AI804" s="351"/>
      <c r="AJ804" s="351"/>
      <c r="AK804" s="351"/>
      <c r="AL804" s="351"/>
      <c r="AM804" s="351"/>
      <c r="AN804" s="351"/>
      <c r="AO804" s="351"/>
      <c r="AP804" s="351"/>
      <c r="AQ804" s="351"/>
      <c r="AR804" s="351"/>
      <c r="AS804" s="351"/>
      <c r="AT804" s="351"/>
      <c r="AU804" s="351"/>
      <c r="AV804" s="351"/>
      <c r="AW804" s="351"/>
      <c r="AX804" s="351"/>
      <c r="AY804" s="351"/>
    </row>
    <row r="805" spans="1:51" ht="13">
      <c r="A805" s="333"/>
      <c r="B805" s="351"/>
      <c r="C805" s="351"/>
      <c r="D805" s="333"/>
      <c r="E805" s="333"/>
      <c r="F805" s="333"/>
      <c r="G805" s="359"/>
      <c r="H805" s="359"/>
      <c r="I805" s="351"/>
      <c r="J805" s="359"/>
      <c r="K805" s="359"/>
      <c r="L805" s="359"/>
      <c r="M805" s="351"/>
      <c r="N805" s="351"/>
      <c r="O805" s="351"/>
      <c r="P805" s="351"/>
      <c r="Q805" s="351"/>
      <c r="R805" s="351"/>
      <c r="S805" s="351"/>
      <c r="T805" s="351"/>
      <c r="U805" s="351"/>
      <c r="V805" s="351"/>
      <c r="W805" s="351"/>
      <c r="X805" s="359"/>
      <c r="Y805" s="359"/>
      <c r="Z805" s="359"/>
      <c r="AA805" s="351"/>
      <c r="AB805" s="351"/>
      <c r="AC805" s="359"/>
      <c r="AD805" s="359"/>
      <c r="AE805" s="351"/>
      <c r="AF805" s="333"/>
      <c r="AG805" s="333"/>
      <c r="AH805" s="351"/>
      <c r="AI805" s="351"/>
      <c r="AJ805" s="351"/>
      <c r="AK805" s="351"/>
      <c r="AL805" s="351"/>
      <c r="AM805" s="351"/>
      <c r="AN805" s="351"/>
      <c r="AO805" s="351"/>
      <c r="AP805" s="351"/>
      <c r="AQ805" s="351"/>
      <c r="AR805" s="351"/>
      <c r="AS805" s="351"/>
      <c r="AT805" s="351"/>
      <c r="AU805" s="351"/>
      <c r="AV805" s="351"/>
      <c r="AW805" s="351"/>
      <c r="AX805" s="351"/>
      <c r="AY805" s="351"/>
    </row>
    <row r="806" spans="1:51" ht="13">
      <c r="A806" s="333"/>
      <c r="B806" s="351"/>
      <c r="C806" s="351"/>
      <c r="D806" s="333"/>
      <c r="E806" s="333"/>
      <c r="F806" s="333"/>
      <c r="G806" s="359"/>
      <c r="H806" s="359"/>
      <c r="I806" s="351"/>
      <c r="J806" s="359"/>
      <c r="K806" s="359"/>
      <c r="L806" s="359"/>
      <c r="M806" s="351"/>
      <c r="N806" s="351"/>
      <c r="O806" s="351"/>
      <c r="P806" s="351"/>
      <c r="Q806" s="351"/>
      <c r="R806" s="351"/>
      <c r="S806" s="351"/>
      <c r="T806" s="351"/>
      <c r="U806" s="351"/>
      <c r="V806" s="351"/>
      <c r="W806" s="351"/>
      <c r="X806" s="359"/>
      <c r="Y806" s="359"/>
      <c r="Z806" s="359"/>
      <c r="AA806" s="351"/>
      <c r="AB806" s="351"/>
      <c r="AC806" s="359"/>
      <c r="AD806" s="359"/>
      <c r="AE806" s="351"/>
      <c r="AF806" s="333"/>
      <c r="AG806" s="333"/>
      <c r="AH806" s="351"/>
      <c r="AI806" s="351"/>
      <c r="AJ806" s="351"/>
      <c r="AK806" s="351"/>
      <c r="AL806" s="351"/>
      <c r="AM806" s="351"/>
      <c r="AN806" s="351"/>
      <c r="AO806" s="351"/>
      <c r="AP806" s="351"/>
      <c r="AQ806" s="351"/>
      <c r="AR806" s="351"/>
      <c r="AS806" s="351"/>
      <c r="AT806" s="351"/>
      <c r="AU806" s="351"/>
      <c r="AV806" s="351"/>
      <c r="AW806" s="351"/>
      <c r="AX806" s="351"/>
      <c r="AY806" s="351"/>
    </row>
    <row r="807" spans="1:51" ht="13">
      <c r="A807" s="333"/>
      <c r="B807" s="351"/>
      <c r="C807" s="351"/>
      <c r="D807" s="333"/>
      <c r="E807" s="333"/>
      <c r="F807" s="333"/>
      <c r="G807" s="359"/>
      <c r="H807" s="359"/>
      <c r="I807" s="351"/>
      <c r="J807" s="359"/>
      <c r="K807" s="359"/>
      <c r="L807" s="359"/>
      <c r="M807" s="351"/>
      <c r="N807" s="351"/>
      <c r="O807" s="351"/>
      <c r="P807" s="351"/>
      <c r="Q807" s="351"/>
      <c r="R807" s="351"/>
      <c r="S807" s="351"/>
      <c r="T807" s="351"/>
      <c r="U807" s="351"/>
      <c r="V807" s="351"/>
      <c r="W807" s="351"/>
      <c r="X807" s="359"/>
      <c r="Y807" s="359"/>
      <c r="Z807" s="359"/>
      <c r="AA807" s="351"/>
      <c r="AB807" s="351"/>
      <c r="AC807" s="359"/>
      <c r="AD807" s="359"/>
      <c r="AE807" s="351"/>
      <c r="AF807" s="333"/>
      <c r="AG807" s="333"/>
      <c r="AH807" s="351"/>
      <c r="AI807" s="351"/>
      <c r="AJ807" s="351"/>
      <c r="AK807" s="351"/>
      <c r="AL807" s="351"/>
      <c r="AM807" s="351"/>
      <c r="AN807" s="351"/>
      <c r="AO807" s="351"/>
      <c r="AP807" s="351"/>
      <c r="AQ807" s="351"/>
      <c r="AR807" s="351"/>
      <c r="AS807" s="351"/>
      <c r="AT807" s="351"/>
      <c r="AU807" s="351"/>
      <c r="AV807" s="351"/>
      <c r="AW807" s="351"/>
      <c r="AX807" s="351"/>
      <c r="AY807" s="351"/>
    </row>
    <row r="808" spans="1:51" ht="13">
      <c r="A808" s="333"/>
      <c r="B808" s="351"/>
      <c r="C808" s="351"/>
      <c r="D808" s="333"/>
      <c r="E808" s="333"/>
      <c r="F808" s="333"/>
      <c r="G808" s="359"/>
      <c r="H808" s="359"/>
      <c r="I808" s="351"/>
      <c r="J808" s="359"/>
      <c r="K808" s="359"/>
      <c r="L808" s="359"/>
      <c r="M808" s="351"/>
      <c r="N808" s="351"/>
      <c r="O808" s="351"/>
      <c r="P808" s="351"/>
      <c r="Q808" s="351"/>
      <c r="R808" s="351"/>
      <c r="S808" s="351"/>
      <c r="T808" s="351"/>
      <c r="U808" s="351"/>
      <c r="V808" s="351"/>
      <c r="W808" s="351"/>
      <c r="X808" s="359"/>
      <c r="Y808" s="359"/>
      <c r="Z808" s="359"/>
      <c r="AA808" s="351"/>
      <c r="AB808" s="351"/>
      <c r="AC808" s="359"/>
      <c r="AD808" s="359"/>
      <c r="AE808" s="351"/>
      <c r="AF808" s="333"/>
      <c r="AG808" s="333"/>
      <c r="AH808" s="351"/>
      <c r="AI808" s="351"/>
      <c r="AJ808" s="351"/>
      <c r="AK808" s="351"/>
      <c r="AL808" s="351"/>
      <c r="AM808" s="351"/>
      <c r="AN808" s="351"/>
      <c r="AO808" s="351"/>
      <c r="AP808" s="351"/>
      <c r="AQ808" s="351"/>
      <c r="AR808" s="351"/>
      <c r="AS808" s="351"/>
      <c r="AT808" s="351"/>
      <c r="AU808" s="351"/>
      <c r="AV808" s="351"/>
      <c r="AW808" s="351"/>
      <c r="AX808" s="351"/>
      <c r="AY808" s="351"/>
    </row>
    <row r="809" spans="1:51" ht="13">
      <c r="A809" s="333"/>
      <c r="B809" s="351"/>
      <c r="C809" s="351"/>
      <c r="D809" s="333"/>
      <c r="E809" s="333"/>
      <c r="F809" s="333"/>
      <c r="G809" s="359"/>
      <c r="H809" s="359"/>
      <c r="I809" s="351"/>
      <c r="J809" s="359"/>
      <c r="K809" s="359"/>
      <c r="L809" s="359"/>
      <c r="M809" s="351"/>
      <c r="N809" s="351"/>
      <c r="O809" s="351"/>
      <c r="P809" s="351"/>
      <c r="Q809" s="351"/>
      <c r="R809" s="351"/>
      <c r="S809" s="351"/>
      <c r="T809" s="351"/>
      <c r="U809" s="351"/>
      <c r="V809" s="351"/>
      <c r="W809" s="351"/>
      <c r="X809" s="359"/>
      <c r="Y809" s="359"/>
      <c r="Z809" s="359"/>
      <c r="AA809" s="351"/>
      <c r="AB809" s="351"/>
      <c r="AC809" s="359"/>
      <c r="AD809" s="359"/>
      <c r="AE809" s="351"/>
      <c r="AF809" s="333"/>
      <c r="AG809" s="333"/>
      <c r="AH809" s="351"/>
      <c r="AI809" s="351"/>
      <c r="AJ809" s="351"/>
      <c r="AK809" s="351"/>
      <c r="AL809" s="351"/>
      <c r="AM809" s="351"/>
      <c r="AN809" s="351"/>
      <c r="AO809" s="351"/>
      <c r="AP809" s="351"/>
      <c r="AQ809" s="351"/>
      <c r="AR809" s="351"/>
      <c r="AS809" s="351"/>
      <c r="AT809" s="351"/>
      <c r="AU809" s="351"/>
      <c r="AV809" s="351"/>
      <c r="AW809" s="351"/>
      <c r="AX809" s="351"/>
      <c r="AY809" s="351"/>
    </row>
    <row r="810" spans="1:51" ht="13">
      <c r="A810" s="333"/>
      <c r="B810" s="351"/>
      <c r="C810" s="351"/>
      <c r="D810" s="333"/>
      <c r="E810" s="333"/>
      <c r="F810" s="333"/>
      <c r="G810" s="359"/>
      <c r="H810" s="359"/>
      <c r="I810" s="351"/>
      <c r="J810" s="359"/>
      <c r="K810" s="359"/>
      <c r="L810" s="359"/>
      <c r="M810" s="351"/>
      <c r="N810" s="351"/>
      <c r="O810" s="351"/>
      <c r="P810" s="351"/>
      <c r="Q810" s="351"/>
      <c r="R810" s="351"/>
      <c r="S810" s="351"/>
      <c r="T810" s="351"/>
      <c r="U810" s="351"/>
      <c r="V810" s="351"/>
      <c r="W810" s="351"/>
      <c r="X810" s="359"/>
      <c r="Y810" s="359"/>
      <c r="Z810" s="359"/>
      <c r="AA810" s="351"/>
      <c r="AB810" s="351"/>
      <c r="AC810" s="359"/>
      <c r="AD810" s="359"/>
      <c r="AE810" s="351"/>
      <c r="AF810" s="333"/>
      <c r="AG810" s="333"/>
      <c r="AH810" s="351"/>
      <c r="AI810" s="351"/>
      <c r="AJ810" s="351"/>
      <c r="AK810" s="351"/>
      <c r="AL810" s="351"/>
      <c r="AM810" s="351"/>
      <c r="AN810" s="351"/>
      <c r="AO810" s="351"/>
      <c r="AP810" s="351"/>
      <c r="AQ810" s="351"/>
      <c r="AR810" s="351"/>
      <c r="AS810" s="351"/>
      <c r="AT810" s="351"/>
      <c r="AU810" s="351"/>
      <c r="AV810" s="351"/>
      <c r="AW810" s="351"/>
      <c r="AX810" s="351"/>
      <c r="AY810" s="351"/>
    </row>
    <row r="811" spans="1:51" ht="13">
      <c r="A811" s="333"/>
      <c r="B811" s="351"/>
      <c r="C811" s="351"/>
      <c r="D811" s="333"/>
      <c r="E811" s="333"/>
      <c r="F811" s="333"/>
      <c r="G811" s="359"/>
      <c r="H811" s="359"/>
      <c r="I811" s="351"/>
      <c r="J811" s="359"/>
      <c r="K811" s="359"/>
      <c r="L811" s="359"/>
      <c r="M811" s="351"/>
      <c r="N811" s="351"/>
      <c r="O811" s="351"/>
      <c r="P811" s="351"/>
      <c r="Q811" s="351"/>
      <c r="R811" s="351"/>
      <c r="S811" s="351"/>
      <c r="T811" s="351"/>
      <c r="U811" s="351"/>
      <c r="V811" s="351"/>
      <c r="W811" s="351"/>
      <c r="X811" s="359"/>
      <c r="Y811" s="359"/>
      <c r="Z811" s="359"/>
      <c r="AA811" s="351"/>
      <c r="AB811" s="351"/>
      <c r="AC811" s="359"/>
      <c r="AD811" s="359"/>
      <c r="AE811" s="351"/>
      <c r="AF811" s="333"/>
      <c r="AG811" s="333"/>
      <c r="AH811" s="351"/>
      <c r="AI811" s="351"/>
      <c r="AJ811" s="351"/>
      <c r="AK811" s="351"/>
      <c r="AL811" s="351"/>
      <c r="AM811" s="351"/>
      <c r="AN811" s="351"/>
      <c r="AO811" s="351"/>
      <c r="AP811" s="351"/>
      <c r="AQ811" s="351"/>
      <c r="AR811" s="351"/>
      <c r="AS811" s="351"/>
      <c r="AT811" s="351"/>
      <c r="AU811" s="351"/>
      <c r="AV811" s="351"/>
      <c r="AW811" s="351"/>
      <c r="AX811" s="351"/>
      <c r="AY811" s="351"/>
    </row>
    <row r="812" spans="1:51" ht="13">
      <c r="A812" s="333"/>
      <c r="B812" s="351"/>
      <c r="C812" s="351"/>
      <c r="D812" s="333"/>
      <c r="E812" s="333"/>
      <c r="F812" s="333"/>
      <c r="G812" s="359"/>
      <c r="H812" s="359"/>
      <c r="I812" s="351"/>
      <c r="J812" s="359"/>
      <c r="K812" s="359"/>
      <c r="L812" s="359"/>
      <c r="M812" s="351"/>
      <c r="N812" s="351"/>
      <c r="O812" s="351"/>
      <c r="P812" s="351"/>
      <c r="Q812" s="351"/>
      <c r="R812" s="351"/>
      <c r="S812" s="351"/>
      <c r="T812" s="351"/>
      <c r="U812" s="351"/>
      <c r="V812" s="351"/>
      <c r="W812" s="351"/>
      <c r="X812" s="359"/>
      <c r="Y812" s="359"/>
      <c r="Z812" s="359"/>
      <c r="AA812" s="351"/>
      <c r="AB812" s="351"/>
      <c r="AC812" s="359"/>
      <c r="AD812" s="359"/>
      <c r="AE812" s="351"/>
      <c r="AF812" s="333"/>
      <c r="AG812" s="333"/>
      <c r="AH812" s="351"/>
      <c r="AI812" s="351"/>
      <c r="AJ812" s="351"/>
      <c r="AK812" s="351"/>
      <c r="AL812" s="351"/>
      <c r="AM812" s="351"/>
      <c r="AN812" s="351"/>
      <c r="AO812" s="351"/>
      <c r="AP812" s="351"/>
      <c r="AQ812" s="351"/>
      <c r="AR812" s="351"/>
      <c r="AS812" s="351"/>
      <c r="AT812" s="351"/>
      <c r="AU812" s="351"/>
      <c r="AV812" s="351"/>
      <c r="AW812" s="351"/>
      <c r="AX812" s="351"/>
      <c r="AY812" s="351"/>
    </row>
    <row r="813" spans="1:51" ht="13">
      <c r="A813" s="333"/>
      <c r="B813" s="351"/>
      <c r="C813" s="351"/>
      <c r="D813" s="333"/>
      <c r="E813" s="333"/>
      <c r="F813" s="333"/>
      <c r="G813" s="359"/>
      <c r="H813" s="359"/>
      <c r="I813" s="351"/>
      <c r="J813" s="359"/>
      <c r="K813" s="359"/>
      <c r="L813" s="359"/>
      <c r="M813" s="351"/>
      <c r="N813" s="351"/>
      <c r="O813" s="351"/>
      <c r="P813" s="351"/>
      <c r="Q813" s="351"/>
      <c r="R813" s="351"/>
      <c r="S813" s="351"/>
      <c r="T813" s="351"/>
      <c r="U813" s="351"/>
      <c r="V813" s="351"/>
      <c r="W813" s="351"/>
      <c r="X813" s="359"/>
      <c r="Y813" s="359"/>
      <c r="Z813" s="359"/>
      <c r="AA813" s="351"/>
      <c r="AB813" s="351"/>
      <c r="AC813" s="359"/>
      <c r="AD813" s="359"/>
      <c r="AE813" s="351"/>
      <c r="AF813" s="333"/>
      <c r="AG813" s="333"/>
      <c r="AH813" s="351"/>
      <c r="AI813" s="351"/>
      <c r="AJ813" s="351"/>
      <c r="AK813" s="351"/>
      <c r="AL813" s="351"/>
      <c r="AM813" s="351"/>
      <c r="AN813" s="351"/>
      <c r="AO813" s="351"/>
      <c r="AP813" s="351"/>
      <c r="AQ813" s="351"/>
      <c r="AR813" s="351"/>
      <c r="AS813" s="351"/>
      <c r="AT813" s="351"/>
      <c r="AU813" s="351"/>
      <c r="AV813" s="351"/>
      <c r="AW813" s="351"/>
      <c r="AX813" s="351"/>
      <c r="AY813" s="351"/>
    </row>
    <row r="814" spans="1:51" ht="13">
      <c r="A814" s="333"/>
      <c r="B814" s="351"/>
      <c r="C814" s="351"/>
      <c r="D814" s="333"/>
      <c r="E814" s="333"/>
      <c r="F814" s="333"/>
      <c r="G814" s="359"/>
      <c r="H814" s="359"/>
      <c r="I814" s="351"/>
      <c r="J814" s="359"/>
      <c r="K814" s="359"/>
      <c r="L814" s="359"/>
      <c r="M814" s="351"/>
      <c r="N814" s="351"/>
      <c r="O814" s="351"/>
      <c r="P814" s="351"/>
      <c r="Q814" s="351"/>
      <c r="R814" s="351"/>
      <c r="S814" s="351"/>
      <c r="T814" s="351"/>
      <c r="U814" s="351"/>
      <c r="V814" s="351"/>
      <c r="W814" s="351"/>
      <c r="X814" s="359"/>
      <c r="Y814" s="359"/>
      <c r="Z814" s="359"/>
      <c r="AA814" s="351"/>
      <c r="AB814" s="351"/>
      <c r="AC814" s="359"/>
      <c r="AD814" s="359"/>
      <c r="AE814" s="351"/>
      <c r="AF814" s="333"/>
      <c r="AG814" s="333"/>
      <c r="AH814" s="351"/>
      <c r="AI814" s="351"/>
      <c r="AJ814" s="351"/>
      <c r="AK814" s="351"/>
      <c r="AL814" s="351"/>
      <c r="AM814" s="351"/>
      <c r="AN814" s="351"/>
      <c r="AO814" s="351"/>
      <c r="AP814" s="351"/>
      <c r="AQ814" s="351"/>
      <c r="AR814" s="351"/>
      <c r="AS814" s="351"/>
      <c r="AT814" s="351"/>
      <c r="AU814" s="351"/>
      <c r="AV814" s="351"/>
      <c r="AW814" s="351"/>
      <c r="AX814" s="351"/>
      <c r="AY814" s="351"/>
    </row>
    <row r="815" spans="1:51" ht="13">
      <c r="A815" s="333"/>
      <c r="B815" s="351"/>
      <c r="C815" s="351"/>
      <c r="D815" s="333"/>
      <c r="E815" s="333"/>
      <c r="F815" s="333"/>
      <c r="G815" s="359"/>
      <c r="H815" s="359"/>
      <c r="I815" s="351"/>
      <c r="J815" s="359"/>
      <c r="K815" s="359"/>
      <c r="L815" s="359"/>
      <c r="M815" s="351"/>
      <c r="N815" s="351"/>
      <c r="O815" s="351"/>
      <c r="P815" s="351"/>
      <c r="Q815" s="351"/>
      <c r="R815" s="351"/>
      <c r="S815" s="351"/>
      <c r="T815" s="351"/>
      <c r="U815" s="351"/>
      <c r="V815" s="351"/>
      <c r="W815" s="351"/>
      <c r="X815" s="359"/>
      <c r="Y815" s="359"/>
      <c r="Z815" s="359"/>
      <c r="AA815" s="351"/>
      <c r="AB815" s="351"/>
      <c r="AC815" s="359"/>
      <c r="AD815" s="359"/>
      <c r="AE815" s="351"/>
      <c r="AF815" s="333"/>
      <c r="AG815" s="333"/>
      <c r="AH815" s="351"/>
      <c r="AI815" s="351"/>
      <c r="AJ815" s="351"/>
      <c r="AK815" s="351"/>
      <c r="AL815" s="351"/>
      <c r="AM815" s="351"/>
      <c r="AN815" s="351"/>
      <c r="AO815" s="351"/>
      <c r="AP815" s="351"/>
      <c r="AQ815" s="351"/>
      <c r="AR815" s="351"/>
      <c r="AS815" s="351"/>
      <c r="AT815" s="351"/>
      <c r="AU815" s="351"/>
      <c r="AV815" s="351"/>
      <c r="AW815" s="351"/>
      <c r="AX815" s="351"/>
      <c r="AY815" s="351"/>
    </row>
    <row r="816" spans="1:51" ht="13">
      <c r="A816" s="333"/>
      <c r="B816" s="351"/>
      <c r="C816" s="351"/>
      <c r="D816" s="333"/>
      <c r="E816" s="333"/>
      <c r="F816" s="333"/>
      <c r="G816" s="359"/>
      <c r="H816" s="359"/>
      <c r="I816" s="351"/>
      <c r="J816" s="359"/>
      <c r="K816" s="359"/>
      <c r="L816" s="359"/>
      <c r="M816" s="351"/>
      <c r="N816" s="351"/>
      <c r="O816" s="351"/>
      <c r="P816" s="351"/>
      <c r="Q816" s="351"/>
      <c r="R816" s="351"/>
      <c r="S816" s="351"/>
      <c r="T816" s="351"/>
      <c r="U816" s="351"/>
      <c r="V816" s="351"/>
      <c r="W816" s="351"/>
      <c r="X816" s="359"/>
      <c r="Y816" s="359"/>
      <c r="Z816" s="359"/>
      <c r="AA816" s="351"/>
      <c r="AB816" s="351"/>
      <c r="AC816" s="359"/>
      <c r="AD816" s="359"/>
      <c r="AE816" s="351"/>
      <c r="AF816" s="333"/>
      <c r="AG816" s="333"/>
      <c r="AH816" s="351"/>
      <c r="AI816" s="351"/>
      <c r="AJ816" s="351"/>
      <c r="AK816" s="351"/>
      <c r="AL816" s="351"/>
      <c r="AM816" s="351"/>
      <c r="AN816" s="351"/>
      <c r="AO816" s="351"/>
      <c r="AP816" s="351"/>
      <c r="AQ816" s="351"/>
      <c r="AR816" s="351"/>
      <c r="AS816" s="351"/>
      <c r="AT816" s="351"/>
      <c r="AU816" s="351"/>
      <c r="AV816" s="351"/>
      <c r="AW816" s="351"/>
      <c r="AX816" s="351"/>
      <c r="AY816" s="351"/>
    </row>
    <row r="817" spans="1:51" ht="13">
      <c r="A817" s="333"/>
      <c r="B817" s="351"/>
      <c r="C817" s="351"/>
      <c r="D817" s="333"/>
      <c r="E817" s="333"/>
      <c r="F817" s="333"/>
      <c r="G817" s="359"/>
      <c r="H817" s="359"/>
      <c r="I817" s="351"/>
      <c r="J817" s="359"/>
      <c r="K817" s="359"/>
      <c r="L817" s="359"/>
      <c r="M817" s="351"/>
      <c r="N817" s="351"/>
      <c r="O817" s="351"/>
      <c r="P817" s="351"/>
      <c r="Q817" s="351"/>
      <c r="R817" s="351"/>
      <c r="S817" s="351"/>
      <c r="T817" s="351"/>
      <c r="U817" s="351"/>
      <c r="V817" s="351"/>
      <c r="W817" s="351"/>
      <c r="X817" s="359"/>
      <c r="Y817" s="359"/>
      <c r="Z817" s="359"/>
      <c r="AA817" s="351"/>
      <c r="AB817" s="351"/>
      <c r="AC817" s="359"/>
      <c r="AD817" s="359"/>
      <c r="AE817" s="351"/>
      <c r="AF817" s="333"/>
      <c r="AG817" s="333"/>
      <c r="AH817" s="351"/>
      <c r="AI817" s="351"/>
      <c r="AJ817" s="351"/>
      <c r="AK817" s="351"/>
      <c r="AL817" s="351"/>
      <c r="AM817" s="351"/>
      <c r="AN817" s="351"/>
      <c r="AO817" s="351"/>
      <c r="AP817" s="351"/>
      <c r="AQ817" s="351"/>
      <c r="AR817" s="351"/>
      <c r="AS817" s="351"/>
      <c r="AT817" s="351"/>
      <c r="AU817" s="351"/>
      <c r="AV817" s="351"/>
      <c r="AW817" s="351"/>
      <c r="AX817" s="351"/>
      <c r="AY817" s="351"/>
    </row>
    <row r="818" spans="1:51" ht="13">
      <c r="A818" s="333"/>
      <c r="B818" s="351"/>
      <c r="C818" s="351"/>
      <c r="D818" s="333"/>
      <c r="E818" s="333"/>
      <c r="F818" s="333"/>
      <c r="G818" s="359"/>
      <c r="H818" s="359"/>
      <c r="I818" s="351"/>
      <c r="J818" s="359"/>
      <c r="K818" s="359"/>
      <c r="L818" s="359"/>
      <c r="M818" s="351"/>
      <c r="N818" s="351"/>
      <c r="O818" s="351"/>
      <c r="P818" s="351"/>
      <c r="Q818" s="351"/>
      <c r="R818" s="351"/>
      <c r="S818" s="351"/>
      <c r="T818" s="351"/>
      <c r="U818" s="351"/>
      <c r="V818" s="351"/>
      <c r="W818" s="351"/>
      <c r="X818" s="359"/>
      <c r="Y818" s="359"/>
      <c r="Z818" s="359"/>
      <c r="AA818" s="351"/>
      <c r="AB818" s="351"/>
      <c r="AC818" s="359"/>
      <c r="AD818" s="359"/>
      <c r="AE818" s="351"/>
      <c r="AF818" s="333"/>
      <c r="AG818" s="333"/>
      <c r="AH818" s="351"/>
      <c r="AI818" s="351"/>
      <c r="AJ818" s="351"/>
      <c r="AK818" s="351"/>
      <c r="AL818" s="351"/>
      <c r="AM818" s="351"/>
      <c r="AN818" s="351"/>
      <c r="AO818" s="351"/>
      <c r="AP818" s="351"/>
      <c r="AQ818" s="351"/>
      <c r="AR818" s="351"/>
      <c r="AS818" s="351"/>
      <c r="AT818" s="351"/>
      <c r="AU818" s="351"/>
      <c r="AV818" s="351"/>
      <c r="AW818" s="351"/>
      <c r="AX818" s="351"/>
      <c r="AY818" s="351"/>
    </row>
    <row r="819" spans="1:51" ht="13">
      <c r="A819" s="333"/>
      <c r="B819" s="351"/>
      <c r="C819" s="351"/>
      <c r="D819" s="333"/>
      <c r="E819" s="333"/>
      <c r="F819" s="333"/>
      <c r="G819" s="359"/>
      <c r="H819" s="359"/>
      <c r="I819" s="351"/>
      <c r="J819" s="359"/>
      <c r="K819" s="359"/>
      <c r="L819" s="359"/>
      <c r="M819" s="351"/>
      <c r="N819" s="351"/>
      <c r="O819" s="351"/>
      <c r="P819" s="351"/>
      <c r="Q819" s="351"/>
      <c r="R819" s="351"/>
      <c r="S819" s="351"/>
      <c r="T819" s="351"/>
      <c r="U819" s="351"/>
      <c r="V819" s="351"/>
      <c r="W819" s="351"/>
      <c r="X819" s="359"/>
      <c r="Y819" s="359"/>
      <c r="Z819" s="359"/>
      <c r="AA819" s="351"/>
      <c r="AB819" s="351"/>
      <c r="AC819" s="359"/>
      <c r="AD819" s="359"/>
      <c r="AE819" s="351"/>
      <c r="AF819" s="333"/>
      <c r="AG819" s="333"/>
      <c r="AH819" s="351"/>
      <c r="AI819" s="351"/>
      <c r="AJ819" s="351"/>
      <c r="AK819" s="351"/>
      <c r="AL819" s="351"/>
      <c r="AM819" s="351"/>
      <c r="AN819" s="351"/>
      <c r="AO819" s="351"/>
      <c r="AP819" s="351"/>
      <c r="AQ819" s="351"/>
      <c r="AR819" s="351"/>
      <c r="AS819" s="351"/>
      <c r="AT819" s="351"/>
      <c r="AU819" s="351"/>
      <c r="AV819" s="351"/>
      <c r="AW819" s="351"/>
      <c r="AX819" s="351"/>
      <c r="AY819" s="351"/>
    </row>
    <row r="820" spans="1:51" ht="13">
      <c r="A820" s="333"/>
      <c r="B820" s="351"/>
      <c r="C820" s="351"/>
      <c r="D820" s="333"/>
      <c r="E820" s="333"/>
      <c r="F820" s="333"/>
      <c r="G820" s="359"/>
      <c r="H820" s="359"/>
      <c r="I820" s="351"/>
      <c r="J820" s="359"/>
      <c r="K820" s="359"/>
      <c r="L820" s="359"/>
      <c r="M820" s="351"/>
      <c r="N820" s="351"/>
      <c r="O820" s="351"/>
      <c r="P820" s="351"/>
      <c r="Q820" s="351"/>
      <c r="R820" s="351"/>
      <c r="S820" s="351"/>
      <c r="T820" s="351"/>
      <c r="U820" s="351"/>
      <c r="V820" s="351"/>
      <c r="W820" s="351"/>
      <c r="X820" s="359"/>
      <c r="Y820" s="359"/>
      <c r="Z820" s="359"/>
      <c r="AA820" s="351"/>
      <c r="AB820" s="351"/>
      <c r="AC820" s="359"/>
      <c r="AD820" s="359"/>
      <c r="AE820" s="351"/>
      <c r="AF820" s="333"/>
      <c r="AG820" s="333"/>
      <c r="AH820" s="351"/>
      <c r="AI820" s="351"/>
      <c r="AJ820" s="351"/>
      <c r="AK820" s="351"/>
      <c r="AL820" s="351"/>
      <c r="AM820" s="351"/>
      <c r="AN820" s="351"/>
      <c r="AO820" s="351"/>
      <c r="AP820" s="351"/>
      <c r="AQ820" s="351"/>
      <c r="AR820" s="351"/>
      <c r="AS820" s="351"/>
      <c r="AT820" s="351"/>
      <c r="AU820" s="351"/>
      <c r="AV820" s="351"/>
      <c r="AW820" s="351"/>
      <c r="AX820" s="351"/>
      <c r="AY820" s="351"/>
    </row>
    <row r="821" spans="1:51" ht="13">
      <c r="A821" s="333"/>
      <c r="B821" s="351"/>
      <c r="C821" s="351"/>
      <c r="D821" s="333"/>
      <c r="E821" s="333"/>
      <c r="F821" s="333"/>
      <c r="G821" s="359"/>
      <c r="H821" s="359"/>
      <c r="I821" s="351"/>
      <c r="J821" s="359"/>
      <c r="K821" s="359"/>
      <c r="L821" s="359"/>
      <c r="M821" s="351"/>
      <c r="N821" s="351"/>
      <c r="O821" s="351"/>
      <c r="P821" s="351"/>
      <c r="Q821" s="351"/>
      <c r="R821" s="351"/>
      <c r="S821" s="351"/>
      <c r="T821" s="351"/>
      <c r="U821" s="351"/>
      <c r="V821" s="351"/>
      <c r="W821" s="351"/>
      <c r="X821" s="359"/>
      <c r="Y821" s="359"/>
      <c r="Z821" s="359"/>
      <c r="AA821" s="351"/>
      <c r="AB821" s="351"/>
      <c r="AC821" s="359"/>
      <c r="AD821" s="359"/>
      <c r="AE821" s="351"/>
      <c r="AF821" s="333"/>
      <c r="AG821" s="333"/>
      <c r="AH821" s="351"/>
      <c r="AI821" s="351"/>
      <c r="AJ821" s="351"/>
      <c r="AK821" s="351"/>
      <c r="AL821" s="351"/>
      <c r="AM821" s="351"/>
      <c r="AN821" s="351"/>
      <c r="AO821" s="351"/>
      <c r="AP821" s="351"/>
      <c r="AQ821" s="351"/>
      <c r="AR821" s="351"/>
      <c r="AS821" s="351"/>
      <c r="AT821" s="351"/>
      <c r="AU821" s="351"/>
      <c r="AV821" s="351"/>
      <c r="AW821" s="351"/>
      <c r="AX821" s="351"/>
      <c r="AY821" s="351"/>
    </row>
    <row r="822" spans="1:51" ht="13">
      <c r="A822" s="333"/>
      <c r="B822" s="351"/>
      <c r="C822" s="351"/>
      <c r="D822" s="333"/>
      <c r="E822" s="333"/>
      <c r="F822" s="333"/>
      <c r="G822" s="359"/>
      <c r="H822" s="359"/>
      <c r="I822" s="351"/>
      <c r="J822" s="359"/>
      <c r="K822" s="359"/>
      <c r="L822" s="359"/>
      <c r="M822" s="351"/>
      <c r="N822" s="351"/>
      <c r="O822" s="351"/>
      <c r="P822" s="351"/>
      <c r="Q822" s="351"/>
      <c r="R822" s="351"/>
      <c r="S822" s="351"/>
      <c r="T822" s="351"/>
      <c r="U822" s="351"/>
      <c r="V822" s="351"/>
      <c r="W822" s="351"/>
      <c r="X822" s="359"/>
      <c r="Y822" s="359"/>
      <c r="Z822" s="359"/>
      <c r="AA822" s="351"/>
      <c r="AB822" s="351"/>
      <c r="AC822" s="359"/>
      <c r="AD822" s="359"/>
      <c r="AE822" s="351"/>
      <c r="AF822" s="333"/>
      <c r="AG822" s="333"/>
      <c r="AH822" s="351"/>
      <c r="AI822" s="351"/>
      <c r="AJ822" s="351"/>
      <c r="AK822" s="351"/>
      <c r="AL822" s="351"/>
      <c r="AM822" s="351"/>
      <c r="AN822" s="351"/>
      <c r="AO822" s="351"/>
      <c r="AP822" s="351"/>
      <c r="AQ822" s="351"/>
      <c r="AR822" s="351"/>
      <c r="AS822" s="351"/>
      <c r="AT822" s="351"/>
      <c r="AU822" s="351"/>
      <c r="AV822" s="351"/>
      <c r="AW822" s="351"/>
      <c r="AX822" s="351"/>
      <c r="AY822" s="351"/>
    </row>
    <row r="823" spans="1:51" ht="13">
      <c r="A823" s="333"/>
      <c r="B823" s="351"/>
      <c r="C823" s="351"/>
      <c r="D823" s="333"/>
      <c r="E823" s="333"/>
      <c r="F823" s="333"/>
      <c r="G823" s="359"/>
      <c r="H823" s="359"/>
      <c r="I823" s="351"/>
      <c r="J823" s="359"/>
      <c r="K823" s="359"/>
      <c r="L823" s="359"/>
      <c r="M823" s="351"/>
      <c r="N823" s="351"/>
      <c r="O823" s="351"/>
      <c r="P823" s="351"/>
      <c r="Q823" s="351"/>
      <c r="R823" s="351"/>
      <c r="S823" s="351"/>
      <c r="T823" s="351"/>
      <c r="U823" s="351"/>
      <c r="V823" s="351"/>
      <c r="W823" s="351"/>
      <c r="X823" s="359"/>
      <c r="Y823" s="359"/>
      <c r="Z823" s="359"/>
      <c r="AA823" s="351"/>
      <c r="AB823" s="351"/>
      <c r="AC823" s="359"/>
      <c r="AD823" s="359"/>
      <c r="AE823" s="351"/>
      <c r="AF823" s="333"/>
      <c r="AG823" s="333"/>
      <c r="AH823" s="351"/>
      <c r="AI823" s="351"/>
      <c r="AJ823" s="351"/>
      <c r="AK823" s="351"/>
      <c r="AL823" s="351"/>
      <c r="AM823" s="351"/>
      <c r="AN823" s="351"/>
      <c r="AO823" s="351"/>
      <c r="AP823" s="351"/>
      <c r="AQ823" s="351"/>
      <c r="AR823" s="351"/>
      <c r="AS823" s="351"/>
      <c r="AT823" s="351"/>
      <c r="AU823" s="351"/>
      <c r="AV823" s="351"/>
      <c r="AW823" s="351"/>
      <c r="AX823" s="351"/>
      <c r="AY823" s="351"/>
    </row>
    <row r="824" spans="1:51" ht="13">
      <c r="A824" s="333"/>
      <c r="B824" s="351"/>
      <c r="C824" s="351"/>
      <c r="D824" s="333"/>
      <c r="E824" s="333"/>
      <c r="F824" s="333"/>
      <c r="G824" s="359"/>
      <c r="H824" s="359"/>
      <c r="I824" s="351"/>
      <c r="J824" s="359"/>
      <c r="K824" s="359"/>
      <c r="L824" s="359"/>
      <c r="M824" s="351"/>
      <c r="N824" s="351"/>
      <c r="O824" s="351"/>
      <c r="P824" s="351"/>
      <c r="Q824" s="351"/>
      <c r="R824" s="351"/>
      <c r="S824" s="351"/>
      <c r="T824" s="351"/>
      <c r="U824" s="351"/>
      <c r="V824" s="351"/>
      <c r="W824" s="351"/>
      <c r="X824" s="359"/>
      <c r="Y824" s="359"/>
      <c r="Z824" s="359"/>
      <c r="AA824" s="351"/>
      <c r="AB824" s="351"/>
      <c r="AC824" s="359"/>
      <c r="AD824" s="359"/>
      <c r="AE824" s="351"/>
      <c r="AF824" s="333"/>
      <c r="AG824" s="333"/>
      <c r="AH824" s="351"/>
      <c r="AI824" s="351"/>
      <c r="AJ824" s="351"/>
      <c r="AK824" s="351"/>
      <c r="AL824" s="351"/>
      <c r="AM824" s="351"/>
      <c r="AN824" s="351"/>
      <c r="AO824" s="351"/>
      <c r="AP824" s="351"/>
      <c r="AQ824" s="351"/>
      <c r="AR824" s="351"/>
      <c r="AS824" s="351"/>
      <c r="AT824" s="351"/>
      <c r="AU824" s="351"/>
      <c r="AV824" s="351"/>
      <c r="AW824" s="351"/>
      <c r="AX824" s="351"/>
      <c r="AY824" s="351"/>
    </row>
    <row r="825" spans="1:51" ht="13">
      <c r="A825" s="333"/>
      <c r="B825" s="351"/>
      <c r="C825" s="351"/>
      <c r="D825" s="333"/>
      <c r="E825" s="333"/>
      <c r="F825" s="333"/>
      <c r="G825" s="359"/>
      <c r="H825" s="359"/>
      <c r="I825" s="351"/>
      <c r="J825" s="359"/>
      <c r="K825" s="359"/>
      <c r="L825" s="359"/>
      <c r="M825" s="351"/>
      <c r="N825" s="351"/>
      <c r="O825" s="351"/>
      <c r="P825" s="351"/>
      <c r="Q825" s="351"/>
      <c r="R825" s="351"/>
      <c r="S825" s="351"/>
      <c r="T825" s="351"/>
      <c r="U825" s="351"/>
      <c r="V825" s="351"/>
      <c r="W825" s="351"/>
      <c r="X825" s="359"/>
      <c r="Y825" s="359"/>
      <c r="Z825" s="359"/>
      <c r="AA825" s="351"/>
      <c r="AB825" s="351"/>
      <c r="AC825" s="359"/>
      <c r="AD825" s="359"/>
      <c r="AE825" s="351"/>
      <c r="AF825" s="333"/>
      <c r="AG825" s="333"/>
      <c r="AH825" s="351"/>
      <c r="AI825" s="351"/>
      <c r="AJ825" s="351"/>
      <c r="AK825" s="351"/>
      <c r="AL825" s="351"/>
      <c r="AM825" s="351"/>
      <c r="AN825" s="351"/>
      <c r="AO825" s="351"/>
      <c r="AP825" s="351"/>
      <c r="AQ825" s="351"/>
      <c r="AR825" s="351"/>
      <c r="AS825" s="351"/>
      <c r="AT825" s="351"/>
      <c r="AU825" s="351"/>
      <c r="AV825" s="351"/>
      <c r="AW825" s="351"/>
      <c r="AX825" s="351"/>
      <c r="AY825" s="351"/>
    </row>
    <row r="826" spans="1:51" ht="13">
      <c r="A826" s="333"/>
      <c r="B826" s="351"/>
      <c r="C826" s="351"/>
      <c r="D826" s="333"/>
      <c r="E826" s="333"/>
      <c r="F826" s="333"/>
      <c r="G826" s="359"/>
      <c r="H826" s="359"/>
      <c r="I826" s="351"/>
      <c r="J826" s="359"/>
      <c r="K826" s="359"/>
      <c r="L826" s="359"/>
      <c r="M826" s="351"/>
      <c r="N826" s="351"/>
      <c r="O826" s="351"/>
      <c r="P826" s="351"/>
      <c r="Q826" s="351"/>
      <c r="R826" s="351"/>
      <c r="S826" s="351"/>
      <c r="T826" s="351"/>
      <c r="U826" s="351"/>
      <c r="V826" s="351"/>
      <c r="W826" s="351"/>
      <c r="X826" s="359"/>
      <c r="Y826" s="359"/>
      <c r="Z826" s="359"/>
      <c r="AA826" s="351"/>
      <c r="AB826" s="351"/>
      <c r="AC826" s="359"/>
      <c r="AD826" s="359"/>
      <c r="AE826" s="351"/>
      <c r="AF826" s="333"/>
      <c r="AG826" s="333"/>
      <c r="AH826" s="351"/>
      <c r="AI826" s="351"/>
      <c r="AJ826" s="351"/>
      <c r="AK826" s="351"/>
      <c r="AL826" s="351"/>
      <c r="AM826" s="351"/>
      <c r="AN826" s="351"/>
      <c r="AO826" s="351"/>
      <c r="AP826" s="351"/>
      <c r="AQ826" s="351"/>
      <c r="AR826" s="351"/>
      <c r="AS826" s="351"/>
      <c r="AT826" s="351"/>
      <c r="AU826" s="351"/>
      <c r="AV826" s="351"/>
      <c r="AW826" s="351"/>
      <c r="AX826" s="351"/>
      <c r="AY826" s="351"/>
    </row>
    <row r="827" spans="1:51" ht="13">
      <c r="A827" s="333"/>
      <c r="B827" s="351"/>
      <c r="C827" s="351"/>
      <c r="D827" s="333"/>
      <c r="E827" s="333"/>
      <c r="F827" s="333"/>
      <c r="G827" s="359"/>
      <c r="H827" s="359"/>
      <c r="I827" s="351"/>
      <c r="J827" s="359"/>
      <c r="K827" s="359"/>
      <c r="L827" s="359"/>
      <c r="M827" s="351"/>
      <c r="N827" s="351"/>
      <c r="O827" s="351"/>
      <c r="P827" s="351"/>
      <c r="Q827" s="351"/>
      <c r="R827" s="351"/>
      <c r="S827" s="351"/>
      <c r="T827" s="351"/>
      <c r="U827" s="351"/>
      <c r="V827" s="351"/>
      <c r="W827" s="351"/>
      <c r="X827" s="359"/>
      <c r="Y827" s="359"/>
      <c r="Z827" s="359"/>
      <c r="AA827" s="351"/>
      <c r="AB827" s="351"/>
      <c r="AC827" s="359"/>
      <c r="AD827" s="359"/>
      <c r="AE827" s="351"/>
      <c r="AF827" s="333"/>
      <c r="AG827" s="333"/>
      <c r="AH827" s="351"/>
      <c r="AI827" s="351"/>
      <c r="AJ827" s="351"/>
      <c r="AK827" s="351"/>
      <c r="AL827" s="351"/>
      <c r="AM827" s="351"/>
      <c r="AN827" s="351"/>
      <c r="AO827" s="351"/>
      <c r="AP827" s="351"/>
      <c r="AQ827" s="351"/>
      <c r="AR827" s="351"/>
      <c r="AS827" s="351"/>
      <c r="AT827" s="351"/>
      <c r="AU827" s="351"/>
      <c r="AV827" s="351"/>
      <c r="AW827" s="351"/>
      <c r="AX827" s="351"/>
      <c r="AY827" s="351"/>
    </row>
    <row r="828" spans="1:51" ht="13">
      <c r="A828" s="333"/>
      <c r="B828" s="351"/>
      <c r="C828" s="351"/>
      <c r="D828" s="333"/>
      <c r="E828" s="333"/>
      <c r="F828" s="333"/>
      <c r="G828" s="359"/>
      <c r="H828" s="359"/>
      <c r="I828" s="351"/>
      <c r="J828" s="359"/>
      <c r="K828" s="359"/>
      <c r="L828" s="359"/>
      <c r="M828" s="351"/>
      <c r="N828" s="351"/>
      <c r="O828" s="351"/>
      <c r="P828" s="351"/>
      <c r="Q828" s="351"/>
      <c r="R828" s="351"/>
      <c r="S828" s="351"/>
      <c r="T828" s="351"/>
      <c r="U828" s="351"/>
      <c r="V828" s="351"/>
      <c r="W828" s="351"/>
      <c r="X828" s="359"/>
      <c r="Y828" s="359"/>
      <c r="Z828" s="359"/>
      <c r="AA828" s="351"/>
      <c r="AB828" s="351"/>
      <c r="AC828" s="359"/>
      <c r="AD828" s="359"/>
      <c r="AE828" s="351"/>
      <c r="AF828" s="333"/>
      <c r="AG828" s="333"/>
      <c r="AH828" s="351"/>
      <c r="AI828" s="351"/>
      <c r="AJ828" s="351"/>
      <c r="AK828" s="351"/>
      <c r="AL828" s="351"/>
      <c r="AM828" s="351"/>
      <c r="AN828" s="351"/>
      <c r="AO828" s="351"/>
      <c r="AP828" s="351"/>
      <c r="AQ828" s="351"/>
      <c r="AR828" s="351"/>
      <c r="AS828" s="351"/>
      <c r="AT828" s="351"/>
      <c r="AU828" s="351"/>
      <c r="AV828" s="351"/>
      <c r="AW828" s="351"/>
      <c r="AX828" s="351"/>
      <c r="AY828" s="351"/>
    </row>
    <row r="829" spans="1:51" ht="13">
      <c r="A829" s="333"/>
      <c r="B829" s="351"/>
      <c r="C829" s="351"/>
      <c r="D829" s="333"/>
      <c r="E829" s="333"/>
      <c r="F829" s="333"/>
      <c r="G829" s="359"/>
      <c r="H829" s="359"/>
      <c r="I829" s="351"/>
      <c r="J829" s="359"/>
      <c r="K829" s="359"/>
      <c r="L829" s="359"/>
      <c r="M829" s="351"/>
      <c r="N829" s="351"/>
      <c r="O829" s="351"/>
      <c r="P829" s="351"/>
      <c r="Q829" s="351"/>
      <c r="R829" s="351"/>
      <c r="S829" s="351"/>
      <c r="T829" s="351"/>
      <c r="U829" s="351"/>
      <c r="V829" s="351"/>
      <c r="W829" s="351"/>
      <c r="X829" s="359"/>
      <c r="Y829" s="359"/>
      <c r="Z829" s="359"/>
      <c r="AA829" s="351"/>
      <c r="AB829" s="351"/>
      <c r="AC829" s="359"/>
      <c r="AD829" s="359"/>
      <c r="AE829" s="351"/>
      <c r="AF829" s="333"/>
      <c r="AG829" s="333"/>
      <c r="AH829" s="351"/>
      <c r="AI829" s="351"/>
      <c r="AJ829" s="351"/>
      <c r="AK829" s="351"/>
      <c r="AL829" s="351"/>
      <c r="AM829" s="351"/>
      <c r="AN829" s="351"/>
      <c r="AO829" s="351"/>
      <c r="AP829" s="351"/>
      <c r="AQ829" s="351"/>
      <c r="AR829" s="351"/>
      <c r="AS829" s="351"/>
      <c r="AT829" s="351"/>
      <c r="AU829" s="351"/>
      <c r="AV829" s="351"/>
      <c r="AW829" s="351"/>
      <c r="AX829" s="351"/>
      <c r="AY829" s="351"/>
    </row>
    <row r="830" spans="1:51" ht="13">
      <c r="A830" s="333"/>
      <c r="B830" s="351"/>
      <c r="C830" s="351"/>
      <c r="D830" s="333"/>
      <c r="E830" s="333"/>
      <c r="F830" s="333"/>
      <c r="G830" s="359"/>
      <c r="H830" s="359"/>
      <c r="I830" s="351"/>
      <c r="J830" s="359"/>
      <c r="K830" s="359"/>
      <c r="L830" s="359"/>
      <c r="M830" s="351"/>
      <c r="N830" s="351"/>
      <c r="O830" s="351"/>
      <c r="P830" s="351"/>
      <c r="Q830" s="351"/>
      <c r="R830" s="351"/>
      <c r="S830" s="351"/>
      <c r="T830" s="351"/>
      <c r="U830" s="351"/>
      <c r="V830" s="351"/>
      <c r="W830" s="351"/>
      <c r="X830" s="359"/>
      <c r="Y830" s="359"/>
      <c r="Z830" s="359"/>
      <c r="AA830" s="351"/>
      <c r="AB830" s="351"/>
      <c r="AC830" s="359"/>
      <c r="AD830" s="359"/>
      <c r="AE830" s="351"/>
      <c r="AF830" s="333"/>
      <c r="AG830" s="333"/>
      <c r="AH830" s="351"/>
      <c r="AI830" s="351"/>
      <c r="AJ830" s="351"/>
      <c r="AK830" s="351"/>
      <c r="AL830" s="351"/>
      <c r="AM830" s="351"/>
      <c r="AN830" s="351"/>
      <c r="AO830" s="351"/>
      <c r="AP830" s="351"/>
      <c r="AQ830" s="351"/>
      <c r="AR830" s="351"/>
      <c r="AS830" s="351"/>
      <c r="AT830" s="351"/>
      <c r="AU830" s="351"/>
      <c r="AV830" s="351"/>
      <c r="AW830" s="351"/>
      <c r="AX830" s="351"/>
      <c r="AY830" s="351"/>
    </row>
    <row r="831" spans="1:51" ht="13">
      <c r="A831" s="333"/>
      <c r="B831" s="351"/>
      <c r="C831" s="351"/>
      <c r="D831" s="333"/>
      <c r="E831" s="333"/>
      <c r="F831" s="333"/>
      <c r="G831" s="359"/>
      <c r="H831" s="359"/>
      <c r="I831" s="351"/>
      <c r="J831" s="359"/>
      <c r="K831" s="359"/>
      <c r="L831" s="359"/>
      <c r="M831" s="351"/>
      <c r="N831" s="351"/>
      <c r="O831" s="351"/>
      <c r="P831" s="351"/>
      <c r="Q831" s="351"/>
      <c r="R831" s="351"/>
      <c r="S831" s="351"/>
      <c r="T831" s="351"/>
      <c r="U831" s="351"/>
      <c r="V831" s="351"/>
      <c r="W831" s="351"/>
      <c r="X831" s="359"/>
      <c r="Y831" s="359"/>
      <c r="Z831" s="359"/>
      <c r="AA831" s="351"/>
      <c r="AB831" s="351"/>
      <c r="AC831" s="359"/>
      <c r="AD831" s="359"/>
      <c r="AE831" s="351"/>
      <c r="AF831" s="333"/>
      <c r="AG831" s="333"/>
      <c r="AH831" s="351"/>
      <c r="AI831" s="351"/>
      <c r="AJ831" s="351"/>
      <c r="AK831" s="351"/>
      <c r="AL831" s="351"/>
      <c r="AM831" s="351"/>
      <c r="AN831" s="351"/>
      <c r="AO831" s="351"/>
      <c r="AP831" s="351"/>
      <c r="AQ831" s="351"/>
      <c r="AR831" s="351"/>
      <c r="AS831" s="351"/>
      <c r="AT831" s="351"/>
      <c r="AU831" s="351"/>
      <c r="AV831" s="351"/>
      <c r="AW831" s="351"/>
      <c r="AX831" s="351"/>
      <c r="AY831" s="351"/>
    </row>
    <row r="832" spans="1:51" ht="13">
      <c r="A832" s="333"/>
      <c r="B832" s="351"/>
      <c r="C832" s="351"/>
      <c r="D832" s="333"/>
      <c r="E832" s="333"/>
      <c r="F832" s="333"/>
      <c r="G832" s="359"/>
      <c r="H832" s="359"/>
      <c r="I832" s="351"/>
      <c r="J832" s="359"/>
      <c r="K832" s="359"/>
      <c r="L832" s="359"/>
      <c r="M832" s="351"/>
      <c r="N832" s="351"/>
      <c r="O832" s="351"/>
      <c r="P832" s="351"/>
      <c r="Q832" s="351"/>
      <c r="R832" s="351"/>
      <c r="S832" s="351"/>
      <c r="T832" s="351"/>
      <c r="U832" s="351"/>
      <c r="V832" s="351"/>
      <c r="W832" s="351"/>
      <c r="X832" s="359"/>
      <c r="Y832" s="359"/>
      <c r="Z832" s="359"/>
      <c r="AA832" s="351"/>
      <c r="AB832" s="351"/>
      <c r="AC832" s="359"/>
      <c r="AD832" s="359"/>
      <c r="AE832" s="351"/>
      <c r="AF832" s="333"/>
      <c r="AG832" s="333"/>
      <c r="AH832" s="351"/>
      <c r="AI832" s="351"/>
      <c r="AJ832" s="351"/>
      <c r="AK832" s="351"/>
      <c r="AL832" s="351"/>
      <c r="AM832" s="351"/>
      <c r="AN832" s="351"/>
      <c r="AO832" s="351"/>
      <c r="AP832" s="351"/>
      <c r="AQ832" s="351"/>
      <c r="AR832" s="351"/>
      <c r="AS832" s="351"/>
      <c r="AT832" s="351"/>
      <c r="AU832" s="351"/>
      <c r="AV832" s="351"/>
      <c r="AW832" s="351"/>
      <c r="AX832" s="351"/>
      <c r="AY832" s="351"/>
    </row>
    <row r="833" spans="1:51" ht="13">
      <c r="A833" s="333"/>
      <c r="B833" s="351"/>
      <c r="C833" s="351"/>
      <c r="D833" s="333"/>
      <c r="E833" s="333"/>
      <c r="F833" s="333"/>
      <c r="G833" s="359"/>
      <c r="H833" s="359"/>
      <c r="I833" s="351"/>
      <c r="J833" s="359"/>
      <c r="K833" s="359"/>
      <c r="L833" s="359"/>
      <c r="M833" s="351"/>
      <c r="N833" s="351"/>
      <c r="O833" s="351"/>
      <c r="P833" s="351"/>
      <c r="Q833" s="351"/>
      <c r="R833" s="351"/>
      <c r="S833" s="351"/>
      <c r="T833" s="351"/>
      <c r="U833" s="351"/>
      <c r="V833" s="351"/>
      <c r="W833" s="351"/>
      <c r="X833" s="359"/>
      <c r="Y833" s="359"/>
      <c r="Z833" s="359"/>
      <c r="AA833" s="351"/>
      <c r="AB833" s="351"/>
      <c r="AC833" s="359"/>
      <c r="AD833" s="359"/>
      <c r="AE833" s="351"/>
      <c r="AF833" s="333"/>
      <c r="AG833" s="333"/>
      <c r="AH833" s="351"/>
      <c r="AI833" s="351"/>
      <c r="AJ833" s="351"/>
      <c r="AK833" s="351"/>
      <c r="AL833" s="351"/>
      <c r="AM833" s="351"/>
      <c r="AN833" s="351"/>
      <c r="AO833" s="351"/>
      <c r="AP833" s="351"/>
      <c r="AQ833" s="351"/>
      <c r="AR833" s="351"/>
      <c r="AS833" s="351"/>
      <c r="AT833" s="351"/>
      <c r="AU833" s="351"/>
      <c r="AV833" s="351"/>
      <c r="AW833" s="351"/>
      <c r="AX833" s="351"/>
      <c r="AY833" s="351"/>
    </row>
    <row r="834" spans="1:51" ht="13">
      <c r="A834" s="333"/>
      <c r="B834" s="351"/>
      <c r="C834" s="351"/>
      <c r="D834" s="333"/>
      <c r="E834" s="333"/>
      <c r="F834" s="333"/>
      <c r="G834" s="359"/>
      <c r="H834" s="359"/>
      <c r="I834" s="351"/>
      <c r="J834" s="359"/>
      <c r="K834" s="359"/>
      <c r="L834" s="359"/>
      <c r="M834" s="351"/>
      <c r="N834" s="351"/>
      <c r="O834" s="351"/>
      <c r="P834" s="351"/>
      <c r="Q834" s="351"/>
      <c r="R834" s="351"/>
      <c r="S834" s="351"/>
      <c r="T834" s="351"/>
      <c r="U834" s="351"/>
      <c r="V834" s="351"/>
      <c r="W834" s="351"/>
      <c r="X834" s="359"/>
      <c r="Y834" s="359"/>
      <c r="Z834" s="359"/>
      <c r="AA834" s="351"/>
      <c r="AB834" s="351"/>
      <c r="AC834" s="359"/>
      <c r="AD834" s="359"/>
      <c r="AE834" s="351"/>
      <c r="AF834" s="333"/>
      <c r="AG834" s="333"/>
      <c r="AH834" s="351"/>
      <c r="AI834" s="351"/>
      <c r="AJ834" s="351"/>
      <c r="AK834" s="351"/>
      <c r="AL834" s="351"/>
      <c r="AM834" s="351"/>
      <c r="AN834" s="351"/>
      <c r="AO834" s="351"/>
      <c r="AP834" s="351"/>
      <c r="AQ834" s="351"/>
      <c r="AR834" s="351"/>
      <c r="AS834" s="351"/>
      <c r="AT834" s="351"/>
      <c r="AU834" s="351"/>
      <c r="AV834" s="351"/>
      <c r="AW834" s="351"/>
      <c r="AX834" s="351"/>
      <c r="AY834" s="351"/>
    </row>
    <row r="835" spans="1:51" ht="13">
      <c r="A835" s="333"/>
      <c r="B835" s="351"/>
      <c r="C835" s="351"/>
      <c r="D835" s="333"/>
      <c r="E835" s="333"/>
      <c r="F835" s="333"/>
      <c r="G835" s="359"/>
      <c r="H835" s="359"/>
      <c r="I835" s="351"/>
      <c r="J835" s="359"/>
      <c r="K835" s="359"/>
      <c r="L835" s="359"/>
      <c r="M835" s="351"/>
      <c r="N835" s="351"/>
      <c r="O835" s="351"/>
      <c r="P835" s="351"/>
      <c r="Q835" s="351"/>
      <c r="R835" s="351"/>
      <c r="S835" s="351"/>
      <c r="T835" s="351"/>
      <c r="U835" s="351"/>
      <c r="V835" s="351"/>
      <c r="W835" s="351"/>
      <c r="X835" s="359"/>
      <c r="Y835" s="359"/>
      <c r="Z835" s="359"/>
      <c r="AA835" s="351"/>
      <c r="AB835" s="351"/>
      <c r="AC835" s="359"/>
      <c r="AD835" s="359"/>
      <c r="AE835" s="351"/>
      <c r="AF835" s="333"/>
      <c r="AG835" s="333"/>
      <c r="AH835" s="351"/>
      <c r="AI835" s="351"/>
      <c r="AJ835" s="351"/>
      <c r="AK835" s="351"/>
      <c r="AL835" s="351"/>
      <c r="AM835" s="351"/>
      <c r="AN835" s="351"/>
      <c r="AO835" s="351"/>
      <c r="AP835" s="351"/>
      <c r="AQ835" s="351"/>
      <c r="AR835" s="351"/>
      <c r="AS835" s="351"/>
      <c r="AT835" s="351"/>
      <c r="AU835" s="351"/>
      <c r="AV835" s="351"/>
      <c r="AW835" s="351"/>
      <c r="AX835" s="351"/>
      <c r="AY835" s="351"/>
    </row>
    <row r="836" spans="1:51" ht="13">
      <c r="A836" s="333"/>
      <c r="B836" s="351"/>
      <c r="C836" s="351"/>
      <c r="D836" s="333"/>
      <c r="E836" s="333"/>
      <c r="F836" s="333"/>
      <c r="G836" s="359"/>
      <c r="H836" s="359"/>
      <c r="I836" s="351"/>
      <c r="J836" s="359"/>
      <c r="K836" s="359"/>
      <c r="L836" s="359"/>
      <c r="M836" s="351"/>
      <c r="N836" s="351"/>
      <c r="O836" s="351"/>
      <c r="P836" s="351"/>
      <c r="Q836" s="351"/>
      <c r="R836" s="351"/>
      <c r="S836" s="351"/>
      <c r="T836" s="351"/>
      <c r="U836" s="351"/>
      <c r="V836" s="351"/>
      <c r="W836" s="351"/>
      <c r="X836" s="359"/>
      <c r="Y836" s="359"/>
      <c r="Z836" s="359"/>
      <c r="AA836" s="351"/>
      <c r="AB836" s="351"/>
      <c r="AC836" s="359"/>
      <c r="AD836" s="359"/>
      <c r="AE836" s="351"/>
      <c r="AF836" s="333"/>
      <c r="AG836" s="333"/>
      <c r="AH836" s="351"/>
      <c r="AI836" s="351"/>
      <c r="AJ836" s="351"/>
      <c r="AK836" s="351"/>
      <c r="AL836" s="351"/>
      <c r="AM836" s="351"/>
      <c r="AN836" s="351"/>
      <c r="AO836" s="351"/>
      <c r="AP836" s="351"/>
      <c r="AQ836" s="351"/>
      <c r="AR836" s="351"/>
      <c r="AS836" s="351"/>
      <c r="AT836" s="351"/>
      <c r="AU836" s="351"/>
      <c r="AV836" s="351"/>
      <c r="AW836" s="351"/>
      <c r="AX836" s="351"/>
      <c r="AY836" s="351"/>
    </row>
    <row r="837" spans="1:51" ht="13">
      <c r="A837" s="333"/>
      <c r="B837" s="351"/>
      <c r="C837" s="351"/>
      <c r="D837" s="333"/>
      <c r="E837" s="333"/>
      <c r="F837" s="333"/>
      <c r="G837" s="359"/>
      <c r="H837" s="359"/>
      <c r="I837" s="351"/>
      <c r="J837" s="359"/>
      <c r="K837" s="359"/>
      <c r="L837" s="359"/>
      <c r="M837" s="351"/>
      <c r="N837" s="351"/>
      <c r="O837" s="351"/>
      <c r="P837" s="351"/>
      <c r="Q837" s="351"/>
      <c r="R837" s="351"/>
      <c r="S837" s="351"/>
      <c r="T837" s="351"/>
      <c r="U837" s="351"/>
      <c r="V837" s="351"/>
      <c r="W837" s="351"/>
      <c r="X837" s="359"/>
      <c r="Y837" s="359"/>
      <c r="Z837" s="359"/>
      <c r="AA837" s="351"/>
      <c r="AB837" s="351"/>
      <c r="AC837" s="359"/>
      <c r="AD837" s="359"/>
      <c r="AE837" s="351"/>
      <c r="AF837" s="333"/>
      <c r="AG837" s="333"/>
      <c r="AH837" s="351"/>
      <c r="AI837" s="351"/>
      <c r="AJ837" s="351"/>
      <c r="AK837" s="351"/>
      <c r="AL837" s="351"/>
      <c r="AM837" s="351"/>
      <c r="AN837" s="351"/>
      <c r="AO837" s="351"/>
      <c r="AP837" s="351"/>
      <c r="AQ837" s="351"/>
      <c r="AR837" s="351"/>
      <c r="AS837" s="351"/>
      <c r="AT837" s="351"/>
      <c r="AU837" s="351"/>
      <c r="AV837" s="351"/>
      <c r="AW837" s="351"/>
      <c r="AX837" s="351"/>
      <c r="AY837" s="351"/>
    </row>
    <row r="838" spans="1:51" ht="13">
      <c r="A838" s="333"/>
      <c r="B838" s="351"/>
      <c r="C838" s="351"/>
      <c r="D838" s="333"/>
      <c r="E838" s="333"/>
      <c r="F838" s="333"/>
      <c r="G838" s="359"/>
      <c r="H838" s="359"/>
      <c r="I838" s="351"/>
      <c r="J838" s="359"/>
      <c r="K838" s="359"/>
      <c r="L838" s="359"/>
      <c r="M838" s="351"/>
      <c r="N838" s="351"/>
      <c r="O838" s="351"/>
      <c r="P838" s="351"/>
      <c r="Q838" s="351"/>
      <c r="R838" s="351"/>
      <c r="S838" s="351"/>
      <c r="T838" s="351"/>
      <c r="U838" s="351"/>
      <c r="V838" s="351"/>
      <c r="W838" s="351"/>
      <c r="X838" s="359"/>
      <c r="Y838" s="359"/>
      <c r="Z838" s="359"/>
      <c r="AA838" s="351"/>
      <c r="AB838" s="351"/>
      <c r="AC838" s="359"/>
      <c r="AD838" s="359"/>
      <c r="AE838" s="351"/>
      <c r="AF838" s="333"/>
      <c r="AG838" s="333"/>
      <c r="AH838" s="351"/>
      <c r="AI838" s="351"/>
      <c r="AJ838" s="351"/>
      <c r="AK838" s="351"/>
      <c r="AL838" s="351"/>
      <c r="AM838" s="351"/>
      <c r="AN838" s="351"/>
      <c r="AO838" s="351"/>
      <c r="AP838" s="351"/>
      <c r="AQ838" s="351"/>
      <c r="AR838" s="351"/>
      <c r="AS838" s="351"/>
      <c r="AT838" s="351"/>
      <c r="AU838" s="351"/>
      <c r="AV838" s="351"/>
      <c r="AW838" s="351"/>
      <c r="AX838" s="351"/>
      <c r="AY838" s="351"/>
    </row>
    <row r="839" spans="1:51" ht="13">
      <c r="A839" s="333"/>
      <c r="B839" s="351"/>
      <c r="C839" s="351"/>
      <c r="D839" s="333"/>
      <c r="E839" s="333"/>
      <c r="F839" s="333"/>
      <c r="G839" s="359"/>
      <c r="H839" s="359"/>
      <c r="I839" s="351"/>
      <c r="J839" s="359"/>
      <c r="K839" s="359"/>
      <c r="L839" s="359"/>
      <c r="M839" s="351"/>
      <c r="N839" s="351"/>
      <c r="O839" s="351"/>
      <c r="P839" s="351"/>
      <c r="Q839" s="351"/>
      <c r="R839" s="351"/>
      <c r="S839" s="351"/>
      <c r="T839" s="351"/>
      <c r="U839" s="351"/>
      <c r="V839" s="351"/>
      <c r="W839" s="351"/>
      <c r="X839" s="359"/>
      <c r="Y839" s="359"/>
      <c r="Z839" s="359"/>
      <c r="AA839" s="351"/>
      <c r="AB839" s="351"/>
      <c r="AC839" s="359"/>
      <c r="AD839" s="359"/>
      <c r="AE839" s="351"/>
      <c r="AF839" s="333"/>
      <c r="AG839" s="333"/>
      <c r="AH839" s="351"/>
      <c r="AI839" s="351"/>
      <c r="AJ839" s="351"/>
      <c r="AK839" s="351"/>
      <c r="AL839" s="351"/>
      <c r="AM839" s="351"/>
      <c r="AN839" s="351"/>
      <c r="AO839" s="351"/>
      <c r="AP839" s="351"/>
      <c r="AQ839" s="351"/>
      <c r="AR839" s="351"/>
      <c r="AS839" s="351"/>
      <c r="AT839" s="351"/>
      <c r="AU839" s="351"/>
      <c r="AV839" s="351"/>
      <c r="AW839" s="351"/>
      <c r="AX839" s="351"/>
      <c r="AY839" s="351"/>
    </row>
    <row r="840" spans="1:51" ht="13">
      <c r="A840" s="333"/>
      <c r="B840" s="351"/>
      <c r="C840" s="351"/>
      <c r="D840" s="333"/>
      <c r="E840" s="333"/>
      <c r="F840" s="333"/>
      <c r="G840" s="359"/>
      <c r="H840" s="359"/>
      <c r="I840" s="351"/>
      <c r="J840" s="359"/>
      <c r="K840" s="359"/>
      <c r="L840" s="359"/>
      <c r="M840" s="351"/>
      <c r="N840" s="351"/>
      <c r="O840" s="351"/>
      <c r="P840" s="351"/>
      <c r="Q840" s="351"/>
      <c r="R840" s="351"/>
      <c r="S840" s="351"/>
      <c r="T840" s="351"/>
      <c r="U840" s="351"/>
      <c r="V840" s="351"/>
      <c r="W840" s="351"/>
      <c r="X840" s="359"/>
      <c r="Y840" s="359"/>
      <c r="Z840" s="359"/>
      <c r="AA840" s="351"/>
      <c r="AB840" s="351"/>
      <c r="AC840" s="359"/>
      <c r="AD840" s="359"/>
      <c r="AE840" s="351"/>
      <c r="AF840" s="333"/>
      <c r="AG840" s="333"/>
      <c r="AH840" s="351"/>
      <c r="AI840" s="351"/>
      <c r="AJ840" s="351"/>
      <c r="AK840" s="351"/>
      <c r="AL840" s="351"/>
      <c r="AM840" s="351"/>
      <c r="AN840" s="351"/>
      <c r="AO840" s="351"/>
      <c r="AP840" s="351"/>
      <c r="AQ840" s="351"/>
      <c r="AR840" s="351"/>
      <c r="AS840" s="351"/>
      <c r="AT840" s="351"/>
      <c r="AU840" s="351"/>
      <c r="AV840" s="351"/>
      <c r="AW840" s="351"/>
      <c r="AX840" s="351"/>
      <c r="AY840" s="351"/>
    </row>
    <row r="841" spans="1:51" ht="13">
      <c r="A841" s="333"/>
      <c r="B841" s="351"/>
      <c r="C841" s="351"/>
      <c r="D841" s="333"/>
      <c r="E841" s="333"/>
      <c r="F841" s="333"/>
      <c r="G841" s="359"/>
      <c r="H841" s="359"/>
      <c r="I841" s="351"/>
      <c r="J841" s="359"/>
      <c r="K841" s="359"/>
      <c r="L841" s="359"/>
      <c r="M841" s="351"/>
      <c r="N841" s="351"/>
      <c r="O841" s="351"/>
      <c r="P841" s="351"/>
      <c r="Q841" s="351"/>
      <c r="R841" s="351"/>
      <c r="S841" s="351"/>
      <c r="T841" s="351"/>
      <c r="U841" s="351"/>
      <c r="V841" s="351"/>
      <c r="W841" s="351"/>
      <c r="X841" s="359"/>
      <c r="Y841" s="359"/>
      <c r="Z841" s="359"/>
      <c r="AA841" s="351"/>
      <c r="AB841" s="351"/>
      <c r="AC841" s="359"/>
      <c r="AD841" s="359"/>
      <c r="AE841" s="351"/>
      <c r="AF841" s="333"/>
      <c r="AG841" s="333"/>
      <c r="AH841" s="351"/>
      <c r="AI841" s="351"/>
      <c r="AJ841" s="351"/>
      <c r="AK841" s="351"/>
      <c r="AL841" s="351"/>
      <c r="AM841" s="351"/>
      <c r="AN841" s="351"/>
      <c r="AO841" s="351"/>
      <c r="AP841" s="351"/>
      <c r="AQ841" s="351"/>
      <c r="AR841" s="351"/>
      <c r="AS841" s="351"/>
      <c r="AT841" s="351"/>
      <c r="AU841" s="351"/>
      <c r="AV841" s="351"/>
      <c r="AW841" s="351"/>
      <c r="AX841" s="351"/>
      <c r="AY841" s="351"/>
    </row>
    <row r="842" spans="1:51" ht="13">
      <c r="A842" s="333"/>
      <c r="B842" s="351"/>
      <c r="C842" s="351"/>
      <c r="D842" s="333"/>
      <c r="E842" s="333"/>
      <c r="F842" s="333"/>
      <c r="G842" s="359"/>
      <c r="H842" s="359"/>
      <c r="I842" s="351"/>
      <c r="J842" s="359"/>
      <c r="K842" s="359"/>
      <c r="L842" s="359"/>
      <c r="M842" s="351"/>
      <c r="N842" s="351"/>
      <c r="O842" s="351"/>
      <c r="P842" s="351"/>
      <c r="Q842" s="351"/>
      <c r="R842" s="351"/>
      <c r="S842" s="351"/>
      <c r="T842" s="351"/>
      <c r="U842" s="351"/>
      <c r="V842" s="351"/>
      <c r="W842" s="351"/>
      <c r="X842" s="359"/>
      <c r="Y842" s="359"/>
      <c r="Z842" s="359"/>
      <c r="AA842" s="351"/>
      <c r="AB842" s="351"/>
      <c r="AC842" s="359"/>
      <c r="AD842" s="359"/>
      <c r="AE842" s="351"/>
      <c r="AF842" s="333"/>
      <c r="AG842" s="333"/>
      <c r="AH842" s="351"/>
      <c r="AI842" s="351"/>
      <c r="AJ842" s="351"/>
      <c r="AK842" s="351"/>
      <c r="AL842" s="351"/>
      <c r="AM842" s="351"/>
      <c r="AN842" s="351"/>
      <c r="AO842" s="351"/>
      <c r="AP842" s="351"/>
      <c r="AQ842" s="351"/>
      <c r="AR842" s="351"/>
      <c r="AS842" s="351"/>
      <c r="AT842" s="351"/>
      <c r="AU842" s="351"/>
      <c r="AV842" s="351"/>
      <c r="AW842" s="351"/>
      <c r="AX842" s="351"/>
      <c r="AY842" s="351"/>
    </row>
    <row r="843" spans="1:51" ht="13">
      <c r="A843" s="333"/>
      <c r="B843" s="351"/>
      <c r="C843" s="351"/>
      <c r="D843" s="333"/>
      <c r="E843" s="333"/>
      <c r="F843" s="333"/>
      <c r="G843" s="359"/>
      <c r="H843" s="359"/>
      <c r="I843" s="351"/>
      <c r="J843" s="359"/>
      <c r="K843" s="359"/>
      <c r="L843" s="359"/>
      <c r="M843" s="351"/>
      <c r="N843" s="351"/>
      <c r="O843" s="351"/>
      <c r="P843" s="351"/>
      <c r="Q843" s="351"/>
      <c r="R843" s="351"/>
      <c r="S843" s="351"/>
      <c r="T843" s="351"/>
      <c r="U843" s="351"/>
      <c r="V843" s="351"/>
      <c r="W843" s="351"/>
      <c r="X843" s="359"/>
      <c r="Y843" s="359"/>
      <c r="Z843" s="359"/>
      <c r="AA843" s="351"/>
      <c r="AB843" s="351"/>
      <c r="AC843" s="359"/>
      <c r="AD843" s="359"/>
      <c r="AE843" s="351"/>
      <c r="AF843" s="333"/>
      <c r="AG843" s="333"/>
      <c r="AH843" s="351"/>
      <c r="AI843" s="351"/>
      <c r="AJ843" s="351"/>
      <c r="AK843" s="351"/>
      <c r="AL843" s="351"/>
      <c r="AM843" s="351"/>
      <c r="AN843" s="351"/>
      <c r="AO843" s="351"/>
      <c r="AP843" s="351"/>
      <c r="AQ843" s="351"/>
      <c r="AR843" s="351"/>
      <c r="AS843" s="351"/>
      <c r="AT843" s="351"/>
      <c r="AU843" s="351"/>
      <c r="AV843" s="351"/>
      <c r="AW843" s="351"/>
      <c r="AX843" s="351"/>
      <c r="AY843" s="351"/>
    </row>
    <row r="844" spans="1:51" ht="13">
      <c r="A844" s="333"/>
      <c r="B844" s="351"/>
      <c r="C844" s="351"/>
      <c r="D844" s="333"/>
      <c r="E844" s="333"/>
      <c r="F844" s="333"/>
      <c r="G844" s="359"/>
      <c r="H844" s="359"/>
      <c r="I844" s="351"/>
      <c r="J844" s="359"/>
      <c r="K844" s="359"/>
      <c r="L844" s="359"/>
      <c r="M844" s="351"/>
      <c r="N844" s="351"/>
      <c r="O844" s="351"/>
      <c r="P844" s="351"/>
      <c r="Q844" s="351"/>
      <c r="R844" s="351"/>
      <c r="S844" s="351"/>
      <c r="T844" s="351"/>
      <c r="U844" s="351"/>
      <c r="V844" s="351"/>
      <c r="W844" s="351"/>
      <c r="X844" s="359"/>
      <c r="Y844" s="359"/>
      <c r="Z844" s="359"/>
      <c r="AA844" s="351"/>
      <c r="AB844" s="351"/>
      <c r="AC844" s="359"/>
      <c r="AD844" s="359"/>
      <c r="AE844" s="351"/>
      <c r="AF844" s="333"/>
      <c r="AG844" s="333"/>
      <c r="AH844" s="351"/>
      <c r="AI844" s="351"/>
      <c r="AJ844" s="351"/>
      <c r="AK844" s="351"/>
      <c r="AL844" s="351"/>
      <c r="AM844" s="351"/>
      <c r="AN844" s="351"/>
      <c r="AO844" s="351"/>
      <c r="AP844" s="351"/>
      <c r="AQ844" s="351"/>
      <c r="AR844" s="351"/>
      <c r="AS844" s="351"/>
      <c r="AT844" s="351"/>
      <c r="AU844" s="351"/>
      <c r="AV844" s="351"/>
      <c r="AW844" s="351"/>
      <c r="AX844" s="351"/>
      <c r="AY844" s="351"/>
    </row>
    <row r="845" spans="1:51" ht="13">
      <c r="A845" s="333"/>
      <c r="B845" s="351"/>
      <c r="C845" s="351"/>
      <c r="D845" s="333"/>
      <c r="E845" s="333"/>
      <c r="F845" s="333"/>
      <c r="G845" s="359"/>
      <c r="H845" s="359"/>
      <c r="I845" s="351"/>
      <c r="J845" s="359"/>
      <c r="K845" s="359"/>
      <c r="L845" s="359"/>
      <c r="M845" s="351"/>
      <c r="N845" s="351"/>
      <c r="O845" s="351"/>
      <c r="P845" s="351"/>
      <c r="Q845" s="351"/>
      <c r="R845" s="351"/>
      <c r="S845" s="351"/>
      <c r="T845" s="351"/>
      <c r="U845" s="351"/>
      <c r="V845" s="351"/>
      <c r="W845" s="351"/>
      <c r="X845" s="359"/>
      <c r="Y845" s="359"/>
      <c r="Z845" s="359"/>
      <c r="AA845" s="351"/>
      <c r="AB845" s="351"/>
      <c r="AC845" s="359"/>
      <c r="AD845" s="359"/>
      <c r="AE845" s="351"/>
      <c r="AF845" s="333"/>
      <c r="AG845" s="333"/>
      <c r="AH845" s="351"/>
      <c r="AI845" s="351"/>
      <c r="AJ845" s="351"/>
      <c r="AK845" s="351"/>
      <c r="AL845" s="351"/>
      <c r="AM845" s="351"/>
      <c r="AN845" s="351"/>
      <c r="AO845" s="351"/>
      <c r="AP845" s="351"/>
      <c r="AQ845" s="351"/>
      <c r="AR845" s="351"/>
      <c r="AS845" s="351"/>
      <c r="AT845" s="351"/>
      <c r="AU845" s="351"/>
      <c r="AV845" s="351"/>
      <c r="AW845" s="351"/>
      <c r="AX845" s="351"/>
      <c r="AY845" s="351"/>
    </row>
    <row r="846" spans="1:51" ht="13">
      <c r="A846" s="333"/>
      <c r="B846" s="351"/>
      <c r="C846" s="351"/>
      <c r="D846" s="333"/>
      <c r="E846" s="333"/>
      <c r="F846" s="333"/>
      <c r="G846" s="359"/>
      <c r="H846" s="359"/>
      <c r="I846" s="351"/>
      <c r="J846" s="359"/>
      <c r="K846" s="359"/>
      <c r="L846" s="359"/>
      <c r="M846" s="351"/>
      <c r="N846" s="351"/>
      <c r="O846" s="351"/>
      <c r="P846" s="351"/>
      <c r="Q846" s="351"/>
      <c r="R846" s="351"/>
      <c r="S846" s="351"/>
      <c r="T846" s="351"/>
      <c r="U846" s="351"/>
      <c r="V846" s="351"/>
      <c r="W846" s="351"/>
      <c r="X846" s="359"/>
      <c r="Y846" s="359"/>
      <c r="Z846" s="359"/>
      <c r="AA846" s="351"/>
      <c r="AB846" s="351"/>
      <c r="AC846" s="359"/>
      <c r="AD846" s="359"/>
      <c r="AE846" s="351"/>
      <c r="AF846" s="333"/>
      <c r="AG846" s="333"/>
      <c r="AH846" s="351"/>
      <c r="AI846" s="351"/>
      <c r="AJ846" s="351"/>
      <c r="AK846" s="351"/>
      <c r="AL846" s="351"/>
      <c r="AM846" s="351"/>
      <c r="AN846" s="351"/>
      <c r="AO846" s="351"/>
      <c r="AP846" s="351"/>
      <c r="AQ846" s="351"/>
      <c r="AR846" s="351"/>
      <c r="AS846" s="351"/>
      <c r="AT846" s="351"/>
      <c r="AU846" s="351"/>
      <c r="AV846" s="351"/>
      <c r="AW846" s="351"/>
      <c r="AX846" s="351"/>
      <c r="AY846" s="351"/>
    </row>
    <row r="847" spans="1:51" ht="13">
      <c r="A847" s="333"/>
      <c r="B847" s="351"/>
      <c r="C847" s="351"/>
      <c r="D847" s="333"/>
      <c r="E847" s="333"/>
      <c r="F847" s="333"/>
      <c r="G847" s="359"/>
      <c r="H847" s="359"/>
      <c r="I847" s="351"/>
      <c r="J847" s="359"/>
      <c r="K847" s="359"/>
      <c r="L847" s="359"/>
      <c r="M847" s="351"/>
      <c r="N847" s="351"/>
      <c r="O847" s="351"/>
      <c r="P847" s="351"/>
      <c r="Q847" s="351"/>
      <c r="R847" s="351"/>
      <c r="S847" s="351"/>
      <c r="T847" s="351"/>
      <c r="U847" s="351"/>
      <c r="V847" s="351"/>
      <c r="W847" s="351"/>
      <c r="X847" s="359"/>
      <c r="Y847" s="359"/>
      <c r="Z847" s="359"/>
      <c r="AA847" s="351"/>
      <c r="AB847" s="351"/>
      <c r="AC847" s="359"/>
      <c r="AD847" s="359"/>
      <c r="AE847" s="351"/>
      <c r="AF847" s="333"/>
      <c r="AG847" s="333"/>
      <c r="AH847" s="351"/>
      <c r="AI847" s="351"/>
      <c r="AJ847" s="351"/>
      <c r="AK847" s="351"/>
      <c r="AL847" s="351"/>
      <c r="AM847" s="351"/>
      <c r="AN847" s="351"/>
      <c r="AO847" s="351"/>
      <c r="AP847" s="351"/>
      <c r="AQ847" s="351"/>
      <c r="AR847" s="351"/>
      <c r="AS847" s="351"/>
      <c r="AT847" s="351"/>
      <c r="AU847" s="351"/>
      <c r="AV847" s="351"/>
      <c r="AW847" s="351"/>
      <c r="AX847" s="351"/>
      <c r="AY847" s="351"/>
    </row>
    <row r="848" spans="1:51" ht="13">
      <c r="A848" s="333"/>
      <c r="B848" s="351"/>
      <c r="C848" s="351"/>
      <c r="D848" s="333"/>
      <c r="E848" s="333"/>
      <c r="F848" s="333"/>
      <c r="G848" s="359"/>
      <c r="H848" s="359"/>
      <c r="I848" s="351"/>
      <c r="J848" s="359"/>
      <c r="K848" s="359"/>
      <c r="L848" s="359"/>
      <c r="M848" s="351"/>
      <c r="N848" s="351"/>
      <c r="O848" s="351"/>
      <c r="P848" s="351"/>
      <c r="Q848" s="351"/>
      <c r="R848" s="351"/>
      <c r="S848" s="351"/>
      <c r="T848" s="351"/>
      <c r="U848" s="351"/>
      <c r="V848" s="351"/>
      <c r="W848" s="351"/>
      <c r="X848" s="359"/>
      <c r="Y848" s="359"/>
      <c r="Z848" s="359"/>
      <c r="AA848" s="351"/>
      <c r="AB848" s="351"/>
      <c r="AC848" s="359"/>
      <c r="AD848" s="359"/>
      <c r="AE848" s="351"/>
      <c r="AF848" s="333"/>
      <c r="AG848" s="333"/>
      <c r="AH848" s="351"/>
      <c r="AI848" s="351"/>
      <c r="AJ848" s="351"/>
      <c r="AK848" s="351"/>
      <c r="AL848" s="351"/>
      <c r="AM848" s="351"/>
      <c r="AN848" s="351"/>
      <c r="AO848" s="351"/>
      <c r="AP848" s="351"/>
      <c r="AQ848" s="351"/>
      <c r="AR848" s="351"/>
      <c r="AS848" s="351"/>
      <c r="AT848" s="351"/>
      <c r="AU848" s="351"/>
      <c r="AV848" s="351"/>
      <c r="AW848" s="351"/>
      <c r="AX848" s="351"/>
      <c r="AY848" s="351"/>
    </row>
    <row r="849" spans="1:51" ht="13">
      <c r="A849" s="333"/>
      <c r="B849" s="351"/>
      <c r="C849" s="351"/>
      <c r="D849" s="333"/>
      <c r="E849" s="333"/>
      <c r="F849" s="333"/>
      <c r="G849" s="359"/>
      <c r="H849" s="359"/>
      <c r="I849" s="351"/>
      <c r="J849" s="359"/>
      <c r="K849" s="359"/>
      <c r="L849" s="359"/>
      <c r="M849" s="351"/>
      <c r="N849" s="351"/>
      <c r="O849" s="351"/>
      <c r="P849" s="351"/>
      <c r="Q849" s="351"/>
      <c r="R849" s="351"/>
      <c r="S849" s="351"/>
      <c r="T849" s="351"/>
      <c r="U849" s="351"/>
      <c r="V849" s="351"/>
      <c r="W849" s="351"/>
      <c r="X849" s="359"/>
      <c r="Y849" s="359"/>
      <c r="Z849" s="359"/>
      <c r="AA849" s="351"/>
      <c r="AB849" s="351"/>
      <c r="AC849" s="359"/>
      <c r="AD849" s="359"/>
      <c r="AE849" s="351"/>
      <c r="AF849" s="333"/>
      <c r="AG849" s="333"/>
      <c r="AH849" s="351"/>
      <c r="AI849" s="351"/>
      <c r="AJ849" s="351"/>
      <c r="AK849" s="351"/>
      <c r="AL849" s="351"/>
      <c r="AM849" s="351"/>
      <c r="AN849" s="351"/>
      <c r="AO849" s="351"/>
      <c r="AP849" s="351"/>
      <c r="AQ849" s="351"/>
      <c r="AR849" s="351"/>
      <c r="AS849" s="351"/>
      <c r="AT849" s="351"/>
      <c r="AU849" s="351"/>
      <c r="AV849" s="351"/>
      <c r="AW849" s="351"/>
      <c r="AX849" s="351"/>
      <c r="AY849" s="351"/>
    </row>
    <row r="850" spans="1:51" ht="13">
      <c r="A850" s="333"/>
      <c r="B850" s="351"/>
      <c r="C850" s="351"/>
      <c r="D850" s="333"/>
      <c r="E850" s="333"/>
      <c r="F850" s="333"/>
      <c r="G850" s="359"/>
      <c r="H850" s="359"/>
      <c r="I850" s="351"/>
      <c r="J850" s="359"/>
      <c r="K850" s="359"/>
      <c r="L850" s="359"/>
      <c r="M850" s="351"/>
      <c r="N850" s="351"/>
      <c r="O850" s="351"/>
      <c r="P850" s="351"/>
      <c r="Q850" s="351"/>
      <c r="R850" s="351"/>
      <c r="S850" s="351"/>
      <c r="T850" s="351"/>
      <c r="U850" s="351"/>
      <c r="V850" s="351"/>
      <c r="W850" s="351"/>
      <c r="X850" s="359"/>
      <c r="Y850" s="359"/>
      <c r="Z850" s="359"/>
      <c r="AA850" s="351"/>
      <c r="AB850" s="351"/>
      <c r="AC850" s="359"/>
      <c r="AD850" s="359"/>
      <c r="AE850" s="351"/>
      <c r="AF850" s="333"/>
      <c r="AG850" s="333"/>
      <c r="AH850" s="351"/>
      <c r="AI850" s="351"/>
      <c r="AJ850" s="351"/>
      <c r="AK850" s="351"/>
      <c r="AL850" s="351"/>
      <c r="AM850" s="351"/>
      <c r="AN850" s="351"/>
      <c r="AO850" s="351"/>
      <c r="AP850" s="351"/>
      <c r="AQ850" s="351"/>
      <c r="AR850" s="351"/>
      <c r="AS850" s="351"/>
      <c r="AT850" s="351"/>
      <c r="AU850" s="351"/>
      <c r="AV850" s="351"/>
      <c r="AW850" s="351"/>
      <c r="AX850" s="351"/>
      <c r="AY850" s="351"/>
    </row>
    <row r="851" spans="1:51" ht="13">
      <c r="A851" s="333"/>
      <c r="B851" s="351"/>
      <c r="C851" s="351"/>
      <c r="D851" s="333"/>
      <c r="E851" s="333"/>
      <c r="F851" s="333"/>
      <c r="G851" s="359"/>
      <c r="H851" s="359"/>
      <c r="I851" s="351"/>
      <c r="J851" s="359"/>
      <c r="K851" s="359"/>
      <c r="L851" s="359"/>
      <c r="M851" s="351"/>
      <c r="N851" s="351"/>
      <c r="O851" s="351"/>
      <c r="P851" s="351"/>
      <c r="Q851" s="351"/>
      <c r="R851" s="351"/>
      <c r="S851" s="351"/>
      <c r="T851" s="351"/>
      <c r="U851" s="351"/>
      <c r="V851" s="351"/>
      <c r="W851" s="351"/>
      <c r="X851" s="359"/>
      <c r="Y851" s="359"/>
      <c r="Z851" s="359"/>
      <c r="AA851" s="351"/>
      <c r="AB851" s="351"/>
      <c r="AC851" s="359"/>
      <c r="AD851" s="359"/>
      <c r="AE851" s="351"/>
      <c r="AF851" s="333"/>
      <c r="AG851" s="333"/>
      <c r="AH851" s="351"/>
      <c r="AI851" s="351"/>
      <c r="AJ851" s="351"/>
      <c r="AK851" s="351"/>
      <c r="AL851" s="351"/>
      <c r="AM851" s="351"/>
      <c r="AN851" s="351"/>
      <c r="AO851" s="351"/>
      <c r="AP851" s="351"/>
      <c r="AQ851" s="351"/>
      <c r="AR851" s="351"/>
      <c r="AS851" s="351"/>
      <c r="AT851" s="351"/>
      <c r="AU851" s="351"/>
      <c r="AV851" s="351"/>
      <c r="AW851" s="351"/>
      <c r="AX851" s="351"/>
      <c r="AY851" s="351"/>
    </row>
    <row r="852" spans="1:51" ht="13">
      <c r="A852" s="333"/>
      <c r="B852" s="351"/>
      <c r="C852" s="351"/>
      <c r="D852" s="333"/>
      <c r="E852" s="333"/>
      <c r="F852" s="333"/>
      <c r="G852" s="359"/>
      <c r="H852" s="359"/>
      <c r="I852" s="351"/>
      <c r="J852" s="359"/>
      <c r="K852" s="359"/>
      <c r="L852" s="359"/>
      <c r="M852" s="351"/>
      <c r="N852" s="351"/>
      <c r="O852" s="351"/>
      <c r="P852" s="351"/>
      <c r="Q852" s="351"/>
      <c r="R852" s="351"/>
      <c r="S852" s="351"/>
      <c r="T852" s="351"/>
      <c r="U852" s="351"/>
      <c r="V852" s="351"/>
      <c r="W852" s="351"/>
      <c r="X852" s="359"/>
      <c r="Y852" s="359"/>
      <c r="Z852" s="359"/>
      <c r="AA852" s="351"/>
      <c r="AB852" s="351"/>
      <c r="AC852" s="359"/>
      <c r="AD852" s="359"/>
      <c r="AE852" s="351"/>
      <c r="AF852" s="333"/>
      <c r="AG852" s="333"/>
      <c r="AH852" s="351"/>
      <c r="AI852" s="351"/>
      <c r="AJ852" s="351"/>
      <c r="AK852" s="351"/>
      <c r="AL852" s="351"/>
      <c r="AM852" s="351"/>
      <c r="AN852" s="351"/>
      <c r="AO852" s="351"/>
      <c r="AP852" s="351"/>
      <c r="AQ852" s="351"/>
      <c r="AR852" s="351"/>
      <c r="AS852" s="351"/>
      <c r="AT852" s="351"/>
      <c r="AU852" s="351"/>
      <c r="AV852" s="351"/>
      <c r="AW852" s="351"/>
      <c r="AX852" s="351"/>
      <c r="AY852" s="351"/>
    </row>
    <row r="853" spans="1:51" ht="13">
      <c r="A853" s="333"/>
      <c r="B853" s="351"/>
      <c r="C853" s="351"/>
      <c r="D853" s="333"/>
      <c r="E853" s="333"/>
      <c r="F853" s="333"/>
      <c r="G853" s="359"/>
      <c r="H853" s="359"/>
      <c r="I853" s="351"/>
      <c r="J853" s="359"/>
      <c r="K853" s="359"/>
      <c r="L853" s="359"/>
      <c r="M853" s="351"/>
      <c r="N853" s="351"/>
      <c r="O853" s="351"/>
      <c r="P853" s="351"/>
      <c r="Q853" s="351"/>
      <c r="R853" s="351"/>
      <c r="S853" s="351"/>
      <c r="T853" s="351"/>
      <c r="U853" s="351"/>
      <c r="V853" s="351"/>
      <c r="W853" s="351"/>
      <c r="X853" s="359"/>
      <c r="Y853" s="359"/>
      <c r="Z853" s="359"/>
      <c r="AA853" s="351"/>
      <c r="AB853" s="351"/>
      <c r="AC853" s="359"/>
      <c r="AD853" s="359"/>
      <c r="AE853" s="351"/>
      <c r="AF853" s="333"/>
      <c r="AG853" s="333"/>
      <c r="AH853" s="351"/>
      <c r="AI853" s="351"/>
      <c r="AJ853" s="351"/>
      <c r="AK853" s="351"/>
      <c r="AL853" s="351"/>
      <c r="AM853" s="351"/>
      <c r="AN853" s="351"/>
      <c r="AO853" s="351"/>
      <c r="AP853" s="351"/>
      <c r="AQ853" s="351"/>
      <c r="AR853" s="351"/>
      <c r="AS853" s="351"/>
      <c r="AT853" s="351"/>
      <c r="AU853" s="351"/>
      <c r="AV853" s="351"/>
      <c r="AW853" s="351"/>
      <c r="AX853" s="351"/>
      <c r="AY853" s="351"/>
    </row>
    <row r="854" spans="1:51" ht="13">
      <c r="A854" s="333"/>
      <c r="B854" s="351"/>
      <c r="C854" s="351"/>
      <c r="D854" s="333"/>
      <c r="E854" s="333"/>
      <c r="F854" s="333"/>
      <c r="G854" s="359"/>
      <c r="H854" s="359"/>
      <c r="I854" s="351"/>
      <c r="J854" s="359"/>
      <c r="K854" s="359"/>
      <c r="L854" s="359"/>
      <c r="M854" s="351"/>
      <c r="N854" s="351"/>
      <c r="O854" s="351"/>
      <c r="P854" s="351"/>
      <c r="Q854" s="351"/>
      <c r="R854" s="351"/>
      <c r="S854" s="351"/>
      <c r="T854" s="351"/>
      <c r="U854" s="351"/>
      <c r="V854" s="351"/>
      <c r="W854" s="351"/>
      <c r="X854" s="359"/>
      <c r="Y854" s="359"/>
      <c r="Z854" s="359"/>
      <c r="AA854" s="351"/>
      <c r="AB854" s="351"/>
      <c r="AC854" s="359"/>
      <c r="AD854" s="359"/>
      <c r="AE854" s="351"/>
      <c r="AF854" s="333"/>
      <c r="AG854" s="333"/>
      <c r="AH854" s="351"/>
      <c r="AI854" s="351"/>
      <c r="AJ854" s="351"/>
      <c r="AK854" s="351"/>
      <c r="AL854" s="351"/>
      <c r="AM854" s="351"/>
      <c r="AN854" s="351"/>
      <c r="AO854" s="351"/>
      <c r="AP854" s="351"/>
      <c r="AQ854" s="351"/>
      <c r="AR854" s="351"/>
      <c r="AS854" s="351"/>
      <c r="AT854" s="351"/>
      <c r="AU854" s="351"/>
      <c r="AV854" s="351"/>
      <c r="AW854" s="351"/>
      <c r="AX854" s="351"/>
      <c r="AY854" s="351"/>
    </row>
    <row r="855" spans="1:51" ht="13">
      <c r="A855" s="333"/>
      <c r="B855" s="351"/>
      <c r="C855" s="351"/>
      <c r="D855" s="333"/>
      <c r="E855" s="333"/>
      <c r="F855" s="333"/>
      <c r="G855" s="359"/>
      <c r="H855" s="359"/>
      <c r="I855" s="351"/>
      <c r="J855" s="359"/>
      <c r="K855" s="359"/>
      <c r="L855" s="359"/>
      <c r="M855" s="351"/>
      <c r="N855" s="351"/>
      <c r="O855" s="351"/>
      <c r="P855" s="351"/>
      <c r="Q855" s="351"/>
      <c r="R855" s="351"/>
      <c r="S855" s="351"/>
      <c r="T855" s="351"/>
      <c r="U855" s="351"/>
      <c r="V855" s="351"/>
      <c r="W855" s="351"/>
      <c r="X855" s="359"/>
      <c r="Y855" s="359"/>
      <c r="Z855" s="359"/>
      <c r="AA855" s="351"/>
      <c r="AB855" s="351"/>
      <c r="AC855" s="359"/>
      <c r="AD855" s="359"/>
      <c r="AE855" s="351"/>
      <c r="AF855" s="333"/>
      <c r="AG855" s="333"/>
      <c r="AH855" s="351"/>
      <c r="AI855" s="351"/>
      <c r="AJ855" s="351"/>
      <c r="AK855" s="351"/>
      <c r="AL855" s="351"/>
      <c r="AM855" s="351"/>
      <c r="AN855" s="351"/>
      <c r="AO855" s="351"/>
      <c r="AP855" s="351"/>
      <c r="AQ855" s="351"/>
      <c r="AR855" s="351"/>
      <c r="AS855" s="351"/>
      <c r="AT855" s="351"/>
      <c r="AU855" s="351"/>
      <c r="AV855" s="351"/>
      <c r="AW855" s="351"/>
      <c r="AX855" s="351"/>
      <c r="AY855" s="351"/>
    </row>
    <row r="856" spans="1:51" ht="13">
      <c r="A856" s="333"/>
      <c r="B856" s="351"/>
      <c r="C856" s="351"/>
      <c r="D856" s="333"/>
      <c r="E856" s="333"/>
      <c r="F856" s="333"/>
      <c r="G856" s="359"/>
      <c r="H856" s="359"/>
      <c r="I856" s="351"/>
      <c r="J856" s="359"/>
      <c r="K856" s="359"/>
      <c r="L856" s="359"/>
      <c r="M856" s="351"/>
      <c r="N856" s="351"/>
      <c r="O856" s="351"/>
      <c r="P856" s="351"/>
      <c r="Q856" s="351"/>
      <c r="R856" s="351"/>
      <c r="S856" s="351"/>
      <c r="T856" s="351"/>
      <c r="U856" s="351"/>
      <c r="V856" s="351"/>
      <c r="W856" s="351"/>
      <c r="X856" s="359"/>
      <c r="Y856" s="359"/>
      <c r="Z856" s="359"/>
      <c r="AA856" s="351"/>
      <c r="AB856" s="351"/>
      <c r="AC856" s="359"/>
      <c r="AD856" s="359"/>
      <c r="AE856" s="351"/>
      <c r="AF856" s="333"/>
      <c r="AG856" s="333"/>
      <c r="AH856" s="351"/>
      <c r="AI856" s="351"/>
      <c r="AJ856" s="351"/>
      <c r="AK856" s="351"/>
      <c r="AL856" s="351"/>
      <c r="AM856" s="351"/>
      <c r="AN856" s="351"/>
      <c r="AO856" s="351"/>
      <c r="AP856" s="351"/>
      <c r="AQ856" s="351"/>
      <c r="AR856" s="351"/>
      <c r="AS856" s="351"/>
      <c r="AT856" s="351"/>
      <c r="AU856" s="351"/>
      <c r="AV856" s="351"/>
      <c r="AW856" s="351"/>
      <c r="AX856" s="351"/>
      <c r="AY856" s="351"/>
    </row>
    <row r="857" spans="1:51" ht="13">
      <c r="A857" s="333"/>
      <c r="B857" s="351"/>
      <c r="C857" s="351"/>
      <c r="D857" s="333"/>
      <c r="E857" s="333"/>
      <c r="F857" s="333"/>
      <c r="G857" s="359"/>
      <c r="H857" s="359"/>
      <c r="I857" s="351"/>
      <c r="J857" s="359"/>
      <c r="K857" s="359"/>
      <c r="L857" s="359"/>
      <c r="M857" s="351"/>
      <c r="N857" s="351"/>
      <c r="O857" s="351"/>
      <c r="P857" s="351"/>
      <c r="Q857" s="351"/>
      <c r="R857" s="351"/>
      <c r="S857" s="351"/>
      <c r="T857" s="351"/>
      <c r="U857" s="351"/>
      <c r="V857" s="351"/>
      <c r="W857" s="351"/>
      <c r="X857" s="359"/>
      <c r="Y857" s="359"/>
      <c r="Z857" s="359"/>
      <c r="AA857" s="351"/>
      <c r="AB857" s="351"/>
      <c r="AC857" s="359"/>
      <c r="AD857" s="359"/>
      <c r="AE857" s="351"/>
      <c r="AF857" s="333"/>
      <c r="AG857" s="333"/>
      <c r="AH857" s="351"/>
      <c r="AI857" s="351"/>
      <c r="AJ857" s="351"/>
      <c r="AK857" s="351"/>
      <c r="AL857" s="351"/>
      <c r="AM857" s="351"/>
      <c r="AN857" s="351"/>
      <c r="AO857" s="351"/>
      <c r="AP857" s="351"/>
      <c r="AQ857" s="351"/>
      <c r="AR857" s="351"/>
      <c r="AS857" s="351"/>
      <c r="AT857" s="351"/>
      <c r="AU857" s="351"/>
      <c r="AV857" s="351"/>
      <c r="AW857" s="351"/>
      <c r="AX857" s="351"/>
      <c r="AY857" s="351"/>
    </row>
    <row r="858" spans="1:51" ht="13">
      <c r="A858" s="333"/>
      <c r="B858" s="351"/>
      <c r="C858" s="351"/>
      <c r="D858" s="333"/>
      <c r="E858" s="333"/>
      <c r="F858" s="333"/>
      <c r="G858" s="359"/>
      <c r="H858" s="359"/>
      <c r="I858" s="351"/>
      <c r="J858" s="359"/>
      <c r="K858" s="359"/>
      <c r="L858" s="359"/>
      <c r="M858" s="351"/>
      <c r="N858" s="351"/>
      <c r="O858" s="351"/>
      <c r="P858" s="351"/>
      <c r="Q858" s="351"/>
      <c r="R858" s="351"/>
      <c r="S858" s="351"/>
      <c r="T858" s="351"/>
      <c r="U858" s="351"/>
      <c r="V858" s="351"/>
      <c r="W858" s="351"/>
      <c r="X858" s="359"/>
      <c r="Y858" s="359"/>
      <c r="Z858" s="359"/>
      <c r="AA858" s="351"/>
      <c r="AB858" s="351"/>
      <c r="AC858" s="359"/>
      <c r="AD858" s="359"/>
      <c r="AE858" s="351"/>
      <c r="AF858" s="333"/>
      <c r="AG858" s="333"/>
      <c r="AH858" s="351"/>
      <c r="AI858" s="351"/>
      <c r="AJ858" s="351"/>
      <c r="AK858" s="351"/>
      <c r="AL858" s="351"/>
      <c r="AM858" s="351"/>
      <c r="AN858" s="351"/>
      <c r="AO858" s="351"/>
      <c r="AP858" s="351"/>
      <c r="AQ858" s="351"/>
      <c r="AR858" s="351"/>
      <c r="AS858" s="351"/>
      <c r="AT858" s="351"/>
      <c r="AU858" s="351"/>
      <c r="AV858" s="351"/>
      <c r="AW858" s="351"/>
      <c r="AX858" s="351"/>
      <c r="AY858" s="351"/>
    </row>
    <row r="859" spans="1:51" ht="13">
      <c r="A859" s="333"/>
      <c r="B859" s="351"/>
      <c r="C859" s="351"/>
      <c r="D859" s="333"/>
      <c r="E859" s="333"/>
      <c r="F859" s="333"/>
      <c r="G859" s="359"/>
      <c r="H859" s="359"/>
      <c r="I859" s="351"/>
      <c r="J859" s="359"/>
      <c r="K859" s="359"/>
      <c r="L859" s="359"/>
      <c r="M859" s="351"/>
      <c r="N859" s="351"/>
      <c r="O859" s="351"/>
      <c r="P859" s="351"/>
      <c r="Q859" s="351"/>
      <c r="R859" s="351"/>
      <c r="S859" s="351"/>
      <c r="T859" s="351"/>
      <c r="U859" s="351"/>
      <c r="V859" s="351"/>
      <c r="W859" s="351"/>
      <c r="X859" s="359"/>
      <c r="Y859" s="359"/>
      <c r="Z859" s="359"/>
      <c r="AA859" s="351"/>
      <c r="AB859" s="351"/>
      <c r="AC859" s="359"/>
      <c r="AD859" s="359"/>
      <c r="AE859" s="351"/>
      <c r="AF859" s="333"/>
      <c r="AG859" s="333"/>
      <c r="AH859" s="351"/>
      <c r="AI859" s="351"/>
      <c r="AJ859" s="351"/>
      <c r="AK859" s="351"/>
      <c r="AL859" s="351"/>
      <c r="AM859" s="351"/>
      <c r="AN859" s="351"/>
      <c r="AO859" s="351"/>
      <c r="AP859" s="351"/>
      <c r="AQ859" s="351"/>
      <c r="AR859" s="351"/>
      <c r="AS859" s="351"/>
      <c r="AT859" s="351"/>
      <c r="AU859" s="351"/>
      <c r="AV859" s="351"/>
      <c r="AW859" s="351"/>
      <c r="AX859" s="351"/>
      <c r="AY859" s="351"/>
    </row>
    <row r="860" spans="1:51" ht="13">
      <c r="A860" s="333"/>
      <c r="B860" s="351"/>
      <c r="C860" s="351"/>
      <c r="D860" s="333"/>
      <c r="E860" s="333"/>
      <c r="F860" s="333"/>
      <c r="G860" s="359"/>
      <c r="H860" s="359"/>
      <c r="I860" s="351"/>
      <c r="J860" s="359"/>
      <c r="K860" s="359"/>
      <c r="L860" s="359"/>
      <c r="M860" s="351"/>
      <c r="N860" s="351"/>
      <c r="O860" s="351"/>
      <c r="P860" s="351"/>
      <c r="Q860" s="351"/>
      <c r="R860" s="351"/>
      <c r="S860" s="351"/>
      <c r="T860" s="351"/>
      <c r="U860" s="351"/>
      <c r="V860" s="351"/>
      <c r="W860" s="351"/>
      <c r="X860" s="359"/>
      <c r="Y860" s="359"/>
      <c r="Z860" s="359"/>
      <c r="AA860" s="351"/>
      <c r="AB860" s="351"/>
      <c r="AC860" s="359"/>
      <c r="AD860" s="359"/>
      <c r="AE860" s="351"/>
      <c r="AF860" s="333"/>
      <c r="AG860" s="333"/>
      <c r="AH860" s="351"/>
      <c r="AI860" s="351"/>
      <c r="AJ860" s="351"/>
      <c r="AK860" s="351"/>
      <c r="AL860" s="351"/>
      <c r="AM860" s="351"/>
      <c r="AN860" s="351"/>
      <c r="AO860" s="351"/>
      <c r="AP860" s="351"/>
      <c r="AQ860" s="351"/>
      <c r="AR860" s="351"/>
      <c r="AS860" s="351"/>
      <c r="AT860" s="351"/>
      <c r="AU860" s="351"/>
      <c r="AV860" s="351"/>
      <c r="AW860" s="351"/>
      <c r="AX860" s="351"/>
      <c r="AY860" s="351"/>
    </row>
    <row r="861" spans="1:51" ht="13">
      <c r="A861" s="333"/>
      <c r="B861" s="351"/>
      <c r="C861" s="351"/>
      <c r="D861" s="333"/>
      <c r="E861" s="333"/>
      <c r="F861" s="333"/>
      <c r="G861" s="359"/>
      <c r="H861" s="359"/>
      <c r="I861" s="351"/>
      <c r="J861" s="359"/>
      <c r="K861" s="359"/>
      <c r="L861" s="359"/>
      <c r="M861" s="351"/>
      <c r="N861" s="351"/>
      <c r="O861" s="351"/>
      <c r="P861" s="351"/>
      <c r="Q861" s="351"/>
      <c r="R861" s="351"/>
      <c r="S861" s="351"/>
      <c r="T861" s="351"/>
      <c r="U861" s="351"/>
      <c r="V861" s="351"/>
      <c r="W861" s="351"/>
      <c r="X861" s="359"/>
      <c r="Y861" s="359"/>
      <c r="Z861" s="359"/>
      <c r="AA861" s="351"/>
      <c r="AB861" s="351"/>
      <c r="AC861" s="359"/>
      <c r="AD861" s="359"/>
      <c r="AE861" s="351"/>
      <c r="AF861" s="333"/>
      <c r="AG861" s="333"/>
      <c r="AH861" s="351"/>
      <c r="AI861" s="351"/>
      <c r="AJ861" s="351"/>
      <c r="AK861" s="351"/>
      <c r="AL861" s="351"/>
      <c r="AM861" s="351"/>
      <c r="AN861" s="351"/>
      <c r="AO861" s="351"/>
      <c r="AP861" s="351"/>
      <c r="AQ861" s="351"/>
      <c r="AR861" s="351"/>
      <c r="AS861" s="351"/>
      <c r="AT861" s="351"/>
      <c r="AU861" s="351"/>
      <c r="AV861" s="351"/>
      <c r="AW861" s="351"/>
      <c r="AX861" s="351"/>
      <c r="AY861" s="351"/>
    </row>
    <row r="862" spans="1:51" ht="13">
      <c r="A862" s="333"/>
      <c r="B862" s="351"/>
      <c r="C862" s="351"/>
      <c r="D862" s="333"/>
      <c r="E862" s="333"/>
      <c r="F862" s="333"/>
      <c r="G862" s="359"/>
      <c r="H862" s="359"/>
      <c r="I862" s="351"/>
      <c r="J862" s="359"/>
      <c r="K862" s="359"/>
      <c r="L862" s="359"/>
      <c r="M862" s="351"/>
      <c r="N862" s="351"/>
      <c r="O862" s="351"/>
      <c r="P862" s="351"/>
      <c r="Q862" s="351"/>
      <c r="R862" s="351"/>
      <c r="S862" s="351"/>
      <c r="T862" s="351"/>
      <c r="U862" s="351"/>
      <c r="V862" s="351"/>
      <c r="W862" s="351"/>
      <c r="X862" s="359"/>
      <c r="Y862" s="359"/>
      <c r="Z862" s="359"/>
      <c r="AA862" s="351"/>
      <c r="AB862" s="351"/>
      <c r="AC862" s="359"/>
      <c r="AD862" s="359"/>
      <c r="AE862" s="351"/>
      <c r="AF862" s="333"/>
      <c r="AG862" s="333"/>
      <c r="AH862" s="351"/>
      <c r="AI862" s="351"/>
      <c r="AJ862" s="351"/>
      <c r="AK862" s="351"/>
      <c r="AL862" s="351"/>
      <c r="AM862" s="351"/>
      <c r="AN862" s="351"/>
      <c r="AO862" s="351"/>
      <c r="AP862" s="351"/>
      <c r="AQ862" s="351"/>
      <c r="AR862" s="351"/>
      <c r="AS862" s="351"/>
      <c r="AT862" s="351"/>
      <c r="AU862" s="351"/>
      <c r="AV862" s="351"/>
      <c r="AW862" s="351"/>
      <c r="AX862" s="351"/>
      <c r="AY862" s="351"/>
    </row>
    <row r="863" spans="1:51" ht="13">
      <c r="A863" s="333"/>
      <c r="B863" s="351"/>
      <c r="C863" s="351"/>
      <c r="D863" s="333"/>
      <c r="E863" s="333"/>
      <c r="F863" s="333"/>
      <c r="G863" s="359"/>
      <c r="H863" s="359"/>
      <c r="I863" s="351"/>
      <c r="J863" s="359"/>
      <c r="K863" s="359"/>
      <c r="L863" s="359"/>
      <c r="M863" s="351"/>
      <c r="N863" s="351"/>
      <c r="O863" s="351"/>
      <c r="P863" s="351"/>
      <c r="Q863" s="351"/>
      <c r="R863" s="351"/>
      <c r="S863" s="351"/>
      <c r="T863" s="351"/>
      <c r="U863" s="351"/>
      <c r="V863" s="351"/>
      <c r="W863" s="351"/>
      <c r="X863" s="359"/>
      <c r="Y863" s="359"/>
      <c r="Z863" s="359"/>
      <c r="AA863" s="351"/>
      <c r="AB863" s="351"/>
      <c r="AC863" s="359"/>
      <c r="AD863" s="359"/>
      <c r="AE863" s="351"/>
      <c r="AF863" s="333"/>
      <c r="AG863" s="333"/>
      <c r="AH863" s="351"/>
      <c r="AI863" s="351"/>
      <c r="AJ863" s="351"/>
      <c r="AK863" s="351"/>
      <c r="AL863" s="351"/>
      <c r="AM863" s="351"/>
      <c r="AN863" s="351"/>
      <c r="AO863" s="351"/>
      <c r="AP863" s="351"/>
      <c r="AQ863" s="351"/>
      <c r="AR863" s="351"/>
      <c r="AS863" s="351"/>
      <c r="AT863" s="351"/>
      <c r="AU863" s="351"/>
      <c r="AV863" s="351"/>
      <c r="AW863" s="351"/>
      <c r="AX863" s="351"/>
      <c r="AY863" s="351"/>
    </row>
    <row r="864" spans="1:51" ht="13">
      <c r="A864" s="333"/>
      <c r="B864" s="351"/>
      <c r="C864" s="351"/>
      <c r="D864" s="333"/>
      <c r="E864" s="333"/>
      <c r="F864" s="333"/>
      <c r="G864" s="359"/>
      <c r="H864" s="359"/>
      <c r="I864" s="351"/>
      <c r="J864" s="359"/>
      <c r="K864" s="359"/>
      <c r="L864" s="359"/>
      <c r="M864" s="351"/>
      <c r="N864" s="351"/>
      <c r="O864" s="351"/>
      <c r="P864" s="351"/>
      <c r="Q864" s="351"/>
      <c r="R864" s="351"/>
      <c r="S864" s="351"/>
      <c r="T864" s="351"/>
      <c r="U864" s="351"/>
      <c r="V864" s="351"/>
      <c r="W864" s="351"/>
      <c r="X864" s="359"/>
      <c r="Y864" s="359"/>
      <c r="Z864" s="359"/>
      <c r="AA864" s="351"/>
      <c r="AB864" s="351"/>
      <c r="AC864" s="359"/>
      <c r="AD864" s="359"/>
      <c r="AE864" s="351"/>
      <c r="AF864" s="333"/>
      <c r="AG864" s="333"/>
      <c r="AH864" s="351"/>
      <c r="AI864" s="351"/>
      <c r="AJ864" s="351"/>
      <c r="AK864" s="351"/>
      <c r="AL864" s="351"/>
      <c r="AM864" s="351"/>
      <c r="AN864" s="351"/>
      <c r="AO864" s="351"/>
      <c r="AP864" s="351"/>
      <c r="AQ864" s="351"/>
      <c r="AR864" s="351"/>
      <c r="AS864" s="351"/>
      <c r="AT864" s="351"/>
      <c r="AU864" s="351"/>
      <c r="AV864" s="351"/>
      <c r="AW864" s="351"/>
      <c r="AX864" s="351"/>
      <c r="AY864" s="351"/>
    </row>
    <row r="865" spans="1:51" ht="13">
      <c r="A865" s="333"/>
      <c r="B865" s="351"/>
      <c r="C865" s="351"/>
      <c r="D865" s="333"/>
      <c r="E865" s="333"/>
      <c r="F865" s="333"/>
      <c r="G865" s="359"/>
      <c r="H865" s="359"/>
      <c r="I865" s="351"/>
      <c r="J865" s="359"/>
      <c r="K865" s="359"/>
      <c r="L865" s="359"/>
      <c r="M865" s="351"/>
      <c r="N865" s="351"/>
      <c r="O865" s="351"/>
      <c r="P865" s="351"/>
      <c r="Q865" s="351"/>
      <c r="R865" s="351"/>
      <c r="S865" s="351"/>
      <c r="T865" s="351"/>
      <c r="U865" s="351"/>
      <c r="V865" s="351"/>
      <c r="W865" s="351"/>
      <c r="X865" s="359"/>
      <c r="Y865" s="359"/>
      <c r="Z865" s="359"/>
      <c r="AA865" s="351"/>
      <c r="AB865" s="351"/>
      <c r="AC865" s="359"/>
      <c r="AD865" s="359"/>
      <c r="AE865" s="351"/>
      <c r="AF865" s="333"/>
      <c r="AG865" s="333"/>
      <c r="AH865" s="351"/>
      <c r="AI865" s="351"/>
      <c r="AJ865" s="351"/>
      <c r="AK865" s="351"/>
      <c r="AL865" s="351"/>
      <c r="AM865" s="351"/>
      <c r="AN865" s="351"/>
      <c r="AO865" s="351"/>
      <c r="AP865" s="351"/>
      <c r="AQ865" s="351"/>
      <c r="AR865" s="351"/>
      <c r="AS865" s="351"/>
      <c r="AT865" s="351"/>
      <c r="AU865" s="351"/>
      <c r="AV865" s="351"/>
      <c r="AW865" s="351"/>
      <c r="AX865" s="351"/>
      <c r="AY865" s="351"/>
    </row>
    <row r="866" spans="1:51" ht="13">
      <c r="A866" s="333"/>
      <c r="B866" s="351"/>
      <c r="C866" s="351"/>
      <c r="D866" s="333"/>
      <c r="E866" s="333"/>
      <c r="F866" s="333"/>
      <c r="G866" s="359"/>
      <c r="H866" s="359"/>
      <c r="I866" s="351"/>
      <c r="J866" s="359"/>
      <c r="K866" s="359"/>
      <c r="L866" s="359"/>
      <c r="M866" s="351"/>
      <c r="N866" s="351"/>
      <c r="O866" s="351"/>
      <c r="P866" s="351"/>
      <c r="Q866" s="351"/>
      <c r="R866" s="351"/>
      <c r="S866" s="351"/>
      <c r="T866" s="351"/>
      <c r="U866" s="351"/>
      <c r="V866" s="351"/>
      <c r="W866" s="351"/>
      <c r="X866" s="359"/>
      <c r="Y866" s="359"/>
      <c r="Z866" s="359"/>
      <c r="AA866" s="351"/>
      <c r="AB866" s="351"/>
      <c r="AC866" s="359"/>
      <c r="AD866" s="359"/>
      <c r="AE866" s="351"/>
      <c r="AF866" s="333"/>
      <c r="AG866" s="333"/>
      <c r="AH866" s="351"/>
      <c r="AI866" s="351"/>
      <c r="AJ866" s="351"/>
      <c r="AK866" s="351"/>
      <c r="AL866" s="351"/>
      <c r="AM866" s="351"/>
      <c r="AN866" s="351"/>
      <c r="AO866" s="351"/>
      <c r="AP866" s="351"/>
      <c r="AQ866" s="351"/>
      <c r="AR866" s="351"/>
      <c r="AS866" s="351"/>
      <c r="AT866" s="351"/>
      <c r="AU866" s="351"/>
      <c r="AV866" s="351"/>
      <c r="AW866" s="351"/>
      <c r="AX866" s="351"/>
      <c r="AY866" s="351"/>
    </row>
    <row r="867" spans="1:51" ht="13">
      <c r="A867" s="333"/>
      <c r="B867" s="351"/>
      <c r="C867" s="351"/>
      <c r="D867" s="333"/>
      <c r="E867" s="333"/>
      <c r="F867" s="333"/>
      <c r="G867" s="359"/>
      <c r="H867" s="359"/>
      <c r="I867" s="351"/>
      <c r="J867" s="359"/>
      <c r="K867" s="359"/>
      <c r="L867" s="359"/>
      <c r="M867" s="351"/>
      <c r="N867" s="351"/>
      <c r="O867" s="351"/>
      <c r="P867" s="351"/>
      <c r="Q867" s="351"/>
      <c r="R867" s="351"/>
      <c r="S867" s="351"/>
      <c r="T867" s="351"/>
      <c r="U867" s="351"/>
      <c r="V867" s="351"/>
      <c r="W867" s="351"/>
      <c r="X867" s="359"/>
      <c r="Y867" s="359"/>
      <c r="Z867" s="359"/>
      <c r="AA867" s="351"/>
      <c r="AB867" s="351"/>
      <c r="AC867" s="359"/>
      <c r="AD867" s="359"/>
      <c r="AE867" s="351"/>
      <c r="AF867" s="333"/>
      <c r="AG867" s="333"/>
      <c r="AH867" s="351"/>
      <c r="AI867" s="351"/>
      <c r="AJ867" s="351"/>
      <c r="AK867" s="351"/>
      <c r="AL867" s="351"/>
      <c r="AM867" s="351"/>
      <c r="AN867" s="351"/>
      <c r="AO867" s="351"/>
      <c r="AP867" s="351"/>
      <c r="AQ867" s="351"/>
      <c r="AR867" s="351"/>
      <c r="AS867" s="351"/>
      <c r="AT867" s="351"/>
      <c r="AU867" s="351"/>
      <c r="AV867" s="351"/>
      <c r="AW867" s="351"/>
      <c r="AX867" s="351"/>
      <c r="AY867" s="351"/>
    </row>
    <row r="868" spans="1:51" ht="13">
      <c r="A868" s="333"/>
      <c r="B868" s="351"/>
      <c r="C868" s="351"/>
      <c r="D868" s="333"/>
      <c r="E868" s="333"/>
      <c r="F868" s="333"/>
      <c r="G868" s="359"/>
      <c r="H868" s="359"/>
      <c r="I868" s="351"/>
      <c r="J868" s="359"/>
      <c r="K868" s="359"/>
      <c r="L868" s="359"/>
      <c r="M868" s="351"/>
      <c r="N868" s="351"/>
      <c r="O868" s="351"/>
      <c r="P868" s="351"/>
      <c r="Q868" s="351"/>
      <c r="R868" s="351"/>
      <c r="S868" s="351"/>
      <c r="T868" s="351"/>
      <c r="U868" s="351"/>
      <c r="V868" s="351"/>
      <c r="W868" s="351"/>
      <c r="X868" s="359"/>
      <c r="Y868" s="359"/>
      <c r="Z868" s="359"/>
      <c r="AA868" s="351"/>
      <c r="AB868" s="351"/>
      <c r="AC868" s="359"/>
      <c r="AD868" s="359"/>
      <c r="AE868" s="351"/>
      <c r="AF868" s="333"/>
      <c r="AG868" s="333"/>
      <c r="AH868" s="351"/>
      <c r="AI868" s="351"/>
      <c r="AJ868" s="351"/>
      <c r="AK868" s="351"/>
      <c r="AL868" s="351"/>
      <c r="AM868" s="351"/>
      <c r="AN868" s="351"/>
      <c r="AO868" s="351"/>
      <c r="AP868" s="351"/>
      <c r="AQ868" s="351"/>
      <c r="AR868" s="351"/>
      <c r="AS868" s="351"/>
      <c r="AT868" s="351"/>
      <c r="AU868" s="351"/>
      <c r="AV868" s="351"/>
      <c r="AW868" s="351"/>
      <c r="AX868" s="351"/>
      <c r="AY868" s="351"/>
    </row>
    <row r="869" spans="1:51" ht="13">
      <c r="A869" s="333"/>
      <c r="B869" s="351"/>
      <c r="C869" s="351"/>
      <c r="D869" s="333"/>
      <c r="E869" s="333"/>
      <c r="F869" s="333"/>
      <c r="G869" s="359"/>
      <c r="H869" s="359"/>
      <c r="I869" s="351"/>
      <c r="J869" s="359"/>
      <c r="K869" s="359"/>
      <c r="L869" s="359"/>
      <c r="M869" s="351"/>
      <c r="N869" s="351"/>
      <c r="O869" s="351"/>
      <c r="P869" s="351"/>
      <c r="Q869" s="351"/>
      <c r="R869" s="351"/>
      <c r="S869" s="351"/>
      <c r="T869" s="351"/>
      <c r="U869" s="351"/>
      <c r="V869" s="351"/>
      <c r="W869" s="351"/>
      <c r="X869" s="359"/>
      <c r="Y869" s="359"/>
      <c r="Z869" s="359"/>
      <c r="AA869" s="351"/>
      <c r="AB869" s="351"/>
      <c r="AC869" s="359"/>
      <c r="AD869" s="359"/>
      <c r="AE869" s="351"/>
      <c r="AF869" s="333"/>
      <c r="AG869" s="333"/>
      <c r="AH869" s="351"/>
      <c r="AI869" s="351"/>
      <c r="AJ869" s="351"/>
      <c r="AK869" s="351"/>
      <c r="AL869" s="351"/>
      <c r="AM869" s="351"/>
      <c r="AN869" s="351"/>
      <c r="AO869" s="351"/>
      <c r="AP869" s="351"/>
      <c r="AQ869" s="351"/>
      <c r="AR869" s="351"/>
      <c r="AS869" s="351"/>
      <c r="AT869" s="351"/>
      <c r="AU869" s="351"/>
      <c r="AV869" s="351"/>
      <c r="AW869" s="351"/>
      <c r="AX869" s="351"/>
      <c r="AY869" s="351"/>
    </row>
    <row r="870" spans="1:51" ht="13">
      <c r="A870" s="333"/>
      <c r="B870" s="351"/>
      <c r="C870" s="351"/>
      <c r="D870" s="333"/>
      <c r="E870" s="333"/>
      <c r="F870" s="333"/>
      <c r="G870" s="359"/>
      <c r="H870" s="359"/>
      <c r="I870" s="351"/>
      <c r="J870" s="359"/>
      <c r="K870" s="359"/>
      <c r="L870" s="359"/>
      <c r="M870" s="351"/>
      <c r="N870" s="351"/>
      <c r="O870" s="351"/>
      <c r="P870" s="351"/>
      <c r="Q870" s="351"/>
      <c r="R870" s="351"/>
      <c r="S870" s="351"/>
      <c r="T870" s="351"/>
      <c r="U870" s="351"/>
      <c r="V870" s="351"/>
      <c r="W870" s="351"/>
      <c r="X870" s="359"/>
      <c r="Y870" s="359"/>
      <c r="Z870" s="359"/>
      <c r="AA870" s="351"/>
      <c r="AB870" s="351"/>
      <c r="AC870" s="359"/>
      <c r="AD870" s="359"/>
      <c r="AE870" s="351"/>
      <c r="AF870" s="333"/>
      <c r="AG870" s="333"/>
      <c r="AH870" s="351"/>
      <c r="AI870" s="351"/>
      <c r="AJ870" s="351"/>
      <c r="AK870" s="351"/>
      <c r="AL870" s="351"/>
      <c r="AM870" s="351"/>
      <c r="AN870" s="351"/>
      <c r="AO870" s="351"/>
      <c r="AP870" s="351"/>
      <c r="AQ870" s="351"/>
      <c r="AR870" s="351"/>
      <c r="AS870" s="351"/>
      <c r="AT870" s="351"/>
      <c r="AU870" s="351"/>
      <c r="AV870" s="351"/>
      <c r="AW870" s="351"/>
      <c r="AX870" s="351"/>
      <c r="AY870" s="351"/>
    </row>
    <row r="871" spans="1:51" ht="13">
      <c r="A871" s="333"/>
      <c r="B871" s="351"/>
      <c r="C871" s="351"/>
      <c r="D871" s="333"/>
      <c r="E871" s="333"/>
      <c r="F871" s="333"/>
      <c r="G871" s="359"/>
      <c r="H871" s="359"/>
      <c r="I871" s="351"/>
      <c r="J871" s="359"/>
      <c r="K871" s="359"/>
      <c r="L871" s="359"/>
      <c r="M871" s="351"/>
      <c r="N871" s="351"/>
      <c r="O871" s="351"/>
      <c r="P871" s="351"/>
      <c r="Q871" s="351"/>
      <c r="R871" s="351"/>
      <c r="S871" s="351"/>
      <c r="T871" s="351"/>
      <c r="U871" s="351"/>
      <c r="V871" s="351"/>
      <c r="W871" s="351"/>
      <c r="X871" s="359"/>
      <c r="Y871" s="359"/>
      <c r="Z871" s="359"/>
      <c r="AA871" s="351"/>
      <c r="AB871" s="351"/>
      <c r="AC871" s="359"/>
      <c r="AD871" s="359"/>
      <c r="AE871" s="351"/>
      <c r="AF871" s="333"/>
      <c r="AG871" s="333"/>
      <c r="AH871" s="351"/>
      <c r="AI871" s="351"/>
      <c r="AJ871" s="351"/>
      <c r="AK871" s="351"/>
      <c r="AL871" s="351"/>
      <c r="AM871" s="351"/>
      <c r="AN871" s="351"/>
      <c r="AO871" s="351"/>
      <c r="AP871" s="351"/>
      <c r="AQ871" s="351"/>
      <c r="AR871" s="351"/>
      <c r="AS871" s="351"/>
      <c r="AT871" s="351"/>
      <c r="AU871" s="351"/>
      <c r="AV871" s="351"/>
      <c r="AW871" s="351"/>
      <c r="AX871" s="351"/>
      <c r="AY871" s="351"/>
    </row>
    <row r="872" spans="1:51" ht="13">
      <c r="A872" s="333"/>
      <c r="B872" s="351"/>
      <c r="C872" s="351"/>
      <c r="D872" s="333"/>
      <c r="E872" s="333"/>
      <c r="F872" s="333"/>
      <c r="G872" s="359"/>
      <c r="H872" s="359"/>
      <c r="I872" s="351"/>
      <c r="J872" s="359"/>
      <c r="K872" s="359"/>
      <c r="L872" s="359"/>
      <c r="M872" s="351"/>
      <c r="N872" s="351"/>
      <c r="O872" s="351"/>
      <c r="P872" s="351"/>
      <c r="Q872" s="351"/>
      <c r="R872" s="351"/>
      <c r="S872" s="351"/>
      <c r="T872" s="351"/>
      <c r="U872" s="351"/>
      <c r="V872" s="351"/>
      <c r="W872" s="351"/>
      <c r="X872" s="359"/>
      <c r="Y872" s="359"/>
      <c r="Z872" s="359"/>
      <c r="AA872" s="351"/>
      <c r="AB872" s="351"/>
      <c r="AC872" s="359"/>
      <c r="AD872" s="359"/>
      <c r="AE872" s="351"/>
      <c r="AF872" s="333"/>
      <c r="AG872" s="333"/>
      <c r="AH872" s="351"/>
      <c r="AI872" s="351"/>
      <c r="AJ872" s="351"/>
      <c r="AK872" s="351"/>
      <c r="AL872" s="351"/>
      <c r="AM872" s="351"/>
      <c r="AN872" s="351"/>
      <c r="AO872" s="351"/>
      <c r="AP872" s="351"/>
      <c r="AQ872" s="351"/>
      <c r="AR872" s="351"/>
      <c r="AS872" s="351"/>
      <c r="AT872" s="351"/>
      <c r="AU872" s="351"/>
      <c r="AV872" s="351"/>
      <c r="AW872" s="351"/>
      <c r="AX872" s="351"/>
      <c r="AY872" s="351"/>
    </row>
    <row r="873" spans="1:51" ht="13">
      <c r="A873" s="333"/>
      <c r="B873" s="351"/>
      <c r="C873" s="351"/>
      <c r="D873" s="333"/>
      <c r="E873" s="333"/>
      <c r="F873" s="333"/>
      <c r="G873" s="359"/>
      <c r="H873" s="359"/>
      <c r="I873" s="351"/>
      <c r="J873" s="359"/>
      <c r="K873" s="359"/>
      <c r="L873" s="359"/>
      <c r="M873" s="351"/>
      <c r="N873" s="351"/>
      <c r="O873" s="351"/>
      <c r="P873" s="351"/>
      <c r="Q873" s="351"/>
      <c r="R873" s="351"/>
      <c r="S873" s="351"/>
      <c r="T873" s="351"/>
      <c r="U873" s="351"/>
      <c r="V873" s="351"/>
      <c r="W873" s="351"/>
      <c r="X873" s="359"/>
      <c r="Y873" s="359"/>
      <c r="Z873" s="359"/>
      <c r="AA873" s="351"/>
      <c r="AB873" s="351"/>
      <c r="AC873" s="359"/>
      <c r="AD873" s="359"/>
      <c r="AE873" s="351"/>
      <c r="AF873" s="333"/>
      <c r="AG873" s="333"/>
      <c r="AH873" s="351"/>
      <c r="AI873" s="351"/>
      <c r="AJ873" s="351"/>
      <c r="AK873" s="351"/>
      <c r="AL873" s="351"/>
      <c r="AM873" s="351"/>
      <c r="AN873" s="351"/>
      <c r="AO873" s="351"/>
      <c r="AP873" s="351"/>
      <c r="AQ873" s="351"/>
      <c r="AR873" s="351"/>
      <c r="AS873" s="351"/>
      <c r="AT873" s="351"/>
      <c r="AU873" s="351"/>
      <c r="AV873" s="351"/>
      <c r="AW873" s="351"/>
      <c r="AX873" s="351"/>
      <c r="AY873" s="351"/>
    </row>
    <row r="874" spans="1:51" ht="13">
      <c r="A874" s="333"/>
      <c r="B874" s="351"/>
      <c r="C874" s="351"/>
      <c r="D874" s="333"/>
      <c r="E874" s="333"/>
      <c r="F874" s="333"/>
      <c r="G874" s="359"/>
      <c r="H874" s="359"/>
      <c r="I874" s="351"/>
      <c r="J874" s="359"/>
      <c r="K874" s="359"/>
      <c r="L874" s="359"/>
      <c r="M874" s="351"/>
      <c r="N874" s="351"/>
      <c r="O874" s="351"/>
      <c r="P874" s="351"/>
      <c r="Q874" s="351"/>
      <c r="R874" s="351"/>
      <c r="S874" s="351"/>
      <c r="T874" s="351"/>
      <c r="U874" s="351"/>
      <c r="V874" s="351"/>
      <c r="W874" s="351"/>
      <c r="X874" s="359"/>
      <c r="Y874" s="359"/>
      <c r="Z874" s="359"/>
      <c r="AA874" s="351"/>
      <c r="AB874" s="351"/>
      <c r="AC874" s="359"/>
      <c r="AD874" s="359"/>
      <c r="AE874" s="351"/>
      <c r="AF874" s="333"/>
      <c r="AG874" s="333"/>
      <c r="AH874" s="351"/>
      <c r="AI874" s="351"/>
      <c r="AJ874" s="351"/>
      <c r="AK874" s="351"/>
      <c r="AL874" s="351"/>
      <c r="AM874" s="351"/>
      <c r="AN874" s="351"/>
      <c r="AO874" s="351"/>
      <c r="AP874" s="351"/>
      <c r="AQ874" s="351"/>
      <c r="AR874" s="351"/>
      <c r="AS874" s="351"/>
      <c r="AT874" s="351"/>
      <c r="AU874" s="351"/>
      <c r="AV874" s="351"/>
      <c r="AW874" s="351"/>
      <c r="AX874" s="351"/>
      <c r="AY874" s="351"/>
    </row>
    <row r="875" spans="1:51" ht="13">
      <c r="A875" s="333"/>
      <c r="B875" s="351"/>
      <c r="C875" s="351"/>
      <c r="D875" s="333"/>
      <c r="E875" s="333"/>
      <c r="F875" s="333"/>
      <c r="G875" s="359"/>
      <c r="H875" s="359"/>
      <c r="I875" s="351"/>
      <c r="J875" s="359"/>
      <c r="K875" s="359"/>
      <c r="L875" s="359"/>
      <c r="M875" s="351"/>
      <c r="N875" s="351"/>
      <c r="O875" s="351"/>
      <c r="P875" s="351"/>
      <c r="Q875" s="351"/>
      <c r="R875" s="351"/>
      <c r="S875" s="351"/>
      <c r="T875" s="351"/>
      <c r="U875" s="351"/>
      <c r="V875" s="351"/>
      <c r="W875" s="351"/>
      <c r="X875" s="359"/>
      <c r="Y875" s="359"/>
      <c r="Z875" s="359"/>
      <c r="AA875" s="351"/>
      <c r="AB875" s="351"/>
      <c r="AC875" s="359"/>
      <c r="AD875" s="359"/>
      <c r="AE875" s="351"/>
      <c r="AF875" s="333"/>
      <c r="AG875" s="333"/>
      <c r="AH875" s="351"/>
      <c r="AI875" s="351"/>
      <c r="AJ875" s="351"/>
      <c r="AK875" s="351"/>
      <c r="AL875" s="351"/>
      <c r="AM875" s="351"/>
      <c r="AN875" s="351"/>
      <c r="AO875" s="351"/>
      <c r="AP875" s="351"/>
      <c r="AQ875" s="351"/>
      <c r="AR875" s="351"/>
      <c r="AS875" s="351"/>
      <c r="AT875" s="351"/>
      <c r="AU875" s="351"/>
      <c r="AV875" s="351"/>
      <c r="AW875" s="351"/>
      <c r="AX875" s="351"/>
      <c r="AY875" s="351"/>
    </row>
    <row r="876" spans="1:51" ht="13">
      <c r="A876" s="333"/>
      <c r="B876" s="351"/>
      <c r="C876" s="351"/>
      <c r="D876" s="333"/>
      <c r="E876" s="333"/>
      <c r="F876" s="333"/>
      <c r="G876" s="359"/>
      <c r="H876" s="359"/>
      <c r="I876" s="351"/>
      <c r="J876" s="359"/>
      <c r="K876" s="359"/>
      <c r="L876" s="359"/>
      <c r="M876" s="351"/>
      <c r="N876" s="351"/>
      <c r="O876" s="351"/>
      <c r="P876" s="351"/>
      <c r="Q876" s="351"/>
      <c r="R876" s="351"/>
      <c r="S876" s="351"/>
      <c r="T876" s="351"/>
      <c r="U876" s="351"/>
      <c r="V876" s="351"/>
      <c r="W876" s="351"/>
      <c r="X876" s="359"/>
      <c r="Y876" s="359"/>
      <c r="Z876" s="359"/>
      <c r="AA876" s="351"/>
      <c r="AB876" s="351"/>
      <c r="AC876" s="359"/>
      <c r="AD876" s="359"/>
      <c r="AE876" s="351"/>
      <c r="AF876" s="333"/>
      <c r="AG876" s="333"/>
      <c r="AH876" s="351"/>
      <c r="AI876" s="351"/>
      <c r="AJ876" s="351"/>
      <c r="AK876" s="351"/>
      <c r="AL876" s="351"/>
      <c r="AM876" s="351"/>
      <c r="AN876" s="351"/>
      <c r="AO876" s="351"/>
      <c r="AP876" s="351"/>
      <c r="AQ876" s="351"/>
      <c r="AR876" s="351"/>
      <c r="AS876" s="351"/>
      <c r="AT876" s="351"/>
      <c r="AU876" s="351"/>
      <c r="AV876" s="351"/>
      <c r="AW876" s="351"/>
      <c r="AX876" s="351"/>
      <c r="AY876" s="351"/>
    </row>
    <row r="877" spans="1:51" ht="13">
      <c r="A877" s="333"/>
      <c r="B877" s="351"/>
      <c r="C877" s="351"/>
      <c r="D877" s="333"/>
      <c r="E877" s="333"/>
      <c r="F877" s="333"/>
      <c r="G877" s="359"/>
      <c r="H877" s="359"/>
      <c r="I877" s="351"/>
      <c r="J877" s="359"/>
      <c r="K877" s="359"/>
      <c r="L877" s="359"/>
      <c r="M877" s="351"/>
      <c r="N877" s="351"/>
      <c r="O877" s="351"/>
      <c r="P877" s="351"/>
      <c r="Q877" s="351"/>
      <c r="R877" s="351"/>
      <c r="S877" s="351"/>
      <c r="T877" s="351"/>
      <c r="U877" s="351"/>
      <c r="V877" s="351"/>
      <c r="W877" s="351"/>
      <c r="X877" s="359"/>
      <c r="Y877" s="359"/>
      <c r="Z877" s="359"/>
      <c r="AA877" s="351"/>
      <c r="AB877" s="351"/>
      <c r="AC877" s="359"/>
      <c r="AD877" s="359"/>
      <c r="AE877" s="351"/>
      <c r="AF877" s="333"/>
      <c r="AG877" s="333"/>
      <c r="AH877" s="351"/>
      <c r="AI877" s="351"/>
      <c r="AJ877" s="351"/>
      <c r="AK877" s="351"/>
      <c r="AL877" s="351"/>
      <c r="AM877" s="351"/>
      <c r="AN877" s="351"/>
      <c r="AO877" s="351"/>
      <c r="AP877" s="351"/>
      <c r="AQ877" s="351"/>
      <c r="AR877" s="351"/>
      <c r="AS877" s="351"/>
      <c r="AT877" s="351"/>
      <c r="AU877" s="351"/>
      <c r="AV877" s="351"/>
      <c r="AW877" s="351"/>
      <c r="AX877" s="351"/>
      <c r="AY877" s="351"/>
    </row>
    <row r="878" spans="1:51" ht="13">
      <c r="A878" s="333"/>
      <c r="B878" s="351"/>
      <c r="C878" s="351"/>
      <c r="D878" s="333"/>
      <c r="E878" s="333"/>
      <c r="F878" s="333"/>
      <c r="G878" s="359"/>
      <c r="H878" s="359"/>
      <c r="I878" s="351"/>
      <c r="J878" s="359"/>
      <c r="K878" s="359"/>
      <c r="L878" s="359"/>
      <c r="M878" s="351"/>
      <c r="N878" s="351"/>
      <c r="O878" s="351"/>
      <c r="P878" s="351"/>
      <c r="Q878" s="351"/>
      <c r="R878" s="351"/>
      <c r="S878" s="351"/>
      <c r="T878" s="351"/>
      <c r="U878" s="351"/>
      <c r="V878" s="351"/>
      <c r="W878" s="351"/>
      <c r="X878" s="359"/>
      <c r="Y878" s="359"/>
      <c r="Z878" s="359"/>
      <c r="AA878" s="351"/>
      <c r="AB878" s="351"/>
      <c r="AC878" s="359"/>
      <c r="AD878" s="359"/>
      <c r="AE878" s="351"/>
      <c r="AF878" s="333"/>
      <c r="AG878" s="333"/>
      <c r="AH878" s="351"/>
      <c r="AI878" s="351"/>
      <c r="AJ878" s="351"/>
      <c r="AK878" s="351"/>
      <c r="AL878" s="351"/>
      <c r="AM878" s="351"/>
      <c r="AN878" s="351"/>
      <c r="AO878" s="351"/>
      <c r="AP878" s="351"/>
      <c r="AQ878" s="351"/>
      <c r="AR878" s="351"/>
      <c r="AS878" s="351"/>
      <c r="AT878" s="351"/>
      <c r="AU878" s="351"/>
      <c r="AV878" s="351"/>
      <c r="AW878" s="351"/>
      <c r="AX878" s="351"/>
      <c r="AY878" s="351"/>
    </row>
    <row r="879" spans="1:51" ht="13">
      <c r="A879" s="333"/>
      <c r="B879" s="351"/>
      <c r="C879" s="351"/>
      <c r="D879" s="333"/>
      <c r="E879" s="333"/>
      <c r="F879" s="333"/>
      <c r="G879" s="359"/>
      <c r="H879" s="359"/>
      <c r="I879" s="351"/>
      <c r="J879" s="359"/>
      <c r="K879" s="359"/>
      <c r="L879" s="359"/>
      <c r="M879" s="351"/>
      <c r="N879" s="351"/>
      <c r="O879" s="351"/>
      <c r="P879" s="351"/>
      <c r="Q879" s="351"/>
      <c r="R879" s="351"/>
      <c r="S879" s="351"/>
      <c r="T879" s="351"/>
      <c r="U879" s="351"/>
      <c r="V879" s="351"/>
      <c r="W879" s="351"/>
      <c r="X879" s="359"/>
      <c r="Y879" s="359"/>
      <c r="Z879" s="359"/>
      <c r="AA879" s="351"/>
      <c r="AB879" s="351"/>
      <c r="AC879" s="359"/>
      <c r="AD879" s="359"/>
      <c r="AE879" s="351"/>
      <c r="AF879" s="333"/>
      <c r="AG879" s="333"/>
      <c r="AH879" s="351"/>
      <c r="AI879" s="351"/>
      <c r="AJ879" s="351"/>
      <c r="AK879" s="351"/>
      <c r="AL879" s="351"/>
      <c r="AM879" s="351"/>
      <c r="AN879" s="351"/>
      <c r="AO879" s="351"/>
      <c r="AP879" s="351"/>
      <c r="AQ879" s="351"/>
      <c r="AR879" s="351"/>
      <c r="AS879" s="351"/>
      <c r="AT879" s="351"/>
      <c r="AU879" s="351"/>
      <c r="AV879" s="351"/>
      <c r="AW879" s="351"/>
      <c r="AX879" s="351"/>
      <c r="AY879" s="351"/>
    </row>
    <row r="880" spans="1:51" ht="13">
      <c r="A880" s="333"/>
      <c r="B880" s="351"/>
      <c r="C880" s="351"/>
      <c r="D880" s="333"/>
      <c r="E880" s="333"/>
      <c r="F880" s="333"/>
      <c r="G880" s="359"/>
      <c r="H880" s="359"/>
      <c r="I880" s="351"/>
      <c r="J880" s="359"/>
      <c r="K880" s="359"/>
      <c r="L880" s="359"/>
      <c r="M880" s="351"/>
      <c r="N880" s="351"/>
      <c r="O880" s="351"/>
      <c r="P880" s="351"/>
      <c r="Q880" s="351"/>
      <c r="R880" s="351"/>
      <c r="S880" s="351"/>
      <c r="T880" s="351"/>
      <c r="U880" s="351"/>
      <c r="V880" s="351"/>
      <c r="W880" s="351"/>
      <c r="X880" s="359"/>
      <c r="Y880" s="359"/>
      <c r="Z880" s="359"/>
      <c r="AA880" s="351"/>
      <c r="AB880" s="351"/>
      <c r="AC880" s="359"/>
      <c r="AD880" s="359"/>
      <c r="AE880" s="351"/>
      <c r="AF880" s="333"/>
      <c r="AG880" s="333"/>
      <c r="AH880" s="351"/>
      <c r="AI880" s="351"/>
      <c r="AJ880" s="351"/>
      <c r="AK880" s="351"/>
      <c r="AL880" s="351"/>
      <c r="AM880" s="351"/>
      <c r="AN880" s="351"/>
      <c r="AO880" s="351"/>
      <c r="AP880" s="351"/>
      <c r="AQ880" s="351"/>
      <c r="AR880" s="351"/>
      <c r="AS880" s="351"/>
      <c r="AT880" s="351"/>
      <c r="AU880" s="351"/>
      <c r="AV880" s="351"/>
      <c r="AW880" s="351"/>
      <c r="AX880" s="351"/>
      <c r="AY880" s="351"/>
    </row>
    <row r="881" spans="1:51" ht="13">
      <c r="A881" s="333"/>
      <c r="B881" s="351"/>
      <c r="C881" s="351"/>
      <c r="D881" s="333"/>
      <c r="E881" s="333"/>
      <c r="F881" s="333"/>
      <c r="G881" s="359"/>
      <c r="H881" s="359"/>
      <c r="I881" s="351"/>
      <c r="J881" s="359"/>
      <c r="K881" s="359"/>
      <c r="L881" s="359"/>
      <c r="M881" s="351"/>
      <c r="N881" s="351"/>
      <c r="O881" s="351"/>
      <c r="P881" s="351"/>
      <c r="Q881" s="351"/>
      <c r="R881" s="351"/>
      <c r="S881" s="351"/>
      <c r="T881" s="351"/>
      <c r="U881" s="351"/>
      <c r="V881" s="351"/>
      <c r="W881" s="351"/>
      <c r="X881" s="359"/>
      <c r="Y881" s="359"/>
      <c r="Z881" s="359"/>
      <c r="AA881" s="351"/>
      <c r="AB881" s="351"/>
      <c r="AC881" s="359"/>
      <c r="AD881" s="359"/>
      <c r="AE881" s="351"/>
      <c r="AF881" s="333"/>
      <c r="AG881" s="333"/>
      <c r="AH881" s="351"/>
      <c r="AI881" s="351"/>
      <c r="AJ881" s="351"/>
      <c r="AK881" s="351"/>
      <c r="AL881" s="351"/>
      <c r="AM881" s="351"/>
      <c r="AN881" s="351"/>
      <c r="AO881" s="351"/>
      <c r="AP881" s="351"/>
      <c r="AQ881" s="351"/>
      <c r="AR881" s="351"/>
      <c r="AS881" s="351"/>
      <c r="AT881" s="351"/>
      <c r="AU881" s="351"/>
      <c r="AV881" s="351"/>
      <c r="AW881" s="351"/>
      <c r="AX881" s="351"/>
      <c r="AY881" s="351"/>
    </row>
    <row r="882" spans="1:51" ht="13">
      <c r="A882" s="333"/>
      <c r="B882" s="351"/>
      <c r="C882" s="351"/>
      <c r="D882" s="333"/>
      <c r="E882" s="333"/>
      <c r="F882" s="333"/>
      <c r="G882" s="359"/>
      <c r="H882" s="359"/>
      <c r="I882" s="351"/>
      <c r="J882" s="359"/>
      <c r="K882" s="359"/>
      <c r="L882" s="359"/>
      <c r="M882" s="351"/>
      <c r="N882" s="351"/>
      <c r="O882" s="351"/>
      <c r="P882" s="351"/>
      <c r="Q882" s="351"/>
      <c r="R882" s="351"/>
      <c r="S882" s="351"/>
      <c r="T882" s="351"/>
      <c r="U882" s="351"/>
      <c r="V882" s="351"/>
      <c r="W882" s="351"/>
      <c r="X882" s="359"/>
      <c r="Y882" s="359"/>
      <c r="Z882" s="359"/>
      <c r="AA882" s="351"/>
      <c r="AB882" s="351"/>
      <c r="AC882" s="359"/>
      <c r="AD882" s="359"/>
      <c r="AE882" s="351"/>
      <c r="AF882" s="333"/>
      <c r="AG882" s="333"/>
      <c r="AH882" s="351"/>
      <c r="AI882" s="351"/>
      <c r="AJ882" s="351"/>
      <c r="AK882" s="351"/>
      <c r="AL882" s="351"/>
      <c r="AM882" s="351"/>
      <c r="AN882" s="351"/>
      <c r="AO882" s="351"/>
      <c r="AP882" s="351"/>
      <c r="AQ882" s="351"/>
      <c r="AR882" s="351"/>
      <c r="AS882" s="351"/>
      <c r="AT882" s="351"/>
      <c r="AU882" s="351"/>
      <c r="AV882" s="351"/>
      <c r="AW882" s="351"/>
      <c r="AX882" s="351"/>
      <c r="AY882" s="351"/>
    </row>
    <row r="883" spans="1:51" ht="13">
      <c r="A883" s="333"/>
      <c r="B883" s="351"/>
      <c r="C883" s="351"/>
      <c r="D883" s="333"/>
      <c r="E883" s="333"/>
      <c r="F883" s="333"/>
      <c r="G883" s="359"/>
      <c r="H883" s="359"/>
      <c r="I883" s="351"/>
      <c r="J883" s="359"/>
      <c r="K883" s="359"/>
      <c r="L883" s="359"/>
      <c r="M883" s="351"/>
      <c r="N883" s="351"/>
      <c r="O883" s="351"/>
      <c r="P883" s="351"/>
      <c r="Q883" s="351"/>
      <c r="R883" s="351"/>
      <c r="S883" s="351"/>
      <c r="T883" s="351"/>
      <c r="U883" s="351"/>
      <c r="V883" s="351"/>
      <c r="W883" s="351"/>
      <c r="X883" s="359"/>
      <c r="Y883" s="359"/>
      <c r="Z883" s="359"/>
      <c r="AA883" s="351"/>
      <c r="AB883" s="351"/>
      <c r="AC883" s="359"/>
      <c r="AD883" s="359"/>
      <c r="AE883" s="351"/>
      <c r="AF883" s="333"/>
      <c r="AG883" s="333"/>
      <c r="AH883" s="351"/>
      <c r="AI883" s="351"/>
      <c r="AJ883" s="351"/>
      <c r="AK883" s="351"/>
      <c r="AL883" s="351"/>
      <c r="AM883" s="351"/>
      <c r="AN883" s="351"/>
      <c r="AO883" s="351"/>
      <c r="AP883" s="351"/>
      <c r="AQ883" s="351"/>
      <c r="AR883" s="351"/>
      <c r="AS883" s="351"/>
      <c r="AT883" s="351"/>
      <c r="AU883" s="351"/>
      <c r="AV883" s="351"/>
      <c r="AW883" s="351"/>
      <c r="AX883" s="351"/>
      <c r="AY883" s="351"/>
    </row>
    <row r="884" spans="1:51" ht="13">
      <c r="A884" s="333"/>
      <c r="B884" s="351"/>
      <c r="C884" s="351"/>
      <c r="D884" s="333"/>
      <c r="E884" s="333"/>
      <c r="F884" s="333"/>
      <c r="G884" s="359"/>
      <c r="H884" s="359"/>
      <c r="I884" s="351"/>
      <c r="J884" s="359"/>
      <c r="K884" s="359"/>
      <c r="L884" s="359"/>
      <c r="M884" s="351"/>
      <c r="N884" s="351"/>
      <c r="O884" s="351"/>
      <c r="P884" s="351"/>
      <c r="Q884" s="351"/>
      <c r="R884" s="351"/>
      <c r="S884" s="351"/>
      <c r="T884" s="351"/>
      <c r="U884" s="351"/>
      <c r="V884" s="351"/>
      <c r="W884" s="351"/>
      <c r="X884" s="359"/>
      <c r="Y884" s="359"/>
      <c r="Z884" s="359"/>
      <c r="AA884" s="351"/>
      <c r="AB884" s="351"/>
      <c r="AC884" s="359"/>
      <c r="AD884" s="359"/>
      <c r="AE884" s="351"/>
      <c r="AF884" s="333"/>
      <c r="AG884" s="333"/>
      <c r="AH884" s="351"/>
      <c r="AI884" s="351"/>
      <c r="AJ884" s="351"/>
      <c r="AK884" s="351"/>
      <c r="AL884" s="351"/>
      <c r="AM884" s="351"/>
      <c r="AN884" s="351"/>
      <c r="AO884" s="351"/>
      <c r="AP884" s="351"/>
      <c r="AQ884" s="351"/>
      <c r="AR884" s="351"/>
      <c r="AS884" s="351"/>
      <c r="AT884" s="351"/>
      <c r="AU884" s="351"/>
      <c r="AV884" s="351"/>
      <c r="AW884" s="351"/>
      <c r="AX884" s="351"/>
      <c r="AY884" s="351"/>
    </row>
    <row r="885" spans="1:51" ht="13">
      <c r="A885" s="333"/>
      <c r="B885" s="351"/>
      <c r="C885" s="351"/>
      <c r="D885" s="333"/>
      <c r="E885" s="333"/>
      <c r="F885" s="333"/>
      <c r="G885" s="359"/>
      <c r="H885" s="359"/>
      <c r="I885" s="351"/>
      <c r="J885" s="359"/>
      <c r="K885" s="359"/>
      <c r="L885" s="359"/>
      <c r="M885" s="351"/>
      <c r="N885" s="351"/>
      <c r="O885" s="351"/>
      <c r="P885" s="351"/>
      <c r="Q885" s="351"/>
      <c r="R885" s="351"/>
      <c r="S885" s="351"/>
      <c r="T885" s="351"/>
      <c r="U885" s="351"/>
      <c r="V885" s="351"/>
      <c r="W885" s="351"/>
      <c r="X885" s="359"/>
      <c r="Y885" s="359"/>
      <c r="Z885" s="359"/>
      <c r="AA885" s="351"/>
      <c r="AB885" s="351"/>
      <c r="AC885" s="359"/>
      <c r="AD885" s="359"/>
      <c r="AE885" s="351"/>
      <c r="AF885" s="333"/>
      <c r="AG885" s="333"/>
      <c r="AH885" s="351"/>
      <c r="AI885" s="351"/>
      <c r="AJ885" s="351"/>
      <c r="AK885" s="351"/>
      <c r="AL885" s="351"/>
      <c r="AM885" s="351"/>
      <c r="AN885" s="351"/>
      <c r="AO885" s="351"/>
      <c r="AP885" s="351"/>
      <c r="AQ885" s="351"/>
      <c r="AR885" s="351"/>
      <c r="AS885" s="351"/>
      <c r="AT885" s="351"/>
      <c r="AU885" s="351"/>
      <c r="AV885" s="351"/>
      <c r="AW885" s="351"/>
      <c r="AX885" s="351"/>
      <c r="AY885" s="351"/>
    </row>
    <row r="886" spans="1:51" ht="13">
      <c r="A886" s="333"/>
      <c r="B886" s="351"/>
      <c r="C886" s="351"/>
      <c r="D886" s="333"/>
      <c r="E886" s="333"/>
      <c r="F886" s="333"/>
      <c r="G886" s="359"/>
      <c r="H886" s="359"/>
      <c r="I886" s="351"/>
      <c r="J886" s="359"/>
      <c r="K886" s="359"/>
      <c r="L886" s="359"/>
      <c r="M886" s="351"/>
      <c r="N886" s="351"/>
      <c r="O886" s="351"/>
      <c r="P886" s="351"/>
      <c r="Q886" s="351"/>
      <c r="R886" s="351"/>
      <c r="S886" s="351"/>
      <c r="T886" s="351"/>
      <c r="U886" s="351"/>
      <c r="V886" s="351"/>
      <c r="W886" s="351"/>
      <c r="X886" s="359"/>
      <c r="Y886" s="359"/>
      <c r="Z886" s="359"/>
      <c r="AA886" s="351"/>
      <c r="AB886" s="351"/>
      <c r="AC886" s="359"/>
      <c r="AD886" s="359"/>
      <c r="AE886" s="351"/>
      <c r="AF886" s="333"/>
      <c r="AG886" s="333"/>
      <c r="AH886" s="351"/>
      <c r="AI886" s="351"/>
      <c r="AJ886" s="351"/>
      <c r="AK886" s="351"/>
      <c r="AL886" s="351"/>
      <c r="AM886" s="351"/>
      <c r="AN886" s="351"/>
      <c r="AO886" s="351"/>
      <c r="AP886" s="351"/>
      <c r="AQ886" s="351"/>
      <c r="AR886" s="351"/>
      <c r="AS886" s="351"/>
      <c r="AT886" s="351"/>
      <c r="AU886" s="351"/>
      <c r="AV886" s="351"/>
      <c r="AW886" s="351"/>
      <c r="AX886" s="351"/>
      <c r="AY886" s="351"/>
    </row>
    <row r="887" spans="1:51" ht="13">
      <c r="A887" s="333"/>
      <c r="B887" s="351"/>
      <c r="C887" s="351"/>
      <c r="D887" s="333"/>
      <c r="E887" s="333"/>
      <c r="F887" s="333"/>
      <c r="G887" s="359"/>
      <c r="H887" s="359"/>
      <c r="I887" s="351"/>
      <c r="J887" s="359"/>
      <c r="K887" s="359"/>
      <c r="L887" s="359"/>
      <c r="M887" s="351"/>
      <c r="N887" s="351"/>
      <c r="O887" s="351"/>
      <c r="P887" s="351"/>
      <c r="Q887" s="351"/>
      <c r="R887" s="351"/>
      <c r="S887" s="351"/>
      <c r="T887" s="351"/>
      <c r="U887" s="351"/>
      <c r="V887" s="351"/>
      <c r="W887" s="351"/>
      <c r="X887" s="359"/>
      <c r="Y887" s="359"/>
      <c r="Z887" s="359"/>
      <c r="AA887" s="351"/>
      <c r="AB887" s="351"/>
      <c r="AC887" s="359"/>
      <c r="AD887" s="359"/>
      <c r="AE887" s="351"/>
      <c r="AF887" s="333"/>
      <c r="AG887" s="333"/>
      <c r="AH887" s="351"/>
      <c r="AI887" s="351"/>
      <c r="AJ887" s="351"/>
      <c r="AK887" s="351"/>
      <c r="AL887" s="351"/>
      <c r="AM887" s="351"/>
      <c r="AN887" s="351"/>
      <c r="AO887" s="351"/>
      <c r="AP887" s="351"/>
      <c r="AQ887" s="351"/>
      <c r="AR887" s="351"/>
      <c r="AS887" s="351"/>
      <c r="AT887" s="351"/>
      <c r="AU887" s="351"/>
      <c r="AV887" s="351"/>
      <c r="AW887" s="351"/>
      <c r="AX887" s="351"/>
      <c r="AY887" s="351"/>
    </row>
    <row r="888" spans="1:51" ht="13">
      <c r="A888" s="333"/>
      <c r="B888" s="351"/>
      <c r="C888" s="351"/>
      <c r="D888" s="333"/>
      <c r="E888" s="333"/>
      <c r="F888" s="333"/>
      <c r="G888" s="359"/>
      <c r="H888" s="359"/>
      <c r="I888" s="351"/>
      <c r="J888" s="359"/>
      <c r="K888" s="359"/>
      <c r="L888" s="359"/>
      <c r="M888" s="351"/>
      <c r="N888" s="351"/>
      <c r="O888" s="351"/>
      <c r="P888" s="351"/>
      <c r="Q888" s="351"/>
      <c r="R888" s="351"/>
      <c r="S888" s="351"/>
      <c r="T888" s="351"/>
      <c r="U888" s="351"/>
      <c r="V888" s="351"/>
      <c r="W888" s="351"/>
      <c r="X888" s="359"/>
      <c r="Y888" s="359"/>
      <c r="Z888" s="359"/>
      <c r="AA888" s="351"/>
      <c r="AB888" s="351"/>
      <c r="AC888" s="359"/>
      <c r="AD888" s="359"/>
      <c r="AE888" s="351"/>
      <c r="AF888" s="333"/>
      <c r="AG888" s="333"/>
      <c r="AH888" s="351"/>
      <c r="AI888" s="351"/>
      <c r="AJ888" s="351"/>
      <c r="AK888" s="351"/>
      <c r="AL888" s="351"/>
      <c r="AM888" s="351"/>
      <c r="AN888" s="351"/>
      <c r="AO888" s="351"/>
      <c r="AP888" s="351"/>
      <c r="AQ888" s="351"/>
      <c r="AR888" s="351"/>
      <c r="AS888" s="351"/>
      <c r="AT888" s="351"/>
      <c r="AU888" s="351"/>
      <c r="AV888" s="351"/>
      <c r="AW888" s="351"/>
      <c r="AX888" s="351"/>
      <c r="AY888" s="351"/>
    </row>
    <row r="889" spans="1:51" ht="13">
      <c r="A889" s="333"/>
      <c r="B889" s="351"/>
      <c r="C889" s="351"/>
      <c r="D889" s="333"/>
      <c r="E889" s="333"/>
      <c r="F889" s="333"/>
      <c r="G889" s="359"/>
      <c r="H889" s="359"/>
      <c r="I889" s="351"/>
      <c r="J889" s="359"/>
      <c r="K889" s="359"/>
      <c r="L889" s="359"/>
      <c r="M889" s="351"/>
      <c r="N889" s="351"/>
      <c r="O889" s="351"/>
      <c r="P889" s="351"/>
      <c r="Q889" s="351"/>
      <c r="R889" s="351"/>
      <c r="S889" s="351"/>
      <c r="T889" s="351"/>
      <c r="U889" s="351"/>
      <c r="V889" s="351"/>
      <c r="W889" s="351"/>
      <c r="X889" s="359"/>
      <c r="Y889" s="359"/>
      <c r="Z889" s="359"/>
      <c r="AA889" s="351"/>
      <c r="AB889" s="351"/>
      <c r="AC889" s="359"/>
      <c r="AD889" s="359"/>
      <c r="AE889" s="351"/>
      <c r="AF889" s="333"/>
      <c r="AG889" s="333"/>
      <c r="AH889" s="351"/>
      <c r="AI889" s="351"/>
      <c r="AJ889" s="351"/>
      <c r="AK889" s="351"/>
      <c r="AL889" s="351"/>
      <c r="AM889" s="351"/>
      <c r="AN889" s="351"/>
      <c r="AO889" s="351"/>
      <c r="AP889" s="351"/>
      <c r="AQ889" s="351"/>
      <c r="AR889" s="351"/>
      <c r="AS889" s="351"/>
      <c r="AT889" s="351"/>
      <c r="AU889" s="351"/>
      <c r="AV889" s="351"/>
      <c r="AW889" s="351"/>
      <c r="AX889" s="351"/>
      <c r="AY889" s="351"/>
    </row>
    <row r="890" spans="1:51" ht="13">
      <c r="A890" s="333"/>
      <c r="B890" s="351"/>
      <c r="C890" s="351"/>
      <c r="D890" s="333"/>
      <c r="E890" s="333"/>
      <c r="F890" s="333"/>
      <c r="G890" s="359"/>
      <c r="H890" s="359"/>
      <c r="I890" s="351"/>
      <c r="J890" s="359"/>
      <c r="K890" s="359"/>
      <c r="L890" s="359"/>
      <c r="M890" s="351"/>
      <c r="N890" s="351"/>
      <c r="O890" s="351"/>
      <c r="P890" s="351"/>
      <c r="Q890" s="351"/>
      <c r="R890" s="351"/>
      <c r="S890" s="351"/>
      <c r="T890" s="351"/>
      <c r="U890" s="351"/>
      <c r="V890" s="351"/>
      <c r="W890" s="351"/>
      <c r="X890" s="359"/>
      <c r="Y890" s="359"/>
      <c r="Z890" s="359"/>
      <c r="AA890" s="351"/>
      <c r="AB890" s="351"/>
      <c r="AC890" s="359"/>
      <c r="AD890" s="359"/>
      <c r="AE890" s="351"/>
      <c r="AF890" s="333"/>
      <c r="AG890" s="333"/>
      <c r="AH890" s="351"/>
      <c r="AI890" s="351"/>
      <c r="AJ890" s="351"/>
      <c r="AK890" s="351"/>
      <c r="AL890" s="351"/>
      <c r="AM890" s="351"/>
      <c r="AN890" s="351"/>
      <c r="AO890" s="351"/>
      <c r="AP890" s="351"/>
      <c r="AQ890" s="351"/>
      <c r="AR890" s="351"/>
      <c r="AS890" s="351"/>
      <c r="AT890" s="351"/>
      <c r="AU890" s="351"/>
      <c r="AV890" s="351"/>
      <c r="AW890" s="351"/>
      <c r="AX890" s="351"/>
      <c r="AY890" s="351"/>
    </row>
    <row r="891" spans="1:51" ht="13">
      <c r="A891" s="333"/>
      <c r="B891" s="351"/>
      <c r="C891" s="351"/>
      <c r="D891" s="333"/>
      <c r="E891" s="333"/>
      <c r="F891" s="333"/>
      <c r="G891" s="359"/>
      <c r="H891" s="359"/>
      <c r="I891" s="351"/>
      <c r="J891" s="359"/>
      <c r="K891" s="359"/>
      <c r="L891" s="359"/>
      <c r="M891" s="351"/>
      <c r="N891" s="351"/>
      <c r="O891" s="351"/>
      <c r="P891" s="351"/>
      <c r="Q891" s="351"/>
      <c r="R891" s="351"/>
      <c r="S891" s="351"/>
      <c r="T891" s="351"/>
      <c r="U891" s="351"/>
      <c r="V891" s="351"/>
      <c r="W891" s="351"/>
      <c r="X891" s="359"/>
      <c r="Y891" s="359"/>
      <c r="Z891" s="359"/>
      <c r="AA891" s="351"/>
      <c r="AB891" s="351"/>
      <c r="AC891" s="359"/>
      <c r="AD891" s="359"/>
      <c r="AE891" s="351"/>
      <c r="AF891" s="333"/>
      <c r="AG891" s="333"/>
      <c r="AH891" s="351"/>
      <c r="AI891" s="351"/>
      <c r="AJ891" s="351"/>
      <c r="AK891" s="351"/>
      <c r="AL891" s="351"/>
      <c r="AM891" s="351"/>
      <c r="AN891" s="351"/>
      <c r="AO891" s="351"/>
      <c r="AP891" s="351"/>
      <c r="AQ891" s="351"/>
      <c r="AR891" s="351"/>
      <c r="AS891" s="351"/>
      <c r="AT891" s="351"/>
      <c r="AU891" s="351"/>
      <c r="AV891" s="351"/>
      <c r="AW891" s="351"/>
      <c r="AX891" s="351"/>
      <c r="AY891" s="351"/>
    </row>
    <row r="892" spans="1:51" ht="13">
      <c r="A892" s="333"/>
      <c r="B892" s="351"/>
      <c r="C892" s="351"/>
      <c r="D892" s="333"/>
      <c r="E892" s="333"/>
      <c r="F892" s="333"/>
      <c r="G892" s="359"/>
      <c r="H892" s="359"/>
      <c r="I892" s="351"/>
      <c r="J892" s="359"/>
      <c r="K892" s="359"/>
      <c r="L892" s="359"/>
      <c r="M892" s="351"/>
      <c r="N892" s="351"/>
      <c r="O892" s="351"/>
      <c r="P892" s="351"/>
      <c r="Q892" s="351"/>
      <c r="R892" s="351"/>
      <c r="S892" s="351"/>
      <c r="T892" s="351"/>
      <c r="U892" s="351"/>
      <c r="V892" s="351"/>
      <c r="W892" s="351"/>
      <c r="X892" s="359"/>
      <c r="Y892" s="359"/>
      <c r="Z892" s="359"/>
      <c r="AA892" s="351"/>
      <c r="AB892" s="351"/>
      <c r="AC892" s="359"/>
      <c r="AD892" s="359"/>
      <c r="AE892" s="351"/>
      <c r="AF892" s="333"/>
      <c r="AG892" s="333"/>
      <c r="AH892" s="351"/>
      <c r="AI892" s="351"/>
      <c r="AJ892" s="351"/>
      <c r="AK892" s="351"/>
      <c r="AL892" s="351"/>
      <c r="AM892" s="351"/>
      <c r="AN892" s="351"/>
      <c r="AO892" s="351"/>
      <c r="AP892" s="351"/>
      <c r="AQ892" s="351"/>
      <c r="AR892" s="351"/>
      <c r="AS892" s="351"/>
      <c r="AT892" s="351"/>
      <c r="AU892" s="351"/>
      <c r="AV892" s="351"/>
      <c r="AW892" s="351"/>
      <c r="AX892" s="351"/>
      <c r="AY892" s="351"/>
    </row>
    <row r="893" spans="1:51" ht="13">
      <c r="A893" s="333"/>
      <c r="B893" s="351"/>
      <c r="C893" s="351"/>
      <c r="D893" s="333"/>
      <c r="E893" s="333"/>
      <c r="F893" s="333"/>
      <c r="G893" s="359"/>
      <c r="H893" s="359"/>
      <c r="I893" s="351"/>
      <c r="J893" s="359"/>
      <c r="K893" s="359"/>
      <c r="L893" s="359"/>
      <c r="M893" s="351"/>
      <c r="N893" s="351"/>
      <c r="O893" s="351"/>
      <c r="P893" s="351"/>
      <c r="Q893" s="351"/>
      <c r="R893" s="351"/>
      <c r="S893" s="351"/>
      <c r="T893" s="351"/>
      <c r="U893" s="351"/>
      <c r="V893" s="351"/>
      <c r="W893" s="351"/>
      <c r="X893" s="359"/>
      <c r="Y893" s="359"/>
      <c r="Z893" s="359"/>
      <c r="AA893" s="351"/>
      <c r="AB893" s="351"/>
      <c r="AC893" s="359"/>
      <c r="AD893" s="359"/>
      <c r="AE893" s="351"/>
      <c r="AF893" s="333"/>
      <c r="AG893" s="333"/>
      <c r="AH893" s="351"/>
      <c r="AI893" s="351"/>
      <c r="AJ893" s="351"/>
      <c r="AK893" s="351"/>
      <c r="AL893" s="351"/>
      <c r="AM893" s="351"/>
      <c r="AN893" s="351"/>
      <c r="AO893" s="351"/>
      <c r="AP893" s="351"/>
      <c r="AQ893" s="351"/>
      <c r="AR893" s="351"/>
      <c r="AS893" s="351"/>
      <c r="AT893" s="351"/>
      <c r="AU893" s="351"/>
      <c r="AV893" s="351"/>
      <c r="AW893" s="351"/>
      <c r="AX893" s="351"/>
      <c r="AY893" s="351"/>
    </row>
    <row r="894" spans="1:51" ht="13">
      <c r="A894" s="333"/>
      <c r="B894" s="351"/>
      <c r="C894" s="351"/>
      <c r="D894" s="333"/>
      <c r="E894" s="333"/>
      <c r="F894" s="333"/>
      <c r="G894" s="359"/>
      <c r="H894" s="359"/>
      <c r="I894" s="351"/>
      <c r="J894" s="359"/>
      <c r="K894" s="359"/>
      <c r="L894" s="359"/>
      <c r="M894" s="351"/>
      <c r="N894" s="351"/>
      <c r="O894" s="351"/>
      <c r="P894" s="351"/>
      <c r="Q894" s="351"/>
      <c r="R894" s="351"/>
      <c r="S894" s="351"/>
      <c r="T894" s="351"/>
      <c r="U894" s="351"/>
      <c r="V894" s="351"/>
      <c r="W894" s="351"/>
      <c r="X894" s="359"/>
      <c r="Y894" s="359"/>
      <c r="Z894" s="359"/>
      <c r="AA894" s="351"/>
      <c r="AB894" s="351"/>
      <c r="AC894" s="359"/>
      <c r="AD894" s="359"/>
      <c r="AE894" s="351"/>
      <c r="AF894" s="333"/>
      <c r="AG894" s="333"/>
      <c r="AH894" s="351"/>
      <c r="AI894" s="351"/>
      <c r="AJ894" s="351"/>
      <c r="AK894" s="351"/>
      <c r="AL894" s="351"/>
      <c r="AM894" s="351"/>
      <c r="AN894" s="351"/>
      <c r="AO894" s="351"/>
      <c r="AP894" s="351"/>
      <c r="AQ894" s="351"/>
      <c r="AR894" s="351"/>
      <c r="AS894" s="351"/>
      <c r="AT894" s="351"/>
      <c r="AU894" s="351"/>
      <c r="AV894" s="351"/>
      <c r="AW894" s="351"/>
      <c r="AX894" s="351"/>
      <c r="AY894" s="351"/>
    </row>
    <row r="895" spans="1:51" ht="13">
      <c r="A895" s="333"/>
      <c r="B895" s="351"/>
      <c r="C895" s="351"/>
      <c r="D895" s="333"/>
      <c r="E895" s="333"/>
      <c r="F895" s="333"/>
      <c r="G895" s="359"/>
      <c r="H895" s="359"/>
      <c r="I895" s="351"/>
      <c r="J895" s="359"/>
      <c r="K895" s="359"/>
      <c r="L895" s="359"/>
      <c r="M895" s="351"/>
      <c r="N895" s="351"/>
      <c r="O895" s="351"/>
      <c r="P895" s="351"/>
      <c r="Q895" s="351"/>
      <c r="R895" s="351"/>
      <c r="S895" s="351"/>
      <c r="T895" s="351"/>
      <c r="U895" s="351"/>
      <c r="V895" s="351"/>
      <c r="W895" s="351"/>
      <c r="X895" s="359"/>
      <c r="Y895" s="359"/>
      <c r="Z895" s="359"/>
      <c r="AA895" s="351"/>
      <c r="AB895" s="351"/>
      <c r="AC895" s="359"/>
      <c r="AD895" s="359"/>
      <c r="AE895" s="351"/>
      <c r="AF895" s="333"/>
      <c r="AG895" s="333"/>
      <c r="AH895" s="351"/>
      <c r="AI895" s="351"/>
      <c r="AJ895" s="351"/>
      <c r="AK895" s="351"/>
      <c r="AL895" s="351"/>
      <c r="AM895" s="351"/>
      <c r="AN895" s="351"/>
      <c r="AO895" s="351"/>
      <c r="AP895" s="351"/>
      <c r="AQ895" s="351"/>
      <c r="AR895" s="351"/>
      <c r="AS895" s="351"/>
      <c r="AT895" s="351"/>
      <c r="AU895" s="351"/>
      <c r="AV895" s="351"/>
      <c r="AW895" s="351"/>
      <c r="AX895" s="351"/>
      <c r="AY895" s="351"/>
    </row>
    <row r="896" spans="1:51" ht="13">
      <c r="A896" s="333"/>
      <c r="B896" s="351"/>
      <c r="C896" s="351"/>
      <c r="D896" s="333"/>
      <c r="E896" s="333"/>
      <c r="F896" s="333"/>
      <c r="G896" s="359"/>
      <c r="H896" s="359"/>
      <c r="I896" s="351"/>
      <c r="J896" s="359"/>
      <c r="K896" s="359"/>
      <c r="L896" s="359"/>
      <c r="M896" s="351"/>
      <c r="N896" s="351"/>
      <c r="O896" s="351"/>
      <c r="P896" s="351"/>
      <c r="Q896" s="351"/>
      <c r="R896" s="351"/>
      <c r="S896" s="351"/>
      <c r="T896" s="351"/>
      <c r="U896" s="351"/>
      <c r="V896" s="351"/>
      <c r="W896" s="351"/>
      <c r="X896" s="359"/>
      <c r="Y896" s="359"/>
      <c r="Z896" s="359"/>
      <c r="AA896" s="351"/>
      <c r="AB896" s="351"/>
      <c r="AC896" s="359"/>
      <c r="AD896" s="359"/>
      <c r="AE896" s="351"/>
      <c r="AF896" s="333"/>
      <c r="AG896" s="333"/>
      <c r="AH896" s="351"/>
      <c r="AI896" s="351"/>
      <c r="AJ896" s="351"/>
      <c r="AK896" s="351"/>
      <c r="AL896" s="351"/>
      <c r="AM896" s="351"/>
      <c r="AN896" s="351"/>
      <c r="AO896" s="351"/>
      <c r="AP896" s="351"/>
      <c r="AQ896" s="351"/>
      <c r="AR896" s="351"/>
      <c r="AS896" s="351"/>
      <c r="AT896" s="351"/>
      <c r="AU896" s="351"/>
      <c r="AV896" s="351"/>
      <c r="AW896" s="351"/>
      <c r="AX896" s="351"/>
      <c r="AY896" s="351"/>
    </row>
    <row r="897" spans="1:51" ht="13">
      <c r="A897" s="333"/>
      <c r="B897" s="351"/>
      <c r="C897" s="351"/>
      <c r="D897" s="333"/>
      <c r="E897" s="333"/>
      <c r="F897" s="333"/>
      <c r="G897" s="359"/>
      <c r="H897" s="359"/>
      <c r="I897" s="351"/>
      <c r="J897" s="359"/>
      <c r="K897" s="359"/>
      <c r="L897" s="359"/>
      <c r="M897" s="351"/>
      <c r="N897" s="351"/>
      <c r="O897" s="351"/>
      <c r="P897" s="351"/>
      <c r="Q897" s="351"/>
      <c r="R897" s="351"/>
      <c r="S897" s="351"/>
      <c r="T897" s="351"/>
      <c r="U897" s="351"/>
      <c r="V897" s="351"/>
      <c r="W897" s="351"/>
      <c r="X897" s="359"/>
      <c r="Y897" s="359"/>
      <c r="Z897" s="359"/>
      <c r="AA897" s="351"/>
      <c r="AB897" s="351"/>
      <c r="AC897" s="359"/>
      <c r="AD897" s="359"/>
      <c r="AE897" s="351"/>
      <c r="AF897" s="333"/>
      <c r="AG897" s="333"/>
      <c r="AH897" s="351"/>
      <c r="AI897" s="351"/>
      <c r="AJ897" s="351"/>
      <c r="AK897" s="351"/>
      <c r="AL897" s="351"/>
      <c r="AM897" s="351"/>
      <c r="AN897" s="351"/>
      <c r="AO897" s="351"/>
      <c r="AP897" s="351"/>
      <c r="AQ897" s="351"/>
      <c r="AR897" s="351"/>
      <c r="AS897" s="351"/>
      <c r="AT897" s="351"/>
      <c r="AU897" s="351"/>
      <c r="AV897" s="351"/>
      <c r="AW897" s="351"/>
      <c r="AX897" s="351"/>
      <c r="AY897" s="351"/>
    </row>
    <row r="898" spans="1:51" ht="13">
      <c r="A898" s="333"/>
      <c r="B898" s="351"/>
      <c r="C898" s="351"/>
      <c r="D898" s="333"/>
      <c r="E898" s="333"/>
      <c r="F898" s="333"/>
      <c r="G898" s="359"/>
      <c r="H898" s="359"/>
      <c r="I898" s="351"/>
      <c r="J898" s="359"/>
      <c r="K898" s="359"/>
      <c r="L898" s="359"/>
      <c r="M898" s="351"/>
      <c r="N898" s="351"/>
      <c r="O898" s="351"/>
      <c r="P898" s="351"/>
      <c r="Q898" s="351"/>
      <c r="R898" s="351"/>
      <c r="S898" s="351"/>
      <c r="T898" s="351"/>
      <c r="U898" s="351"/>
      <c r="V898" s="351"/>
      <c r="W898" s="351"/>
      <c r="X898" s="359"/>
      <c r="Y898" s="359"/>
      <c r="Z898" s="359"/>
      <c r="AA898" s="351"/>
      <c r="AB898" s="351"/>
      <c r="AC898" s="359"/>
      <c r="AD898" s="359"/>
      <c r="AE898" s="351"/>
      <c r="AF898" s="333"/>
      <c r="AG898" s="333"/>
      <c r="AH898" s="351"/>
      <c r="AI898" s="351"/>
      <c r="AJ898" s="351"/>
      <c r="AK898" s="351"/>
      <c r="AL898" s="351"/>
      <c r="AM898" s="351"/>
      <c r="AN898" s="351"/>
      <c r="AO898" s="351"/>
      <c r="AP898" s="351"/>
      <c r="AQ898" s="351"/>
      <c r="AR898" s="351"/>
      <c r="AS898" s="351"/>
      <c r="AT898" s="351"/>
      <c r="AU898" s="351"/>
      <c r="AV898" s="351"/>
      <c r="AW898" s="351"/>
      <c r="AX898" s="351"/>
      <c r="AY898" s="351"/>
    </row>
    <row r="899" spans="1:51" ht="13">
      <c r="A899" s="333"/>
      <c r="B899" s="351"/>
      <c r="C899" s="351"/>
      <c r="D899" s="333"/>
      <c r="E899" s="333"/>
      <c r="F899" s="333"/>
      <c r="G899" s="359"/>
      <c r="H899" s="359"/>
      <c r="I899" s="351"/>
      <c r="J899" s="359"/>
      <c r="K899" s="359"/>
      <c r="L899" s="359"/>
      <c r="M899" s="351"/>
      <c r="N899" s="351"/>
      <c r="O899" s="351"/>
      <c r="P899" s="351"/>
      <c r="Q899" s="351"/>
      <c r="R899" s="351"/>
      <c r="S899" s="351"/>
      <c r="T899" s="351"/>
      <c r="U899" s="351"/>
      <c r="V899" s="351"/>
      <c r="W899" s="351"/>
      <c r="X899" s="359"/>
      <c r="Y899" s="359"/>
      <c r="Z899" s="359"/>
      <c r="AA899" s="351"/>
      <c r="AB899" s="351"/>
      <c r="AC899" s="359"/>
      <c r="AD899" s="359"/>
      <c r="AE899" s="351"/>
      <c r="AF899" s="333"/>
      <c r="AG899" s="333"/>
      <c r="AH899" s="351"/>
      <c r="AI899" s="351"/>
      <c r="AJ899" s="351"/>
      <c r="AK899" s="351"/>
      <c r="AL899" s="351"/>
      <c r="AM899" s="351"/>
      <c r="AN899" s="351"/>
      <c r="AO899" s="351"/>
      <c r="AP899" s="351"/>
      <c r="AQ899" s="351"/>
      <c r="AR899" s="351"/>
      <c r="AS899" s="351"/>
      <c r="AT899" s="351"/>
      <c r="AU899" s="351"/>
      <c r="AV899" s="351"/>
      <c r="AW899" s="351"/>
      <c r="AX899" s="351"/>
      <c r="AY899" s="351"/>
    </row>
    <row r="900" spans="1:51" ht="13">
      <c r="A900" s="333"/>
      <c r="B900" s="351"/>
      <c r="C900" s="351"/>
      <c r="D900" s="333"/>
      <c r="E900" s="333"/>
      <c r="F900" s="333"/>
      <c r="G900" s="359"/>
      <c r="H900" s="359"/>
      <c r="I900" s="351"/>
      <c r="J900" s="359"/>
      <c r="K900" s="359"/>
      <c r="L900" s="359"/>
      <c r="M900" s="351"/>
      <c r="N900" s="351"/>
      <c r="O900" s="351"/>
      <c r="P900" s="351"/>
      <c r="Q900" s="351"/>
      <c r="R900" s="351"/>
      <c r="S900" s="351"/>
      <c r="T900" s="351"/>
      <c r="U900" s="351"/>
      <c r="V900" s="351"/>
      <c r="W900" s="351"/>
      <c r="X900" s="359"/>
      <c r="Y900" s="359"/>
      <c r="Z900" s="359"/>
      <c r="AA900" s="351"/>
      <c r="AB900" s="351"/>
      <c r="AC900" s="359"/>
      <c r="AD900" s="359"/>
      <c r="AE900" s="351"/>
      <c r="AF900" s="333"/>
      <c r="AG900" s="333"/>
      <c r="AH900" s="351"/>
      <c r="AI900" s="351"/>
      <c r="AJ900" s="351"/>
      <c r="AK900" s="351"/>
      <c r="AL900" s="351"/>
      <c r="AM900" s="351"/>
      <c r="AN900" s="351"/>
      <c r="AO900" s="351"/>
      <c r="AP900" s="351"/>
      <c r="AQ900" s="351"/>
      <c r="AR900" s="351"/>
      <c r="AS900" s="351"/>
      <c r="AT900" s="351"/>
      <c r="AU900" s="351"/>
      <c r="AV900" s="351"/>
      <c r="AW900" s="351"/>
      <c r="AX900" s="351"/>
      <c r="AY900" s="351"/>
    </row>
    <row r="901" spans="1:51" ht="13">
      <c r="A901" s="333"/>
      <c r="B901" s="351"/>
      <c r="C901" s="351"/>
      <c r="D901" s="333"/>
      <c r="E901" s="333"/>
      <c r="F901" s="333"/>
      <c r="G901" s="359"/>
      <c r="H901" s="359"/>
      <c r="I901" s="351"/>
      <c r="J901" s="359"/>
      <c r="K901" s="359"/>
      <c r="L901" s="359"/>
      <c r="M901" s="351"/>
      <c r="N901" s="351"/>
      <c r="O901" s="351"/>
      <c r="P901" s="351"/>
      <c r="Q901" s="351"/>
      <c r="R901" s="351"/>
      <c r="S901" s="351"/>
      <c r="T901" s="351"/>
      <c r="U901" s="351"/>
      <c r="V901" s="351"/>
      <c r="W901" s="351"/>
      <c r="X901" s="359"/>
      <c r="Y901" s="359"/>
      <c r="Z901" s="359"/>
      <c r="AA901" s="351"/>
      <c r="AB901" s="351"/>
      <c r="AC901" s="359"/>
      <c r="AD901" s="359"/>
      <c r="AE901" s="351"/>
      <c r="AF901" s="333"/>
      <c r="AG901" s="333"/>
      <c r="AH901" s="351"/>
      <c r="AI901" s="351"/>
      <c r="AJ901" s="351"/>
      <c r="AK901" s="351"/>
      <c r="AL901" s="351"/>
      <c r="AM901" s="351"/>
      <c r="AN901" s="351"/>
      <c r="AO901" s="351"/>
      <c r="AP901" s="351"/>
      <c r="AQ901" s="351"/>
      <c r="AR901" s="351"/>
      <c r="AS901" s="351"/>
      <c r="AT901" s="351"/>
      <c r="AU901" s="351"/>
      <c r="AV901" s="351"/>
      <c r="AW901" s="351"/>
      <c r="AX901" s="351"/>
      <c r="AY901" s="351"/>
    </row>
    <row r="902" spans="1:51" ht="13">
      <c r="A902" s="333"/>
      <c r="B902" s="351"/>
      <c r="C902" s="351"/>
      <c r="D902" s="333"/>
      <c r="E902" s="333"/>
      <c r="F902" s="333"/>
      <c r="G902" s="359"/>
      <c r="H902" s="359"/>
      <c r="I902" s="351"/>
      <c r="J902" s="359"/>
      <c r="K902" s="359"/>
      <c r="L902" s="359"/>
      <c r="M902" s="351"/>
      <c r="N902" s="351"/>
      <c r="O902" s="351"/>
      <c r="P902" s="351"/>
      <c r="Q902" s="351"/>
      <c r="R902" s="351"/>
      <c r="S902" s="351"/>
      <c r="T902" s="351"/>
      <c r="U902" s="351"/>
      <c r="V902" s="351"/>
      <c r="W902" s="351"/>
      <c r="X902" s="359"/>
      <c r="Y902" s="359"/>
      <c r="Z902" s="359"/>
      <c r="AA902" s="351"/>
      <c r="AB902" s="351"/>
      <c r="AC902" s="359"/>
      <c r="AD902" s="359"/>
      <c r="AE902" s="351"/>
      <c r="AF902" s="333"/>
      <c r="AG902" s="333"/>
      <c r="AH902" s="351"/>
      <c r="AI902" s="351"/>
      <c r="AJ902" s="351"/>
      <c r="AK902" s="351"/>
      <c r="AL902" s="351"/>
      <c r="AM902" s="351"/>
      <c r="AN902" s="351"/>
      <c r="AO902" s="351"/>
      <c r="AP902" s="351"/>
      <c r="AQ902" s="351"/>
      <c r="AR902" s="351"/>
      <c r="AS902" s="351"/>
      <c r="AT902" s="351"/>
      <c r="AU902" s="351"/>
      <c r="AV902" s="351"/>
      <c r="AW902" s="351"/>
      <c r="AX902" s="351"/>
      <c r="AY902" s="351"/>
    </row>
    <row r="903" spans="1:51" ht="13">
      <c r="A903" s="333"/>
      <c r="B903" s="351"/>
      <c r="C903" s="351"/>
      <c r="D903" s="333"/>
      <c r="E903" s="333"/>
      <c r="F903" s="333"/>
      <c r="G903" s="359"/>
      <c r="H903" s="359"/>
      <c r="I903" s="351"/>
      <c r="J903" s="359"/>
      <c r="K903" s="359"/>
      <c r="L903" s="359"/>
      <c r="M903" s="351"/>
      <c r="N903" s="351"/>
      <c r="O903" s="351"/>
      <c r="P903" s="351"/>
      <c r="Q903" s="351"/>
      <c r="R903" s="351"/>
      <c r="S903" s="351"/>
      <c r="T903" s="351"/>
      <c r="U903" s="351"/>
      <c r="V903" s="351"/>
      <c r="W903" s="351"/>
      <c r="X903" s="359"/>
      <c r="Y903" s="359"/>
      <c r="Z903" s="359"/>
      <c r="AA903" s="351"/>
      <c r="AB903" s="351"/>
      <c r="AC903" s="359"/>
      <c r="AD903" s="359"/>
      <c r="AE903" s="351"/>
      <c r="AF903" s="333"/>
      <c r="AG903" s="333"/>
      <c r="AH903" s="351"/>
      <c r="AI903" s="351"/>
      <c r="AJ903" s="351"/>
      <c r="AK903" s="351"/>
      <c r="AL903" s="351"/>
      <c r="AM903" s="351"/>
      <c r="AN903" s="351"/>
      <c r="AO903" s="351"/>
      <c r="AP903" s="351"/>
      <c r="AQ903" s="351"/>
      <c r="AR903" s="351"/>
      <c r="AS903" s="351"/>
      <c r="AT903" s="351"/>
      <c r="AU903" s="351"/>
      <c r="AV903" s="351"/>
      <c r="AW903" s="351"/>
      <c r="AX903" s="351"/>
      <c r="AY903" s="351"/>
    </row>
    <row r="904" spans="1:51" ht="13">
      <c r="A904" s="333"/>
      <c r="B904" s="351"/>
      <c r="C904" s="351"/>
      <c r="D904" s="333"/>
      <c r="E904" s="333"/>
      <c r="F904" s="333"/>
      <c r="G904" s="359"/>
      <c r="H904" s="359"/>
      <c r="I904" s="351"/>
      <c r="J904" s="359"/>
      <c r="K904" s="359"/>
      <c r="L904" s="359"/>
      <c r="M904" s="351"/>
      <c r="N904" s="351"/>
      <c r="O904" s="351"/>
      <c r="P904" s="351"/>
      <c r="Q904" s="351"/>
      <c r="R904" s="351"/>
      <c r="S904" s="351"/>
      <c r="T904" s="351"/>
      <c r="U904" s="351"/>
      <c r="V904" s="351"/>
      <c r="W904" s="351"/>
      <c r="X904" s="359"/>
      <c r="Y904" s="359"/>
      <c r="Z904" s="359"/>
      <c r="AA904" s="351"/>
      <c r="AB904" s="351"/>
      <c r="AC904" s="359"/>
      <c r="AD904" s="359"/>
      <c r="AE904" s="351"/>
      <c r="AF904" s="333"/>
      <c r="AG904" s="333"/>
      <c r="AH904" s="351"/>
      <c r="AI904" s="351"/>
      <c r="AJ904" s="351"/>
      <c r="AK904" s="351"/>
      <c r="AL904" s="351"/>
      <c r="AM904" s="351"/>
      <c r="AN904" s="351"/>
      <c r="AO904" s="351"/>
      <c r="AP904" s="351"/>
      <c r="AQ904" s="351"/>
      <c r="AR904" s="351"/>
      <c r="AS904" s="351"/>
      <c r="AT904" s="351"/>
      <c r="AU904" s="351"/>
      <c r="AV904" s="351"/>
      <c r="AW904" s="351"/>
      <c r="AX904" s="351"/>
      <c r="AY904" s="351"/>
    </row>
    <row r="905" spans="1:51" ht="13">
      <c r="A905" s="333"/>
      <c r="B905" s="351"/>
      <c r="C905" s="351"/>
      <c r="D905" s="333"/>
      <c r="E905" s="333"/>
      <c r="F905" s="333"/>
      <c r="G905" s="359"/>
      <c r="H905" s="359"/>
      <c r="I905" s="351"/>
      <c r="J905" s="359"/>
      <c r="K905" s="359"/>
      <c r="L905" s="359"/>
      <c r="M905" s="351"/>
      <c r="N905" s="351"/>
      <c r="O905" s="351"/>
      <c r="P905" s="351"/>
      <c r="Q905" s="351"/>
      <c r="R905" s="351"/>
      <c r="S905" s="351"/>
      <c r="T905" s="351"/>
      <c r="U905" s="351"/>
      <c r="V905" s="351"/>
      <c r="W905" s="351"/>
      <c r="X905" s="359"/>
      <c r="Y905" s="359"/>
      <c r="Z905" s="359"/>
      <c r="AA905" s="351"/>
      <c r="AB905" s="351"/>
      <c r="AC905" s="359"/>
      <c r="AD905" s="359"/>
      <c r="AE905" s="351"/>
      <c r="AF905" s="333"/>
      <c r="AG905" s="333"/>
      <c r="AH905" s="351"/>
      <c r="AI905" s="351"/>
      <c r="AJ905" s="351"/>
      <c r="AK905" s="351"/>
      <c r="AL905" s="351"/>
      <c r="AM905" s="351"/>
      <c r="AN905" s="351"/>
      <c r="AO905" s="351"/>
      <c r="AP905" s="351"/>
      <c r="AQ905" s="351"/>
      <c r="AR905" s="351"/>
      <c r="AS905" s="351"/>
      <c r="AT905" s="351"/>
      <c r="AU905" s="351"/>
      <c r="AV905" s="351"/>
      <c r="AW905" s="351"/>
      <c r="AX905" s="351"/>
      <c r="AY905" s="351"/>
    </row>
    <row r="906" spans="1:51" ht="13">
      <c r="A906" s="333"/>
      <c r="B906" s="351"/>
      <c r="C906" s="351"/>
      <c r="D906" s="333"/>
      <c r="E906" s="333"/>
      <c r="F906" s="333"/>
      <c r="G906" s="359"/>
      <c r="H906" s="359"/>
      <c r="I906" s="351"/>
      <c r="J906" s="359"/>
      <c r="K906" s="359"/>
      <c r="L906" s="359"/>
      <c r="M906" s="351"/>
      <c r="N906" s="351"/>
      <c r="O906" s="351"/>
      <c r="P906" s="351"/>
      <c r="Q906" s="351"/>
      <c r="R906" s="351"/>
      <c r="S906" s="351"/>
      <c r="T906" s="351"/>
      <c r="U906" s="351"/>
      <c r="V906" s="351"/>
      <c r="W906" s="351"/>
      <c r="X906" s="359"/>
      <c r="Y906" s="359"/>
      <c r="Z906" s="359"/>
      <c r="AA906" s="351"/>
      <c r="AB906" s="351"/>
      <c r="AC906" s="359"/>
      <c r="AD906" s="359"/>
      <c r="AE906" s="351"/>
      <c r="AF906" s="333"/>
      <c r="AG906" s="333"/>
      <c r="AH906" s="351"/>
      <c r="AI906" s="351"/>
      <c r="AJ906" s="351"/>
      <c r="AK906" s="351"/>
      <c r="AL906" s="351"/>
      <c r="AM906" s="351"/>
      <c r="AN906" s="351"/>
      <c r="AO906" s="351"/>
      <c r="AP906" s="351"/>
      <c r="AQ906" s="351"/>
      <c r="AR906" s="351"/>
      <c r="AS906" s="351"/>
      <c r="AT906" s="351"/>
      <c r="AU906" s="351"/>
      <c r="AV906" s="351"/>
      <c r="AW906" s="351"/>
      <c r="AX906" s="351"/>
      <c r="AY906" s="351"/>
    </row>
    <row r="907" spans="1:51" ht="13">
      <c r="A907" s="333"/>
      <c r="B907" s="351"/>
      <c r="C907" s="351"/>
      <c r="D907" s="333"/>
      <c r="E907" s="333"/>
      <c r="F907" s="333"/>
      <c r="G907" s="359"/>
      <c r="H907" s="359"/>
      <c r="I907" s="351"/>
      <c r="J907" s="359"/>
      <c r="K907" s="359"/>
      <c r="L907" s="359"/>
      <c r="M907" s="351"/>
      <c r="N907" s="351"/>
      <c r="O907" s="351"/>
      <c r="P907" s="351"/>
      <c r="Q907" s="351"/>
      <c r="R907" s="351"/>
      <c r="S907" s="351"/>
      <c r="T907" s="351"/>
      <c r="U907" s="351"/>
      <c r="V907" s="351"/>
      <c r="W907" s="351"/>
      <c r="X907" s="359"/>
      <c r="Y907" s="359"/>
      <c r="Z907" s="359"/>
      <c r="AA907" s="351"/>
      <c r="AB907" s="351"/>
      <c r="AC907" s="359"/>
      <c r="AD907" s="359"/>
      <c r="AE907" s="351"/>
      <c r="AF907" s="333"/>
      <c r="AG907" s="333"/>
      <c r="AH907" s="351"/>
      <c r="AI907" s="351"/>
      <c r="AJ907" s="351"/>
      <c r="AK907" s="351"/>
      <c r="AL907" s="351"/>
      <c r="AM907" s="351"/>
      <c r="AN907" s="351"/>
      <c r="AO907" s="351"/>
      <c r="AP907" s="351"/>
      <c r="AQ907" s="351"/>
      <c r="AR907" s="351"/>
      <c r="AS907" s="351"/>
      <c r="AT907" s="351"/>
      <c r="AU907" s="351"/>
      <c r="AV907" s="351"/>
      <c r="AW907" s="351"/>
      <c r="AX907" s="351"/>
      <c r="AY907" s="351"/>
    </row>
    <row r="908" spans="1:51" ht="13">
      <c r="A908" s="333"/>
      <c r="B908" s="351"/>
      <c r="C908" s="351"/>
      <c r="D908" s="333"/>
      <c r="E908" s="333"/>
      <c r="F908" s="333"/>
      <c r="G908" s="359"/>
      <c r="H908" s="359"/>
      <c r="I908" s="351"/>
      <c r="J908" s="359"/>
      <c r="K908" s="359"/>
      <c r="L908" s="359"/>
      <c r="M908" s="351"/>
      <c r="N908" s="351"/>
      <c r="O908" s="351"/>
      <c r="P908" s="351"/>
      <c r="Q908" s="351"/>
      <c r="R908" s="351"/>
      <c r="S908" s="351"/>
      <c r="T908" s="351"/>
      <c r="U908" s="351"/>
      <c r="V908" s="351"/>
      <c r="W908" s="351"/>
      <c r="X908" s="359"/>
      <c r="Y908" s="359"/>
      <c r="Z908" s="359"/>
      <c r="AA908" s="351"/>
      <c r="AB908" s="351"/>
      <c r="AC908" s="359"/>
      <c r="AD908" s="359"/>
      <c r="AE908" s="351"/>
      <c r="AF908" s="333"/>
      <c r="AG908" s="333"/>
      <c r="AH908" s="351"/>
      <c r="AI908" s="351"/>
      <c r="AJ908" s="351"/>
      <c r="AK908" s="351"/>
      <c r="AL908" s="351"/>
      <c r="AM908" s="351"/>
      <c r="AN908" s="351"/>
      <c r="AO908" s="351"/>
      <c r="AP908" s="351"/>
      <c r="AQ908" s="351"/>
      <c r="AR908" s="351"/>
      <c r="AS908" s="351"/>
      <c r="AT908" s="351"/>
      <c r="AU908" s="351"/>
      <c r="AV908" s="351"/>
      <c r="AW908" s="351"/>
      <c r="AX908" s="351"/>
      <c r="AY908" s="351"/>
    </row>
    <row r="909" spans="1:51" ht="13">
      <c r="A909" s="333"/>
      <c r="B909" s="351"/>
      <c r="C909" s="351"/>
      <c r="D909" s="333"/>
      <c r="E909" s="333"/>
      <c r="F909" s="333"/>
      <c r="G909" s="359"/>
      <c r="H909" s="359"/>
      <c r="I909" s="351"/>
      <c r="J909" s="359"/>
      <c r="K909" s="359"/>
      <c r="L909" s="359"/>
      <c r="M909" s="351"/>
      <c r="N909" s="351"/>
      <c r="O909" s="351"/>
      <c r="P909" s="351"/>
      <c r="Q909" s="351"/>
      <c r="R909" s="351"/>
      <c r="S909" s="351"/>
      <c r="T909" s="351"/>
      <c r="U909" s="351"/>
      <c r="V909" s="351"/>
      <c r="W909" s="351"/>
      <c r="X909" s="359"/>
      <c r="Y909" s="359"/>
      <c r="Z909" s="359"/>
      <c r="AA909" s="351"/>
      <c r="AB909" s="351"/>
      <c r="AC909" s="359"/>
      <c r="AD909" s="359"/>
      <c r="AE909" s="351"/>
      <c r="AF909" s="333"/>
      <c r="AG909" s="333"/>
      <c r="AH909" s="351"/>
      <c r="AI909" s="351"/>
      <c r="AJ909" s="351"/>
      <c r="AK909" s="351"/>
      <c r="AL909" s="351"/>
      <c r="AM909" s="351"/>
      <c r="AN909" s="351"/>
      <c r="AO909" s="351"/>
      <c r="AP909" s="351"/>
      <c r="AQ909" s="351"/>
      <c r="AR909" s="351"/>
      <c r="AS909" s="351"/>
      <c r="AT909" s="351"/>
      <c r="AU909" s="351"/>
      <c r="AV909" s="351"/>
      <c r="AW909" s="351"/>
      <c r="AX909" s="351"/>
      <c r="AY909" s="351"/>
    </row>
    <row r="910" spans="1:51" ht="13">
      <c r="A910" s="333"/>
      <c r="B910" s="351"/>
      <c r="C910" s="351"/>
      <c r="D910" s="333"/>
      <c r="E910" s="333"/>
      <c r="F910" s="333"/>
      <c r="G910" s="359"/>
      <c r="H910" s="359"/>
      <c r="I910" s="351"/>
      <c r="J910" s="359"/>
      <c r="K910" s="359"/>
      <c r="L910" s="359"/>
      <c r="M910" s="351"/>
      <c r="N910" s="351"/>
      <c r="O910" s="351"/>
      <c r="P910" s="351"/>
      <c r="Q910" s="351"/>
      <c r="R910" s="351"/>
      <c r="S910" s="351"/>
      <c r="T910" s="351"/>
      <c r="U910" s="351"/>
      <c r="V910" s="351"/>
      <c r="W910" s="351"/>
      <c r="X910" s="359"/>
      <c r="Y910" s="359"/>
      <c r="Z910" s="359"/>
      <c r="AA910" s="351"/>
      <c r="AB910" s="351"/>
      <c r="AC910" s="359"/>
      <c r="AD910" s="359"/>
      <c r="AE910" s="351"/>
      <c r="AF910" s="333"/>
      <c r="AG910" s="333"/>
      <c r="AH910" s="351"/>
      <c r="AI910" s="351"/>
      <c r="AJ910" s="351"/>
      <c r="AK910" s="351"/>
      <c r="AL910" s="351"/>
      <c r="AM910" s="351"/>
      <c r="AN910" s="351"/>
      <c r="AO910" s="351"/>
      <c r="AP910" s="351"/>
      <c r="AQ910" s="351"/>
      <c r="AR910" s="351"/>
      <c r="AS910" s="351"/>
      <c r="AT910" s="351"/>
      <c r="AU910" s="351"/>
      <c r="AV910" s="351"/>
      <c r="AW910" s="351"/>
      <c r="AX910" s="351"/>
      <c r="AY910" s="351"/>
    </row>
    <row r="911" spans="1:51" ht="13">
      <c r="A911" s="333"/>
      <c r="B911" s="351"/>
      <c r="C911" s="351"/>
      <c r="D911" s="333"/>
      <c r="E911" s="333"/>
      <c r="F911" s="333"/>
      <c r="G911" s="359"/>
      <c r="H911" s="359"/>
      <c r="I911" s="351"/>
      <c r="J911" s="359"/>
      <c r="K911" s="359"/>
      <c r="L911" s="359"/>
      <c r="M911" s="351"/>
      <c r="N911" s="351"/>
      <c r="O911" s="351"/>
      <c r="P911" s="351"/>
      <c r="Q911" s="351"/>
      <c r="R911" s="351"/>
      <c r="S911" s="351"/>
      <c r="T911" s="351"/>
      <c r="U911" s="351"/>
      <c r="V911" s="351"/>
      <c r="W911" s="351"/>
      <c r="X911" s="359"/>
      <c r="Y911" s="359"/>
      <c r="Z911" s="359"/>
      <c r="AA911" s="351"/>
      <c r="AB911" s="351"/>
      <c r="AC911" s="359"/>
      <c r="AD911" s="359"/>
      <c r="AE911" s="351"/>
      <c r="AF911" s="333"/>
      <c r="AG911" s="333"/>
      <c r="AH911" s="351"/>
      <c r="AI911" s="351"/>
      <c r="AJ911" s="351"/>
      <c r="AK911" s="351"/>
      <c r="AL911" s="351"/>
      <c r="AM911" s="351"/>
      <c r="AN911" s="351"/>
      <c r="AO911" s="351"/>
      <c r="AP911" s="351"/>
      <c r="AQ911" s="351"/>
      <c r="AR911" s="351"/>
      <c r="AS911" s="351"/>
      <c r="AT911" s="351"/>
      <c r="AU911" s="351"/>
      <c r="AV911" s="351"/>
      <c r="AW911" s="351"/>
      <c r="AX911" s="351"/>
      <c r="AY911" s="351"/>
    </row>
    <row r="912" spans="1:51" ht="13">
      <c r="A912" s="333"/>
      <c r="B912" s="351"/>
      <c r="C912" s="351"/>
      <c r="D912" s="333"/>
      <c r="E912" s="333"/>
      <c r="F912" s="333"/>
      <c r="G912" s="359"/>
      <c r="H912" s="359"/>
      <c r="I912" s="351"/>
      <c r="J912" s="359"/>
      <c r="K912" s="359"/>
      <c r="L912" s="359"/>
      <c r="M912" s="351"/>
      <c r="N912" s="351"/>
      <c r="O912" s="351"/>
      <c r="P912" s="351"/>
      <c r="Q912" s="351"/>
      <c r="R912" s="351"/>
      <c r="S912" s="351"/>
      <c r="T912" s="351"/>
      <c r="U912" s="351"/>
      <c r="V912" s="351"/>
      <c r="W912" s="351"/>
      <c r="X912" s="359"/>
      <c r="Y912" s="359"/>
      <c r="Z912" s="359"/>
      <c r="AA912" s="351"/>
      <c r="AB912" s="351"/>
      <c r="AC912" s="359"/>
      <c r="AD912" s="359"/>
      <c r="AE912" s="351"/>
      <c r="AF912" s="333"/>
      <c r="AG912" s="333"/>
      <c r="AH912" s="351"/>
      <c r="AI912" s="351"/>
      <c r="AJ912" s="351"/>
      <c r="AK912" s="351"/>
      <c r="AL912" s="351"/>
      <c r="AM912" s="351"/>
      <c r="AN912" s="351"/>
      <c r="AO912" s="351"/>
      <c r="AP912" s="351"/>
      <c r="AQ912" s="351"/>
      <c r="AR912" s="351"/>
      <c r="AS912" s="351"/>
      <c r="AT912" s="351"/>
      <c r="AU912" s="351"/>
      <c r="AV912" s="351"/>
      <c r="AW912" s="351"/>
      <c r="AX912" s="351"/>
      <c r="AY912" s="351"/>
    </row>
    <row r="913" spans="1:51" ht="13">
      <c r="A913" s="333"/>
      <c r="B913" s="351"/>
      <c r="C913" s="351"/>
      <c r="D913" s="333"/>
      <c r="E913" s="333"/>
      <c r="F913" s="333"/>
      <c r="G913" s="359"/>
      <c r="H913" s="359"/>
      <c r="I913" s="351"/>
      <c r="J913" s="359"/>
      <c r="K913" s="359"/>
      <c r="L913" s="359"/>
      <c r="M913" s="351"/>
      <c r="N913" s="351"/>
      <c r="O913" s="351"/>
      <c r="P913" s="351"/>
      <c r="Q913" s="351"/>
      <c r="R913" s="351"/>
      <c r="S913" s="351"/>
      <c r="T913" s="351"/>
      <c r="U913" s="351"/>
      <c r="V913" s="351"/>
      <c r="W913" s="351"/>
      <c r="X913" s="359"/>
      <c r="Y913" s="359"/>
      <c r="Z913" s="359"/>
      <c r="AA913" s="351"/>
      <c r="AB913" s="351"/>
      <c r="AC913" s="359"/>
      <c r="AD913" s="359"/>
      <c r="AE913" s="351"/>
      <c r="AF913" s="333"/>
      <c r="AG913" s="333"/>
      <c r="AH913" s="351"/>
      <c r="AI913" s="351"/>
      <c r="AJ913" s="351"/>
      <c r="AK913" s="351"/>
      <c r="AL913" s="351"/>
      <c r="AM913" s="351"/>
      <c r="AN913" s="351"/>
      <c r="AO913" s="351"/>
      <c r="AP913" s="351"/>
      <c r="AQ913" s="351"/>
      <c r="AR913" s="351"/>
      <c r="AS913" s="351"/>
      <c r="AT913" s="351"/>
      <c r="AU913" s="351"/>
      <c r="AV913" s="351"/>
      <c r="AW913" s="351"/>
      <c r="AX913" s="351"/>
      <c r="AY913" s="351"/>
    </row>
    <row r="914" spans="1:51" ht="13">
      <c r="A914" s="333"/>
      <c r="B914" s="351"/>
      <c r="C914" s="351"/>
      <c r="D914" s="333"/>
      <c r="E914" s="333"/>
      <c r="F914" s="333"/>
      <c r="G914" s="359"/>
      <c r="H914" s="359"/>
      <c r="I914" s="351"/>
      <c r="J914" s="359"/>
      <c r="K914" s="359"/>
      <c r="L914" s="359"/>
      <c r="M914" s="351"/>
      <c r="N914" s="351"/>
      <c r="O914" s="351"/>
      <c r="P914" s="351"/>
      <c r="Q914" s="351"/>
      <c r="R914" s="351"/>
      <c r="S914" s="351"/>
      <c r="T914" s="351"/>
      <c r="U914" s="351"/>
      <c r="V914" s="351"/>
      <c r="W914" s="351"/>
      <c r="X914" s="359"/>
      <c r="Y914" s="359"/>
      <c r="Z914" s="359"/>
      <c r="AA914" s="351"/>
      <c r="AB914" s="351"/>
      <c r="AC914" s="359"/>
      <c r="AD914" s="359"/>
      <c r="AE914" s="351"/>
      <c r="AF914" s="333"/>
      <c r="AG914" s="333"/>
      <c r="AH914" s="351"/>
      <c r="AI914" s="351"/>
      <c r="AJ914" s="351"/>
      <c r="AK914" s="351"/>
      <c r="AL914" s="351"/>
      <c r="AM914" s="351"/>
      <c r="AN914" s="351"/>
      <c r="AO914" s="351"/>
      <c r="AP914" s="351"/>
      <c r="AQ914" s="351"/>
      <c r="AR914" s="351"/>
      <c r="AS914" s="351"/>
      <c r="AT914" s="351"/>
      <c r="AU914" s="351"/>
      <c r="AV914" s="351"/>
      <c r="AW914" s="351"/>
      <c r="AX914" s="351"/>
      <c r="AY914" s="351"/>
    </row>
    <row r="915" spans="1:51" ht="13">
      <c r="A915" s="333"/>
      <c r="B915" s="351"/>
      <c r="C915" s="351"/>
      <c r="D915" s="333"/>
      <c r="E915" s="333"/>
      <c r="F915" s="333"/>
      <c r="G915" s="359"/>
      <c r="H915" s="359"/>
      <c r="I915" s="351"/>
      <c r="J915" s="359"/>
      <c r="K915" s="359"/>
      <c r="L915" s="359"/>
      <c r="M915" s="351"/>
      <c r="N915" s="351"/>
      <c r="O915" s="351"/>
      <c r="P915" s="351"/>
      <c r="Q915" s="351"/>
      <c r="R915" s="351"/>
      <c r="S915" s="351"/>
      <c r="T915" s="351"/>
      <c r="U915" s="351"/>
      <c r="V915" s="351"/>
      <c r="W915" s="351"/>
      <c r="X915" s="359"/>
      <c r="Y915" s="359"/>
      <c r="Z915" s="359"/>
      <c r="AA915" s="351"/>
      <c r="AB915" s="351"/>
      <c r="AC915" s="359"/>
      <c r="AD915" s="359"/>
      <c r="AE915" s="351"/>
      <c r="AF915" s="333"/>
      <c r="AG915" s="333"/>
      <c r="AH915" s="351"/>
      <c r="AI915" s="351"/>
      <c r="AJ915" s="351"/>
      <c r="AK915" s="351"/>
      <c r="AL915" s="351"/>
      <c r="AM915" s="351"/>
      <c r="AN915" s="351"/>
      <c r="AO915" s="351"/>
      <c r="AP915" s="351"/>
      <c r="AQ915" s="351"/>
      <c r="AR915" s="351"/>
      <c r="AS915" s="351"/>
      <c r="AT915" s="351"/>
      <c r="AU915" s="351"/>
      <c r="AV915" s="351"/>
      <c r="AW915" s="351"/>
      <c r="AX915" s="351"/>
      <c r="AY915" s="351"/>
    </row>
    <row r="916" spans="1:51" ht="13">
      <c r="A916" s="333"/>
      <c r="B916" s="351"/>
      <c r="C916" s="351"/>
      <c r="D916" s="333"/>
      <c r="E916" s="333"/>
      <c r="F916" s="333"/>
      <c r="G916" s="359"/>
      <c r="H916" s="359"/>
      <c r="I916" s="351"/>
      <c r="J916" s="359"/>
      <c r="K916" s="359"/>
      <c r="L916" s="359"/>
      <c r="M916" s="351"/>
      <c r="N916" s="351"/>
      <c r="O916" s="351"/>
      <c r="P916" s="351"/>
      <c r="Q916" s="351"/>
      <c r="R916" s="351"/>
      <c r="S916" s="351"/>
      <c r="T916" s="351"/>
      <c r="U916" s="351"/>
      <c r="V916" s="351"/>
      <c r="W916" s="351"/>
      <c r="X916" s="359"/>
      <c r="Y916" s="359"/>
      <c r="Z916" s="359"/>
      <c r="AA916" s="351"/>
      <c r="AB916" s="351"/>
      <c r="AC916" s="359"/>
      <c r="AD916" s="359"/>
      <c r="AE916" s="351"/>
      <c r="AF916" s="333"/>
      <c r="AG916" s="333"/>
      <c r="AH916" s="351"/>
      <c r="AI916" s="351"/>
      <c r="AJ916" s="351"/>
      <c r="AK916" s="351"/>
      <c r="AL916" s="351"/>
      <c r="AM916" s="351"/>
      <c r="AN916" s="351"/>
      <c r="AO916" s="351"/>
      <c r="AP916" s="351"/>
      <c r="AQ916" s="351"/>
      <c r="AR916" s="351"/>
      <c r="AS916" s="351"/>
      <c r="AT916" s="351"/>
      <c r="AU916" s="351"/>
      <c r="AV916" s="351"/>
      <c r="AW916" s="351"/>
      <c r="AX916" s="351"/>
      <c r="AY916" s="351"/>
    </row>
    <row r="917" spans="1:51" ht="13">
      <c r="A917" s="333"/>
      <c r="B917" s="351"/>
      <c r="C917" s="351"/>
      <c r="D917" s="333"/>
      <c r="E917" s="333"/>
      <c r="F917" s="333"/>
      <c r="G917" s="359"/>
      <c r="H917" s="359"/>
      <c r="I917" s="351"/>
      <c r="J917" s="359"/>
      <c r="K917" s="359"/>
      <c r="L917" s="359"/>
      <c r="M917" s="351"/>
      <c r="N917" s="351"/>
      <c r="O917" s="351"/>
      <c r="P917" s="351"/>
      <c r="Q917" s="351"/>
      <c r="R917" s="351"/>
      <c r="S917" s="351"/>
      <c r="T917" s="351"/>
      <c r="U917" s="351"/>
      <c r="V917" s="351"/>
      <c r="W917" s="351"/>
      <c r="X917" s="359"/>
      <c r="Y917" s="359"/>
      <c r="Z917" s="359"/>
      <c r="AA917" s="351"/>
      <c r="AB917" s="351"/>
      <c r="AC917" s="359"/>
      <c r="AD917" s="359"/>
      <c r="AE917" s="351"/>
      <c r="AF917" s="333"/>
      <c r="AG917" s="333"/>
      <c r="AH917" s="351"/>
      <c r="AI917" s="351"/>
      <c r="AJ917" s="351"/>
      <c r="AK917" s="351"/>
      <c r="AL917" s="351"/>
      <c r="AM917" s="351"/>
      <c r="AN917" s="351"/>
      <c r="AO917" s="351"/>
      <c r="AP917" s="351"/>
      <c r="AQ917" s="351"/>
      <c r="AR917" s="351"/>
      <c r="AS917" s="351"/>
      <c r="AT917" s="351"/>
      <c r="AU917" s="351"/>
      <c r="AV917" s="351"/>
      <c r="AW917" s="351"/>
      <c r="AX917" s="351"/>
      <c r="AY917" s="351"/>
    </row>
    <row r="918" spans="1:51" ht="13">
      <c r="A918" s="333"/>
      <c r="B918" s="351"/>
      <c r="C918" s="351"/>
      <c r="D918" s="333"/>
      <c r="E918" s="333"/>
      <c r="F918" s="333"/>
      <c r="G918" s="359"/>
      <c r="H918" s="359"/>
      <c r="I918" s="351"/>
      <c r="J918" s="359"/>
      <c r="K918" s="359"/>
      <c r="L918" s="359"/>
      <c r="M918" s="351"/>
      <c r="N918" s="351"/>
      <c r="O918" s="351"/>
      <c r="P918" s="351"/>
      <c r="Q918" s="351"/>
      <c r="R918" s="351"/>
      <c r="S918" s="351"/>
      <c r="T918" s="351"/>
      <c r="U918" s="351"/>
      <c r="V918" s="351"/>
      <c r="W918" s="351"/>
      <c r="X918" s="359"/>
      <c r="Y918" s="359"/>
      <c r="Z918" s="359"/>
      <c r="AA918" s="351"/>
      <c r="AB918" s="351"/>
      <c r="AC918" s="359"/>
      <c r="AD918" s="359"/>
      <c r="AE918" s="351"/>
      <c r="AF918" s="333"/>
      <c r="AG918" s="333"/>
      <c r="AH918" s="351"/>
      <c r="AI918" s="351"/>
      <c r="AJ918" s="351"/>
      <c r="AK918" s="351"/>
      <c r="AL918" s="351"/>
      <c r="AM918" s="351"/>
      <c r="AN918" s="351"/>
      <c r="AO918" s="351"/>
      <c r="AP918" s="351"/>
      <c r="AQ918" s="351"/>
      <c r="AR918" s="351"/>
      <c r="AS918" s="351"/>
      <c r="AT918" s="351"/>
      <c r="AU918" s="351"/>
      <c r="AV918" s="351"/>
      <c r="AW918" s="351"/>
      <c r="AX918" s="351"/>
      <c r="AY918" s="351"/>
    </row>
    <row r="919" spans="1:51" ht="13">
      <c r="A919" s="333"/>
      <c r="B919" s="351"/>
      <c r="C919" s="351"/>
      <c r="D919" s="333"/>
      <c r="E919" s="333"/>
      <c r="F919" s="333"/>
      <c r="G919" s="359"/>
      <c r="H919" s="359"/>
      <c r="I919" s="351"/>
      <c r="J919" s="359"/>
      <c r="K919" s="359"/>
      <c r="L919" s="359"/>
      <c r="M919" s="351"/>
      <c r="N919" s="351"/>
      <c r="O919" s="351"/>
      <c r="P919" s="351"/>
      <c r="Q919" s="351"/>
      <c r="R919" s="351"/>
      <c r="S919" s="351"/>
      <c r="T919" s="351"/>
      <c r="U919" s="351"/>
      <c r="V919" s="351"/>
      <c r="W919" s="351"/>
      <c r="X919" s="359"/>
      <c r="Y919" s="359"/>
      <c r="Z919" s="359"/>
      <c r="AA919" s="351"/>
      <c r="AB919" s="351"/>
      <c r="AC919" s="359"/>
      <c r="AD919" s="359"/>
      <c r="AE919" s="351"/>
      <c r="AF919" s="333"/>
      <c r="AG919" s="333"/>
      <c r="AH919" s="351"/>
      <c r="AI919" s="351"/>
      <c r="AJ919" s="351"/>
      <c r="AK919" s="351"/>
      <c r="AL919" s="351"/>
      <c r="AM919" s="351"/>
      <c r="AN919" s="351"/>
      <c r="AO919" s="351"/>
      <c r="AP919" s="351"/>
      <c r="AQ919" s="351"/>
      <c r="AR919" s="351"/>
      <c r="AS919" s="351"/>
      <c r="AT919" s="351"/>
      <c r="AU919" s="351"/>
      <c r="AV919" s="351"/>
      <c r="AW919" s="351"/>
      <c r="AX919" s="351"/>
      <c r="AY919" s="351"/>
    </row>
    <row r="920" spans="1:51" ht="13">
      <c r="A920" s="333"/>
      <c r="B920" s="351"/>
      <c r="C920" s="351"/>
      <c r="D920" s="333"/>
      <c r="E920" s="333"/>
      <c r="F920" s="333"/>
      <c r="G920" s="359"/>
      <c r="H920" s="359"/>
      <c r="I920" s="351"/>
      <c r="J920" s="359"/>
      <c r="K920" s="359"/>
      <c r="L920" s="359"/>
      <c r="M920" s="351"/>
      <c r="N920" s="351"/>
      <c r="O920" s="351"/>
      <c r="P920" s="351"/>
      <c r="Q920" s="351"/>
      <c r="R920" s="351"/>
      <c r="S920" s="351"/>
      <c r="T920" s="351"/>
      <c r="U920" s="351"/>
      <c r="V920" s="351"/>
      <c r="W920" s="351"/>
      <c r="X920" s="359"/>
      <c r="Y920" s="359"/>
      <c r="Z920" s="359"/>
      <c r="AA920" s="351"/>
      <c r="AB920" s="351"/>
      <c r="AC920" s="359"/>
      <c r="AD920" s="359"/>
      <c r="AE920" s="351"/>
      <c r="AF920" s="333"/>
      <c r="AG920" s="333"/>
      <c r="AH920" s="351"/>
      <c r="AI920" s="351"/>
      <c r="AJ920" s="351"/>
      <c r="AK920" s="351"/>
      <c r="AL920" s="351"/>
      <c r="AM920" s="351"/>
      <c r="AN920" s="351"/>
      <c r="AO920" s="351"/>
      <c r="AP920" s="351"/>
      <c r="AQ920" s="351"/>
      <c r="AR920" s="351"/>
      <c r="AS920" s="351"/>
      <c r="AT920" s="351"/>
      <c r="AU920" s="351"/>
      <c r="AV920" s="351"/>
      <c r="AW920" s="351"/>
      <c r="AX920" s="351"/>
      <c r="AY920" s="351"/>
    </row>
    <row r="921" spans="1:51" ht="13">
      <c r="A921" s="333"/>
      <c r="B921" s="351"/>
      <c r="C921" s="351"/>
      <c r="D921" s="333"/>
      <c r="E921" s="333"/>
      <c r="F921" s="333"/>
      <c r="G921" s="359"/>
      <c r="H921" s="359"/>
      <c r="I921" s="351"/>
      <c r="J921" s="359"/>
      <c r="K921" s="359"/>
      <c r="L921" s="359"/>
      <c r="M921" s="351"/>
      <c r="N921" s="351"/>
      <c r="O921" s="351"/>
      <c r="P921" s="351"/>
      <c r="Q921" s="351"/>
      <c r="R921" s="351"/>
      <c r="S921" s="351"/>
      <c r="T921" s="351"/>
      <c r="U921" s="351"/>
      <c r="V921" s="351"/>
      <c r="W921" s="351"/>
      <c r="X921" s="359"/>
      <c r="Y921" s="359"/>
      <c r="Z921" s="359"/>
      <c r="AA921" s="351"/>
      <c r="AB921" s="351"/>
      <c r="AC921" s="359"/>
      <c r="AD921" s="359"/>
      <c r="AE921" s="351"/>
      <c r="AF921" s="333"/>
      <c r="AG921" s="333"/>
      <c r="AH921" s="351"/>
      <c r="AI921" s="351"/>
      <c r="AJ921" s="351"/>
      <c r="AK921" s="351"/>
      <c r="AL921" s="351"/>
      <c r="AM921" s="351"/>
      <c r="AN921" s="351"/>
      <c r="AO921" s="351"/>
      <c r="AP921" s="351"/>
      <c r="AQ921" s="351"/>
      <c r="AR921" s="351"/>
      <c r="AS921" s="351"/>
      <c r="AT921" s="351"/>
      <c r="AU921" s="351"/>
      <c r="AV921" s="351"/>
      <c r="AW921" s="351"/>
      <c r="AX921" s="351"/>
      <c r="AY921" s="351"/>
    </row>
    <row r="922" spans="1:51" ht="13">
      <c r="A922" s="333"/>
      <c r="B922" s="351"/>
      <c r="C922" s="351"/>
      <c r="D922" s="333"/>
      <c r="E922" s="333"/>
      <c r="F922" s="333"/>
      <c r="G922" s="359"/>
      <c r="H922" s="359"/>
      <c r="I922" s="351"/>
      <c r="J922" s="359"/>
      <c r="K922" s="359"/>
      <c r="L922" s="359"/>
      <c r="M922" s="351"/>
      <c r="N922" s="351"/>
      <c r="O922" s="351"/>
      <c r="P922" s="351"/>
      <c r="Q922" s="351"/>
      <c r="R922" s="351"/>
      <c r="S922" s="351"/>
      <c r="T922" s="351"/>
      <c r="U922" s="351"/>
      <c r="V922" s="351"/>
      <c r="W922" s="351"/>
      <c r="X922" s="359"/>
      <c r="Y922" s="359"/>
      <c r="Z922" s="359"/>
      <c r="AA922" s="351"/>
      <c r="AB922" s="351"/>
      <c r="AC922" s="359"/>
      <c r="AD922" s="359"/>
      <c r="AE922" s="351"/>
      <c r="AF922" s="333"/>
      <c r="AG922" s="333"/>
      <c r="AH922" s="351"/>
      <c r="AI922" s="351"/>
      <c r="AJ922" s="351"/>
      <c r="AK922" s="351"/>
      <c r="AL922" s="351"/>
      <c r="AM922" s="351"/>
      <c r="AN922" s="351"/>
      <c r="AO922" s="351"/>
      <c r="AP922" s="351"/>
      <c r="AQ922" s="351"/>
      <c r="AR922" s="351"/>
      <c r="AS922" s="351"/>
      <c r="AT922" s="351"/>
      <c r="AU922" s="351"/>
      <c r="AV922" s="351"/>
      <c r="AW922" s="351"/>
      <c r="AX922" s="351"/>
      <c r="AY922" s="351"/>
    </row>
    <row r="923" spans="1:51" ht="13">
      <c r="A923" s="333"/>
      <c r="B923" s="351"/>
      <c r="C923" s="351"/>
      <c r="D923" s="333"/>
      <c r="E923" s="333"/>
      <c r="F923" s="333"/>
      <c r="G923" s="359"/>
      <c r="H923" s="359"/>
      <c r="I923" s="351"/>
      <c r="J923" s="359"/>
      <c r="K923" s="359"/>
      <c r="L923" s="359"/>
      <c r="M923" s="351"/>
      <c r="N923" s="351"/>
      <c r="O923" s="351"/>
      <c r="P923" s="351"/>
      <c r="Q923" s="351"/>
      <c r="R923" s="351"/>
      <c r="S923" s="351"/>
      <c r="T923" s="351"/>
      <c r="U923" s="351"/>
      <c r="V923" s="351"/>
      <c r="W923" s="351"/>
      <c r="X923" s="359"/>
      <c r="Y923" s="359"/>
      <c r="Z923" s="359"/>
      <c r="AA923" s="351"/>
      <c r="AB923" s="351"/>
      <c r="AC923" s="359"/>
      <c r="AD923" s="359"/>
      <c r="AE923" s="351"/>
      <c r="AF923" s="333"/>
      <c r="AG923" s="333"/>
      <c r="AH923" s="351"/>
      <c r="AI923" s="351"/>
      <c r="AJ923" s="351"/>
      <c r="AK923" s="351"/>
      <c r="AL923" s="351"/>
      <c r="AM923" s="351"/>
      <c r="AN923" s="351"/>
      <c r="AO923" s="351"/>
      <c r="AP923" s="351"/>
      <c r="AQ923" s="351"/>
      <c r="AR923" s="351"/>
      <c r="AS923" s="351"/>
      <c r="AT923" s="351"/>
      <c r="AU923" s="351"/>
      <c r="AV923" s="351"/>
      <c r="AW923" s="351"/>
      <c r="AX923" s="351"/>
      <c r="AY923" s="351"/>
    </row>
    <row r="924" spans="1:51" ht="13">
      <c r="A924" s="333"/>
      <c r="B924" s="351"/>
      <c r="C924" s="351"/>
      <c r="D924" s="333"/>
      <c r="E924" s="333"/>
      <c r="F924" s="333"/>
      <c r="G924" s="359"/>
      <c r="H924" s="359"/>
      <c r="I924" s="351"/>
      <c r="J924" s="359"/>
      <c r="K924" s="359"/>
      <c r="L924" s="359"/>
      <c r="M924" s="351"/>
      <c r="N924" s="351"/>
      <c r="O924" s="351"/>
      <c r="P924" s="351"/>
      <c r="Q924" s="351"/>
      <c r="R924" s="351"/>
      <c r="S924" s="351"/>
      <c r="T924" s="351"/>
      <c r="U924" s="351"/>
      <c r="V924" s="351"/>
      <c r="W924" s="351"/>
      <c r="X924" s="359"/>
      <c r="Y924" s="359"/>
      <c r="Z924" s="359"/>
      <c r="AA924" s="351"/>
      <c r="AB924" s="351"/>
      <c r="AC924" s="359"/>
      <c r="AD924" s="359"/>
      <c r="AE924" s="351"/>
      <c r="AF924" s="333"/>
      <c r="AG924" s="333"/>
      <c r="AH924" s="351"/>
      <c r="AI924" s="351"/>
      <c r="AJ924" s="351"/>
      <c r="AK924" s="351"/>
      <c r="AL924" s="351"/>
      <c r="AM924" s="351"/>
      <c r="AN924" s="351"/>
      <c r="AO924" s="351"/>
      <c r="AP924" s="351"/>
      <c r="AQ924" s="351"/>
      <c r="AR924" s="351"/>
      <c r="AS924" s="351"/>
      <c r="AT924" s="351"/>
      <c r="AU924" s="351"/>
      <c r="AV924" s="351"/>
      <c r="AW924" s="351"/>
      <c r="AX924" s="351"/>
      <c r="AY924" s="351"/>
    </row>
    <row r="925" spans="1:51" ht="13">
      <c r="A925" s="333"/>
      <c r="B925" s="351"/>
      <c r="C925" s="351"/>
      <c r="D925" s="333"/>
      <c r="E925" s="333"/>
      <c r="F925" s="333"/>
      <c r="G925" s="359"/>
      <c r="H925" s="359"/>
      <c r="I925" s="351"/>
      <c r="J925" s="359"/>
      <c r="K925" s="359"/>
      <c r="L925" s="359"/>
      <c r="M925" s="351"/>
      <c r="N925" s="351"/>
      <c r="O925" s="351"/>
      <c r="P925" s="351"/>
      <c r="Q925" s="351"/>
      <c r="R925" s="351"/>
      <c r="S925" s="351"/>
      <c r="T925" s="351"/>
      <c r="U925" s="351"/>
      <c r="V925" s="351"/>
      <c r="W925" s="351"/>
      <c r="X925" s="359"/>
      <c r="Y925" s="359"/>
      <c r="Z925" s="359"/>
      <c r="AA925" s="351"/>
      <c r="AB925" s="351"/>
      <c r="AC925" s="359"/>
      <c r="AD925" s="359"/>
      <c r="AE925" s="351"/>
      <c r="AF925" s="333"/>
      <c r="AG925" s="333"/>
      <c r="AH925" s="351"/>
      <c r="AI925" s="351"/>
      <c r="AJ925" s="351"/>
      <c r="AK925" s="351"/>
      <c r="AL925" s="351"/>
      <c r="AM925" s="351"/>
      <c r="AN925" s="351"/>
      <c r="AO925" s="351"/>
      <c r="AP925" s="351"/>
      <c r="AQ925" s="351"/>
      <c r="AR925" s="351"/>
      <c r="AS925" s="351"/>
      <c r="AT925" s="351"/>
      <c r="AU925" s="351"/>
      <c r="AV925" s="351"/>
      <c r="AW925" s="351"/>
      <c r="AX925" s="351"/>
      <c r="AY925" s="351"/>
    </row>
    <row r="926" spans="1:51" ht="13">
      <c r="A926" s="333"/>
      <c r="B926" s="351"/>
      <c r="C926" s="351"/>
      <c r="D926" s="333"/>
      <c r="E926" s="333"/>
      <c r="F926" s="333"/>
      <c r="G926" s="359"/>
      <c r="H926" s="359"/>
      <c r="I926" s="351"/>
      <c r="J926" s="359"/>
      <c r="K926" s="359"/>
      <c r="L926" s="359"/>
      <c r="M926" s="351"/>
      <c r="N926" s="351"/>
      <c r="O926" s="351"/>
      <c r="P926" s="351"/>
      <c r="Q926" s="351"/>
      <c r="R926" s="351"/>
      <c r="S926" s="351"/>
      <c r="T926" s="351"/>
      <c r="U926" s="351"/>
      <c r="V926" s="351"/>
      <c r="W926" s="351"/>
      <c r="X926" s="359"/>
      <c r="Y926" s="359"/>
      <c r="Z926" s="359"/>
      <c r="AA926" s="351"/>
      <c r="AB926" s="351"/>
      <c r="AC926" s="359"/>
      <c r="AD926" s="359"/>
      <c r="AE926" s="351"/>
      <c r="AF926" s="333"/>
      <c r="AG926" s="333"/>
      <c r="AH926" s="351"/>
      <c r="AI926" s="351"/>
      <c r="AJ926" s="351"/>
      <c r="AK926" s="351"/>
      <c r="AL926" s="351"/>
      <c r="AM926" s="351"/>
      <c r="AN926" s="351"/>
      <c r="AO926" s="351"/>
      <c r="AP926" s="351"/>
      <c r="AQ926" s="351"/>
      <c r="AR926" s="351"/>
      <c r="AS926" s="351"/>
      <c r="AT926" s="351"/>
      <c r="AU926" s="351"/>
      <c r="AV926" s="351"/>
      <c r="AW926" s="351"/>
      <c r="AX926" s="351"/>
      <c r="AY926" s="351"/>
    </row>
    <row r="927" spans="1:51" ht="13">
      <c r="A927" s="333"/>
      <c r="B927" s="351"/>
      <c r="C927" s="351"/>
      <c r="D927" s="333"/>
      <c r="E927" s="333"/>
      <c r="F927" s="333"/>
      <c r="G927" s="359"/>
      <c r="H927" s="359"/>
      <c r="I927" s="351"/>
      <c r="J927" s="359"/>
      <c r="K927" s="359"/>
      <c r="L927" s="359"/>
      <c r="M927" s="351"/>
      <c r="N927" s="351"/>
      <c r="O927" s="351"/>
      <c r="P927" s="351"/>
      <c r="Q927" s="351"/>
      <c r="R927" s="351"/>
      <c r="S927" s="351"/>
      <c r="T927" s="351"/>
      <c r="U927" s="351"/>
      <c r="V927" s="351"/>
      <c r="W927" s="351"/>
      <c r="X927" s="359"/>
      <c r="Y927" s="359"/>
      <c r="Z927" s="359"/>
      <c r="AA927" s="351"/>
      <c r="AB927" s="351"/>
      <c r="AC927" s="359"/>
      <c r="AD927" s="359"/>
      <c r="AE927" s="351"/>
      <c r="AF927" s="333"/>
      <c r="AG927" s="333"/>
      <c r="AH927" s="351"/>
      <c r="AI927" s="351"/>
      <c r="AJ927" s="351"/>
      <c r="AK927" s="351"/>
      <c r="AL927" s="351"/>
      <c r="AM927" s="351"/>
      <c r="AN927" s="351"/>
      <c r="AO927" s="351"/>
      <c r="AP927" s="351"/>
      <c r="AQ927" s="351"/>
      <c r="AR927" s="351"/>
      <c r="AS927" s="351"/>
      <c r="AT927" s="351"/>
      <c r="AU927" s="351"/>
      <c r="AV927" s="351"/>
      <c r="AW927" s="351"/>
      <c r="AX927" s="351"/>
      <c r="AY927" s="351"/>
    </row>
    <row r="928" spans="1:51" ht="13">
      <c r="A928" s="333"/>
      <c r="B928" s="351"/>
      <c r="C928" s="351"/>
      <c r="D928" s="333"/>
      <c r="E928" s="333"/>
      <c r="F928" s="333"/>
      <c r="G928" s="359"/>
      <c r="H928" s="359"/>
      <c r="I928" s="351"/>
      <c r="J928" s="359"/>
      <c r="K928" s="359"/>
      <c r="L928" s="359"/>
      <c r="M928" s="351"/>
      <c r="N928" s="351"/>
      <c r="O928" s="351"/>
      <c r="P928" s="351"/>
      <c r="Q928" s="351"/>
      <c r="R928" s="351"/>
      <c r="S928" s="351"/>
      <c r="T928" s="351"/>
      <c r="U928" s="351"/>
      <c r="V928" s="351"/>
      <c r="W928" s="351"/>
      <c r="X928" s="359"/>
      <c r="Y928" s="359"/>
      <c r="Z928" s="359"/>
      <c r="AA928" s="351"/>
      <c r="AB928" s="351"/>
      <c r="AC928" s="359"/>
      <c r="AD928" s="359"/>
      <c r="AE928" s="351"/>
      <c r="AF928" s="333"/>
      <c r="AG928" s="333"/>
      <c r="AH928" s="351"/>
      <c r="AI928" s="351"/>
      <c r="AJ928" s="351"/>
      <c r="AK928" s="351"/>
      <c r="AL928" s="351"/>
      <c r="AM928" s="351"/>
      <c r="AN928" s="351"/>
      <c r="AO928" s="351"/>
      <c r="AP928" s="351"/>
      <c r="AQ928" s="351"/>
      <c r="AR928" s="351"/>
      <c r="AS928" s="351"/>
      <c r="AT928" s="351"/>
      <c r="AU928" s="351"/>
      <c r="AV928" s="351"/>
      <c r="AW928" s="351"/>
      <c r="AX928" s="351"/>
      <c r="AY928" s="351"/>
    </row>
    <row r="929" spans="1:51" ht="13">
      <c r="A929" s="333"/>
      <c r="B929" s="351"/>
      <c r="C929" s="351"/>
      <c r="D929" s="333"/>
      <c r="E929" s="333"/>
      <c r="F929" s="333"/>
      <c r="G929" s="359"/>
      <c r="H929" s="359"/>
      <c r="I929" s="351"/>
      <c r="J929" s="359"/>
      <c r="K929" s="359"/>
      <c r="L929" s="359"/>
      <c r="M929" s="351"/>
      <c r="N929" s="351"/>
      <c r="O929" s="351"/>
      <c r="P929" s="351"/>
      <c r="Q929" s="351"/>
      <c r="R929" s="351"/>
      <c r="S929" s="351"/>
      <c r="T929" s="351"/>
      <c r="U929" s="351"/>
      <c r="V929" s="351"/>
      <c r="W929" s="351"/>
      <c r="X929" s="359"/>
      <c r="Y929" s="359"/>
      <c r="Z929" s="359"/>
      <c r="AA929" s="351"/>
      <c r="AB929" s="351"/>
      <c r="AC929" s="359"/>
      <c r="AD929" s="359"/>
      <c r="AE929" s="351"/>
      <c r="AF929" s="333"/>
      <c r="AG929" s="333"/>
      <c r="AH929" s="351"/>
      <c r="AI929" s="351"/>
      <c r="AJ929" s="351"/>
      <c r="AK929" s="351"/>
      <c r="AL929" s="351"/>
      <c r="AM929" s="351"/>
      <c r="AN929" s="351"/>
      <c r="AO929" s="351"/>
      <c r="AP929" s="351"/>
      <c r="AQ929" s="351"/>
      <c r="AR929" s="351"/>
      <c r="AS929" s="351"/>
      <c r="AT929" s="351"/>
      <c r="AU929" s="351"/>
      <c r="AV929" s="351"/>
      <c r="AW929" s="351"/>
      <c r="AX929" s="351"/>
      <c r="AY929" s="351"/>
    </row>
    <row r="930" spans="1:51" ht="13">
      <c r="A930" s="333"/>
      <c r="B930" s="351"/>
      <c r="C930" s="351"/>
      <c r="D930" s="333"/>
      <c r="E930" s="333"/>
      <c r="F930" s="333"/>
      <c r="G930" s="359"/>
      <c r="H930" s="359"/>
      <c r="I930" s="351"/>
      <c r="J930" s="359"/>
      <c r="K930" s="359"/>
      <c r="L930" s="359"/>
      <c r="M930" s="351"/>
      <c r="N930" s="351"/>
      <c r="O930" s="351"/>
      <c r="P930" s="351"/>
      <c r="Q930" s="351"/>
      <c r="R930" s="351"/>
      <c r="S930" s="351"/>
      <c r="T930" s="351"/>
      <c r="U930" s="351"/>
      <c r="V930" s="351"/>
      <c r="W930" s="351"/>
      <c r="X930" s="359"/>
      <c r="Y930" s="359"/>
      <c r="Z930" s="359"/>
      <c r="AA930" s="351"/>
      <c r="AB930" s="351"/>
      <c r="AC930" s="359"/>
      <c r="AD930" s="359"/>
      <c r="AE930" s="351"/>
      <c r="AF930" s="333"/>
      <c r="AG930" s="333"/>
      <c r="AH930" s="351"/>
      <c r="AI930" s="351"/>
      <c r="AJ930" s="351"/>
      <c r="AK930" s="351"/>
      <c r="AL930" s="351"/>
      <c r="AM930" s="351"/>
      <c r="AN930" s="351"/>
      <c r="AO930" s="351"/>
      <c r="AP930" s="351"/>
      <c r="AQ930" s="351"/>
      <c r="AR930" s="351"/>
      <c r="AS930" s="351"/>
      <c r="AT930" s="351"/>
      <c r="AU930" s="351"/>
      <c r="AV930" s="351"/>
      <c r="AW930" s="351"/>
      <c r="AX930" s="351"/>
      <c r="AY930" s="351"/>
    </row>
    <row r="931" spans="1:51" ht="13">
      <c r="A931" s="333"/>
      <c r="B931" s="351"/>
      <c r="C931" s="351"/>
      <c r="D931" s="333"/>
      <c r="E931" s="333"/>
      <c r="F931" s="333"/>
      <c r="G931" s="359"/>
      <c r="H931" s="359"/>
      <c r="I931" s="351"/>
      <c r="J931" s="359"/>
      <c r="K931" s="359"/>
      <c r="L931" s="359"/>
      <c r="M931" s="351"/>
      <c r="N931" s="351"/>
      <c r="O931" s="351"/>
      <c r="P931" s="351"/>
      <c r="Q931" s="351"/>
      <c r="R931" s="351"/>
      <c r="S931" s="351"/>
      <c r="T931" s="351"/>
      <c r="U931" s="351"/>
      <c r="V931" s="351"/>
      <c r="W931" s="351"/>
      <c r="X931" s="359"/>
      <c r="Y931" s="359"/>
      <c r="Z931" s="359"/>
      <c r="AA931" s="351"/>
      <c r="AB931" s="351"/>
      <c r="AC931" s="359"/>
      <c r="AD931" s="359"/>
      <c r="AE931" s="351"/>
      <c r="AF931" s="333"/>
      <c r="AG931" s="333"/>
      <c r="AH931" s="351"/>
      <c r="AI931" s="351"/>
      <c r="AJ931" s="351"/>
      <c r="AK931" s="351"/>
      <c r="AL931" s="351"/>
      <c r="AM931" s="351"/>
      <c r="AN931" s="351"/>
      <c r="AO931" s="351"/>
      <c r="AP931" s="351"/>
      <c r="AQ931" s="351"/>
      <c r="AR931" s="351"/>
      <c r="AS931" s="351"/>
      <c r="AT931" s="351"/>
      <c r="AU931" s="351"/>
      <c r="AV931" s="351"/>
      <c r="AW931" s="351"/>
      <c r="AX931" s="351"/>
      <c r="AY931" s="351"/>
    </row>
    <row r="932" spans="1:51" ht="13">
      <c r="A932" s="333"/>
      <c r="B932" s="351"/>
      <c r="C932" s="351"/>
      <c r="D932" s="333"/>
      <c r="E932" s="333"/>
      <c r="F932" s="333"/>
      <c r="G932" s="359"/>
      <c r="H932" s="359"/>
      <c r="I932" s="351"/>
      <c r="J932" s="359"/>
      <c r="K932" s="359"/>
      <c r="L932" s="359"/>
      <c r="M932" s="351"/>
      <c r="N932" s="351"/>
      <c r="O932" s="351"/>
      <c r="P932" s="351"/>
      <c r="Q932" s="351"/>
      <c r="R932" s="351"/>
      <c r="S932" s="351"/>
      <c r="T932" s="351"/>
      <c r="U932" s="351"/>
      <c r="V932" s="351"/>
      <c r="W932" s="351"/>
      <c r="X932" s="359"/>
      <c r="Y932" s="359"/>
      <c r="Z932" s="359"/>
      <c r="AA932" s="351"/>
      <c r="AB932" s="351"/>
      <c r="AC932" s="359"/>
      <c r="AD932" s="359"/>
      <c r="AE932" s="351"/>
      <c r="AF932" s="333"/>
      <c r="AG932" s="333"/>
      <c r="AH932" s="351"/>
      <c r="AI932" s="351"/>
      <c r="AJ932" s="351"/>
      <c r="AK932" s="351"/>
      <c r="AL932" s="351"/>
      <c r="AM932" s="351"/>
      <c r="AN932" s="351"/>
      <c r="AO932" s="351"/>
      <c r="AP932" s="351"/>
      <c r="AQ932" s="351"/>
      <c r="AR932" s="351"/>
      <c r="AS932" s="351"/>
      <c r="AT932" s="351"/>
      <c r="AU932" s="351"/>
      <c r="AV932" s="351"/>
      <c r="AW932" s="351"/>
      <c r="AX932" s="351"/>
      <c r="AY932" s="351"/>
    </row>
    <row r="933" spans="1:51" ht="13">
      <c r="A933" s="333"/>
      <c r="B933" s="351"/>
      <c r="C933" s="351"/>
      <c r="D933" s="333"/>
      <c r="E933" s="333"/>
      <c r="F933" s="333"/>
      <c r="G933" s="359"/>
      <c r="H933" s="359"/>
      <c r="I933" s="351"/>
      <c r="J933" s="359"/>
      <c r="K933" s="359"/>
      <c r="L933" s="359"/>
      <c r="M933" s="351"/>
      <c r="N933" s="351"/>
      <c r="O933" s="351"/>
      <c r="P933" s="351"/>
      <c r="Q933" s="351"/>
      <c r="R933" s="351"/>
      <c r="S933" s="351"/>
      <c r="T933" s="351"/>
      <c r="U933" s="351"/>
      <c r="V933" s="351"/>
      <c r="W933" s="351"/>
      <c r="X933" s="359"/>
      <c r="Y933" s="359"/>
      <c r="Z933" s="359"/>
      <c r="AA933" s="351"/>
      <c r="AB933" s="351"/>
      <c r="AC933" s="359"/>
      <c r="AD933" s="359"/>
      <c r="AE933" s="351"/>
      <c r="AF933" s="333"/>
      <c r="AG933" s="333"/>
      <c r="AH933" s="351"/>
      <c r="AI933" s="351"/>
      <c r="AJ933" s="351"/>
      <c r="AK933" s="351"/>
      <c r="AL933" s="351"/>
      <c r="AM933" s="351"/>
      <c r="AN933" s="351"/>
      <c r="AO933" s="351"/>
      <c r="AP933" s="351"/>
      <c r="AQ933" s="351"/>
      <c r="AR933" s="351"/>
      <c r="AS933" s="351"/>
      <c r="AT933" s="351"/>
      <c r="AU933" s="351"/>
      <c r="AV933" s="351"/>
      <c r="AW933" s="351"/>
      <c r="AX933" s="351"/>
      <c r="AY933" s="351"/>
    </row>
    <row r="934" spans="1:51" ht="13">
      <c r="A934" s="333"/>
      <c r="B934" s="351"/>
      <c r="C934" s="351"/>
      <c r="D934" s="333"/>
      <c r="E934" s="333"/>
      <c r="F934" s="333"/>
      <c r="G934" s="359"/>
      <c r="H934" s="359"/>
      <c r="I934" s="351"/>
      <c r="J934" s="359"/>
      <c r="K934" s="359"/>
      <c r="L934" s="359"/>
      <c r="M934" s="351"/>
      <c r="N934" s="351"/>
      <c r="O934" s="351"/>
      <c r="P934" s="351"/>
      <c r="Q934" s="351"/>
      <c r="R934" s="351"/>
      <c r="S934" s="351"/>
      <c r="T934" s="351"/>
      <c r="U934" s="351"/>
      <c r="V934" s="351"/>
      <c r="W934" s="351"/>
      <c r="X934" s="359"/>
      <c r="Y934" s="359"/>
      <c r="Z934" s="359"/>
      <c r="AA934" s="351"/>
      <c r="AB934" s="351"/>
      <c r="AC934" s="359"/>
      <c r="AD934" s="359"/>
      <c r="AE934" s="351"/>
      <c r="AF934" s="333"/>
      <c r="AG934" s="333"/>
      <c r="AH934" s="351"/>
      <c r="AI934" s="351"/>
      <c r="AJ934" s="351"/>
      <c r="AK934" s="351"/>
      <c r="AL934" s="351"/>
      <c r="AM934" s="351"/>
      <c r="AN934" s="351"/>
      <c r="AO934" s="351"/>
      <c r="AP934" s="351"/>
      <c r="AQ934" s="351"/>
      <c r="AR934" s="351"/>
      <c r="AS934" s="351"/>
      <c r="AT934" s="351"/>
      <c r="AU934" s="351"/>
      <c r="AV934" s="351"/>
      <c r="AW934" s="351"/>
      <c r="AX934" s="351"/>
      <c r="AY934" s="351"/>
    </row>
    <row r="935" spans="1:51" ht="13">
      <c r="A935" s="333"/>
      <c r="B935" s="351"/>
      <c r="C935" s="351"/>
      <c r="D935" s="333"/>
      <c r="E935" s="333"/>
      <c r="F935" s="333"/>
      <c r="G935" s="359"/>
      <c r="H935" s="359"/>
      <c r="I935" s="351"/>
      <c r="J935" s="359"/>
      <c r="K935" s="359"/>
      <c r="L935" s="359"/>
      <c r="M935" s="351"/>
      <c r="N935" s="351"/>
      <c r="O935" s="351"/>
      <c r="P935" s="351"/>
      <c r="Q935" s="351"/>
      <c r="R935" s="351"/>
      <c r="S935" s="351"/>
      <c r="T935" s="351"/>
      <c r="U935" s="351"/>
      <c r="V935" s="351"/>
      <c r="W935" s="351"/>
      <c r="X935" s="359"/>
      <c r="Y935" s="359"/>
      <c r="Z935" s="359"/>
      <c r="AA935" s="351"/>
      <c r="AB935" s="351"/>
      <c r="AC935" s="359"/>
      <c r="AD935" s="359"/>
      <c r="AE935" s="351"/>
      <c r="AF935" s="333"/>
      <c r="AG935" s="333"/>
      <c r="AH935" s="351"/>
      <c r="AI935" s="351"/>
      <c r="AJ935" s="351"/>
      <c r="AK935" s="351"/>
      <c r="AL935" s="351"/>
      <c r="AM935" s="351"/>
      <c r="AN935" s="351"/>
      <c r="AO935" s="351"/>
      <c r="AP935" s="351"/>
      <c r="AQ935" s="351"/>
      <c r="AR935" s="351"/>
      <c r="AS935" s="351"/>
      <c r="AT935" s="351"/>
      <c r="AU935" s="351"/>
      <c r="AV935" s="351"/>
      <c r="AW935" s="351"/>
      <c r="AX935" s="351"/>
      <c r="AY935" s="351"/>
    </row>
    <row r="936" spans="1:51" ht="13">
      <c r="A936" s="333"/>
      <c r="B936" s="351"/>
      <c r="C936" s="351"/>
      <c r="D936" s="351"/>
      <c r="E936" s="351"/>
      <c r="F936" s="351"/>
      <c r="G936" s="359"/>
      <c r="H936" s="359"/>
      <c r="I936" s="351"/>
      <c r="J936" s="359"/>
      <c r="K936" s="359"/>
      <c r="L936" s="359"/>
      <c r="M936" s="351"/>
      <c r="N936" s="351"/>
      <c r="O936" s="351"/>
      <c r="P936" s="351"/>
      <c r="Q936" s="351"/>
      <c r="R936" s="351"/>
      <c r="S936" s="351"/>
      <c r="T936" s="351"/>
      <c r="U936" s="351"/>
      <c r="V936" s="351"/>
      <c r="W936" s="351"/>
      <c r="X936" s="359"/>
      <c r="Y936" s="359"/>
      <c r="Z936" s="359"/>
      <c r="AA936" s="351"/>
      <c r="AB936" s="351"/>
      <c r="AC936" s="359"/>
      <c r="AD936" s="359"/>
      <c r="AE936" s="351"/>
      <c r="AF936" s="333"/>
      <c r="AG936" s="333"/>
      <c r="AH936" s="351"/>
      <c r="AI936" s="351"/>
      <c r="AJ936" s="351"/>
      <c r="AK936" s="351"/>
      <c r="AL936" s="351"/>
      <c r="AM936" s="351"/>
      <c r="AN936" s="351"/>
      <c r="AO936" s="351"/>
      <c r="AP936" s="351"/>
      <c r="AQ936" s="351"/>
      <c r="AR936" s="351"/>
      <c r="AS936" s="351"/>
      <c r="AT936" s="351"/>
      <c r="AU936" s="351"/>
      <c r="AV936" s="351"/>
      <c r="AW936" s="351"/>
      <c r="AX936" s="351"/>
      <c r="AY936" s="351"/>
    </row>
    <row r="937" spans="1:51" ht="13">
      <c r="A937" s="333"/>
      <c r="B937" s="351"/>
      <c r="C937" s="351"/>
      <c r="D937" s="351"/>
      <c r="E937" s="351"/>
      <c r="F937" s="351"/>
      <c r="G937" s="359"/>
      <c r="H937" s="359"/>
      <c r="I937" s="351"/>
      <c r="J937" s="359"/>
      <c r="K937" s="359"/>
      <c r="L937" s="359"/>
      <c r="M937" s="351"/>
      <c r="N937" s="351"/>
      <c r="O937" s="351"/>
      <c r="P937" s="351"/>
      <c r="Q937" s="351"/>
      <c r="R937" s="351"/>
      <c r="S937" s="351"/>
      <c r="T937" s="351"/>
      <c r="U937" s="351"/>
      <c r="V937" s="351"/>
      <c r="W937" s="351"/>
      <c r="X937" s="359"/>
      <c r="Y937" s="359"/>
      <c r="Z937" s="359"/>
      <c r="AA937" s="351"/>
      <c r="AB937" s="351"/>
      <c r="AC937" s="359"/>
      <c r="AD937" s="359"/>
      <c r="AE937" s="351"/>
      <c r="AF937" s="333"/>
      <c r="AG937" s="333"/>
      <c r="AH937" s="351"/>
      <c r="AI937" s="351"/>
      <c r="AJ937" s="351"/>
      <c r="AK937" s="351"/>
      <c r="AL937" s="351"/>
      <c r="AM937" s="351"/>
      <c r="AN937" s="351"/>
      <c r="AO937" s="351"/>
      <c r="AP937" s="351"/>
      <c r="AQ937" s="351"/>
      <c r="AR937" s="351"/>
      <c r="AS937" s="351"/>
      <c r="AT937" s="351"/>
      <c r="AU937" s="351"/>
      <c r="AV937" s="351"/>
      <c r="AW937" s="351"/>
      <c r="AX937" s="351"/>
      <c r="AY937" s="351"/>
    </row>
    <row r="938" spans="1:51" ht="13">
      <c r="A938" s="333"/>
      <c r="B938" s="351"/>
      <c r="C938" s="351"/>
      <c r="D938" s="351"/>
      <c r="E938" s="351"/>
      <c r="F938" s="351"/>
      <c r="G938" s="359"/>
      <c r="H938" s="359"/>
      <c r="I938" s="351"/>
      <c r="J938" s="359"/>
      <c r="K938" s="359"/>
      <c r="L938" s="359"/>
      <c r="M938" s="351"/>
      <c r="N938" s="351"/>
      <c r="O938" s="351"/>
      <c r="P938" s="351"/>
      <c r="Q938" s="351"/>
      <c r="R938" s="351"/>
      <c r="S938" s="351"/>
      <c r="T938" s="351"/>
      <c r="U938" s="351"/>
      <c r="V938" s="351"/>
      <c r="W938" s="351"/>
      <c r="X938" s="359"/>
      <c r="Y938" s="359"/>
      <c r="Z938" s="359"/>
      <c r="AA938" s="351"/>
      <c r="AB938" s="351"/>
      <c r="AC938" s="359"/>
      <c r="AD938" s="359"/>
      <c r="AE938" s="351"/>
      <c r="AF938" s="333"/>
      <c r="AG938" s="333"/>
      <c r="AH938" s="351"/>
      <c r="AI938" s="351"/>
      <c r="AJ938" s="351"/>
      <c r="AK938" s="351"/>
      <c r="AL938" s="351"/>
      <c r="AM938" s="351"/>
      <c r="AN938" s="351"/>
      <c r="AO938" s="351"/>
      <c r="AP938" s="351"/>
      <c r="AQ938" s="351"/>
      <c r="AR938" s="351"/>
      <c r="AS938" s="351"/>
      <c r="AT938" s="351"/>
      <c r="AU938" s="351"/>
      <c r="AV938" s="351"/>
      <c r="AW938" s="351"/>
      <c r="AX938" s="351"/>
      <c r="AY938" s="351"/>
    </row>
    <row r="939" spans="1:51" ht="13">
      <c r="A939" s="333"/>
      <c r="B939" s="351"/>
      <c r="C939" s="351"/>
      <c r="D939" s="351"/>
      <c r="E939" s="351"/>
      <c r="F939" s="351"/>
      <c r="G939" s="359"/>
      <c r="H939" s="359"/>
      <c r="I939" s="351"/>
      <c r="J939" s="359"/>
      <c r="K939" s="359"/>
      <c r="L939" s="359"/>
      <c r="M939" s="351"/>
      <c r="N939" s="351"/>
      <c r="O939" s="351"/>
      <c r="P939" s="351"/>
      <c r="Q939" s="351"/>
      <c r="R939" s="351"/>
      <c r="S939" s="351"/>
      <c r="T939" s="351"/>
      <c r="U939" s="351"/>
      <c r="V939" s="351"/>
      <c r="W939" s="351"/>
      <c r="X939" s="359"/>
      <c r="Y939" s="359"/>
      <c r="Z939" s="359"/>
      <c r="AA939" s="351"/>
      <c r="AB939" s="351"/>
      <c r="AC939" s="359"/>
      <c r="AD939" s="359"/>
      <c r="AE939" s="351"/>
      <c r="AF939" s="333"/>
      <c r="AG939" s="333"/>
      <c r="AH939" s="351"/>
      <c r="AI939" s="351"/>
      <c r="AJ939" s="351"/>
      <c r="AK939" s="351"/>
      <c r="AL939" s="351"/>
      <c r="AM939" s="351"/>
      <c r="AN939" s="351"/>
      <c r="AO939" s="351"/>
      <c r="AP939" s="351"/>
      <c r="AQ939" s="351"/>
      <c r="AR939" s="351"/>
      <c r="AS939" s="351"/>
      <c r="AT939" s="351"/>
      <c r="AU939" s="351"/>
      <c r="AV939" s="351"/>
      <c r="AW939" s="351"/>
      <c r="AX939" s="351"/>
      <c r="AY939" s="351"/>
    </row>
    <row r="940" spans="1:51" ht="13">
      <c r="A940" s="333"/>
      <c r="B940" s="351"/>
      <c r="C940" s="351"/>
      <c r="D940" s="351"/>
      <c r="E940" s="351"/>
      <c r="F940" s="351"/>
      <c r="G940" s="359"/>
      <c r="H940" s="359"/>
      <c r="I940" s="351"/>
      <c r="J940" s="359"/>
      <c r="K940" s="359"/>
      <c r="L940" s="359"/>
      <c r="M940" s="351"/>
      <c r="N940" s="351"/>
      <c r="O940" s="351"/>
      <c r="P940" s="351"/>
      <c r="Q940" s="351"/>
      <c r="R940" s="351"/>
      <c r="S940" s="351"/>
      <c r="T940" s="351"/>
      <c r="U940" s="351"/>
      <c r="V940" s="351"/>
      <c r="W940" s="351"/>
      <c r="X940" s="359"/>
      <c r="Y940" s="359"/>
      <c r="Z940" s="359"/>
      <c r="AA940" s="351"/>
      <c r="AB940" s="351"/>
      <c r="AC940" s="359"/>
      <c r="AD940" s="359"/>
      <c r="AE940" s="351"/>
      <c r="AF940" s="333"/>
      <c r="AG940" s="333"/>
      <c r="AH940" s="351"/>
      <c r="AI940" s="351"/>
      <c r="AJ940" s="351"/>
      <c r="AK940" s="351"/>
      <c r="AL940" s="351"/>
      <c r="AM940" s="351"/>
      <c r="AN940" s="351"/>
      <c r="AO940" s="351"/>
      <c r="AP940" s="351"/>
      <c r="AQ940" s="351"/>
      <c r="AR940" s="351"/>
      <c r="AS940" s="351"/>
      <c r="AT940" s="351"/>
      <c r="AU940" s="351"/>
      <c r="AV940" s="351"/>
      <c r="AW940" s="351"/>
      <c r="AX940" s="351"/>
      <c r="AY940" s="351"/>
    </row>
    <row r="941" spans="1:51" ht="13">
      <c r="A941" s="333"/>
      <c r="B941" s="351"/>
      <c r="C941" s="351"/>
      <c r="D941" s="351"/>
      <c r="E941" s="351"/>
      <c r="F941" s="351"/>
      <c r="G941" s="359"/>
      <c r="H941" s="359"/>
      <c r="I941" s="351"/>
      <c r="J941" s="359"/>
      <c r="K941" s="359"/>
      <c r="L941" s="359"/>
      <c r="M941" s="351"/>
      <c r="N941" s="351"/>
      <c r="O941" s="351"/>
      <c r="P941" s="351"/>
      <c r="Q941" s="351"/>
      <c r="R941" s="351"/>
      <c r="S941" s="351"/>
      <c r="T941" s="351"/>
      <c r="U941" s="351"/>
      <c r="V941" s="351"/>
      <c r="W941" s="351"/>
      <c r="X941" s="359"/>
      <c r="Y941" s="359"/>
      <c r="Z941" s="359"/>
      <c r="AA941" s="351"/>
      <c r="AB941" s="351"/>
      <c r="AC941" s="359"/>
      <c r="AD941" s="359"/>
      <c r="AE941" s="351"/>
      <c r="AF941" s="333"/>
      <c r="AG941" s="333"/>
      <c r="AH941" s="351"/>
      <c r="AI941" s="351"/>
      <c r="AJ941" s="351"/>
      <c r="AK941" s="351"/>
      <c r="AL941" s="351"/>
      <c r="AM941" s="351"/>
      <c r="AN941" s="351"/>
      <c r="AO941" s="351"/>
      <c r="AP941" s="351"/>
      <c r="AQ941" s="351"/>
      <c r="AR941" s="351"/>
      <c r="AS941" s="351"/>
      <c r="AT941" s="351"/>
      <c r="AU941" s="351"/>
      <c r="AV941" s="351"/>
      <c r="AW941" s="351"/>
      <c r="AX941" s="351"/>
      <c r="AY941" s="351"/>
    </row>
    <row r="942" spans="1:51" ht="13">
      <c r="A942" s="333"/>
      <c r="B942" s="351"/>
      <c r="C942" s="351"/>
      <c r="D942" s="351"/>
      <c r="E942" s="351"/>
      <c r="F942" s="351"/>
      <c r="G942" s="359"/>
      <c r="H942" s="359"/>
      <c r="I942" s="351"/>
      <c r="J942" s="359"/>
      <c r="K942" s="359"/>
      <c r="L942" s="359"/>
      <c r="M942" s="351"/>
      <c r="N942" s="351"/>
      <c r="O942" s="351"/>
      <c r="P942" s="351"/>
      <c r="Q942" s="351"/>
      <c r="R942" s="351"/>
      <c r="S942" s="351"/>
      <c r="T942" s="351"/>
      <c r="U942" s="351"/>
      <c r="V942" s="351"/>
      <c r="W942" s="351"/>
      <c r="X942" s="359"/>
      <c r="Y942" s="359"/>
      <c r="Z942" s="359"/>
      <c r="AA942" s="351"/>
      <c r="AB942" s="351"/>
      <c r="AC942" s="359"/>
      <c r="AD942" s="359"/>
      <c r="AE942" s="351"/>
      <c r="AF942" s="333"/>
      <c r="AG942" s="333"/>
      <c r="AH942" s="351"/>
      <c r="AI942" s="351"/>
      <c r="AJ942" s="351"/>
      <c r="AK942" s="351"/>
      <c r="AL942" s="351"/>
      <c r="AM942" s="351"/>
      <c r="AN942" s="351"/>
      <c r="AO942" s="351"/>
      <c r="AP942" s="351"/>
      <c r="AQ942" s="351"/>
      <c r="AR942" s="351"/>
      <c r="AS942" s="351"/>
      <c r="AT942" s="351"/>
      <c r="AU942" s="351"/>
      <c r="AV942" s="351"/>
      <c r="AW942" s="351"/>
      <c r="AX942" s="351"/>
      <c r="AY942" s="351"/>
    </row>
    <row r="943" spans="1:51" ht="13">
      <c r="A943" s="333"/>
      <c r="B943" s="351"/>
      <c r="C943" s="351"/>
      <c r="D943" s="351"/>
      <c r="E943" s="351"/>
      <c r="F943" s="351"/>
      <c r="G943" s="359"/>
      <c r="H943" s="359"/>
      <c r="I943" s="351"/>
      <c r="J943" s="359"/>
      <c r="K943" s="359"/>
      <c r="L943" s="359"/>
      <c r="M943" s="351"/>
      <c r="N943" s="351"/>
      <c r="O943" s="351"/>
      <c r="P943" s="351"/>
      <c r="Q943" s="351"/>
      <c r="R943" s="351"/>
      <c r="S943" s="351"/>
      <c r="T943" s="351"/>
      <c r="U943" s="351"/>
      <c r="V943" s="351"/>
      <c r="W943" s="351"/>
      <c r="X943" s="359"/>
      <c r="Y943" s="359"/>
      <c r="Z943" s="359"/>
      <c r="AA943" s="351"/>
      <c r="AB943" s="351"/>
      <c r="AC943" s="359"/>
      <c r="AD943" s="359"/>
      <c r="AE943" s="351"/>
      <c r="AF943" s="333"/>
      <c r="AG943" s="333"/>
      <c r="AH943" s="351"/>
      <c r="AI943" s="351"/>
      <c r="AJ943" s="351"/>
      <c r="AK943" s="351"/>
      <c r="AL943" s="351"/>
      <c r="AM943" s="351"/>
      <c r="AN943" s="351"/>
      <c r="AO943" s="351"/>
      <c r="AP943" s="351"/>
      <c r="AQ943" s="351"/>
      <c r="AR943" s="351"/>
      <c r="AS943" s="351"/>
      <c r="AT943" s="351"/>
      <c r="AU943" s="351"/>
      <c r="AV943" s="351"/>
      <c r="AW943" s="351"/>
      <c r="AX943" s="351"/>
      <c r="AY943" s="351"/>
    </row>
    <row r="944" spans="1:51" ht="13">
      <c r="A944" s="333"/>
      <c r="B944" s="351"/>
      <c r="C944" s="351"/>
      <c r="D944" s="351"/>
      <c r="E944" s="351"/>
      <c r="F944" s="351"/>
      <c r="G944" s="359"/>
      <c r="H944" s="359"/>
      <c r="I944" s="351"/>
      <c r="J944" s="359"/>
      <c r="K944" s="359"/>
      <c r="L944" s="359"/>
      <c r="M944" s="351"/>
      <c r="N944" s="351"/>
      <c r="O944" s="351"/>
      <c r="P944" s="351"/>
      <c r="Q944" s="351"/>
      <c r="R944" s="351"/>
      <c r="S944" s="351"/>
      <c r="T944" s="351"/>
      <c r="U944" s="351"/>
      <c r="V944" s="351"/>
      <c r="W944" s="351"/>
      <c r="X944" s="359"/>
      <c r="Y944" s="359"/>
      <c r="Z944" s="359"/>
      <c r="AA944" s="351"/>
      <c r="AB944" s="351"/>
      <c r="AC944" s="359"/>
      <c r="AD944" s="359"/>
      <c r="AE944" s="351"/>
      <c r="AF944" s="333"/>
      <c r="AG944" s="333"/>
      <c r="AH944" s="351"/>
      <c r="AI944" s="351"/>
      <c r="AJ944" s="351"/>
      <c r="AK944" s="351"/>
      <c r="AL944" s="351"/>
      <c r="AM944" s="351"/>
      <c r="AN944" s="351"/>
      <c r="AO944" s="351"/>
      <c r="AP944" s="351"/>
      <c r="AQ944" s="351"/>
      <c r="AR944" s="351"/>
      <c r="AS944" s="351"/>
      <c r="AT944" s="351"/>
      <c r="AU944" s="351"/>
      <c r="AV944" s="351"/>
      <c r="AW944" s="351"/>
      <c r="AX944" s="351"/>
      <c r="AY944" s="351"/>
    </row>
    <row r="945" spans="1:51" ht="13">
      <c r="A945" s="333"/>
      <c r="B945" s="351"/>
      <c r="C945" s="351"/>
      <c r="D945" s="351"/>
      <c r="E945" s="351"/>
      <c r="F945" s="351"/>
      <c r="G945" s="359"/>
      <c r="H945" s="359"/>
      <c r="I945" s="351"/>
      <c r="J945" s="359"/>
      <c r="K945" s="359"/>
      <c r="L945" s="359"/>
      <c r="M945" s="351"/>
      <c r="N945" s="351"/>
      <c r="O945" s="351"/>
      <c r="P945" s="351"/>
      <c r="Q945" s="351"/>
      <c r="R945" s="351"/>
      <c r="S945" s="351"/>
      <c r="T945" s="351"/>
      <c r="U945" s="351"/>
      <c r="V945" s="351"/>
      <c r="W945" s="351"/>
      <c r="X945" s="359"/>
      <c r="Y945" s="359"/>
      <c r="Z945" s="359"/>
      <c r="AA945" s="351"/>
      <c r="AB945" s="351"/>
      <c r="AC945" s="359"/>
      <c r="AD945" s="359"/>
      <c r="AE945" s="351"/>
      <c r="AF945" s="333"/>
      <c r="AG945" s="333"/>
      <c r="AH945" s="351"/>
      <c r="AI945" s="351"/>
      <c r="AJ945" s="351"/>
      <c r="AK945" s="351"/>
      <c r="AL945" s="351"/>
      <c r="AM945" s="351"/>
      <c r="AN945" s="351"/>
      <c r="AO945" s="351"/>
      <c r="AP945" s="351"/>
      <c r="AQ945" s="351"/>
      <c r="AR945" s="351"/>
      <c r="AS945" s="351"/>
      <c r="AT945" s="351"/>
      <c r="AU945" s="351"/>
      <c r="AV945" s="351"/>
      <c r="AW945" s="351"/>
      <c r="AX945" s="351"/>
      <c r="AY945" s="351"/>
    </row>
    <row r="946" spans="1:51" ht="13">
      <c r="A946" s="333"/>
      <c r="B946" s="351"/>
      <c r="C946" s="351"/>
      <c r="D946" s="351"/>
      <c r="E946" s="351"/>
      <c r="F946" s="351"/>
      <c r="G946" s="359"/>
      <c r="H946" s="359"/>
      <c r="I946" s="351"/>
      <c r="J946" s="359"/>
      <c r="K946" s="359"/>
      <c r="L946" s="359"/>
      <c r="M946" s="351"/>
      <c r="N946" s="351"/>
      <c r="O946" s="351"/>
      <c r="P946" s="351"/>
      <c r="Q946" s="351"/>
      <c r="R946" s="351"/>
      <c r="S946" s="351"/>
      <c r="T946" s="351"/>
      <c r="U946" s="351"/>
      <c r="V946" s="351"/>
      <c r="W946" s="351"/>
      <c r="X946" s="359"/>
      <c r="Y946" s="359"/>
      <c r="Z946" s="359"/>
      <c r="AA946" s="351"/>
      <c r="AB946" s="351"/>
      <c r="AC946" s="359"/>
      <c r="AD946" s="359"/>
      <c r="AE946" s="351"/>
      <c r="AF946" s="333"/>
      <c r="AG946" s="333"/>
      <c r="AH946" s="351"/>
      <c r="AI946" s="351"/>
      <c r="AJ946" s="351"/>
      <c r="AK946" s="351"/>
      <c r="AL946" s="351"/>
      <c r="AM946" s="351"/>
      <c r="AN946" s="351"/>
      <c r="AO946" s="351"/>
      <c r="AP946" s="351"/>
      <c r="AQ946" s="351"/>
      <c r="AR946" s="351"/>
      <c r="AS946" s="351"/>
      <c r="AT946" s="351"/>
      <c r="AU946" s="351"/>
      <c r="AV946" s="351"/>
      <c r="AW946" s="351"/>
      <c r="AX946" s="351"/>
      <c r="AY946" s="351"/>
    </row>
    <row r="947" spans="1:51" ht="13">
      <c r="A947" s="333"/>
      <c r="B947" s="351"/>
      <c r="C947" s="351"/>
      <c r="D947" s="351"/>
      <c r="E947" s="351"/>
      <c r="F947" s="351"/>
      <c r="G947" s="359"/>
      <c r="H947" s="359"/>
      <c r="I947" s="351"/>
      <c r="J947" s="359"/>
      <c r="K947" s="359"/>
      <c r="L947" s="359"/>
      <c r="M947" s="351"/>
      <c r="N947" s="351"/>
      <c r="O947" s="351"/>
      <c r="P947" s="351"/>
      <c r="Q947" s="351"/>
      <c r="R947" s="351"/>
      <c r="S947" s="351"/>
      <c r="T947" s="351"/>
      <c r="U947" s="351"/>
      <c r="V947" s="351"/>
      <c r="W947" s="351"/>
      <c r="X947" s="359"/>
      <c r="Y947" s="359"/>
      <c r="Z947" s="359"/>
      <c r="AA947" s="351"/>
      <c r="AB947" s="351"/>
      <c r="AC947" s="359"/>
      <c r="AD947" s="359"/>
      <c r="AE947" s="351"/>
      <c r="AF947" s="333"/>
      <c r="AG947" s="333"/>
      <c r="AH947" s="351"/>
      <c r="AI947" s="351"/>
      <c r="AJ947" s="351"/>
      <c r="AK947" s="351"/>
      <c r="AL947" s="351"/>
      <c r="AM947" s="351"/>
      <c r="AN947" s="351"/>
      <c r="AO947" s="351"/>
      <c r="AP947" s="351"/>
      <c r="AQ947" s="351"/>
      <c r="AR947" s="351"/>
      <c r="AS947" s="351"/>
      <c r="AT947" s="351"/>
      <c r="AU947" s="351"/>
      <c r="AV947" s="351"/>
      <c r="AW947" s="351"/>
      <c r="AX947" s="351"/>
      <c r="AY947" s="351"/>
    </row>
    <row r="948" spans="1:51" ht="13">
      <c r="A948" s="333"/>
      <c r="B948" s="351"/>
      <c r="C948" s="351"/>
      <c r="D948" s="351"/>
      <c r="E948" s="351"/>
      <c r="F948" s="351"/>
      <c r="G948" s="359"/>
      <c r="H948" s="359"/>
      <c r="I948" s="351"/>
      <c r="J948" s="359"/>
      <c r="K948" s="359"/>
      <c r="L948" s="359"/>
      <c r="M948" s="351"/>
      <c r="N948" s="351"/>
      <c r="O948" s="351"/>
      <c r="P948" s="351"/>
      <c r="Q948" s="351"/>
      <c r="R948" s="351"/>
      <c r="S948" s="351"/>
      <c r="T948" s="351"/>
      <c r="U948" s="351"/>
      <c r="V948" s="351"/>
      <c r="W948" s="351"/>
      <c r="X948" s="359"/>
      <c r="Y948" s="359"/>
      <c r="Z948" s="359"/>
      <c r="AA948" s="351"/>
      <c r="AB948" s="351"/>
      <c r="AC948" s="359"/>
      <c r="AD948" s="359"/>
      <c r="AE948" s="351"/>
      <c r="AF948" s="333"/>
      <c r="AG948" s="333"/>
      <c r="AH948" s="351"/>
      <c r="AI948" s="351"/>
      <c r="AJ948" s="351"/>
      <c r="AK948" s="351"/>
      <c r="AL948" s="351"/>
      <c r="AM948" s="351"/>
      <c r="AN948" s="351"/>
      <c r="AO948" s="351"/>
      <c r="AP948" s="351"/>
      <c r="AQ948" s="351"/>
      <c r="AR948" s="351"/>
      <c r="AS948" s="351"/>
      <c r="AT948" s="351"/>
      <c r="AU948" s="351"/>
      <c r="AV948" s="351"/>
      <c r="AW948" s="351"/>
      <c r="AX948" s="351"/>
      <c r="AY948" s="351"/>
    </row>
    <row r="949" spans="1:51" ht="13">
      <c r="A949" s="333"/>
      <c r="B949" s="351"/>
      <c r="C949" s="351"/>
      <c r="D949" s="351"/>
      <c r="E949" s="351"/>
      <c r="F949" s="351"/>
      <c r="G949" s="359"/>
      <c r="H949" s="359"/>
      <c r="I949" s="351"/>
      <c r="J949" s="359"/>
      <c r="K949" s="359"/>
      <c r="L949" s="359"/>
      <c r="M949" s="351"/>
      <c r="N949" s="351"/>
      <c r="O949" s="351"/>
      <c r="P949" s="351"/>
      <c r="Q949" s="351"/>
      <c r="R949" s="351"/>
      <c r="S949" s="351"/>
      <c r="T949" s="351"/>
      <c r="U949" s="351"/>
      <c r="V949" s="351"/>
      <c r="W949" s="351"/>
      <c r="X949" s="359"/>
      <c r="Y949" s="359"/>
      <c r="Z949" s="359"/>
      <c r="AA949" s="351"/>
      <c r="AB949" s="351"/>
      <c r="AC949" s="359"/>
      <c r="AD949" s="359"/>
      <c r="AE949" s="351"/>
      <c r="AF949" s="333"/>
      <c r="AG949" s="333"/>
      <c r="AH949" s="351"/>
      <c r="AI949" s="351"/>
      <c r="AJ949" s="351"/>
      <c r="AK949" s="351"/>
      <c r="AL949" s="351"/>
      <c r="AM949" s="351"/>
      <c r="AN949" s="351"/>
      <c r="AO949" s="351"/>
      <c r="AP949" s="351"/>
      <c r="AQ949" s="351"/>
      <c r="AR949" s="351"/>
      <c r="AS949" s="351"/>
      <c r="AT949" s="351"/>
      <c r="AU949" s="351"/>
      <c r="AV949" s="351"/>
      <c r="AW949" s="351"/>
      <c r="AX949" s="351"/>
      <c r="AY949" s="351"/>
    </row>
    <row r="950" spans="1:51" ht="13">
      <c r="A950" s="333"/>
      <c r="B950" s="351"/>
      <c r="C950" s="351"/>
      <c r="D950" s="351"/>
      <c r="E950" s="351"/>
      <c r="F950" s="351"/>
      <c r="G950" s="359"/>
      <c r="H950" s="359"/>
      <c r="I950" s="351"/>
      <c r="J950" s="359"/>
      <c r="K950" s="359"/>
      <c r="L950" s="359"/>
      <c r="M950" s="351"/>
      <c r="N950" s="351"/>
      <c r="O950" s="351"/>
      <c r="P950" s="351"/>
      <c r="Q950" s="351"/>
      <c r="R950" s="351"/>
      <c r="S950" s="351"/>
      <c r="T950" s="351"/>
      <c r="U950" s="351"/>
      <c r="V950" s="351"/>
      <c r="W950" s="351"/>
      <c r="X950" s="359"/>
      <c r="Y950" s="359"/>
      <c r="Z950" s="359"/>
      <c r="AA950" s="351"/>
      <c r="AB950" s="351"/>
      <c r="AC950" s="359"/>
      <c r="AD950" s="359"/>
      <c r="AE950" s="351"/>
      <c r="AF950" s="333"/>
      <c r="AG950" s="333"/>
      <c r="AH950" s="351"/>
      <c r="AI950" s="351"/>
      <c r="AJ950" s="351"/>
      <c r="AK950" s="351"/>
      <c r="AL950" s="351"/>
      <c r="AM950" s="351"/>
      <c r="AN950" s="351"/>
      <c r="AO950" s="351"/>
      <c r="AP950" s="351"/>
      <c r="AQ950" s="351"/>
      <c r="AR950" s="351"/>
      <c r="AS950" s="351"/>
      <c r="AT950" s="351"/>
      <c r="AU950" s="351"/>
      <c r="AV950" s="351"/>
      <c r="AW950" s="351"/>
      <c r="AX950" s="351"/>
      <c r="AY950" s="351"/>
    </row>
    <row r="951" spans="1:51" ht="13">
      <c r="A951" s="333"/>
      <c r="B951" s="351"/>
      <c r="C951" s="351"/>
      <c r="D951" s="351"/>
      <c r="E951" s="351"/>
      <c r="F951" s="351"/>
      <c r="G951" s="359"/>
      <c r="H951" s="359"/>
      <c r="I951" s="351"/>
      <c r="J951" s="359"/>
      <c r="K951" s="359"/>
      <c r="L951" s="359"/>
      <c r="M951" s="351"/>
      <c r="N951" s="351"/>
      <c r="O951" s="351"/>
      <c r="P951" s="351"/>
      <c r="Q951" s="351"/>
      <c r="R951" s="351"/>
      <c r="S951" s="351"/>
      <c r="T951" s="351"/>
      <c r="U951" s="351"/>
      <c r="V951" s="351"/>
      <c r="W951" s="351"/>
      <c r="X951" s="359"/>
      <c r="Y951" s="359"/>
      <c r="Z951" s="359"/>
      <c r="AA951" s="351"/>
      <c r="AB951" s="351"/>
      <c r="AC951" s="359"/>
      <c r="AD951" s="359"/>
      <c r="AE951" s="351"/>
      <c r="AF951" s="333"/>
      <c r="AG951" s="333"/>
      <c r="AH951" s="351"/>
      <c r="AI951" s="351"/>
      <c r="AJ951" s="351"/>
      <c r="AK951" s="351"/>
      <c r="AL951" s="351"/>
      <c r="AM951" s="351"/>
      <c r="AN951" s="351"/>
      <c r="AO951" s="351"/>
      <c r="AP951" s="351"/>
      <c r="AQ951" s="351"/>
      <c r="AR951" s="351"/>
      <c r="AS951" s="351"/>
      <c r="AT951" s="351"/>
      <c r="AU951" s="351"/>
      <c r="AV951" s="351"/>
      <c r="AW951" s="351"/>
      <c r="AX951" s="351"/>
      <c r="AY951" s="351"/>
    </row>
    <row r="952" spans="1:51" ht="13">
      <c r="A952" s="333"/>
      <c r="B952" s="351"/>
      <c r="C952" s="351"/>
      <c r="D952" s="351"/>
      <c r="E952" s="351"/>
      <c r="F952" s="351"/>
      <c r="G952" s="359"/>
      <c r="H952" s="359"/>
      <c r="I952" s="351"/>
      <c r="J952" s="359"/>
      <c r="K952" s="359"/>
      <c r="L952" s="359"/>
      <c r="M952" s="351"/>
      <c r="N952" s="351"/>
      <c r="O952" s="351"/>
      <c r="P952" s="351"/>
      <c r="Q952" s="351"/>
      <c r="R952" s="351"/>
      <c r="S952" s="351"/>
      <c r="T952" s="351"/>
      <c r="U952" s="351"/>
      <c r="V952" s="351"/>
      <c r="W952" s="351"/>
      <c r="X952" s="359"/>
      <c r="Y952" s="359"/>
      <c r="Z952" s="359"/>
      <c r="AA952" s="351"/>
      <c r="AB952" s="351"/>
      <c r="AC952" s="359"/>
      <c r="AD952" s="359"/>
      <c r="AE952" s="351"/>
      <c r="AF952" s="333"/>
      <c r="AG952" s="333"/>
      <c r="AH952" s="351"/>
      <c r="AI952" s="351"/>
      <c r="AJ952" s="351"/>
      <c r="AK952" s="351"/>
      <c r="AL952" s="351"/>
      <c r="AM952" s="351"/>
      <c r="AN952" s="351"/>
      <c r="AO952" s="351"/>
      <c r="AP952" s="351"/>
      <c r="AQ952" s="351"/>
      <c r="AR952" s="351"/>
      <c r="AS952" s="351"/>
      <c r="AT952" s="351"/>
      <c r="AU952" s="351"/>
      <c r="AV952" s="351"/>
      <c r="AW952" s="351"/>
      <c r="AX952" s="351"/>
      <c r="AY952" s="351"/>
    </row>
    <row r="953" spans="1:51" ht="13">
      <c r="A953" s="333"/>
      <c r="B953" s="351"/>
      <c r="C953" s="351"/>
      <c r="D953" s="351"/>
      <c r="E953" s="351"/>
      <c r="F953" s="351"/>
      <c r="G953" s="359"/>
      <c r="H953" s="359"/>
      <c r="I953" s="351"/>
      <c r="J953" s="359"/>
      <c r="K953" s="359"/>
      <c r="L953" s="359"/>
      <c r="M953" s="351"/>
      <c r="N953" s="351"/>
      <c r="O953" s="351"/>
      <c r="P953" s="351"/>
      <c r="Q953" s="351"/>
      <c r="R953" s="351"/>
      <c r="S953" s="351"/>
      <c r="T953" s="351"/>
      <c r="U953" s="351"/>
      <c r="V953" s="351"/>
      <c r="W953" s="351"/>
      <c r="X953" s="359"/>
      <c r="Y953" s="359"/>
      <c r="Z953" s="359"/>
      <c r="AA953" s="351"/>
      <c r="AB953" s="351"/>
      <c r="AC953" s="359"/>
      <c r="AD953" s="359"/>
      <c r="AE953" s="351"/>
      <c r="AF953" s="333"/>
      <c r="AG953" s="333"/>
      <c r="AH953" s="351"/>
      <c r="AI953" s="351"/>
      <c r="AJ953" s="351"/>
      <c r="AK953" s="351"/>
      <c r="AL953" s="351"/>
      <c r="AM953" s="351"/>
      <c r="AN953" s="351"/>
      <c r="AO953" s="351"/>
      <c r="AP953" s="351"/>
      <c r="AQ953" s="351"/>
      <c r="AR953" s="351"/>
      <c r="AS953" s="351"/>
      <c r="AT953" s="351"/>
      <c r="AU953" s="351"/>
      <c r="AV953" s="351"/>
      <c r="AW953" s="351"/>
      <c r="AX953" s="351"/>
      <c r="AY953" s="351"/>
    </row>
    <row r="954" spans="1:51" ht="13">
      <c r="A954" s="333"/>
      <c r="B954" s="351"/>
      <c r="C954" s="351"/>
      <c r="D954" s="351"/>
      <c r="E954" s="351"/>
      <c r="F954" s="351"/>
      <c r="G954" s="359"/>
      <c r="H954" s="359"/>
      <c r="I954" s="351"/>
      <c r="J954" s="359"/>
      <c r="K954" s="359"/>
      <c r="L954" s="359"/>
      <c r="M954" s="351"/>
      <c r="N954" s="351"/>
      <c r="O954" s="351"/>
      <c r="P954" s="351"/>
      <c r="Q954" s="351"/>
      <c r="R954" s="351"/>
      <c r="S954" s="351"/>
      <c r="T954" s="351"/>
      <c r="U954" s="351"/>
      <c r="V954" s="351"/>
      <c r="W954" s="351"/>
      <c r="X954" s="359"/>
      <c r="Y954" s="359"/>
      <c r="Z954" s="359"/>
      <c r="AA954" s="351"/>
      <c r="AB954" s="351"/>
      <c r="AC954" s="359"/>
      <c r="AD954" s="359"/>
      <c r="AE954" s="351"/>
      <c r="AF954" s="333"/>
      <c r="AG954" s="333"/>
      <c r="AH954" s="351"/>
      <c r="AI954" s="351"/>
      <c r="AJ954" s="351"/>
      <c r="AK954" s="351"/>
      <c r="AL954" s="351"/>
      <c r="AM954" s="351"/>
      <c r="AN954" s="351"/>
      <c r="AO954" s="351"/>
      <c r="AP954" s="351"/>
      <c r="AQ954" s="351"/>
      <c r="AR954" s="351"/>
      <c r="AS954" s="351"/>
      <c r="AT954" s="351"/>
      <c r="AU954" s="351"/>
      <c r="AV954" s="351"/>
      <c r="AW954" s="351"/>
      <c r="AX954" s="351"/>
      <c r="AY954" s="351"/>
    </row>
    <row r="955" spans="1:51" ht="13">
      <c r="A955" s="333"/>
      <c r="B955" s="351"/>
      <c r="C955" s="351"/>
      <c r="D955" s="351"/>
      <c r="E955" s="351"/>
      <c r="F955" s="351"/>
      <c r="G955" s="359"/>
      <c r="H955" s="359"/>
      <c r="I955" s="351"/>
      <c r="J955" s="359"/>
      <c r="K955" s="359"/>
      <c r="L955" s="359"/>
      <c r="M955" s="351"/>
      <c r="N955" s="351"/>
      <c r="O955" s="351"/>
      <c r="P955" s="351"/>
      <c r="Q955" s="351"/>
      <c r="R955" s="351"/>
      <c r="S955" s="351"/>
      <c r="T955" s="351"/>
      <c r="U955" s="351"/>
      <c r="V955" s="351"/>
      <c r="W955" s="351"/>
      <c r="X955" s="359"/>
      <c r="Y955" s="359"/>
      <c r="Z955" s="359"/>
      <c r="AA955" s="351"/>
      <c r="AB955" s="351"/>
      <c r="AC955" s="359"/>
      <c r="AD955" s="359"/>
      <c r="AE955" s="351"/>
      <c r="AF955" s="333"/>
      <c r="AG955" s="333"/>
      <c r="AH955" s="351"/>
      <c r="AI955" s="351"/>
      <c r="AJ955" s="351"/>
      <c r="AK955" s="351"/>
      <c r="AL955" s="351"/>
      <c r="AM955" s="351"/>
      <c r="AN955" s="351"/>
      <c r="AO955" s="351"/>
      <c r="AP955" s="351"/>
      <c r="AQ955" s="351"/>
      <c r="AR955" s="351"/>
      <c r="AS955" s="351"/>
      <c r="AT955" s="351"/>
      <c r="AU955" s="351"/>
      <c r="AV955" s="351"/>
      <c r="AW955" s="351"/>
      <c r="AX955" s="351"/>
      <c r="AY955" s="351"/>
    </row>
    <row r="956" spans="1:51" ht="13">
      <c r="A956" s="333"/>
      <c r="B956" s="351"/>
      <c r="C956" s="351"/>
      <c r="D956" s="351"/>
      <c r="E956" s="351"/>
      <c r="F956" s="351"/>
      <c r="G956" s="359"/>
      <c r="H956" s="359"/>
      <c r="I956" s="351"/>
      <c r="J956" s="359"/>
      <c r="K956" s="359"/>
      <c r="L956" s="359"/>
      <c r="M956" s="351"/>
      <c r="N956" s="351"/>
      <c r="O956" s="351"/>
      <c r="P956" s="351"/>
      <c r="Q956" s="351"/>
      <c r="R956" s="351"/>
      <c r="S956" s="351"/>
      <c r="T956" s="351"/>
      <c r="U956" s="351"/>
      <c r="V956" s="351"/>
      <c r="W956" s="351"/>
      <c r="X956" s="359"/>
      <c r="Y956" s="359"/>
      <c r="Z956" s="359"/>
      <c r="AA956" s="351"/>
      <c r="AB956" s="351"/>
      <c r="AC956" s="359"/>
      <c r="AD956" s="359"/>
      <c r="AE956" s="351"/>
      <c r="AF956" s="333"/>
      <c r="AG956" s="333"/>
      <c r="AH956" s="351"/>
      <c r="AI956" s="351"/>
      <c r="AJ956" s="351"/>
      <c r="AK956" s="351"/>
      <c r="AL956" s="351"/>
      <c r="AM956" s="351"/>
      <c r="AN956" s="351"/>
      <c r="AO956" s="351"/>
      <c r="AP956" s="351"/>
      <c r="AQ956" s="351"/>
      <c r="AR956" s="351"/>
      <c r="AS956" s="351"/>
      <c r="AT956" s="351"/>
      <c r="AU956" s="351"/>
      <c r="AV956" s="351"/>
      <c r="AW956" s="351"/>
      <c r="AX956" s="351"/>
      <c r="AY956" s="351"/>
    </row>
    <row r="957" spans="1:51" ht="13">
      <c r="A957" s="333"/>
      <c r="B957" s="351"/>
      <c r="C957" s="351"/>
      <c r="D957" s="351"/>
      <c r="E957" s="351"/>
      <c r="F957" s="351"/>
      <c r="G957" s="359"/>
      <c r="H957" s="359"/>
      <c r="I957" s="351"/>
      <c r="J957" s="359"/>
      <c r="K957" s="359"/>
      <c r="L957" s="359"/>
      <c r="M957" s="351"/>
      <c r="N957" s="351"/>
      <c r="O957" s="351"/>
      <c r="P957" s="351"/>
      <c r="Q957" s="351"/>
      <c r="R957" s="351"/>
      <c r="S957" s="351"/>
      <c r="T957" s="351"/>
      <c r="U957" s="351"/>
      <c r="V957" s="351"/>
      <c r="W957" s="351"/>
      <c r="X957" s="359"/>
      <c r="Y957" s="359"/>
      <c r="Z957" s="359"/>
      <c r="AA957" s="351"/>
      <c r="AB957" s="351"/>
      <c r="AC957" s="359"/>
      <c r="AD957" s="359"/>
      <c r="AE957" s="351"/>
      <c r="AF957" s="333"/>
      <c r="AG957" s="333"/>
      <c r="AH957" s="351"/>
      <c r="AI957" s="351"/>
      <c r="AJ957" s="351"/>
      <c r="AK957" s="351"/>
      <c r="AL957" s="351"/>
      <c r="AM957" s="351"/>
      <c r="AN957" s="351"/>
      <c r="AO957" s="351"/>
      <c r="AP957" s="351"/>
      <c r="AQ957" s="351"/>
      <c r="AR957" s="351"/>
      <c r="AS957" s="351"/>
      <c r="AT957" s="351"/>
      <c r="AU957" s="351"/>
      <c r="AV957" s="351"/>
      <c r="AW957" s="351"/>
      <c r="AX957" s="351"/>
      <c r="AY957" s="351"/>
    </row>
    <row r="958" spans="1:51" ht="13">
      <c r="A958" s="333"/>
      <c r="B958" s="351"/>
      <c r="C958" s="351"/>
      <c r="D958" s="351"/>
      <c r="E958" s="351"/>
      <c r="F958" s="351"/>
      <c r="G958" s="359"/>
      <c r="H958" s="359"/>
      <c r="I958" s="351"/>
      <c r="J958" s="359"/>
      <c r="K958" s="359"/>
      <c r="L958" s="359"/>
      <c r="M958" s="351"/>
      <c r="N958" s="351"/>
      <c r="O958" s="351"/>
      <c r="P958" s="351"/>
      <c r="Q958" s="351"/>
      <c r="R958" s="351"/>
      <c r="S958" s="351"/>
      <c r="T958" s="351"/>
      <c r="U958" s="351"/>
      <c r="V958" s="351"/>
      <c r="W958" s="351"/>
      <c r="X958" s="359"/>
      <c r="Y958" s="359"/>
      <c r="Z958" s="359"/>
      <c r="AA958" s="351"/>
      <c r="AB958" s="351"/>
      <c r="AC958" s="359"/>
      <c r="AD958" s="359"/>
      <c r="AE958" s="351"/>
      <c r="AF958" s="333"/>
      <c r="AG958" s="333"/>
      <c r="AH958" s="351"/>
      <c r="AI958" s="351"/>
      <c r="AJ958" s="351"/>
      <c r="AK958" s="351"/>
      <c r="AL958" s="351"/>
      <c r="AM958" s="351"/>
      <c r="AN958" s="351"/>
      <c r="AO958" s="351"/>
      <c r="AP958" s="351"/>
      <c r="AQ958" s="351"/>
      <c r="AR958" s="351"/>
      <c r="AS958" s="351"/>
      <c r="AT958" s="351"/>
      <c r="AU958" s="351"/>
      <c r="AV958" s="351"/>
      <c r="AW958" s="351"/>
      <c r="AX958" s="351"/>
      <c r="AY958" s="351"/>
    </row>
    <row r="959" spans="1:51" ht="13">
      <c r="A959" s="333"/>
      <c r="B959" s="351"/>
      <c r="C959" s="351"/>
      <c r="D959" s="351"/>
      <c r="E959" s="351"/>
      <c r="F959" s="351"/>
      <c r="G959" s="359"/>
      <c r="H959" s="359"/>
      <c r="I959" s="351"/>
      <c r="J959" s="359"/>
      <c r="K959" s="359"/>
      <c r="L959" s="359"/>
      <c r="M959" s="351"/>
      <c r="N959" s="351"/>
      <c r="O959" s="351"/>
      <c r="P959" s="351"/>
      <c r="Q959" s="351"/>
      <c r="R959" s="351"/>
      <c r="S959" s="351"/>
      <c r="T959" s="351"/>
      <c r="U959" s="351"/>
      <c r="V959" s="351"/>
      <c r="W959" s="351"/>
      <c r="X959" s="359"/>
      <c r="Y959" s="359"/>
      <c r="Z959" s="359"/>
      <c r="AA959" s="351"/>
      <c r="AB959" s="351"/>
      <c r="AC959" s="359"/>
      <c r="AD959" s="359"/>
      <c r="AE959" s="351"/>
      <c r="AF959" s="333"/>
      <c r="AG959" s="333"/>
      <c r="AH959" s="351"/>
      <c r="AI959" s="351"/>
      <c r="AJ959" s="351"/>
      <c r="AK959" s="351"/>
      <c r="AL959" s="351"/>
      <c r="AM959" s="351"/>
      <c r="AN959" s="351"/>
      <c r="AO959" s="351"/>
      <c r="AP959" s="351"/>
      <c r="AQ959" s="351"/>
      <c r="AR959" s="351"/>
      <c r="AS959" s="351"/>
      <c r="AT959" s="351"/>
      <c r="AU959" s="351"/>
      <c r="AV959" s="351"/>
      <c r="AW959" s="351"/>
      <c r="AX959" s="351"/>
      <c r="AY959" s="351"/>
    </row>
    <row r="960" spans="1:51" ht="13">
      <c r="A960" s="333"/>
      <c r="B960" s="351"/>
      <c r="C960" s="351"/>
      <c r="D960" s="351"/>
      <c r="E960" s="351"/>
      <c r="F960" s="351"/>
      <c r="G960" s="359"/>
      <c r="H960" s="359"/>
      <c r="I960" s="351"/>
      <c r="J960" s="359"/>
      <c r="K960" s="359"/>
      <c r="L960" s="359"/>
      <c r="M960" s="351"/>
      <c r="N960" s="351"/>
      <c r="O960" s="351"/>
      <c r="P960" s="351"/>
      <c r="Q960" s="351"/>
      <c r="R960" s="351"/>
      <c r="S960" s="351"/>
      <c r="T960" s="351"/>
      <c r="U960" s="351"/>
      <c r="V960" s="351"/>
      <c r="W960" s="351"/>
      <c r="X960" s="359"/>
      <c r="Y960" s="359"/>
      <c r="Z960" s="359"/>
      <c r="AA960" s="351"/>
      <c r="AB960" s="351"/>
      <c r="AC960" s="359"/>
      <c r="AD960" s="359"/>
      <c r="AE960" s="351"/>
      <c r="AF960" s="333"/>
      <c r="AG960" s="333"/>
      <c r="AH960" s="351"/>
      <c r="AI960" s="351"/>
      <c r="AJ960" s="351"/>
      <c r="AK960" s="351"/>
      <c r="AL960" s="351"/>
      <c r="AM960" s="351"/>
      <c r="AN960" s="351"/>
      <c r="AO960" s="351"/>
      <c r="AP960" s="351"/>
      <c r="AQ960" s="351"/>
      <c r="AR960" s="351"/>
      <c r="AS960" s="351"/>
      <c r="AT960" s="351"/>
      <c r="AU960" s="351"/>
      <c r="AV960" s="351"/>
      <c r="AW960" s="351"/>
      <c r="AX960" s="351"/>
      <c r="AY960" s="351"/>
    </row>
    <row r="961" spans="1:51" ht="13">
      <c r="A961" s="333"/>
      <c r="B961" s="351"/>
      <c r="C961" s="351"/>
      <c r="D961" s="351"/>
      <c r="E961" s="351"/>
      <c r="F961" s="351"/>
      <c r="G961" s="359"/>
      <c r="H961" s="359"/>
      <c r="I961" s="351"/>
      <c r="J961" s="359"/>
      <c r="K961" s="359"/>
      <c r="L961" s="359"/>
      <c r="M961" s="351"/>
      <c r="N961" s="351"/>
      <c r="O961" s="351"/>
      <c r="P961" s="351"/>
      <c r="Q961" s="351"/>
      <c r="R961" s="351"/>
      <c r="S961" s="351"/>
      <c r="T961" s="351"/>
      <c r="U961" s="351"/>
      <c r="V961" s="351"/>
      <c r="W961" s="351"/>
      <c r="X961" s="359"/>
      <c r="Y961" s="359"/>
      <c r="Z961" s="359"/>
      <c r="AA961" s="351"/>
      <c r="AB961" s="351"/>
      <c r="AC961" s="359"/>
      <c r="AD961" s="359"/>
      <c r="AE961" s="351"/>
      <c r="AF961" s="333"/>
      <c r="AG961" s="333"/>
      <c r="AH961" s="351"/>
      <c r="AI961" s="351"/>
      <c r="AJ961" s="351"/>
      <c r="AK961" s="351"/>
      <c r="AL961" s="351"/>
      <c r="AM961" s="351"/>
      <c r="AN961" s="351"/>
      <c r="AO961" s="351"/>
      <c r="AP961" s="351"/>
      <c r="AQ961" s="351"/>
      <c r="AR961" s="351"/>
      <c r="AS961" s="351"/>
      <c r="AT961" s="351"/>
      <c r="AU961" s="351"/>
      <c r="AV961" s="351"/>
      <c r="AW961" s="351"/>
      <c r="AX961" s="351"/>
      <c r="AY961" s="351"/>
    </row>
    <row r="962" spans="1:51" ht="13">
      <c r="A962" s="333"/>
      <c r="B962" s="351"/>
      <c r="C962" s="351"/>
      <c r="D962" s="351"/>
      <c r="E962" s="351"/>
      <c r="F962" s="351"/>
      <c r="G962" s="359"/>
      <c r="H962" s="359"/>
      <c r="I962" s="351"/>
      <c r="J962" s="359"/>
      <c r="K962" s="359"/>
      <c r="L962" s="359"/>
      <c r="M962" s="351"/>
      <c r="N962" s="351"/>
      <c r="O962" s="351"/>
      <c r="P962" s="351"/>
      <c r="Q962" s="351"/>
      <c r="R962" s="351"/>
      <c r="S962" s="351"/>
      <c r="T962" s="351"/>
      <c r="U962" s="351"/>
      <c r="V962" s="351"/>
      <c r="W962" s="351"/>
      <c r="X962" s="359"/>
      <c r="Y962" s="359"/>
      <c r="Z962" s="359"/>
      <c r="AA962" s="351"/>
      <c r="AB962" s="351"/>
      <c r="AC962" s="359"/>
      <c r="AD962" s="359"/>
      <c r="AE962" s="351"/>
      <c r="AF962" s="333"/>
      <c r="AG962" s="333"/>
      <c r="AH962" s="351"/>
      <c r="AI962" s="351"/>
      <c r="AJ962" s="351"/>
      <c r="AK962" s="351"/>
      <c r="AL962" s="351"/>
      <c r="AM962" s="351"/>
      <c r="AN962" s="351"/>
      <c r="AO962" s="351"/>
      <c r="AP962" s="351"/>
      <c r="AQ962" s="351"/>
      <c r="AR962" s="351"/>
      <c r="AS962" s="351"/>
      <c r="AT962" s="351"/>
      <c r="AU962" s="351"/>
      <c r="AV962" s="351"/>
      <c r="AW962" s="351"/>
      <c r="AX962" s="351"/>
      <c r="AY962" s="351"/>
    </row>
    <row r="963" spans="1:51" ht="13">
      <c r="A963" s="333"/>
      <c r="B963" s="351"/>
      <c r="C963" s="351"/>
      <c r="D963" s="351"/>
      <c r="E963" s="351"/>
      <c r="F963" s="351"/>
      <c r="G963" s="359"/>
      <c r="H963" s="359"/>
      <c r="I963" s="351"/>
      <c r="J963" s="359"/>
      <c r="K963" s="359"/>
      <c r="L963" s="359"/>
      <c r="M963" s="351"/>
      <c r="N963" s="351"/>
      <c r="O963" s="351"/>
      <c r="P963" s="351"/>
      <c r="Q963" s="351"/>
      <c r="R963" s="351"/>
      <c r="S963" s="351"/>
      <c r="T963" s="351"/>
      <c r="U963" s="351"/>
      <c r="V963" s="351"/>
      <c r="W963" s="351"/>
      <c r="X963" s="359"/>
      <c r="Y963" s="359"/>
      <c r="Z963" s="359"/>
      <c r="AA963" s="351"/>
      <c r="AB963" s="351"/>
      <c r="AC963" s="359"/>
      <c r="AD963" s="359"/>
      <c r="AE963" s="351"/>
      <c r="AF963" s="333"/>
      <c r="AG963" s="333"/>
      <c r="AH963" s="351"/>
      <c r="AI963" s="351"/>
      <c r="AJ963" s="351"/>
      <c r="AK963" s="351"/>
      <c r="AL963" s="351"/>
      <c r="AM963" s="351"/>
      <c r="AN963" s="351"/>
      <c r="AO963" s="351"/>
      <c r="AP963" s="351"/>
      <c r="AQ963" s="351"/>
      <c r="AR963" s="351"/>
      <c r="AS963" s="351"/>
      <c r="AT963" s="351"/>
      <c r="AU963" s="351"/>
      <c r="AV963" s="351"/>
      <c r="AW963" s="351"/>
      <c r="AX963" s="351"/>
      <c r="AY963" s="351"/>
    </row>
    <row r="964" spans="1:51" ht="13">
      <c r="A964" s="333"/>
      <c r="B964" s="351"/>
      <c r="C964" s="351"/>
      <c r="D964" s="351"/>
      <c r="E964" s="351"/>
      <c r="F964" s="351"/>
      <c r="G964" s="359"/>
      <c r="H964" s="359"/>
      <c r="I964" s="351"/>
      <c r="J964" s="359"/>
      <c r="K964" s="359"/>
      <c r="L964" s="359"/>
      <c r="M964" s="351"/>
      <c r="N964" s="351"/>
      <c r="O964" s="351"/>
      <c r="P964" s="351"/>
      <c r="Q964" s="351"/>
      <c r="R964" s="351"/>
      <c r="S964" s="351"/>
      <c r="T964" s="351"/>
      <c r="U964" s="351"/>
      <c r="V964" s="351"/>
      <c r="W964" s="351"/>
      <c r="X964" s="359"/>
      <c r="Y964" s="359"/>
      <c r="Z964" s="359"/>
      <c r="AA964" s="351"/>
      <c r="AB964" s="351"/>
      <c r="AC964" s="359"/>
      <c r="AD964" s="359"/>
      <c r="AE964" s="351"/>
      <c r="AF964" s="333"/>
      <c r="AG964" s="333"/>
      <c r="AH964" s="351"/>
      <c r="AI964" s="351"/>
      <c r="AJ964" s="351"/>
      <c r="AK964" s="351"/>
      <c r="AL964" s="351"/>
      <c r="AM964" s="351"/>
      <c r="AN964" s="351"/>
      <c r="AO964" s="351"/>
      <c r="AP964" s="351"/>
      <c r="AQ964" s="351"/>
      <c r="AR964" s="351"/>
      <c r="AS964" s="351"/>
      <c r="AT964" s="351"/>
      <c r="AU964" s="351"/>
      <c r="AV964" s="351"/>
      <c r="AW964" s="351"/>
      <c r="AX964" s="351"/>
      <c r="AY964" s="351"/>
    </row>
    <row r="965" spans="1:51" ht="13">
      <c r="A965" s="333"/>
      <c r="B965" s="351"/>
      <c r="C965" s="351"/>
      <c r="D965" s="351"/>
      <c r="E965" s="351"/>
      <c r="F965" s="351"/>
      <c r="G965" s="359"/>
      <c r="H965" s="359"/>
      <c r="I965" s="351"/>
      <c r="J965" s="359"/>
      <c r="K965" s="359"/>
      <c r="L965" s="359"/>
      <c r="M965" s="351"/>
      <c r="N965" s="351"/>
      <c r="O965" s="351"/>
      <c r="P965" s="351"/>
      <c r="Q965" s="351"/>
      <c r="R965" s="351"/>
      <c r="S965" s="351"/>
      <c r="T965" s="351"/>
      <c r="U965" s="351"/>
      <c r="V965" s="351"/>
      <c r="W965" s="351"/>
      <c r="X965" s="359"/>
      <c r="Y965" s="359"/>
      <c r="Z965" s="359"/>
      <c r="AA965" s="351"/>
      <c r="AB965" s="351"/>
      <c r="AC965" s="359"/>
      <c r="AD965" s="359"/>
      <c r="AE965" s="351"/>
      <c r="AF965" s="333"/>
      <c r="AG965" s="333"/>
      <c r="AH965" s="351"/>
      <c r="AI965" s="351"/>
      <c r="AJ965" s="351"/>
      <c r="AK965" s="351"/>
      <c r="AL965" s="351"/>
      <c r="AM965" s="351"/>
      <c r="AN965" s="351"/>
      <c r="AO965" s="351"/>
      <c r="AP965" s="351"/>
      <c r="AQ965" s="351"/>
      <c r="AR965" s="351"/>
      <c r="AS965" s="351"/>
      <c r="AT965" s="351"/>
      <c r="AU965" s="351"/>
      <c r="AV965" s="351"/>
      <c r="AW965" s="351"/>
      <c r="AX965" s="351"/>
      <c r="AY965" s="351"/>
    </row>
    <row r="966" spans="1:51" ht="13">
      <c r="A966" s="333"/>
      <c r="B966" s="351"/>
      <c r="C966" s="351"/>
      <c r="D966" s="351"/>
      <c r="E966" s="351"/>
      <c r="F966" s="351"/>
      <c r="G966" s="359"/>
      <c r="H966" s="359"/>
      <c r="I966" s="351"/>
      <c r="J966" s="359"/>
      <c r="K966" s="359"/>
      <c r="L966" s="359"/>
      <c r="M966" s="351"/>
      <c r="N966" s="351"/>
      <c r="O966" s="351"/>
      <c r="P966" s="351"/>
      <c r="Q966" s="351"/>
      <c r="R966" s="351"/>
      <c r="S966" s="351"/>
      <c r="T966" s="351"/>
      <c r="U966" s="351"/>
      <c r="V966" s="351"/>
      <c r="W966" s="351"/>
      <c r="X966" s="359"/>
      <c r="Y966" s="359"/>
      <c r="Z966" s="359"/>
      <c r="AA966" s="351"/>
      <c r="AB966" s="351"/>
      <c r="AC966" s="359"/>
      <c r="AD966" s="359"/>
      <c r="AE966" s="351"/>
      <c r="AF966" s="333"/>
      <c r="AG966" s="333"/>
      <c r="AH966" s="351"/>
      <c r="AI966" s="351"/>
      <c r="AJ966" s="351"/>
      <c r="AK966" s="351"/>
      <c r="AL966" s="351"/>
      <c r="AM966" s="351"/>
      <c r="AN966" s="351"/>
      <c r="AO966" s="351"/>
      <c r="AP966" s="351"/>
      <c r="AQ966" s="351"/>
      <c r="AR966" s="351"/>
      <c r="AS966" s="351"/>
      <c r="AT966" s="351"/>
      <c r="AU966" s="351"/>
      <c r="AV966" s="351"/>
      <c r="AW966" s="351"/>
      <c r="AX966" s="351"/>
      <c r="AY966" s="351"/>
    </row>
    <row r="967" spans="1:51" ht="13">
      <c r="A967" s="333"/>
      <c r="B967" s="351"/>
      <c r="C967" s="351"/>
      <c r="D967" s="351"/>
      <c r="E967" s="351"/>
      <c r="F967" s="351"/>
      <c r="G967" s="359"/>
      <c r="H967" s="359"/>
      <c r="I967" s="351"/>
      <c r="J967" s="359"/>
      <c r="K967" s="359"/>
      <c r="L967" s="359"/>
      <c r="M967" s="351"/>
      <c r="N967" s="351"/>
      <c r="O967" s="351"/>
      <c r="P967" s="351"/>
      <c r="Q967" s="351"/>
      <c r="R967" s="351"/>
      <c r="S967" s="351"/>
      <c r="T967" s="351"/>
      <c r="U967" s="351"/>
      <c r="V967" s="351"/>
      <c r="W967" s="351"/>
      <c r="X967" s="359"/>
      <c r="Y967" s="359"/>
      <c r="Z967" s="359"/>
      <c r="AA967" s="351"/>
      <c r="AB967" s="351"/>
      <c r="AC967" s="359"/>
      <c r="AD967" s="359"/>
      <c r="AE967" s="351"/>
      <c r="AF967" s="333"/>
      <c r="AG967" s="333"/>
      <c r="AH967" s="351"/>
      <c r="AI967" s="351"/>
      <c r="AJ967" s="351"/>
      <c r="AK967" s="351"/>
      <c r="AL967" s="351"/>
      <c r="AM967" s="351"/>
      <c r="AN967" s="351"/>
      <c r="AO967" s="351"/>
      <c r="AP967" s="351"/>
      <c r="AQ967" s="351"/>
      <c r="AR967" s="351"/>
      <c r="AS967" s="351"/>
      <c r="AT967" s="351"/>
      <c r="AU967" s="351"/>
      <c r="AV967" s="351"/>
      <c r="AW967" s="351"/>
      <c r="AX967" s="351"/>
      <c r="AY967" s="351"/>
    </row>
    <row r="968" spans="1:51" ht="13">
      <c r="A968" s="333"/>
      <c r="B968" s="351"/>
      <c r="C968" s="351"/>
      <c r="D968" s="351"/>
      <c r="E968" s="351"/>
      <c r="F968" s="351"/>
      <c r="G968" s="359"/>
      <c r="H968" s="359"/>
      <c r="I968" s="351"/>
      <c r="J968" s="359"/>
      <c r="K968" s="359"/>
      <c r="L968" s="359"/>
      <c r="M968" s="351"/>
      <c r="N968" s="351"/>
      <c r="O968" s="351"/>
      <c r="P968" s="351"/>
      <c r="Q968" s="351"/>
      <c r="R968" s="351"/>
      <c r="S968" s="351"/>
      <c r="T968" s="351"/>
      <c r="U968" s="351"/>
      <c r="V968" s="351"/>
      <c r="W968" s="351"/>
      <c r="X968" s="359"/>
      <c r="Y968" s="359"/>
      <c r="Z968" s="359"/>
      <c r="AA968" s="351"/>
      <c r="AB968" s="351"/>
      <c r="AC968" s="359"/>
      <c r="AD968" s="359"/>
      <c r="AE968" s="351"/>
      <c r="AF968" s="333"/>
      <c r="AG968" s="333"/>
      <c r="AH968" s="351"/>
      <c r="AI968" s="351"/>
      <c r="AJ968" s="351"/>
      <c r="AK968" s="351"/>
      <c r="AL968" s="351"/>
      <c r="AM968" s="351"/>
      <c r="AN968" s="351"/>
      <c r="AO968" s="351"/>
      <c r="AP968" s="351"/>
      <c r="AQ968" s="351"/>
      <c r="AR968" s="351"/>
      <c r="AS968" s="351"/>
      <c r="AT968" s="351"/>
      <c r="AU968" s="351"/>
      <c r="AV968" s="351"/>
      <c r="AW968" s="351"/>
      <c r="AX968" s="351"/>
      <c r="AY968" s="351"/>
    </row>
    <row r="969" spans="1:51" ht="13">
      <c r="A969" s="333"/>
      <c r="B969" s="351"/>
      <c r="C969" s="351"/>
      <c r="D969" s="351"/>
      <c r="E969" s="351"/>
      <c r="F969" s="351"/>
      <c r="G969" s="359"/>
      <c r="H969" s="359"/>
      <c r="I969" s="351"/>
      <c r="J969" s="359"/>
      <c r="K969" s="359"/>
      <c r="L969" s="359"/>
      <c r="M969" s="351"/>
      <c r="N969" s="351"/>
      <c r="O969" s="351"/>
      <c r="P969" s="351"/>
      <c r="Q969" s="351"/>
      <c r="R969" s="351"/>
      <c r="S969" s="351"/>
      <c r="T969" s="351"/>
      <c r="U969" s="351"/>
      <c r="V969" s="351"/>
      <c r="W969" s="351"/>
      <c r="X969" s="359"/>
      <c r="Y969" s="359"/>
      <c r="Z969" s="359"/>
      <c r="AA969" s="351"/>
      <c r="AB969" s="351"/>
      <c r="AC969" s="359"/>
      <c r="AD969" s="359"/>
      <c r="AE969" s="351"/>
      <c r="AF969" s="333"/>
      <c r="AG969" s="333"/>
      <c r="AH969" s="351"/>
      <c r="AI969" s="351"/>
      <c r="AJ969" s="351"/>
      <c r="AK969" s="351"/>
      <c r="AL969" s="351"/>
      <c r="AM969" s="351"/>
      <c r="AN969" s="351"/>
      <c r="AO969" s="351"/>
      <c r="AP969" s="351"/>
      <c r="AQ969" s="351"/>
      <c r="AR969" s="351"/>
      <c r="AS969" s="351"/>
      <c r="AT969" s="351"/>
      <c r="AU969" s="351"/>
      <c r="AV969" s="351"/>
      <c r="AW969" s="351"/>
      <c r="AX969" s="351"/>
      <c r="AY969" s="351"/>
    </row>
    <row r="970" spans="1:51" ht="13">
      <c r="A970" s="333"/>
      <c r="B970" s="351"/>
      <c r="C970" s="351"/>
      <c r="D970" s="351"/>
      <c r="E970" s="351"/>
      <c r="F970" s="351"/>
      <c r="G970" s="359"/>
      <c r="H970" s="359"/>
      <c r="I970" s="351"/>
      <c r="J970" s="359"/>
      <c r="K970" s="359"/>
      <c r="L970" s="359"/>
      <c r="M970" s="351"/>
      <c r="N970" s="351"/>
      <c r="O970" s="351"/>
      <c r="P970" s="351"/>
      <c r="Q970" s="351"/>
      <c r="R970" s="351"/>
      <c r="S970" s="351"/>
      <c r="T970" s="351"/>
      <c r="U970" s="351"/>
      <c r="V970" s="351"/>
      <c r="W970" s="351"/>
      <c r="X970" s="359"/>
      <c r="Y970" s="359"/>
      <c r="Z970" s="359"/>
      <c r="AA970" s="351"/>
      <c r="AB970" s="351"/>
      <c r="AC970" s="359"/>
      <c r="AD970" s="359"/>
      <c r="AE970" s="351"/>
      <c r="AF970" s="333"/>
      <c r="AG970" s="333"/>
      <c r="AH970" s="351"/>
      <c r="AI970" s="351"/>
      <c r="AJ970" s="351"/>
      <c r="AK970" s="351"/>
      <c r="AL970" s="351"/>
      <c r="AM970" s="351"/>
      <c r="AN970" s="351"/>
      <c r="AO970" s="351"/>
      <c r="AP970" s="351"/>
      <c r="AQ970" s="351"/>
      <c r="AR970" s="351"/>
      <c r="AS970" s="351"/>
      <c r="AT970" s="351"/>
      <c r="AU970" s="351"/>
      <c r="AV970" s="351"/>
      <c r="AW970" s="351"/>
      <c r="AX970" s="351"/>
      <c r="AY970" s="351"/>
    </row>
    <row r="971" spans="1:51" ht="13">
      <c r="A971" s="333"/>
      <c r="B971" s="351"/>
      <c r="C971" s="351"/>
      <c r="D971" s="351"/>
      <c r="E971" s="351"/>
      <c r="F971" s="351"/>
      <c r="G971" s="359"/>
      <c r="H971" s="359"/>
      <c r="I971" s="351"/>
      <c r="J971" s="359"/>
      <c r="K971" s="359"/>
      <c r="L971" s="359"/>
      <c r="M971" s="351"/>
      <c r="N971" s="351"/>
      <c r="O971" s="351"/>
      <c r="P971" s="351"/>
      <c r="Q971" s="351"/>
      <c r="R971" s="351"/>
      <c r="S971" s="351"/>
      <c r="T971" s="351"/>
      <c r="U971" s="351"/>
      <c r="V971" s="351"/>
      <c r="W971" s="351"/>
      <c r="X971" s="359"/>
      <c r="Y971" s="359"/>
      <c r="Z971" s="359"/>
      <c r="AA971" s="351"/>
      <c r="AB971" s="351"/>
      <c r="AC971" s="359"/>
      <c r="AD971" s="359"/>
      <c r="AE971" s="351"/>
      <c r="AF971" s="333"/>
      <c r="AG971" s="333"/>
      <c r="AH971" s="351"/>
      <c r="AI971" s="351"/>
      <c r="AJ971" s="351"/>
      <c r="AK971" s="351"/>
      <c r="AL971" s="351"/>
      <c r="AM971" s="351"/>
      <c r="AN971" s="351"/>
      <c r="AO971" s="351"/>
      <c r="AP971" s="351"/>
      <c r="AQ971" s="351"/>
      <c r="AR971" s="351"/>
      <c r="AS971" s="351"/>
      <c r="AT971" s="351"/>
      <c r="AU971" s="351"/>
      <c r="AV971" s="351"/>
      <c r="AW971" s="351"/>
      <c r="AX971" s="351"/>
      <c r="AY971" s="351"/>
    </row>
    <row r="972" spans="1:51" ht="13">
      <c r="A972" s="333"/>
      <c r="B972" s="351"/>
      <c r="C972" s="351"/>
      <c r="D972" s="351"/>
      <c r="E972" s="351"/>
      <c r="F972" s="351"/>
      <c r="G972" s="359"/>
      <c r="H972" s="359"/>
      <c r="I972" s="351"/>
      <c r="J972" s="359"/>
      <c r="K972" s="359"/>
      <c r="L972" s="359"/>
      <c r="M972" s="351"/>
      <c r="N972" s="351"/>
      <c r="O972" s="351"/>
      <c r="P972" s="351"/>
      <c r="Q972" s="351"/>
      <c r="R972" s="351"/>
      <c r="S972" s="351"/>
      <c r="T972" s="351"/>
      <c r="U972" s="351"/>
      <c r="V972" s="351"/>
      <c r="W972" s="351"/>
      <c r="X972" s="359"/>
      <c r="Y972" s="359"/>
      <c r="Z972" s="359"/>
      <c r="AA972" s="351"/>
      <c r="AB972" s="351"/>
      <c r="AC972" s="359"/>
      <c r="AD972" s="359"/>
      <c r="AE972" s="351"/>
      <c r="AF972" s="333"/>
      <c r="AG972" s="333"/>
      <c r="AH972" s="351"/>
      <c r="AI972" s="351"/>
      <c r="AJ972" s="351"/>
      <c r="AK972" s="351"/>
      <c r="AL972" s="351"/>
      <c r="AM972" s="351"/>
      <c r="AN972" s="351"/>
      <c r="AO972" s="351"/>
      <c r="AP972" s="351"/>
      <c r="AQ972" s="351"/>
      <c r="AR972" s="351"/>
      <c r="AS972" s="351"/>
      <c r="AT972" s="351"/>
      <c r="AU972" s="351"/>
      <c r="AV972" s="351"/>
      <c r="AW972" s="351"/>
      <c r="AX972" s="351"/>
      <c r="AY972" s="351"/>
    </row>
    <row r="973" spans="1:51" ht="13">
      <c r="A973" s="333"/>
      <c r="B973" s="351"/>
      <c r="C973" s="351"/>
      <c r="D973" s="351"/>
      <c r="E973" s="351"/>
      <c r="F973" s="351"/>
      <c r="G973" s="359"/>
      <c r="H973" s="359"/>
      <c r="I973" s="351"/>
      <c r="J973" s="359"/>
      <c r="K973" s="359"/>
      <c r="L973" s="359"/>
      <c r="M973" s="351"/>
      <c r="N973" s="351"/>
      <c r="O973" s="351"/>
      <c r="P973" s="351"/>
      <c r="Q973" s="351"/>
      <c r="R973" s="351"/>
      <c r="S973" s="351"/>
      <c r="T973" s="351"/>
      <c r="U973" s="351"/>
      <c r="V973" s="351"/>
      <c r="W973" s="351"/>
      <c r="X973" s="359"/>
      <c r="Y973" s="359"/>
      <c r="Z973" s="359"/>
      <c r="AA973" s="351"/>
      <c r="AB973" s="351"/>
      <c r="AC973" s="359"/>
      <c r="AD973" s="359"/>
      <c r="AE973" s="351"/>
      <c r="AF973" s="333"/>
      <c r="AG973" s="333"/>
      <c r="AH973" s="351"/>
      <c r="AI973" s="351"/>
      <c r="AJ973" s="351"/>
      <c r="AK973" s="351"/>
      <c r="AL973" s="351"/>
      <c r="AM973" s="351"/>
      <c r="AN973" s="351"/>
      <c r="AO973" s="351"/>
      <c r="AP973" s="351"/>
      <c r="AQ973" s="351"/>
      <c r="AR973" s="351"/>
      <c r="AS973" s="351"/>
      <c r="AT973" s="351"/>
      <c r="AU973" s="351"/>
      <c r="AV973" s="351"/>
      <c r="AW973" s="351"/>
      <c r="AX973" s="351"/>
      <c r="AY973" s="351"/>
    </row>
    <row r="974" spans="1:51" ht="13">
      <c r="A974" s="333"/>
      <c r="B974" s="351"/>
      <c r="C974" s="351"/>
      <c r="D974" s="351"/>
      <c r="E974" s="351"/>
      <c r="F974" s="351"/>
      <c r="G974" s="359"/>
      <c r="H974" s="359"/>
      <c r="I974" s="351"/>
      <c r="J974" s="359"/>
      <c r="K974" s="359"/>
      <c r="L974" s="359"/>
      <c r="M974" s="351"/>
      <c r="N974" s="351"/>
      <c r="O974" s="351"/>
      <c r="P974" s="351"/>
      <c r="Q974" s="351"/>
      <c r="R974" s="351"/>
      <c r="S974" s="351"/>
      <c r="T974" s="351"/>
      <c r="U974" s="351"/>
      <c r="V974" s="351"/>
      <c r="W974" s="351"/>
      <c r="X974" s="359"/>
      <c r="Y974" s="359"/>
      <c r="Z974" s="359"/>
      <c r="AA974" s="351"/>
      <c r="AB974" s="351"/>
      <c r="AC974" s="359"/>
      <c r="AD974" s="359"/>
      <c r="AE974" s="351"/>
      <c r="AF974" s="333"/>
      <c r="AG974" s="333"/>
      <c r="AH974" s="351"/>
      <c r="AI974" s="351"/>
      <c r="AJ974" s="351"/>
      <c r="AK974" s="351"/>
      <c r="AL974" s="351"/>
      <c r="AM974" s="351"/>
      <c r="AN974" s="351"/>
      <c r="AO974" s="351"/>
      <c r="AP974" s="351"/>
      <c r="AQ974" s="351"/>
      <c r="AR974" s="351"/>
      <c r="AS974" s="351"/>
      <c r="AT974" s="351"/>
      <c r="AU974" s="351"/>
      <c r="AV974" s="351"/>
      <c r="AW974" s="351"/>
      <c r="AX974" s="351"/>
      <c r="AY974" s="351"/>
    </row>
    <row r="975" spans="1:51" ht="13">
      <c r="A975" s="333"/>
      <c r="B975" s="351"/>
      <c r="C975" s="351"/>
      <c r="D975" s="351"/>
      <c r="E975" s="351"/>
      <c r="F975" s="351"/>
      <c r="G975" s="359"/>
      <c r="H975" s="359"/>
      <c r="I975" s="351"/>
      <c r="J975" s="359"/>
      <c r="K975" s="359"/>
      <c r="L975" s="359"/>
      <c r="M975" s="351"/>
      <c r="N975" s="351"/>
      <c r="O975" s="351"/>
      <c r="P975" s="351"/>
      <c r="Q975" s="351"/>
      <c r="R975" s="351"/>
      <c r="S975" s="351"/>
      <c r="T975" s="351"/>
      <c r="U975" s="351"/>
      <c r="V975" s="351"/>
      <c r="W975" s="351"/>
      <c r="X975" s="359"/>
      <c r="Y975" s="359"/>
      <c r="Z975" s="359"/>
      <c r="AA975" s="351"/>
      <c r="AB975" s="351"/>
      <c r="AC975" s="359"/>
      <c r="AD975" s="359"/>
      <c r="AE975" s="351"/>
      <c r="AF975" s="333"/>
      <c r="AG975" s="333"/>
      <c r="AH975" s="351"/>
      <c r="AI975" s="351"/>
      <c r="AJ975" s="351"/>
      <c r="AK975" s="351"/>
      <c r="AL975" s="351"/>
      <c r="AM975" s="351"/>
      <c r="AN975" s="351"/>
      <c r="AO975" s="351"/>
      <c r="AP975" s="351"/>
      <c r="AQ975" s="351"/>
      <c r="AR975" s="351"/>
      <c r="AS975" s="351"/>
      <c r="AT975" s="351"/>
      <c r="AU975" s="351"/>
      <c r="AV975" s="351"/>
      <c r="AW975" s="351"/>
      <c r="AX975" s="351"/>
      <c r="AY975" s="351"/>
    </row>
    <row r="976" spans="1:51" ht="13">
      <c r="A976" s="333"/>
      <c r="B976" s="351"/>
      <c r="C976" s="351"/>
      <c r="D976" s="351"/>
      <c r="E976" s="351"/>
      <c r="F976" s="351"/>
      <c r="G976" s="359"/>
      <c r="H976" s="359"/>
      <c r="I976" s="351"/>
      <c r="J976" s="359"/>
      <c r="K976" s="359"/>
      <c r="L976" s="359"/>
      <c r="M976" s="351"/>
      <c r="N976" s="351"/>
      <c r="O976" s="351"/>
      <c r="P976" s="351"/>
      <c r="Q976" s="351"/>
      <c r="R976" s="351"/>
      <c r="S976" s="351"/>
      <c r="T976" s="351"/>
      <c r="U976" s="351"/>
      <c r="V976" s="351"/>
      <c r="W976" s="351"/>
      <c r="X976" s="359"/>
      <c r="Y976" s="359"/>
      <c r="Z976" s="359"/>
      <c r="AA976" s="351"/>
      <c r="AB976" s="351"/>
      <c r="AC976" s="359"/>
      <c r="AD976" s="359"/>
      <c r="AE976" s="351"/>
      <c r="AF976" s="333"/>
      <c r="AG976" s="333"/>
      <c r="AH976" s="351"/>
      <c r="AI976" s="351"/>
      <c r="AJ976" s="351"/>
      <c r="AK976" s="351"/>
      <c r="AL976" s="351"/>
      <c r="AM976" s="351"/>
      <c r="AN976" s="351"/>
      <c r="AO976" s="351"/>
      <c r="AP976" s="351"/>
      <c r="AQ976" s="351"/>
      <c r="AR976" s="351"/>
      <c r="AS976" s="351"/>
      <c r="AT976" s="351"/>
      <c r="AU976" s="351"/>
      <c r="AV976" s="351"/>
      <c r="AW976" s="351"/>
      <c r="AX976" s="351"/>
      <c r="AY976" s="351"/>
    </row>
    <row r="977" spans="1:51" ht="13">
      <c r="A977" s="333"/>
      <c r="B977" s="351"/>
      <c r="C977" s="351"/>
      <c r="D977" s="351"/>
      <c r="E977" s="351"/>
      <c r="F977" s="351"/>
      <c r="G977" s="359"/>
      <c r="H977" s="359"/>
      <c r="I977" s="351"/>
      <c r="J977" s="359"/>
      <c r="K977" s="359"/>
      <c r="L977" s="359"/>
      <c r="M977" s="351"/>
      <c r="N977" s="351"/>
      <c r="O977" s="351"/>
      <c r="P977" s="351"/>
      <c r="Q977" s="351"/>
      <c r="R977" s="351"/>
      <c r="S977" s="351"/>
      <c r="T977" s="351"/>
      <c r="U977" s="351"/>
      <c r="V977" s="351"/>
      <c r="W977" s="351"/>
      <c r="X977" s="359"/>
      <c r="Y977" s="359"/>
      <c r="Z977" s="359"/>
      <c r="AA977" s="351"/>
      <c r="AB977" s="351"/>
      <c r="AC977" s="359"/>
      <c r="AD977" s="359"/>
      <c r="AE977" s="351"/>
      <c r="AF977" s="333"/>
      <c r="AG977" s="333"/>
      <c r="AH977" s="351"/>
      <c r="AI977" s="351"/>
      <c r="AJ977" s="351"/>
      <c r="AK977" s="351"/>
      <c r="AL977" s="351"/>
      <c r="AM977" s="351"/>
      <c r="AN977" s="351"/>
      <c r="AO977" s="351"/>
      <c r="AP977" s="351"/>
      <c r="AQ977" s="351"/>
      <c r="AR977" s="351"/>
      <c r="AS977" s="351"/>
      <c r="AT977" s="351"/>
      <c r="AU977" s="351"/>
      <c r="AV977" s="351"/>
      <c r="AW977" s="351"/>
      <c r="AX977" s="351"/>
      <c r="AY977" s="351"/>
    </row>
    <row r="978" spans="1:51" ht="13">
      <c r="A978" s="333"/>
      <c r="B978" s="351"/>
      <c r="C978" s="351"/>
      <c r="D978" s="351"/>
      <c r="E978" s="351"/>
      <c r="F978" s="351"/>
      <c r="G978" s="359"/>
      <c r="H978" s="359"/>
      <c r="I978" s="351"/>
      <c r="J978" s="359"/>
      <c r="K978" s="359"/>
      <c r="L978" s="359"/>
      <c r="M978" s="351"/>
      <c r="N978" s="351"/>
      <c r="O978" s="351"/>
      <c r="P978" s="351"/>
      <c r="Q978" s="351"/>
      <c r="R978" s="351"/>
      <c r="S978" s="351"/>
      <c r="T978" s="351"/>
      <c r="U978" s="351"/>
      <c r="V978" s="351"/>
      <c r="W978" s="351"/>
      <c r="X978" s="359"/>
      <c r="Y978" s="359"/>
      <c r="Z978" s="359"/>
      <c r="AA978" s="351"/>
      <c r="AB978" s="351"/>
      <c r="AC978" s="359"/>
      <c r="AD978" s="359"/>
      <c r="AE978" s="351"/>
      <c r="AF978" s="333"/>
      <c r="AG978" s="333"/>
      <c r="AH978" s="351"/>
      <c r="AI978" s="351"/>
      <c r="AJ978" s="351"/>
      <c r="AK978" s="351"/>
      <c r="AL978" s="351"/>
      <c r="AM978" s="351"/>
      <c r="AN978" s="351"/>
      <c r="AO978" s="351"/>
      <c r="AP978" s="351"/>
      <c r="AQ978" s="351"/>
      <c r="AR978" s="351"/>
      <c r="AS978" s="351"/>
      <c r="AT978" s="351"/>
      <c r="AU978" s="351"/>
      <c r="AV978" s="351"/>
      <c r="AW978" s="351"/>
      <c r="AX978" s="351"/>
      <c r="AY978" s="351"/>
    </row>
    <row r="979" spans="1:51" ht="13">
      <c r="A979" s="333"/>
      <c r="B979" s="351"/>
      <c r="C979" s="351"/>
      <c r="D979" s="351"/>
      <c r="E979" s="351"/>
      <c r="F979" s="351"/>
      <c r="G979" s="359"/>
      <c r="H979" s="359"/>
      <c r="I979" s="351"/>
      <c r="J979" s="359"/>
      <c r="K979" s="359"/>
      <c r="L979" s="359"/>
      <c r="M979" s="351"/>
      <c r="N979" s="351"/>
      <c r="O979" s="351"/>
      <c r="P979" s="351"/>
      <c r="Q979" s="351"/>
      <c r="R979" s="351"/>
      <c r="S979" s="351"/>
      <c r="T979" s="351"/>
      <c r="U979" s="351"/>
      <c r="V979" s="351"/>
      <c r="W979" s="351"/>
      <c r="X979" s="359"/>
      <c r="Y979" s="359"/>
      <c r="Z979" s="359"/>
      <c r="AA979" s="351"/>
      <c r="AB979" s="351"/>
      <c r="AC979" s="359"/>
      <c r="AD979" s="359"/>
      <c r="AE979" s="351"/>
      <c r="AF979" s="333"/>
      <c r="AG979" s="333"/>
      <c r="AH979" s="351"/>
      <c r="AI979" s="351"/>
      <c r="AJ979" s="351"/>
      <c r="AK979" s="351"/>
      <c r="AL979" s="351"/>
      <c r="AM979" s="351"/>
      <c r="AN979" s="351"/>
      <c r="AO979" s="351"/>
      <c r="AP979" s="351"/>
      <c r="AQ979" s="351"/>
      <c r="AR979" s="351"/>
      <c r="AS979" s="351"/>
      <c r="AT979" s="351"/>
      <c r="AU979" s="351"/>
      <c r="AV979" s="351"/>
      <c r="AW979" s="351"/>
      <c r="AX979" s="351"/>
      <c r="AY979" s="351"/>
    </row>
    <row r="980" spans="1:51" ht="13">
      <c r="A980" s="333"/>
      <c r="B980" s="351"/>
      <c r="C980" s="351"/>
      <c r="D980" s="351"/>
      <c r="E980" s="351"/>
      <c r="F980" s="351"/>
      <c r="G980" s="359"/>
      <c r="H980" s="359"/>
      <c r="I980" s="351"/>
      <c r="J980" s="359"/>
      <c r="K980" s="359"/>
      <c r="L980" s="359"/>
      <c r="M980" s="351"/>
      <c r="N980" s="351"/>
      <c r="O980" s="351"/>
      <c r="P980" s="351"/>
      <c r="Q980" s="351"/>
      <c r="R980" s="351"/>
      <c r="S980" s="351"/>
      <c r="T980" s="351"/>
      <c r="U980" s="351"/>
      <c r="V980" s="351"/>
      <c r="W980" s="351"/>
      <c r="X980" s="359"/>
      <c r="Y980" s="359"/>
      <c r="Z980" s="359"/>
      <c r="AA980" s="351"/>
      <c r="AB980" s="351"/>
      <c r="AC980" s="359"/>
      <c r="AD980" s="359"/>
      <c r="AE980" s="351"/>
      <c r="AF980" s="333"/>
      <c r="AG980" s="333"/>
      <c r="AH980" s="351"/>
      <c r="AI980" s="351"/>
      <c r="AJ980" s="351"/>
      <c r="AK980" s="351"/>
      <c r="AL980" s="351"/>
      <c r="AM980" s="351"/>
      <c r="AN980" s="351"/>
      <c r="AO980" s="351"/>
      <c r="AP980" s="351"/>
      <c r="AQ980" s="351"/>
      <c r="AR980" s="351"/>
      <c r="AS980" s="351"/>
      <c r="AT980" s="351"/>
      <c r="AU980" s="351"/>
      <c r="AV980" s="351"/>
      <c r="AW980" s="351"/>
      <c r="AX980" s="351"/>
      <c r="AY980" s="351"/>
    </row>
    <row r="981" spans="1:51" ht="13">
      <c r="A981" s="333"/>
      <c r="B981" s="351"/>
      <c r="C981" s="351"/>
      <c r="D981" s="351"/>
      <c r="E981" s="351"/>
      <c r="F981" s="351"/>
      <c r="G981" s="359"/>
      <c r="H981" s="359"/>
      <c r="I981" s="351"/>
      <c r="J981" s="359"/>
      <c r="K981" s="359"/>
      <c r="L981" s="359"/>
      <c r="M981" s="351"/>
      <c r="N981" s="351"/>
      <c r="O981" s="351"/>
      <c r="P981" s="351"/>
      <c r="Q981" s="351"/>
      <c r="R981" s="351"/>
      <c r="S981" s="351"/>
      <c r="T981" s="351"/>
      <c r="U981" s="351"/>
      <c r="V981" s="351"/>
      <c r="W981" s="351"/>
      <c r="X981" s="359"/>
      <c r="Y981" s="359"/>
      <c r="Z981" s="359"/>
      <c r="AA981" s="351"/>
      <c r="AB981" s="351"/>
      <c r="AC981" s="359"/>
      <c r="AD981" s="359"/>
      <c r="AE981" s="351"/>
      <c r="AF981" s="333"/>
      <c r="AG981" s="333"/>
      <c r="AH981" s="351"/>
      <c r="AI981" s="351"/>
      <c r="AJ981" s="351"/>
      <c r="AK981" s="351"/>
      <c r="AL981" s="351"/>
      <c r="AM981" s="351"/>
      <c r="AN981" s="351"/>
      <c r="AO981" s="351"/>
      <c r="AP981" s="351"/>
      <c r="AQ981" s="351"/>
      <c r="AR981" s="351"/>
      <c r="AS981" s="351"/>
      <c r="AT981" s="351"/>
      <c r="AU981" s="351"/>
      <c r="AV981" s="351"/>
      <c r="AW981" s="351"/>
      <c r="AX981" s="351"/>
      <c r="AY981" s="351"/>
    </row>
    <row r="982" spans="1:51" ht="13">
      <c r="A982" s="333"/>
      <c r="B982" s="351"/>
      <c r="C982" s="351"/>
      <c r="D982" s="351"/>
      <c r="E982" s="351"/>
      <c r="F982" s="351"/>
      <c r="G982" s="359"/>
      <c r="H982" s="359"/>
      <c r="I982" s="351"/>
      <c r="J982" s="359"/>
      <c r="K982" s="359"/>
      <c r="L982" s="359"/>
      <c r="M982" s="351"/>
      <c r="N982" s="351"/>
      <c r="O982" s="351"/>
      <c r="P982" s="351"/>
      <c r="Q982" s="351"/>
      <c r="R982" s="351"/>
      <c r="S982" s="351"/>
      <c r="T982" s="351"/>
      <c r="U982" s="351"/>
      <c r="V982" s="351"/>
      <c r="W982" s="351"/>
      <c r="X982" s="359"/>
      <c r="Y982" s="359"/>
      <c r="Z982" s="359"/>
      <c r="AA982" s="351"/>
      <c r="AB982" s="351"/>
      <c r="AC982" s="359"/>
      <c r="AD982" s="359"/>
      <c r="AE982" s="351"/>
      <c r="AF982" s="333"/>
      <c r="AG982" s="333"/>
      <c r="AH982" s="351"/>
      <c r="AI982" s="351"/>
      <c r="AJ982" s="351"/>
      <c r="AK982" s="351"/>
      <c r="AL982" s="351"/>
      <c r="AM982" s="351"/>
      <c r="AN982" s="351"/>
      <c r="AO982" s="351"/>
      <c r="AP982" s="351"/>
      <c r="AQ982" s="351"/>
      <c r="AR982" s="351"/>
      <c r="AS982" s="351"/>
      <c r="AT982" s="351"/>
      <c r="AU982" s="351"/>
      <c r="AV982" s="351"/>
      <c r="AW982" s="351"/>
      <c r="AX982" s="351"/>
      <c r="AY982" s="351"/>
    </row>
    <row r="983" spans="1:51" ht="13">
      <c r="A983" s="333"/>
      <c r="B983" s="351"/>
      <c r="C983" s="351"/>
      <c r="D983" s="351"/>
      <c r="E983" s="351"/>
      <c r="F983" s="351"/>
      <c r="G983" s="359"/>
      <c r="H983" s="359"/>
      <c r="I983" s="351"/>
      <c r="J983" s="359"/>
      <c r="K983" s="359"/>
      <c r="L983" s="359"/>
      <c r="M983" s="351"/>
      <c r="N983" s="351"/>
      <c r="O983" s="351"/>
      <c r="P983" s="351"/>
      <c r="Q983" s="351"/>
      <c r="R983" s="351"/>
      <c r="S983" s="351"/>
      <c r="T983" s="351"/>
      <c r="U983" s="351"/>
      <c r="V983" s="351"/>
      <c r="W983" s="351"/>
      <c r="X983" s="359"/>
      <c r="Y983" s="359"/>
      <c r="Z983" s="359"/>
      <c r="AA983" s="351"/>
      <c r="AB983" s="351"/>
      <c r="AC983" s="359"/>
      <c r="AD983" s="359"/>
      <c r="AE983" s="351"/>
      <c r="AF983" s="333"/>
      <c r="AG983" s="333"/>
      <c r="AH983" s="351"/>
      <c r="AI983" s="351"/>
      <c r="AJ983" s="351"/>
      <c r="AK983" s="351"/>
      <c r="AL983" s="351"/>
      <c r="AM983" s="351"/>
      <c r="AN983" s="351"/>
      <c r="AO983" s="351"/>
      <c r="AP983" s="351"/>
      <c r="AQ983" s="351"/>
      <c r="AR983" s="351"/>
      <c r="AS983" s="351"/>
      <c r="AT983" s="351"/>
      <c r="AU983" s="351"/>
      <c r="AV983" s="351"/>
      <c r="AW983" s="351"/>
      <c r="AX983" s="351"/>
      <c r="AY983" s="351"/>
    </row>
    <row r="984" spans="1:51" ht="13">
      <c r="A984" s="333"/>
      <c r="B984" s="351"/>
      <c r="C984" s="351"/>
      <c r="D984" s="351"/>
      <c r="E984" s="351"/>
      <c r="F984" s="351"/>
      <c r="G984" s="359"/>
      <c r="H984" s="359"/>
      <c r="I984" s="351"/>
      <c r="J984" s="359"/>
      <c r="K984" s="359"/>
      <c r="L984" s="359"/>
      <c r="M984" s="351"/>
      <c r="N984" s="351"/>
      <c r="O984" s="351"/>
      <c r="P984" s="351"/>
      <c r="Q984" s="351"/>
      <c r="R984" s="351"/>
      <c r="S984" s="351"/>
      <c r="T984" s="351"/>
      <c r="U984" s="351"/>
      <c r="V984" s="351"/>
      <c r="W984" s="351"/>
      <c r="X984" s="359"/>
      <c r="Y984" s="359"/>
      <c r="Z984" s="359"/>
      <c r="AA984" s="351"/>
      <c r="AB984" s="351"/>
      <c r="AC984" s="359"/>
      <c r="AD984" s="359"/>
      <c r="AE984" s="351"/>
      <c r="AF984" s="333"/>
      <c r="AG984" s="333"/>
      <c r="AH984" s="351"/>
      <c r="AI984" s="351"/>
      <c r="AJ984" s="351"/>
      <c r="AK984" s="351"/>
      <c r="AL984" s="351"/>
      <c r="AM984" s="351"/>
      <c r="AN984" s="351"/>
      <c r="AO984" s="351"/>
      <c r="AP984" s="351"/>
      <c r="AQ984" s="351"/>
      <c r="AR984" s="351"/>
      <c r="AS984" s="351"/>
      <c r="AT984" s="351"/>
      <c r="AU984" s="351"/>
      <c r="AV984" s="351"/>
      <c r="AW984" s="351"/>
      <c r="AX984" s="351"/>
      <c r="AY984" s="351"/>
    </row>
    <row r="985" spans="1:51" ht="13">
      <c r="A985" s="333"/>
      <c r="B985" s="351"/>
      <c r="C985" s="351"/>
      <c r="D985" s="351"/>
      <c r="E985" s="351"/>
      <c r="F985" s="351"/>
      <c r="G985" s="359"/>
      <c r="H985" s="359"/>
      <c r="I985" s="351"/>
      <c r="J985" s="359"/>
      <c r="K985" s="359"/>
      <c r="L985" s="359"/>
      <c r="M985" s="351"/>
      <c r="N985" s="351"/>
      <c r="O985" s="351"/>
      <c r="P985" s="351"/>
      <c r="Q985" s="351"/>
      <c r="R985" s="351"/>
      <c r="S985" s="351"/>
      <c r="T985" s="351"/>
      <c r="U985" s="351"/>
      <c r="V985" s="351"/>
      <c r="W985" s="351"/>
      <c r="X985" s="359"/>
      <c r="Y985" s="359"/>
      <c r="Z985" s="359"/>
      <c r="AA985" s="351"/>
      <c r="AB985" s="351"/>
      <c r="AC985" s="359"/>
      <c r="AD985" s="359"/>
      <c r="AE985" s="351"/>
      <c r="AF985" s="333"/>
      <c r="AG985" s="333"/>
      <c r="AH985" s="351"/>
      <c r="AI985" s="351"/>
      <c r="AJ985" s="351"/>
      <c r="AK985" s="351"/>
      <c r="AL985" s="351"/>
      <c r="AM985" s="351"/>
      <c r="AN985" s="351"/>
      <c r="AO985" s="351"/>
      <c r="AP985" s="351"/>
      <c r="AQ985" s="351"/>
      <c r="AR985" s="351"/>
      <c r="AS985" s="351"/>
      <c r="AT985" s="351"/>
      <c r="AU985" s="351"/>
      <c r="AV985" s="351"/>
      <c r="AW985" s="351"/>
      <c r="AX985" s="351"/>
      <c r="AY985" s="351"/>
    </row>
    <row r="986" spans="1:51" ht="13">
      <c r="A986" s="333"/>
      <c r="B986" s="351"/>
      <c r="C986" s="351"/>
      <c r="D986" s="351"/>
      <c r="E986" s="351"/>
      <c r="F986" s="351"/>
      <c r="G986" s="359"/>
      <c r="H986" s="359"/>
      <c r="I986" s="351"/>
      <c r="J986" s="359"/>
      <c r="K986" s="359"/>
      <c r="L986" s="359"/>
      <c r="M986" s="351"/>
      <c r="N986" s="351"/>
      <c r="O986" s="351"/>
      <c r="P986" s="351"/>
      <c r="Q986" s="351"/>
      <c r="R986" s="351"/>
      <c r="S986" s="351"/>
      <c r="T986" s="351"/>
      <c r="U986" s="351"/>
      <c r="V986" s="351"/>
      <c r="W986" s="351"/>
      <c r="X986" s="359"/>
      <c r="Y986" s="359"/>
      <c r="Z986" s="359"/>
      <c r="AA986" s="351"/>
      <c r="AB986" s="351"/>
      <c r="AC986" s="359"/>
      <c r="AD986" s="359"/>
      <c r="AE986" s="351"/>
      <c r="AF986" s="333"/>
      <c r="AG986" s="333"/>
      <c r="AH986" s="351"/>
      <c r="AI986" s="351"/>
      <c r="AJ986" s="351"/>
      <c r="AK986" s="351"/>
      <c r="AL986" s="351"/>
      <c r="AM986" s="351"/>
      <c r="AN986" s="351"/>
      <c r="AO986" s="351"/>
      <c r="AP986" s="351"/>
      <c r="AQ986" s="351"/>
      <c r="AR986" s="351"/>
      <c r="AS986" s="351"/>
      <c r="AT986" s="351"/>
      <c r="AU986" s="351"/>
      <c r="AV986" s="351"/>
      <c r="AW986" s="351"/>
      <c r="AX986" s="351"/>
      <c r="AY986" s="351"/>
    </row>
    <row r="987" spans="1:51" ht="13">
      <c r="A987" s="333"/>
      <c r="B987" s="351"/>
      <c r="C987" s="351"/>
      <c r="D987" s="351"/>
      <c r="E987" s="351"/>
      <c r="F987" s="351"/>
      <c r="G987" s="359"/>
      <c r="H987" s="359"/>
      <c r="I987" s="351"/>
      <c r="J987" s="359"/>
      <c r="K987" s="359"/>
      <c r="L987" s="359"/>
      <c r="M987" s="351"/>
      <c r="N987" s="351"/>
      <c r="O987" s="351"/>
      <c r="P987" s="351"/>
      <c r="Q987" s="351"/>
      <c r="R987" s="351"/>
      <c r="S987" s="351"/>
      <c r="T987" s="351"/>
      <c r="U987" s="351"/>
      <c r="V987" s="351"/>
      <c r="W987" s="351"/>
      <c r="X987" s="359"/>
      <c r="Y987" s="359"/>
      <c r="Z987" s="359"/>
      <c r="AA987" s="351"/>
      <c r="AB987" s="351"/>
      <c r="AC987" s="359"/>
      <c r="AD987" s="359"/>
      <c r="AE987" s="351"/>
      <c r="AF987" s="333"/>
      <c r="AG987" s="333"/>
      <c r="AH987" s="351"/>
      <c r="AI987" s="351"/>
      <c r="AJ987" s="351"/>
      <c r="AK987" s="351"/>
      <c r="AL987" s="351"/>
      <c r="AM987" s="351"/>
      <c r="AN987" s="351"/>
      <c r="AO987" s="351"/>
      <c r="AP987" s="351"/>
      <c r="AQ987" s="351"/>
      <c r="AR987" s="351"/>
      <c r="AS987" s="351"/>
      <c r="AT987" s="351"/>
      <c r="AU987" s="351"/>
      <c r="AV987" s="351"/>
      <c r="AW987" s="351"/>
      <c r="AX987" s="351"/>
      <c r="AY987" s="351"/>
    </row>
    <row r="988" spans="1:51" ht="13">
      <c r="A988" s="333"/>
      <c r="B988" s="351"/>
      <c r="C988" s="351"/>
      <c r="D988" s="351"/>
      <c r="E988" s="351"/>
      <c r="F988" s="351"/>
      <c r="G988" s="359"/>
      <c r="H988" s="359"/>
      <c r="I988" s="351"/>
      <c r="J988" s="359"/>
      <c r="K988" s="359"/>
      <c r="L988" s="359"/>
      <c r="M988" s="351"/>
      <c r="N988" s="351"/>
      <c r="O988" s="351"/>
      <c r="P988" s="351"/>
      <c r="Q988" s="351"/>
      <c r="R988" s="351"/>
      <c r="S988" s="351"/>
      <c r="T988" s="351"/>
      <c r="U988" s="351"/>
      <c r="V988" s="351"/>
      <c r="W988" s="351"/>
      <c r="X988" s="359"/>
      <c r="Y988" s="359"/>
      <c r="Z988" s="359"/>
      <c r="AA988" s="351"/>
      <c r="AB988" s="351"/>
      <c r="AC988" s="359"/>
      <c r="AD988" s="359"/>
      <c r="AE988" s="351"/>
      <c r="AF988" s="333"/>
      <c r="AG988" s="333"/>
      <c r="AH988" s="351"/>
      <c r="AI988" s="351"/>
      <c r="AJ988" s="351"/>
      <c r="AK988" s="351"/>
      <c r="AL988" s="351"/>
      <c r="AM988" s="351"/>
      <c r="AN988" s="351"/>
      <c r="AO988" s="351"/>
      <c r="AP988" s="351"/>
      <c r="AQ988" s="351"/>
      <c r="AR988" s="351"/>
      <c r="AS988" s="351"/>
      <c r="AT988" s="351"/>
      <c r="AU988" s="351"/>
      <c r="AV988" s="351"/>
      <c r="AW988" s="351"/>
      <c r="AX988" s="351"/>
      <c r="AY988" s="351"/>
    </row>
    <row r="989" spans="1:51" ht="13">
      <c r="A989" s="333"/>
      <c r="B989" s="351"/>
      <c r="C989" s="351"/>
      <c r="D989" s="351"/>
      <c r="E989" s="351"/>
      <c r="F989" s="351"/>
      <c r="G989" s="359"/>
      <c r="H989" s="359"/>
      <c r="I989" s="351"/>
      <c r="J989" s="359"/>
      <c r="K989" s="359"/>
      <c r="L989" s="359"/>
      <c r="M989" s="351"/>
      <c r="N989" s="351"/>
      <c r="O989" s="351"/>
      <c r="P989" s="351"/>
      <c r="Q989" s="351"/>
      <c r="R989" s="351"/>
      <c r="S989" s="351"/>
      <c r="T989" s="351"/>
      <c r="U989" s="351"/>
      <c r="V989" s="351"/>
      <c r="W989" s="351"/>
      <c r="X989" s="359"/>
      <c r="Y989" s="359"/>
      <c r="Z989" s="359"/>
      <c r="AA989" s="351"/>
      <c r="AB989" s="351"/>
      <c r="AC989" s="359"/>
      <c r="AD989" s="359"/>
      <c r="AE989" s="351"/>
      <c r="AF989" s="333"/>
      <c r="AG989" s="333"/>
      <c r="AH989" s="351"/>
      <c r="AI989" s="351"/>
      <c r="AJ989" s="351"/>
      <c r="AK989" s="351"/>
      <c r="AL989" s="351"/>
      <c r="AM989" s="351"/>
      <c r="AN989" s="351"/>
      <c r="AO989" s="351"/>
      <c r="AP989" s="351"/>
      <c r="AQ989" s="351"/>
      <c r="AR989" s="351"/>
      <c r="AS989" s="351"/>
      <c r="AT989" s="351"/>
      <c r="AU989" s="351"/>
      <c r="AV989" s="351"/>
      <c r="AW989" s="351"/>
      <c r="AX989" s="351"/>
      <c r="AY989" s="351"/>
    </row>
    <row r="990" spans="1:51" ht="13">
      <c r="A990" s="333"/>
      <c r="B990" s="351"/>
      <c r="C990" s="351"/>
      <c r="D990" s="351"/>
      <c r="E990" s="351"/>
      <c r="F990" s="351"/>
      <c r="G990" s="359"/>
      <c r="H990" s="359"/>
      <c r="I990" s="351"/>
      <c r="J990" s="359"/>
      <c r="K990" s="359"/>
      <c r="L990" s="359"/>
      <c r="M990" s="351"/>
      <c r="N990" s="351"/>
      <c r="O990" s="351"/>
      <c r="P990" s="351"/>
      <c r="Q990" s="351"/>
      <c r="R990" s="351"/>
      <c r="S990" s="351"/>
      <c r="T990" s="351"/>
      <c r="U990" s="351"/>
      <c r="V990" s="351"/>
      <c r="W990" s="351"/>
      <c r="X990" s="359"/>
      <c r="Y990" s="359"/>
      <c r="Z990" s="359"/>
      <c r="AA990" s="351"/>
      <c r="AB990" s="351"/>
      <c r="AC990" s="359"/>
      <c r="AD990" s="359"/>
      <c r="AE990" s="351"/>
      <c r="AF990" s="333"/>
      <c r="AG990" s="333"/>
      <c r="AH990" s="351"/>
      <c r="AI990" s="351"/>
      <c r="AJ990" s="351"/>
      <c r="AK990" s="351"/>
      <c r="AL990" s="351"/>
      <c r="AM990" s="351"/>
      <c r="AN990" s="351"/>
      <c r="AO990" s="351"/>
      <c r="AP990" s="351"/>
      <c r="AQ990" s="351"/>
      <c r="AR990" s="351"/>
      <c r="AS990" s="351"/>
      <c r="AT990" s="351"/>
      <c r="AU990" s="351"/>
      <c r="AV990" s="351"/>
      <c r="AW990" s="351"/>
      <c r="AX990" s="351"/>
      <c r="AY990" s="351"/>
    </row>
    <row r="991" spans="1:51" ht="13">
      <c r="A991" s="333"/>
      <c r="B991" s="351"/>
      <c r="C991" s="351"/>
      <c r="D991" s="351"/>
      <c r="E991" s="351"/>
      <c r="F991" s="351"/>
      <c r="G991" s="359"/>
      <c r="H991" s="359"/>
      <c r="I991" s="351"/>
      <c r="J991" s="359"/>
      <c r="K991" s="359"/>
      <c r="L991" s="359"/>
      <c r="M991" s="351"/>
      <c r="N991" s="351"/>
      <c r="O991" s="351"/>
      <c r="P991" s="351"/>
      <c r="Q991" s="351"/>
      <c r="R991" s="351"/>
      <c r="S991" s="351"/>
      <c r="T991" s="351"/>
      <c r="U991" s="351"/>
      <c r="V991" s="351"/>
      <c r="W991" s="351"/>
      <c r="X991" s="359"/>
      <c r="Y991" s="359"/>
      <c r="Z991" s="359"/>
      <c r="AA991" s="351"/>
      <c r="AB991" s="351"/>
      <c r="AC991" s="359"/>
      <c r="AD991" s="359"/>
      <c r="AE991" s="351"/>
      <c r="AF991" s="333"/>
      <c r="AG991" s="333"/>
      <c r="AH991" s="351"/>
      <c r="AI991" s="351"/>
      <c r="AJ991" s="351"/>
      <c r="AK991" s="351"/>
      <c r="AL991" s="351"/>
      <c r="AM991" s="351"/>
      <c r="AN991" s="351"/>
      <c r="AO991" s="351"/>
      <c r="AP991" s="351"/>
      <c r="AQ991" s="351"/>
      <c r="AR991" s="351"/>
      <c r="AS991" s="351"/>
      <c r="AT991" s="351"/>
      <c r="AU991" s="351"/>
      <c r="AV991" s="351"/>
      <c r="AW991" s="351"/>
      <c r="AX991" s="351"/>
      <c r="AY991" s="351"/>
    </row>
    <row r="992" spans="1:51" ht="13">
      <c r="A992" s="333"/>
      <c r="B992" s="351"/>
      <c r="C992" s="351"/>
      <c r="D992" s="351"/>
      <c r="E992" s="351"/>
      <c r="F992" s="351"/>
      <c r="G992" s="359"/>
      <c r="H992" s="359"/>
      <c r="I992" s="351"/>
      <c r="J992" s="359"/>
      <c r="K992" s="359"/>
      <c r="L992" s="359"/>
      <c r="M992" s="351"/>
      <c r="N992" s="351"/>
      <c r="O992" s="351"/>
      <c r="P992" s="351"/>
      <c r="Q992" s="351"/>
      <c r="R992" s="351"/>
      <c r="S992" s="351"/>
      <c r="T992" s="351"/>
      <c r="U992" s="351"/>
      <c r="V992" s="351"/>
      <c r="W992" s="351"/>
      <c r="X992" s="359"/>
      <c r="Y992" s="359"/>
      <c r="Z992" s="359"/>
      <c r="AA992" s="351"/>
      <c r="AB992" s="351"/>
      <c r="AC992" s="359"/>
      <c r="AD992" s="359"/>
      <c r="AE992" s="351"/>
      <c r="AF992" s="333"/>
      <c r="AG992" s="333"/>
      <c r="AH992" s="351"/>
      <c r="AI992" s="351"/>
      <c r="AJ992" s="351"/>
      <c r="AK992" s="351"/>
      <c r="AL992" s="351"/>
      <c r="AM992" s="351"/>
      <c r="AN992" s="351"/>
      <c r="AO992" s="351"/>
      <c r="AP992" s="351"/>
      <c r="AQ992" s="351"/>
      <c r="AR992" s="351"/>
      <c r="AS992" s="351"/>
      <c r="AT992" s="351"/>
      <c r="AU992" s="351"/>
      <c r="AV992" s="351"/>
      <c r="AW992" s="351"/>
      <c r="AX992" s="351"/>
      <c r="AY992" s="351"/>
    </row>
    <row r="993" spans="1:51" ht="13">
      <c r="A993" s="333"/>
      <c r="B993" s="351"/>
      <c r="C993" s="351"/>
      <c r="D993" s="351"/>
      <c r="E993" s="351"/>
      <c r="F993" s="351"/>
      <c r="G993" s="359"/>
      <c r="H993" s="359"/>
      <c r="I993" s="351"/>
      <c r="J993" s="359"/>
      <c r="K993" s="359"/>
      <c r="L993" s="359"/>
      <c r="M993" s="351"/>
      <c r="N993" s="351"/>
      <c r="O993" s="351"/>
      <c r="P993" s="351"/>
      <c r="Q993" s="351"/>
      <c r="R993" s="351"/>
      <c r="S993" s="351"/>
      <c r="T993" s="351"/>
      <c r="U993" s="351"/>
      <c r="V993" s="351"/>
      <c r="W993" s="351"/>
      <c r="X993" s="359"/>
      <c r="Y993" s="359"/>
      <c r="Z993" s="359"/>
      <c r="AA993" s="351"/>
      <c r="AB993" s="351"/>
      <c r="AC993" s="359"/>
      <c r="AD993" s="359"/>
      <c r="AE993" s="351"/>
      <c r="AF993" s="333"/>
      <c r="AG993" s="333"/>
      <c r="AH993" s="351"/>
      <c r="AI993" s="351"/>
      <c r="AJ993" s="351"/>
      <c r="AK993" s="351"/>
      <c r="AL993" s="351"/>
      <c r="AM993" s="351"/>
      <c r="AN993" s="351"/>
      <c r="AO993" s="351"/>
      <c r="AP993" s="351"/>
      <c r="AQ993" s="351"/>
      <c r="AR993" s="351"/>
      <c r="AS993" s="351"/>
      <c r="AT993" s="351"/>
      <c r="AU993" s="351"/>
      <c r="AV993" s="351"/>
      <c r="AW993" s="351"/>
      <c r="AX993" s="351"/>
      <c r="AY993" s="351"/>
    </row>
    <row r="994" spans="1:51" ht="13">
      <c r="A994" s="333"/>
      <c r="B994" s="351"/>
      <c r="C994" s="351"/>
      <c r="D994" s="351"/>
      <c r="E994" s="351"/>
      <c r="F994" s="351"/>
      <c r="G994" s="359"/>
      <c r="H994" s="359"/>
      <c r="I994" s="351"/>
      <c r="J994" s="359"/>
      <c r="K994" s="359"/>
      <c r="L994" s="359"/>
      <c r="M994" s="351"/>
      <c r="N994" s="351"/>
      <c r="O994" s="351"/>
      <c r="P994" s="351"/>
      <c r="Q994" s="351"/>
      <c r="R994" s="351"/>
      <c r="S994" s="351"/>
      <c r="T994" s="351"/>
      <c r="U994" s="351"/>
      <c r="V994" s="351"/>
      <c r="W994" s="351"/>
      <c r="X994" s="359"/>
      <c r="Y994" s="359"/>
      <c r="Z994" s="359"/>
      <c r="AA994" s="351"/>
      <c r="AB994" s="351"/>
      <c r="AC994" s="359"/>
      <c r="AD994" s="359"/>
      <c r="AE994" s="351"/>
      <c r="AF994" s="333"/>
      <c r="AG994" s="333"/>
      <c r="AH994" s="351"/>
      <c r="AI994" s="351"/>
      <c r="AJ994" s="351"/>
      <c r="AK994" s="351"/>
      <c r="AL994" s="351"/>
      <c r="AM994" s="351"/>
      <c r="AN994" s="351"/>
      <c r="AO994" s="351"/>
      <c r="AP994" s="351"/>
      <c r="AQ994" s="351"/>
      <c r="AR994" s="351"/>
      <c r="AS994" s="351"/>
      <c r="AT994" s="351"/>
      <c r="AU994" s="351"/>
      <c r="AV994" s="351"/>
      <c r="AW994" s="351"/>
      <c r="AX994" s="351"/>
      <c r="AY994" s="351"/>
    </row>
    <row r="995" spans="1:51" ht="13">
      <c r="A995" s="333"/>
      <c r="B995" s="351"/>
      <c r="C995" s="351"/>
      <c r="D995" s="351"/>
      <c r="E995" s="351"/>
      <c r="F995" s="351"/>
      <c r="G995" s="359"/>
      <c r="H995" s="359"/>
      <c r="I995" s="351"/>
      <c r="J995" s="359"/>
      <c r="K995" s="359"/>
      <c r="L995" s="359"/>
      <c r="M995" s="351"/>
      <c r="N995" s="351"/>
      <c r="O995" s="351"/>
      <c r="P995" s="351"/>
      <c r="Q995" s="351"/>
      <c r="R995" s="351"/>
      <c r="S995" s="351"/>
      <c r="T995" s="351"/>
      <c r="U995" s="351"/>
      <c r="V995" s="351"/>
      <c r="W995" s="351"/>
      <c r="X995" s="359"/>
      <c r="Y995" s="359"/>
      <c r="Z995" s="359"/>
      <c r="AA995" s="351"/>
      <c r="AB995" s="351"/>
      <c r="AC995" s="359"/>
      <c r="AD995" s="359"/>
      <c r="AE995" s="351"/>
      <c r="AF995" s="333"/>
      <c r="AG995" s="333"/>
      <c r="AH995" s="351"/>
      <c r="AI995" s="351"/>
      <c r="AJ995" s="351"/>
      <c r="AK995" s="351"/>
      <c r="AL995" s="351"/>
      <c r="AM995" s="351"/>
      <c r="AN995" s="351"/>
      <c r="AO995" s="351"/>
      <c r="AP995" s="351"/>
      <c r="AQ995" s="351"/>
      <c r="AR995" s="351"/>
      <c r="AS995" s="351"/>
      <c r="AT995" s="351"/>
      <c r="AU995" s="351"/>
      <c r="AV995" s="351"/>
      <c r="AW995" s="351"/>
      <c r="AX995" s="351"/>
      <c r="AY995" s="351"/>
    </row>
    <row r="996" spans="1:51" ht="13">
      <c r="A996" s="333"/>
      <c r="B996" s="351"/>
      <c r="C996" s="351"/>
      <c r="D996" s="351"/>
      <c r="E996" s="351"/>
      <c r="F996" s="351"/>
      <c r="G996" s="359"/>
      <c r="H996" s="359"/>
      <c r="I996" s="351"/>
      <c r="J996" s="359"/>
      <c r="K996" s="359"/>
      <c r="L996" s="359"/>
      <c r="M996" s="351"/>
      <c r="N996" s="351"/>
      <c r="O996" s="351"/>
      <c r="P996" s="351"/>
      <c r="Q996" s="351"/>
      <c r="R996" s="351"/>
      <c r="S996" s="351"/>
      <c r="T996" s="351"/>
      <c r="U996" s="351"/>
      <c r="V996" s="351"/>
      <c r="W996" s="351"/>
      <c r="X996" s="359"/>
      <c r="Y996" s="359"/>
      <c r="Z996" s="359"/>
      <c r="AA996" s="351"/>
      <c r="AB996" s="351"/>
      <c r="AC996" s="359"/>
      <c r="AD996" s="359"/>
      <c r="AE996" s="351"/>
      <c r="AF996" s="333"/>
      <c r="AG996" s="333"/>
      <c r="AH996" s="351"/>
      <c r="AI996" s="351"/>
      <c r="AJ996" s="351"/>
      <c r="AK996" s="351"/>
      <c r="AL996" s="351"/>
      <c r="AM996" s="351"/>
      <c r="AN996" s="351"/>
      <c r="AO996" s="351"/>
      <c r="AP996" s="351"/>
      <c r="AQ996" s="351"/>
      <c r="AR996" s="351"/>
      <c r="AS996" s="351"/>
      <c r="AT996" s="351"/>
      <c r="AU996" s="351"/>
      <c r="AV996" s="351"/>
      <c r="AW996" s="351"/>
      <c r="AX996" s="351"/>
      <c r="AY996" s="351"/>
    </row>
    <row r="997" spans="1:51" ht="13">
      <c r="A997" s="333"/>
      <c r="B997" s="351"/>
      <c r="C997" s="351"/>
      <c r="D997" s="351"/>
      <c r="E997" s="351"/>
      <c r="F997" s="351"/>
      <c r="G997" s="359"/>
      <c r="H997" s="359"/>
      <c r="I997" s="351"/>
      <c r="J997" s="359"/>
      <c r="K997" s="359"/>
      <c r="L997" s="359"/>
      <c r="M997" s="351"/>
      <c r="N997" s="351"/>
      <c r="O997" s="351"/>
      <c r="P997" s="351"/>
      <c r="Q997" s="351"/>
      <c r="R997" s="351"/>
      <c r="S997" s="351"/>
      <c r="T997" s="351"/>
      <c r="U997" s="351"/>
      <c r="V997" s="351"/>
      <c r="W997" s="351"/>
      <c r="X997" s="359"/>
      <c r="Y997" s="359"/>
      <c r="Z997" s="359"/>
      <c r="AA997" s="351"/>
      <c r="AB997" s="351"/>
      <c r="AC997" s="359"/>
      <c r="AD997" s="359"/>
      <c r="AE997" s="351"/>
      <c r="AF997" s="333"/>
      <c r="AG997" s="333"/>
      <c r="AH997" s="351"/>
      <c r="AI997" s="351"/>
      <c r="AJ997" s="351"/>
      <c r="AK997" s="351"/>
      <c r="AL997" s="351"/>
      <c r="AM997" s="351"/>
      <c r="AN997" s="351"/>
      <c r="AO997" s="351"/>
      <c r="AP997" s="351"/>
      <c r="AQ997" s="351"/>
      <c r="AR997" s="351"/>
      <c r="AS997" s="351"/>
      <c r="AT997" s="351"/>
      <c r="AU997" s="351"/>
      <c r="AV997" s="351"/>
      <c r="AW997" s="351"/>
      <c r="AX997" s="351"/>
      <c r="AY997" s="351"/>
    </row>
    <row r="998" spans="1:51" ht="13">
      <c r="A998" s="333"/>
      <c r="B998" s="351"/>
      <c r="C998" s="351"/>
      <c r="D998" s="351"/>
      <c r="E998" s="351"/>
      <c r="F998" s="351"/>
      <c r="G998" s="359"/>
      <c r="H998" s="359"/>
      <c r="I998" s="351"/>
      <c r="J998" s="359"/>
      <c r="K998" s="359"/>
      <c r="L998" s="359"/>
      <c r="M998" s="351"/>
      <c r="N998" s="351"/>
      <c r="O998" s="351"/>
      <c r="P998" s="351"/>
      <c r="Q998" s="351"/>
      <c r="R998" s="351"/>
      <c r="S998" s="351"/>
      <c r="T998" s="351"/>
      <c r="U998" s="351"/>
      <c r="V998" s="351"/>
      <c r="W998" s="351"/>
      <c r="X998" s="359"/>
      <c r="Y998" s="359"/>
      <c r="Z998" s="359"/>
      <c r="AA998" s="351"/>
      <c r="AB998" s="351"/>
      <c r="AC998" s="359"/>
      <c r="AD998" s="359"/>
      <c r="AE998" s="351"/>
      <c r="AF998" s="333"/>
      <c r="AG998" s="333"/>
      <c r="AH998" s="351"/>
      <c r="AI998" s="351"/>
      <c r="AJ998" s="351"/>
      <c r="AK998" s="351"/>
      <c r="AL998" s="351"/>
      <c r="AM998" s="351"/>
      <c r="AN998" s="351"/>
      <c r="AO998" s="351"/>
      <c r="AP998" s="351"/>
      <c r="AQ998" s="351"/>
      <c r="AR998" s="351"/>
      <c r="AS998" s="351"/>
      <c r="AT998" s="351"/>
      <c r="AU998" s="351"/>
      <c r="AV998" s="351"/>
      <c r="AW998" s="351"/>
      <c r="AX998" s="351"/>
      <c r="AY998" s="351"/>
    </row>
    <row r="999" spans="1:51" ht="13">
      <c r="A999" s="333"/>
      <c r="B999" s="351"/>
      <c r="C999" s="351"/>
      <c r="D999" s="351"/>
      <c r="E999" s="351"/>
      <c r="F999" s="351"/>
      <c r="G999" s="359"/>
      <c r="H999" s="359"/>
      <c r="I999" s="351"/>
      <c r="J999" s="359"/>
      <c r="K999" s="359"/>
      <c r="L999" s="359"/>
      <c r="M999" s="351"/>
      <c r="N999" s="351"/>
      <c r="O999" s="351"/>
      <c r="P999" s="351"/>
      <c r="Q999" s="351"/>
      <c r="R999" s="351"/>
      <c r="S999" s="351"/>
      <c r="T999" s="351"/>
      <c r="U999" s="351"/>
      <c r="V999" s="351"/>
      <c r="W999" s="351"/>
      <c r="X999" s="359"/>
      <c r="Y999" s="359"/>
      <c r="Z999" s="359"/>
      <c r="AA999" s="351"/>
      <c r="AB999" s="351"/>
      <c r="AC999" s="359"/>
      <c r="AD999" s="359"/>
      <c r="AE999" s="351"/>
      <c r="AF999" s="333"/>
      <c r="AG999" s="333"/>
      <c r="AH999" s="351"/>
      <c r="AI999" s="351"/>
      <c r="AJ999" s="351"/>
      <c r="AK999" s="351"/>
      <c r="AL999" s="351"/>
      <c r="AM999" s="351"/>
      <c r="AN999" s="351"/>
      <c r="AO999" s="351"/>
      <c r="AP999" s="351"/>
      <c r="AQ999" s="351"/>
      <c r="AR999" s="351"/>
      <c r="AS999" s="351"/>
      <c r="AT999" s="351"/>
      <c r="AU999" s="351"/>
      <c r="AV999" s="351"/>
      <c r="AW999" s="351"/>
      <c r="AX999" s="351"/>
      <c r="AY999" s="351"/>
    </row>
    <row r="1000" spans="1:51" ht="13">
      <c r="A1000" s="333"/>
      <c r="B1000" s="351"/>
      <c r="C1000" s="351"/>
      <c r="D1000" s="351"/>
      <c r="E1000" s="351"/>
      <c r="F1000" s="351"/>
      <c r="G1000" s="359"/>
      <c r="H1000" s="359"/>
      <c r="I1000" s="351"/>
      <c r="J1000" s="359"/>
      <c r="K1000" s="359"/>
      <c r="L1000" s="359"/>
      <c r="M1000" s="351"/>
      <c r="N1000" s="351"/>
      <c r="O1000" s="351"/>
      <c r="P1000" s="351"/>
      <c r="Q1000" s="351"/>
      <c r="R1000" s="351"/>
      <c r="S1000" s="351"/>
      <c r="T1000" s="351"/>
      <c r="U1000" s="351"/>
      <c r="V1000" s="351"/>
      <c r="W1000" s="351"/>
      <c r="X1000" s="359"/>
      <c r="Y1000" s="359"/>
      <c r="Z1000" s="359"/>
      <c r="AA1000" s="351"/>
      <c r="AB1000" s="351"/>
      <c r="AC1000" s="359"/>
      <c r="AD1000" s="359"/>
      <c r="AE1000" s="351"/>
      <c r="AF1000" s="333"/>
      <c r="AG1000" s="333"/>
      <c r="AH1000" s="351"/>
      <c r="AI1000" s="351"/>
      <c r="AJ1000" s="351"/>
      <c r="AK1000" s="351"/>
      <c r="AL1000" s="351"/>
      <c r="AM1000" s="351"/>
      <c r="AN1000" s="351"/>
      <c r="AO1000" s="351"/>
      <c r="AP1000" s="351"/>
      <c r="AQ1000" s="351"/>
      <c r="AR1000" s="351"/>
      <c r="AS1000" s="351"/>
      <c r="AT1000" s="351"/>
      <c r="AU1000" s="351"/>
      <c r="AV1000" s="351"/>
      <c r="AW1000" s="351"/>
      <c r="AX1000" s="351"/>
      <c r="AY1000" s="351"/>
    </row>
    <row r="1001" spans="1:51" ht="13">
      <c r="A1001" s="333"/>
      <c r="B1001" s="351"/>
      <c r="C1001" s="351"/>
      <c r="D1001" s="351"/>
      <c r="E1001" s="351"/>
      <c r="F1001" s="351"/>
      <c r="G1001" s="359"/>
      <c r="H1001" s="359"/>
      <c r="I1001" s="351"/>
      <c r="J1001" s="359"/>
      <c r="K1001" s="359"/>
      <c r="L1001" s="359"/>
      <c r="M1001" s="351"/>
      <c r="N1001" s="351"/>
      <c r="O1001" s="351"/>
      <c r="P1001" s="351"/>
      <c r="Q1001" s="351"/>
      <c r="R1001" s="351"/>
      <c r="S1001" s="351"/>
      <c r="T1001" s="351"/>
      <c r="U1001" s="351"/>
      <c r="V1001" s="351"/>
      <c r="W1001" s="351"/>
      <c r="X1001" s="359"/>
      <c r="Y1001" s="359"/>
      <c r="Z1001" s="359"/>
      <c r="AA1001" s="351"/>
      <c r="AB1001" s="351"/>
      <c r="AC1001" s="359"/>
      <c r="AD1001" s="359"/>
      <c r="AE1001" s="351"/>
      <c r="AF1001" s="333"/>
      <c r="AG1001" s="333"/>
      <c r="AH1001" s="351"/>
      <c r="AI1001" s="351"/>
      <c r="AJ1001" s="351"/>
      <c r="AK1001" s="351"/>
      <c r="AL1001" s="351"/>
      <c r="AM1001" s="351"/>
      <c r="AN1001" s="351"/>
      <c r="AO1001" s="351"/>
      <c r="AP1001" s="351"/>
      <c r="AQ1001" s="351"/>
      <c r="AR1001" s="351"/>
      <c r="AS1001" s="351"/>
      <c r="AT1001" s="351"/>
      <c r="AU1001" s="351"/>
      <c r="AV1001" s="351"/>
      <c r="AW1001" s="351"/>
      <c r="AX1001" s="351"/>
      <c r="AY1001" s="351"/>
    </row>
    <row r="1002" spans="1:51" ht="13">
      <c r="A1002" s="333"/>
      <c r="B1002" s="351"/>
      <c r="C1002" s="351"/>
      <c r="D1002" s="351"/>
      <c r="E1002" s="351"/>
      <c r="F1002" s="351"/>
      <c r="G1002" s="359"/>
      <c r="H1002" s="359"/>
      <c r="I1002" s="351"/>
      <c r="J1002" s="359"/>
      <c r="K1002" s="359"/>
      <c r="L1002" s="359"/>
      <c r="M1002" s="351"/>
      <c r="N1002" s="351"/>
      <c r="O1002" s="351"/>
      <c r="P1002" s="351"/>
      <c r="Q1002" s="351"/>
      <c r="R1002" s="351"/>
      <c r="S1002" s="351"/>
      <c r="T1002" s="351"/>
      <c r="U1002" s="351"/>
      <c r="V1002" s="351"/>
      <c r="W1002" s="351"/>
      <c r="X1002" s="359"/>
      <c r="Y1002" s="359"/>
      <c r="Z1002" s="359"/>
      <c r="AA1002" s="351"/>
      <c r="AB1002" s="351"/>
      <c r="AC1002" s="359"/>
      <c r="AD1002" s="359"/>
      <c r="AE1002" s="351"/>
      <c r="AF1002" s="333"/>
      <c r="AG1002" s="333"/>
      <c r="AH1002" s="351"/>
      <c r="AI1002" s="351"/>
      <c r="AJ1002" s="351"/>
      <c r="AK1002" s="351"/>
      <c r="AL1002" s="351"/>
      <c r="AM1002" s="351"/>
      <c r="AN1002" s="351"/>
      <c r="AO1002" s="351"/>
      <c r="AP1002" s="351"/>
      <c r="AQ1002" s="351"/>
      <c r="AR1002" s="351"/>
      <c r="AS1002" s="351"/>
      <c r="AT1002" s="351"/>
      <c r="AU1002" s="351"/>
      <c r="AV1002" s="351"/>
      <c r="AW1002" s="351"/>
      <c r="AX1002" s="351"/>
      <c r="AY1002" s="351"/>
    </row>
    <row r="1003" spans="1:51" ht="13">
      <c r="A1003" s="333"/>
      <c r="B1003" s="351"/>
      <c r="C1003" s="351"/>
      <c r="D1003" s="351"/>
      <c r="E1003" s="351"/>
      <c r="F1003" s="351"/>
      <c r="G1003" s="359"/>
      <c r="H1003" s="359"/>
      <c r="I1003" s="351"/>
      <c r="J1003" s="359"/>
      <c r="K1003" s="359"/>
      <c r="L1003" s="359"/>
      <c r="M1003" s="351"/>
      <c r="N1003" s="351"/>
      <c r="O1003" s="351"/>
      <c r="P1003" s="351"/>
      <c r="Q1003" s="351"/>
      <c r="R1003" s="351"/>
      <c r="S1003" s="351"/>
      <c r="T1003" s="351"/>
      <c r="U1003" s="351"/>
      <c r="V1003" s="351"/>
      <c r="W1003" s="351"/>
      <c r="X1003" s="359"/>
      <c r="Y1003" s="359"/>
      <c r="Z1003" s="359"/>
      <c r="AA1003" s="351"/>
      <c r="AB1003" s="351"/>
      <c r="AC1003" s="359"/>
      <c r="AD1003" s="359"/>
      <c r="AE1003" s="351"/>
      <c r="AF1003" s="333"/>
      <c r="AG1003" s="333"/>
      <c r="AH1003" s="351"/>
      <c r="AI1003" s="351"/>
      <c r="AJ1003" s="351"/>
      <c r="AK1003" s="351"/>
      <c r="AL1003" s="351"/>
      <c r="AM1003" s="351"/>
      <c r="AN1003" s="351"/>
      <c r="AO1003" s="351"/>
      <c r="AP1003" s="351"/>
      <c r="AQ1003" s="351"/>
      <c r="AR1003" s="351"/>
      <c r="AS1003" s="351"/>
      <c r="AT1003" s="351"/>
      <c r="AU1003" s="351"/>
      <c r="AV1003" s="351"/>
      <c r="AW1003" s="351"/>
      <c r="AX1003" s="351"/>
      <c r="AY1003" s="351"/>
    </row>
    <row r="1004" spans="1:51" ht="13">
      <c r="A1004" s="333"/>
      <c r="B1004" s="351"/>
      <c r="C1004" s="351"/>
      <c r="D1004" s="351"/>
      <c r="E1004" s="351"/>
      <c r="F1004" s="351"/>
      <c r="G1004" s="359"/>
      <c r="H1004" s="359"/>
      <c r="I1004" s="351"/>
      <c r="J1004" s="359"/>
      <c r="K1004" s="359"/>
      <c r="L1004" s="359"/>
      <c r="M1004" s="351"/>
      <c r="N1004" s="351"/>
      <c r="O1004" s="351"/>
      <c r="P1004" s="351"/>
      <c r="Q1004" s="351"/>
      <c r="R1004" s="351"/>
      <c r="S1004" s="351"/>
      <c r="T1004" s="351"/>
      <c r="U1004" s="351"/>
      <c r="V1004" s="351"/>
      <c r="W1004" s="351"/>
      <c r="X1004" s="359"/>
      <c r="Y1004" s="359"/>
      <c r="Z1004" s="359"/>
      <c r="AA1004" s="351"/>
      <c r="AB1004" s="351"/>
      <c r="AC1004" s="359"/>
      <c r="AD1004" s="359"/>
      <c r="AE1004" s="351"/>
      <c r="AF1004" s="333"/>
      <c r="AG1004" s="333"/>
      <c r="AH1004" s="351"/>
      <c r="AI1004" s="351"/>
      <c r="AJ1004" s="351"/>
      <c r="AK1004" s="351"/>
      <c r="AL1004" s="351"/>
      <c r="AM1004" s="351"/>
      <c r="AN1004" s="351"/>
      <c r="AO1004" s="351"/>
      <c r="AP1004" s="351"/>
      <c r="AQ1004" s="351"/>
      <c r="AR1004" s="351"/>
      <c r="AS1004" s="351"/>
      <c r="AT1004" s="351"/>
      <c r="AU1004" s="351"/>
      <c r="AV1004" s="351"/>
      <c r="AW1004" s="351"/>
      <c r="AX1004" s="351"/>
      <c r="AY1004" s="351"/>
    </row>
    <row r="1005" spans="1:51" ht="13">
      <c r="A1005" s="333"/>
      <c r="B1005" s="351"/>
      <c r="C1005" s="351"/>
      <c r="D1005" s="351"/>
      <c r="E1005" s="351"/>
      <c r="F1005" s="351"/>
      <c r="G1005" s="359"/>
      <c r="H1005" s="359"/>
      <c r="I1005" s="351"/>
      <c r="J1005" s="359"/>
      <c r="K1005" s="359"/>
      <c r="L1005" s="359"/>
      <c r="M1005" s="351"/>
      <c r="N1005" s="351"/>
      <c r="O1005" s="351"/>
      <c r="P1005" s="351"/>
      <c r="Q1005" s="351"/>
      <c r="R1005" s="351"/>
      <c r="S1005" s="351"/>
      <c r="T1005" s="351"/>
      <c r="U1005" s="351"/>
      <c r="V1005" s="351"/>
      <c r="W1005" s="351"/>
      <c r="X1005" s="359"/>
      <c r="Y1005" s="359"/>
      <c r="Z1005" s="359"/>
      <c r="AA1005" s="351"/>
      <c r="AB1005" s="351"/>
      <c r="AC1005" s="359"/>
      <c r="AD1005" s="359"/>
      <c r="AE1005" s="351"/>
      <c r="AF1005" s="333"/>
      <c r="AG1005" s="333"/>
      <c r="AH1005" s="351"/>
      <c r="AI1005" s="351"/>
      <c r="AJ1005" s="351"/>
      <c r="AK1005" s="351"/>
      <c r="AL1005" s="351"/>
      <c r="AM1005" s="351"/>
      <c r="AN1005" s="351"/>
      <c r="AO1005" s="351"/>
      <c r="AP1005" s="351"/>
      <c r="AQ1005" s="351"/>
      <c r="AR1005" s="351"/>
      <c r="AS1005" s="351"/>
      <c r="AT1005" s="351"/>
      <c r="AU1005" s="351"/>
      <c r="AV1005" s="351"/>
      <c r="AW1005" s="351"/>
      <c r="AX1005" s="351"/>
      <c r="AY1005" s="351"/>
    </row>
    <row r="1006" spans="1:51" ht="13">
      <c r="A1006" s="333"/>
      <c r="B1006" s="351"/>
      <c r="C1006" s="351"/>
      <c r="D1006" s="351"/>
      <c r="E1006" s="351"/>
      <c r="F1006" s="351"/>
      <c r="G1006" s="359"/>
      <c r="H1006" s="359"/>
      <c r="I1006" s="351"/>
      <c r="J1006" s="359"/>
      <c r="K1006" s="359"/>
      <c r="L1006" s="359"/>
      <c r="M1006" s="351"/>
      <c r="N1006" s="351"/>
      <c r="O1006" s="351"/>
      <c r="P1006" s="351"/>
      <c r="Q1006" s="351"/>
      <c r="R1006" s="351"/>
      <c r="S1006" s="351"/>
      <c r="T1006" s="351"/>
      <c r="U1006" s="351"/>
      <c r="V1006" s="351"/>
      <c r="W1006" s="351"/>
      <c r="X1006" s="359"/>
      <c r="Y1006" s="359"/>
      <c r="Z1006" s="359"/>
      <c r="AA1006" s="351"/>
      <c r="AB1006" s="351"/>
      <c r="AC1006" s="359"/>
      <c r="AD1006" s="359"/>
      <c r="AE1006" s="351"/>
      <c r="AF1006" s="333"/>
      <c r="AG1006" s="333"/>
      <c r="AH1006" s="351"/>
      <c r="AI1006" s="351"/>
      <c r="AJ1006" s="351"/>
      <c r="AK1006" s="351"/>
      <c r="AL1006" s="351"/>
      <c r="AM1006" s="351"/>
      <c r="AN1006" s="351"/>
      <c r="AO1006" s="351"/>
      <c r="AP1006" s="351"/>
      <c r="AQ1006" s="351"/>
      <c r="AR1006" s="351"/>
      <c r="AS1006" s="351"/>
      <c r="AT1006" s="351"/>
      <c r="AU1006" s="351"/>
      <c r="AV1006" s="351"/>
      <c r="AW1006" s="351"/>
      <c r="AX1006" s="351"/>
      <c r="AY1006" s="351"/>
    </row>
    <row r="1007" spans="1:51" ht="13">
      <c r="A1007" s="333"/>
      <c r="B1007" s="351"/>
      <c r="C1007" s="351"/>
      <c r="D1007" s="351"/>
      <c r="E1007" s="351"/>
      <c r="F1007" s="351"/>
      <c r="G1007" s="359"/>
      <c r="H1007" s="359"/>
      <c r="I1007" s="351"/>
      <c r="J1007" s="359"/>
      <c r="K1007" s="359"/>
      <c r="L1007" s="359"/>
      <c r="M1007" s="351"/>
      <c r="N1007" s="351"/>
      <c r="O1007" s="351"/>
      <c r="P1007" s="351"/>
      <c r="Q1007" s="351"/>
      <c r="R1007" s="351"/>
      <c r="S1007" s="351"/>
      <c r="T1007" s="351"/>
      <c r="U1007" s="351"/>
      <c r="V1007" s="351"/>
      <c r="W1007" s="351"/>
      <c r="X1007" s="359"/>
      <c r="Y1007" s="359"/>
      <c r="Z1007" s="359"/>
      <c r="AA1007" s="351"/>
      <c r="AB1007" s="351"/>
      <c r="AC1007" s="359"/>
      <c r="AD1007" s="359"/>
      <c r="AE1007" s="351"/>
      <c r="AF1007" s="333"/>
      <c r="AG1007" s="333"/>
      <c r="AH1007" s="351"/>
      <c r="AI1007" s="351"/>
      <c r="AJ1007" s="351"/>
      <c r="AK1007" s="351"/>
      <c r="AL1007" s="351"/>
      <c r="AM1007" s="351"/>
      <c r="AN1007" s="351"/>
      <c r="AO1007" s="351"/>
      <c r="AP1007" s="351"/>
      <c r="AQ1007" s="351"/>
      <c r="AR1007" s="351"/>
      <c r="AS1007" s="351"/>
      <c r="AT1007" s="351"/>
      <c r="AU1007" s="351"/>
      <c r="AV1007" s="351"/>
      <c r="AW1007" s="351"/>
      <c r="AX1007" s="351"/>
      <c r="AY1007" s="351"/>
    </row>
    <row r="1008" spans="1:51" ht="13">
      <c r="A1008" s="333"/>
      <c r="B1008" s="351"/>
      <c r="C1008" s="351"/>
      <c r="D1008" s="351"/>
      <c r="E1008" s="351"/>
      <c r="F1008" s="351"/>
      <c r="G1008" s="359"/>
      <c r="H1008" s="359"/>
      <c r="I1008" s="351"/>
      <c r="J1008" s="359"/>
      <c r="K1008" s="359"/>
      <c r="L1008" s="359"/>
      <c r="M1008" s="351"/>
      <c r="N1008" s="351"/>
      <c r="O1008" s="351"/>
      <c r="P1008" s="351"/>
      <c r="Q1008" s="351"/>
      <c r="R1008" s="351"/>
      <c r="S1008" s="351"/>
      <c r="T1008" s="351"/>
      <c r="U1008" s="351"/>
      <c r="V1008" s="351"/>
      <c r="W1008" s="351"/>
      <c r="X1008" s="359"/>
      <c r="Y1008" s="359"/>
      <c r="Z1008" s="359"/>
      <c r="AA1008" s="351"/>
      <c r="AB1008" s="351"/>
      <c r="AC1008" s="359"/>
      <c r="AD1008" s="359"/>
      <c r="AE1008" s="351"/>
      <c r="AF1008" s="333"/>
      <c r="AG1008" s="333"/>
      <c r="AH1008" s="351"/>
      <c r="AI1008" s="351"/>
      <c r="AJ1008" s="351"/>
      <c r="AK1008" s="351"/>
      <c r="AL1008" s="351"/>
      <c r="AM1008" s="351"/>
      <c r="AN1008" s="351"/>
      <c r="AO1008" s="351"/>
      <c r="AP1008" s="351"/>
      <c r="AQ1008" s="351"/>
      <c r="AR1008" s="351"/>
      <c r="AS1008" s="351"/>
      <c r="AT1008" s="351"/>
      <c r="AU1008" s="351"/>
      <c r="AV1008" s="351"/>
      <c r="AW1008" s="351"/>
      <c r="AX1008" s="351"/>
      <c r="AY1008" s="351"/>
    </row>
    <row r="1009" spans="1:51" ht="13">
      <c r="A1009" s="333"/>
      <c r="B1009" s="351"/>
      <c r="C1009" s="351"/>
      <c r="D1009" s="351"/>
      <c r="E1009" s="351"/>
      <c r="F1009" s="351"/>
      <c r="G1009" s="359"/>
      <c r="H1009" s="359"/>
      <c r="I1009" s="351"/>
      <c r="J1009" s="359"/>
      <c r="K1009" s="359"/>
      <c r="L1009" s="359"/>
      <c r="M1009" s="351"/>
      <c r="N1009" s="351"/>
      <c r="O1009" s="351"/>
      <c r="P1009" s="351"/>
      <c r="Q1009" s="351"/>
      <c r="R1009" s="351"/>
      <c r="S1009" s="351"/>
      <c r="T1009" s="351"/>
      <c r="U1009" s="351"/>
      <c r="V1009" s="351"/>
      <c r="W1009" s="351"/>
      <c r="X1009" s="359"/>
      <c r="Y1009" s="359"/>
      <c r="Z1009" s="359"/>
      <c r="AA1009" s="351"/>
      <c r="AB1009" s="351"/>
      <c r="AC1009" s="359"/>
      <c r="AD1009" s="359"/>
      <c r="AE1009" s="351"/>
      <c r="AF1009" s="333"/>
      <c r="AG1009" s="333"/>
      <c r="AH1009" s="351"/>
      <c r="AI1009" s="351"/>
      <c r="AJ1009" s="351"/>
      <c r="AK1009" s="351"/>
      <c r="AL1009" s="351"/>
      <c r="AM1009" s="351"/>
      <c r="AN1009" s="351"/>
      <c r="AO1009" s="351"/>
      <c r="AP1009" s="351"/>
      <c r="AQ1009" s="351"/>
      <c r="AR1009" s="351"/>
      <c r="AS1009" s="351"/>
      <c r="AT1009" s="351"/>
      <c r="AU1009" s="351"/>
      <c r="AV1009" s="351"/>
      <c r="AW1009" s="351"/>
      <c r="AX1009" s="351"/>
      <c r="AY1009" s="351"/>
    </row>
    <row r="1010" spans="1:51" ht="13">
      <c r="A1010" s="333"/>
      <c r="B1010" s="351"/>
      <c r="C1010" s="351"/>
      <c r="D1010" s="351"/>
      <c r="E1010" s="351"/>
      <c r="F1010" s="351"/>
      <c r="G1010" s="359"/>
      <c r="H1010" s="359"/>
      <c r="I1010" s="351"/>
      <c r="J1010" s="359"/>
      <c r="K1010" s="359"/>
      <c r="L1010" s="359"/>
      <c r="M1010" s="351"/>
      <c r="N1010" s="351"/>
      <c r="O1010" s="351"/>
      <c r="P1010" s="351"/>
      <c r="Q1010" s="351"/>
      <c r="R1010" s="351"/>
      <c r="S1010" s="351"/>
      <c r="T1010" s="351"/>
      <c r="U1010" s="351"/>
      <c r="V1010" s="351"/>
      <c r="W1010" s="351"/>
      <c r="X1010" s="359"/>
      <c r="Y1010" s="359"/>
      <c r="Z1010" s="359"/>
      <c r="AA1010" s="351"/>
      <c r="AB1010" s="351"/>
      <c r="AC1010" s="359"/>
      <c r="AD1010" s="359"/>
      <c r="AE1010" s="351"/>
      <c r="AF1010" s="333"/>
      <c r="AG1010" s="333"/>
      <c r="AH1010" s="351"/>
      <c r="AI1010" s="351"/>
      <c r="AJ1010" s="351"/>
      <c r="AK1010" s="351"/>
      <c r="AL1010" s="351"/>
      <c r="AM1010" s="351"/>
      <c r="AN1010" s="351"/>
      <c r="AO1010" s="351"/>
      <c r="AP1010" s="351"/>
      <c r="AQ1010" s="351"/>
      <c r="AR1010" s="351"/>
      <c r="AS1010" s="351"/>
      <c r="AT1010" s="351"/>
      <c r="AU1010" s="351"/>
      <c r="AV1010" s="351"/>
      <c r="AW1010" s="351"/>
      <c r="AX1010" s="351"/>
      <c r="AY1010" s="351"/>
    </row>
    <row r="1011" spans="1:51" ht="13">
      <c r="A1011" s="333"/>
      <c r="B1011" s="351"/>
      <c r="C1011" s="351"/>
      <c r="D1011" s="351"/>
      <c r="E1011" s="351"/>
      <c r="F1011" s="351"/>
      <c r="G1011" s="359"/>
      <c r="H1011" s="359"/>
      <c r="I1011" s="351"/>
      <c r="J1011" s="359"/>
      <c r="K1011" s="359"/>
      <c r="L1011" s="359"/>
      <c r="M1011" s="351"/>
      <c r="N1011" s="351"/>
      <c r="O1011" s="351"/>
      <c r="P1011" s="351"/>
      <c r="Q1011" s="351"/>
      <c r="R1011" s="351"/>
      <c r="S1011" s="351"/>
      <c r="T1011" s="351"/>
      <c r="U1011" s="351"/>
      <c r="V1011" s="351"/>
      <c r="W1011" s="351"/>
      <c r="X1011" s="359"/>
      <c r="Y1011" s="359"/>
      <c r="Z1011" s="359"/>
      <c r="AA1011" s="351"/>
      <c r="AB1011" s="351"/>
      <c r="AC1011" s="359"/>
      <c r="AD1011" s="359"/>
      <c r="AE1011" s="351"/>
      <c r="AF1011" s="333"/>
      <c r="AG1011" s="333"/>
      <c r="AH1011" s="351"/>
      <c r="AI1011" s="351"/>
      <c r="AJ1011" s="351"/>
      <c r="AK1011" s="351"/>
      <c r="AL1011" s="351"/>
      <c r="AM1011" s="351"/>
      <c r="AN1011" s="351"/>
      <c r="AO1011" s="351"/>
      <c r="AP1011" s="351"/>
      <c r="AQ1011" s="351"/>
      <c r="AR1011" s="351"/>
      <c r="AS1011" s="351"/>
      <c r="AT1011" s="351"/>
      <c r="AU1011" s="351"/>
      <c r="AV1011" s="351"/>
      <c r="AW1011" s="351"/>
      <c r="AX1011" s="351"/>
      <c r="AY1011" s="351"/>
    </row>
    <row r="1012" spans="1:51" ht="13">
      <c r="A1012" s="333"/>
      <c r="B1012" s="351"/>
      <c r="C1012" s="351"/>
      <c r="D1012" s="351"/>
      <c r="E1012" s="351"/>
      <c r="F1012" s="351"/>
      <c r="G1012" s="359"/>
      <c r="H1012" s="359"/>
      <c r="I1012" s="351"/>
      <c r="J1012" s="359"/>
      <c r="K1012" s="359"/>
      <c r="L1012" s="359"/>
      <c r="M1012" s="351"/>
      <c r="N1012" s="351"/>
      <c r="O1012" s="351"/>
      <c r="P1012" s="351"/>
      <c r="Q1012" s="351"/>
      <c r="R1012" s="351"/>
      <c r="S1012" s="351"/>
      <c r="T1012" s="351"/>
      <c r="U1012" s="351"/>
      <c r="V1012" s="351"/>
      <c r="W1012" s="351"/>
      <c r="X1012" s="359"/>
      <c r="Y1012" s="359"/>
      <c r="Z1012" s="359"/>
      <c r="AA1012" s="351"/>
      <c r="AB1012" s="351"/>
      <c r="AC1012" s="359"/>
      <c r="AD1012" s="359"/>
      <c r="AE1012" s="351"/>
      <c r="AF1012" s="333"/>
      <c r="AG1012" s="333"/>
      <c r="AH1012" s="351"/>
      <c r="AI1012" s="351"/>
      <c r="AJ1012" s="351"/>
      <c r="AK1012" s="351"/>
      <c r="AL1012" s="351"/>
      <c r="AM1012" s="351"/>
      <c r="AN1012" s="351"/>
      <c r="AO1012" s="351"/>
      <c r="AP1012" s="351"/>
      <c r="AQ1012" s="351"/>
      <c r="AR1012" s="351"/>
      <c r="AS1012" s="351"/>
      <c r="AT1012" s="351"/>
      <c r="AU1012" s="351"/>
      <c r="AV1012" s="351"/>
      <c r="AW1012" s="351"/>
      <c r="AX1012" s="351"/>
      <c r="AY1012" s="351"/>
    </row>
    <row r="1013" spans="1:51" ht="13">
      <c r="A1013" s="333"/>
      <c r="B1013" s="351"/>
      <c r="C1013" s="351"/>
      <c r="D1013" s="351"/>
      <c r="E1013" s="351"/>
      <c r="F1013" s="351"/>
      <c r="G1013" s="359"/>
      <c r="H1013" s="359"/>
      <c r="I1013" s="351"/>
      <c r="J1013" s="359"/>
      <c r="K1013" s="359"/>
      <c r="L1013" s="359"/>
      <c r="M1013" s="351"/>
      <c r="N1013" s="351"/>
      <c r="O1013" s="351"/>
      <c r="P1013" s="351"/>
      <c r="Q1013" s="351"/>
      <c r="R1013" s="351"/>
      <c r="S1013" s="351"/>
      <c r="T1013" s="351"/>
      <c r="U1013" s="351"/>
      <c r="V1013" s="351"/>
      <c r="W1013" s="351"/>
      <c r="X1013" s="359"/>
      <c r="Y1013" s="359"/>
      <c r="Z1013" s="359"/>
      <c r="AA1013" s="351"/>
      <c r="AB1013" s="351"/>
      <c r="AC1013" s="359"/>
      <c r="AD1013" s="359"/>
      <c r="AE1013" s="351"/>
      <c r="AF1013" s="333"/>
      <c r="AG1013" s="333"/>
      <c r="AH1013" s="351"/>
      <c r="AI1013" s="351"/>
      <c r="AJ1013" s="351"/>
      <c r="AK1013" s="351"/>
      <c r="AL1013" s="351"/>
      <c r="AM1013" s="351"/>
      <c r="AN1013" s="351"/>
      <c r="AO1013" s="351"/>
      <c r="AP1013" s="351"/>
      <c r="AQ1013" s="351"/>
      <c r="AR1013" s="351"/>
      <c r="AS1013" s="351"/>
      <c r="AT1013" s="351"/>
      <c r="AU1013" s="351"/>
      <c r="AV1013" s="351"/>
      <c r="AW1013" s="351"/>
      <c r="AX1013" s="351"/>
      <c r="AY1013" s="351"/>
    </row>
    <row r="1014" spans="1:51" ht="13">
      <c r="A1014" s="333"/>
      <c r="B1014" s="351"/>
      <c r="C1014" s="351"/>
      <c r="D1014" s="351"/>
      <c r="E1014" s="351"/>
      <c r="F1014" s="351"/>
      <c r="G1014" s="359"/>
      <c r="H1014" s="359"/>
      <c r="I1014" s="351"/>
      <c r="J1014" s="359"/>
      <c r="K1014" s="359"/>
      <c r="L1014" s="359"/>
      <c r="M1014" s="351"/>
      <c r="N1014" s="351"/>
      <c r="O1014" s="351"/>
      <c r="P1014" s="351"/>
      <c r="Q1014" s="351"/>
      <c r="R1014" s="351"/>
      <c r="S1014" s="351"/>
      <c r="T1014" s="351"/>
      <c r="U1014" s="351"/>
      <c r="V1014" s="351"/>
      <c r="W1014" s="351"/>
      <c r="X1014" s="359"/>
      <c r="Y1014" s="359"/>
      <c r="Z1014" s="359"/>
      <c r="AA1014" s="351"/>
      <c r="AB1014" s="351"/>
      <c r="AC1014" s="359"/>
      <c r="AD1014" s="359"/>
      <c r="AE1014" s="351"/>
      <c r="AF1014" s="333"/>
      <c r="AG1014" s="333"/>
      <c r="AH1014" s="351"/>
      <c r="AI1014" s="351"/>
      <c r="AJ1014" s="351"/>
      <c r="AK1014" s="351"/>
      <c r="AL1014" s="351"/>
      <c r="AM1014" s="351"/>
      <c r="AN1014" s="351"/>
      <c r="AO1014" s="351"/>
      <c r="AP1014" s="351"/>
      <c r="AQ1014" s="351"/>
      <c r="AR1014" s="351"/>
      <c r="AS1014" s="351"/>
      <c r="AT1014" s="351"/>
      <c r="AU1014" s="351"/>
      <c r="AV1014" s="351"/>
      <c r="AW1014" s="351"/>
      <c r="AX1014" s="351"/>
      <c r="AY1014" s="351"/>
    </row>
    <row r="1015" spans="1:51" ht="13">
      <c r="A1015" s="333"/>
      <c r="B1015" s="351"/>
      <c r="C1015" s="351"/>
      <c r="D1015" s="351"/>
      <c r="E1015" s="351"/>
      <c r="F1015" s="351"/>
      <c r="G1015" s="359"/>
      <c r="H1015" s="359"/>
      <c r="I1015" s="351"/>
      <c r="J1015" s="359"/>
      <c r="K1015" s="359"/>
      <c r="L1015" s="359"/>
      <c r="M1015" s="351"/>
      <c r="N1015" s="351"/>
      <c r="O1015" s="351"/>
      <c r="P1015" s="351"/>
      <c r="Q1015" s="351"/>
      <c r="R1015" s="351"/>
      <c r="S1015" s="351"/>
      <c r="T1015" s="351"/>
      <c r="U1015" s="351"/>
      <c r="V1015" s="351"/>
      <c r="W1015" s="351"/>
      <c r="X1015" s="359"/>
      <c r="Y1015" s="359"/>
      <c r="Z1015" s="359"/>
      <c r="AA1015" s="351"/>
      <c r="AB1015" s="351"/>
      <c r="AC1015" s="359"/>
      <c r="AD1015" s="359"/>
      <c r="AE1015" s="351"/>
      <c r="AF1015" s="333"/>
      <c r="AG1015" s="333"/>
      <c r="AH1015" s="351"/>
      <c r="AI1015" s="351"/>
      <c r="AJ1015" s="351"/>
      <c r="AK1015" s="351"/>
      <c r="AL1015" s="351"/>
      <c r="AM1015" s="351"/>
      <c r="AN1015" s="351"/>
      <c r="AO1015" s="351"/>
      <c r="AP1015" s="351"/>
      <c r="AQ1015" s="351"/>
      <c r="AR1015" s="351"/>
      <c r="AS1015" s="351"/>
      <c r="AT1015" s="351"/>
      <c r="AU1015" s="351"/>
      <c r="AV1015" s="351"/>
      <c r="AW1015" s="351"/>
      <c r="AX1015" s="351"/>
      <c r="AY1015" s="351"/>
    </row>
    <row r="1016" spans="1:51" ht="13">
      <c r="A1016" s="333"/>
      <c r="B1016" s="351"/>
      <c r="C1016" s="351"/>
      <c r="D1016" s="351"/>
      <c r="E1016" s="351"/>
      <c r="F1016" s="351"/>
      <c r="G1016" s="359"/>
      <c r="H1016" s="359"/>
      <c r="I1016" s="351"/>
      <c r="J1016" s="359"/>
      <c r="K1016" s="359"/>
      <c r="L1016" s="359"/>
      <c r="M1016" s="351"/>
      <c r="N1016" s="351"/>
      <c r="O1016" s="351"/>
      <c r="P1016" s="351"/>
      <c r="Q1016" s="351"/>
      <c r="R1016" s="351"/>
      <c r="S1016" s="351"/>
      <c r="T1016" s="351"/>
      <c r="U1016" s="351"/>
      <c r="V1016" s="351"/>
      <c r="W1016" s="351"/>
      <c r="X1016" s="359"/>
      <c r="Y1016" s="359"/>
      <c r="Z1016" s="359"/>
      <c r="AA1016" s="351"/>
      <c r="AB1016" s="351"/>
      <c r="AC1016" s="359"/>
      <c r="AD1016" s="359"/>
      <c r="AE1016" s="351"/>
      <c r="AF1016" s="333"/>
      <c r="AG1016" s="333"/>
      <c r="AH1016" s="351"/>
      <c r="AI1016" s="351"/>
      <c r="AJ1016" s="351"/>
      <c r="AK1016" s="351"/>
      <c r="AL1016" s="351"/>
      <c r="AM1016" s="351"/>
      <c r="AN1016" s="351"/>
      <c r="AO1016" s="351"/>
      <c r="AP1016" s="351"/>
      <c r="AQ1016" s="351"/>
      <c r="AR1016" s="351"/>
      <c r="AS1016" s="351"/>
      <c r="AT1016" s="351"/>
      <c r="AU1016" s="351"/>
      <c r="AV1016" s="351"/>
      <c r="AW1016" s="351"/>
      <c r="AX1016" s="351"/>
      <c r="AY1016" s="351"/>
    </row>
    <row r="1017" spans="1:51" ht="13">
      <c r="A1017" s="333"/>
      <c r="B1017" s="351"/>
      <c r="C1017" s="351"/>
      <c r="D1017" s="351"/>
      <c r="E1017" s="351"/>
      <c r="F1017" s="351"/>
      <c r="G1017" s="359"/>
      <c r="H1017" s="359"/>
      <c r="I1017" s="351"/>
      <c r="J1017" s="359"/>
      <c r="K1017" s="359"/>
      <c r="L1017" s="359"/>
      <c r="M1017" s="351"/>
      <c r="N1017" s="351"/>
      <c r="O1017" s="351"/>
      <c r="P1017" s="351"/>
      <c r="Q1017" s="351"/>
      <c r="R1017" s="351"/>
      <c r="S1017" s="351"/>
      <c r="T1017" s="351"/>
      <c r="U1017" s="351"/>
      <c r="V1017" s="351"/>
      <c r="W1017" s="351"/>
      <c r="X1017" s="359"/>
      <c r="Y1017" s="359"/>
      <c r="Z1017" s="359"/>
      <c r="AA1017" s="351"/>
      <c r="AB1017" s="351"/>
      <c r="AC1017" s="359"/>
      <c r="AD1017" s="359"/>
      <c r="AE1017" s="351"/>
      <c r="AF1017" s="333"/>
      <c r="AG1017" s="333"/>
      <c r="AH1017" s="351"/>
      <c r="AI1017" s="351"/>
      <c r="AJ1017" s="351"/>
      <c r="AK1017" s="351"/>
      <c r="AL1017" s="351"/>
      <c r="AM1017" s="351"/>
      <c r="AN1017" s="351"/>
      <c r="AO1017" s="351"/>
      <c r="AP1017" s="351"/>
      <c r="AQ1017" s="351"/>
      <c r="AR1017" s="351"/>
      <c r="AS1017" s="351"/>
      <c r="AT1017" s="351"/>
      <c r="AU1017" s="351"/>
      <c r="AV1017" s="351"/>
      <c r="AW1017" s="351"/>
      <c r="AX1017" s="351"/>
      <c r="AY1017" s="351"/>
    </row>
    <row r="1018" spans="1:51" ht="13">
      <c r="A1018" s="333"/>
      <c r="B1018" s="351"/>
      <c r="C1018" s="351"/>
      <c r="D1018" s="351"/>
      <c r="E1018" s="351"/>
      <c r="F1018" s="351"/>
      <c r="G1018" s="359"/>
      <c r="H1018" s="359"/>
      <c r="I1018" s="351"/>
      <c r="J1018" s="359"/>
      <c r="K1018" s="359"/>
      <c r="L1018" s="359"/>
      <c r="M1018" s="351"/>
      <c r="N1018" s="351"/>
      <c r="O1018" s="351"/>
      <c r="P1018" s="351"/>
      <c r="Q1018" s="351"/>
      <c r="R1018" s="351"/>
      <c r="S1018" s="351"/>
      <c r="T1018" s="351"/>
      <c r="U1018" s="351"/>
      <c r="V1018" s="351"/>
      <c r="W1018" s="351"/>
      <c r="X1018" s="359"/>
      <c r="Y1018" s="359"/>
      <c r="Z1018" s="359"/>
      <c r="AA1018" s="351"/>
      <c r="AB1018" s="351"/>
      <c r="AC1018" s="359"/>
      <c r="AD1018" s="359"/>
      <c r="AE1018" s="351"/>
      <c r="AF1018" s="333"/>
      <c r="AG1018" s="333"/>
      <c r="AH1018" s="351"/>
      <c r="AI1018" s="351"/>
      <c r="AJ1018" s="351"/>
      <c r="AK1018" s="351"/>
      <c r="AL1018" s="351"/>
      <c r="AM1018" s="351"/>
      <c r="AN1018" s="351"/>
      <c r="AO1018" s="351"/>
      <c r="AP1018" s="351"/>
      <c r="AQ1018" s="351"/>
      <c r="AR1018" s="351"/>
      <c r="AS1018" s="351"/>
      <c r="AT1018" s="351"/>
      <c r="AU1018" s="351"/>
      <c r="AV1018" s="351"/>
      <c r="AW1018" s="351"/>
      <c r="AX1018" s="351"/>
      <c r="AY1018" s="351"/>
    </row>
    <row r="1019" spans="1:51" ht="13">
      <c r="A1019" s="333"/>
      <c r="B1019" s="351"/>
      <c r="C1019" s="351"/>
      <c r="D1019" s="351"/>
      <c r="E1019" s="351"/>
      <c r="F1019" s="351"/>
      <c r="G1019" s="359"/>
      <c r="H1019" s="359"/>
      <c r="I1019" s="351"/>
      <c r="J1019" s="359"/>
      <c r="K1019" s="359"/>
      <c r="L1019" s="359"/>
      <c r="M1019" s="351"/>
      <c r="N1019" s="351"/>
      <c r="O1019" s="351"/>
      <c r="P1019" s="351"/>
      <c r="Q1019" s="351"/>
      <c r="R1019" s="351"/>
      <c r="S1019" s="351"/>
      <c r="T1019" s="351"/>
      <c r="U1019" s="351"/>
      <c r="V1019" s="351"/>
      <c r="W1019" s="351"/>
      <c r="X1019" s="359"/>
      <c r="Y1019" s="359"/>
      <c r="Z1019" s="359"/>
      <c r="AA1019" s="351"/>
      <c r="AB1019" s="351"/>
      <c r="AC1019" s="359"/>
      <c r="AD1019" s="359"/>
      <c r="AE1019" s="351"/>
      <c r="AF1019" s="333"/>
      <c r="AG1019" s="333"/>
      <c r="AH1019" s="351"/>
      <c r="AI1019" s="351"/>
      <c r="AJ1019" s="351"/>
      <c r="AK1019" s="351"/>
      <c r="AL1019" s="351"/>
      <c r="AM1019" s="351"/>
      <c r="AN1019" s="351"/>
      <c r="AO1019" s="351"/>
      <c r="AP1019" s="351"/>
      <c r="AQ1019" s="351"/>
      <c r="AR1019" s="351"/>
      <c r="AS1019" s="351"/>
      <c r="AT1019" s="351"/>
      <c r="AU1019" s="351"/>
      <c r="AV1019" s="351"/>
      <c r="AW1019" s="351"/>
      <c r="AX1019" s="351"/>
      <c r="AY1019" s="351"/>
    </row>
    <row r="1020" spans="1:51" ht="13">
      <c r="A1020" s="333"/>
      <c r="B1020" s="351"/>
      <c r="C1020" s="351"/>
      <c r="D1020" s="351"/>
      <c r="E1020" s="351"/>
      <c r="F1020" s="351"/>
      <c r="G1020" s="359"/>
      <c r="H1020" s="359"/>
      <c r="I1020" s="351"/>
      <c r="J1020" s="359"/>
      <c r="K1020" s="359"/>
      <c r="L1020" s="359"/>
      <c r="M1020" s="351"/>
      <c r="N1020" s="351"/>
      <c r="O1020" s="351"/>
      <c r="P1020" s="351"/>
      <c r="Q1020" s="351"/>
      <c r="R1020" s="351"/>
      <c r="S1020" s="351"/>
      <c r="T1020" s="351"/>
      <c r="U1020" s="351"/>
      <c r="V1020" s="351"/>
      <c r="W1020" s="351"/>
      <c r="X1020" s="359"/>
      <c r="Y1020" s="359"/>
      <c r="Z1020" s="359"/>
      <c r="AA1020" s="351"/>
      <c r="AB1020" s="351"/>
      <c r="AC1020" s="359"/>
      <c r="AD1020" s="359"/>
      <c r="AE1020" s="351"/>
      <c r="AF1020" s="333"/>
      <c r="AG1020" s="333"/>
      <c r="AH1020" s="351"/>
      <c r="AI1020" s="351"/>
      <c r="AJ1020" s="351"/>
      <c r="AK1020" s="351"/>
      <c r="AL1020" s="351"/>
      <c r="AM1020" s="351"/>
      <c r="AN1020" s="351"/>
      <c r="AO1020" s="351"/>
      <c r="AP1020" s="351"/>
      <c r="AQ1020" s="351"/>
      <c r="AR1020" s="351"/>
      <c r="AS1020" s="351"/>
      <c r="AT1020" s="351"/>
      <c r="AU1020" s="351"/>
      <c r="AV1020" s="351"/>
      <c r="AW1020" s="351"/>
      <c r="AX1020" s="351"/>
      <c r="AY1020" s="351"/>
    </row>
    <row r="1021" spans="1:51" ht="13">
      <c r="A1021" s="333"/>
      <c r="B1021" s="351"/>
      <c r="C1021" s="351"/>
      <c r="D1021" s="351"/>
      <c r="E1021" s="351"/>
      <c r="F1021" s="351"/>
      <c r="G1021" s="359"/>
      <c r="H1021" s="359"/>
      <c r="I1021" s="351"/>
      <c r="J1021" s="359"/>
      <c r="K1021" s="359"/>
      <c r="L1021" s="359"/>
      <c r="M1021" s="351"/>
      <c r="N1021" s="351"/>
      <c r="O1021" s="351"/>
      <c r="P1021" s="351"/>
      <c r="Q1021" s="351"/>
      <c r="R1021" s="351"/>
      <c r="S1021" s="351"/>
      <c r="T1021" s="351"/>
      <c r="U1021" s="351"/>
      <c r="V1021" s="351"/>
      <c r="W1021" s="351"/>
      <c r="X1021" s="359"/>
      <c r="Y1021" s="359"/>
      <c r="Z1021" s="359"/>
      <c r="AA1021" s="351"/>
      <c r="AB1021" s="351"/>
      <c r="AC1021" s="359"/>
      <c r="AD1021" s="359"/>
      <c r="AE1021" s="351"/>
      <c r="AF1021" s="333"/>
      <c r="AG1021" s="333"/>
      <c r="AH1021" s="351"/>
      <c r="AI1021" s="351"/>
      <c r="AJ1021" s="351"/>
      <c r="AK1021" s="351"/>
      <c r="AL1021" s="351"/>
      <c r="AM1021" s="351"/>
      <c r="AN1021" s="351"/>
      <c r="AO1021" s="351"/>
      <c r="AP1021" s="351"/>
      <c r="AQ1021" s="351"/>
      <c r="AR1021" s="351"/>
      <c r="AS1021" s="351"/>
      <c r="AT1021" s="351"/>
      <c r="AU1021" s="351"/>
      <c r="AV1021" s="351"/>
      <c r="AW1021" s="351"/>
      <c r="AX1021" s="351"/>
      <c r="AY1021" s="351"/>
    </row>
    <row r="1022" spans="1:51" ht="13">
      <c r="A1022" s="333"/>
      <c r="B1022" s="351"/>
      <c r="C1022" s="351"/>
      <c r="D1022" s="351"/>
      <c r="E1022" s="351"/>
      <c r="F1022" s="351"/>
      <c r="G1022" s="359"/>
      <c r="H1022" s="359"/>
      <c r="I1022" s="351"/>
      <c r="J1022" s="359"/>
      <c r="K1022" s="359"/>
      <c r="L1022" s="359"/>
      <c r="M1022" s="351"/>
      <c r="N1022" s="351"/>
      <c r="O1022" s="351"/>
      <c r="P1022" s="351"/>
      <c r="Q1022" s="351"/>
      <c r="R1022" s="351"/>
      <c r="S1022" s="351"/>
      <c r="T1022" s="351"/>
      <c r="U1022" s="351"/>
      <c r="V1022" s="351"/>
      <c r="W1022" s="351"/>
      <c r="X1022" s="359"/>
      <c r="Y1022" s="359"/>
      <c r="Z1022" s="359"/>
      <c r="AA1022" s="351"/>
      <c r="AB1022" s="351"/>
      <c r="AC1022" s="359"/>
      <c r="AD1022" s="359"/>
      <c r="AE1022" s="351"/>
      <c r="AF1022" s="333"/>
      <c r="AG1022" s="333"/>
      <c r="AH1022" s="351"/>
      <c r="AI1022" s="351"/>
      <c r="AJ1022" s="351"/>
      <c r="AK1022" s="351"/>
      <c r="AL1022" s="351"/>
      <c r="AM1022" s="351"/>
      <c r="AN1022" s="351"/>
      <c r="AO1022" s="351"/>
      <c r="AP1022" s="351"/>
      <c r="AQ1022" s="351"/>
      <c r="AR1022" s="351"/>
      <c r="AS1022" s="351"/>
      <c r="AT1022" s="351"/>
      <c r="AU1022" s="351"/>
      <c r="AV1022" s="351"/>
      <c r="AW1022" s="351"/>
      <c r="AX1022" s="351"/>
      <c r="AY1022" s="351"/>
    </row>
    <row r="1023" spans="1:51" ht="13">
      <c r="A1023" s="333"/>
      <c r="B1023" s="351"/>
      <c r="C1023" s="351"/>
      <c r="D1023" s="351"/>
      <c r="E1023" s="351"/>
      <c r="F1023" s="351"/>
      <c r="G1023" s="359"/>
      <c r="H1023" s="359"/>
      <c r="I1023" s="351"/>
      <c r="J1023" s="359"/>
      <c r="K1023" s="359"/>
      <c r="L1023" s="359"/>
      <c r="M1023" s="351"/>
      <c r="N1023" s="351"/>
      <c r="O1023" s="351"/>
      <c r="P1023" s="351"/>
      <c r="Q1023" s="351"/>
      <c r="R1023" s="351"/>
      <c r="S1023" s="351"/>
      <c r="T1023" s="351"/>
      <c r="U1023" s="351"/>
      <c r="V1023" s="351"/>
      <c r="W1023" s="351"/>
      <c r="X1023" s="359"/>
      <c r="Y1023" s="359"/>
      <c r="Z1023" s="359"/>
      <c r="AA1023" s="351"/>
      <c r="AB1023" s="351"/>
      <c r="AC1023" s="359"/>
      <c r="AD1023" s="359"/>
      <c r="AE1023" s="351"/>
      <c r="AF1023" s="333"/>
      <c r="AG1023" s="333"/>
      <c r="AH1023" s="351"/>
      <c r="AI1023" s="351"/>
      <c r="AJ1023" s="351"/>
      <c r="AK1023" s="351"/>
      <c r="AL1023" s="351"/>
      <c r="AM1023" s="351"/>
      <c r="AN1023" s="351"/>
      <c r="AO1023" s="351"/>
      <c r="AP1023" s="351"/>
      <c r="AQ1023" s="351"/>
      <c r="AR1023" s="351"/>
      <c r="AS1023" s="351"/>
      <c r="AT1023" s="351"/>
      <c r="AU1023" s="351"/>
      <c r="AV1023" s="351"/>
      <c r="AW1023" s="351"/>
      <c r="AX1023" s="351"/>
      <c r="AY1023" s="351"/>
    </row>
    <row r="1024" spans="1:51" ht="13">
      <c r="A1024" s="333"/>
      <c r="B1024" s="351"/>
      <c r="C1024" s="351"/>
      <c r="D1024" s="351"/>
      <c r="E1024" s="351"/>
      <c r="F1024" s="351"/>
      <c r="G1024" s="359"/>
      <c r="H1024" s="359"/>
      <c r="I1024" s="351"/>
      <c r="J1024" s="359"/>
      <c r="K1024" s="359"/>
      <c r="L1024" s="359"/>
      <c r="M1024" s="351"/>
      <c r="N1024" s="351"/>
      <c r="O1024" s="351"/>
      <c r="P1024" s="351"/>
      <c r="Q1024" s="351"/>
      <c r="R1024" s="351"/>
      <c r="S1024" s="351"/>
      <c r="T1024" s="351"/>
      <c r="U1024" s="351"/>
      <c r="V1024" s="351"/>
      <c r="W1024" s="351"/>
      <c r="X1024" s="359"/>
      <c r="Y1024" s="359"/>
      <c r="Z1024" s="359"/>
      <c r="AA1024" s="351"/>
      <c r="AB1024" s="351"/>
      <c r="AC1024" s="359"/>
      <c r="AD1024" s="359"/>
      <c r="AE1024" s="351"/>
      <c r="AF1024" s="333"/>
      <c r="AG1024" s="333"/>
      <c r="AH1024" s="351"/>
      <c r="AI1024" s="351"/>
      <c r="AJ1024" s="351"/>
      <c r="AK1024" s="351"/>
      <c r="AL1024" s="351"/>
      <c r="AM1024" s="351"/>
      <c r="AN1024" s="351"/>
      <c r="AO1024" s="351"/>
      <c r="AP1024" s="351"/>
      <c r="AQ1024" s="351"/>
      <c r="AR1024" s="351"/>
      <c r="AS1024" s="351"/>
      <c r="AT1024" s="351"/>
      <c r="AU1024" s="351"/>
      <c r="AV1024" s="351"/>
      <c r="AW1024" s="351"/>
      <c r="AX1024" s="351"/>
      <c r="AY1024" s="351"/>
    </row>
    <row r="1025" spans="1:51" ht="13">
      <c r="A1025" s="333"/>
      <c r="B1025" s="351"/>
      <c r="C1025" s="351"/>
      <c r="D1025" s="351"/>
      <c r="E1025" s="351"/>
      <c r="F1025" s="351"/>
      <c r="G1025" s="359"/>
      <c r="H1025" s="359"/>
      <c r="I1025" s="351"/>
      <c r="J1025" s="359"/>
      <c r="K1025" s="359"/>
      <c r="L1025" s="359"/>
      <c r="M1025" s="351"/>
      <c r="N1025" s="351"/>
      <c r="O1025" s="351"/>
      <c r="P1025" s="351"/>
      <c r="Q1025" s="351"/>
      <c r="R1025" s="351"/>
      <c r="S1025" s="351"/>
      <c r="T1025" s="351"/>
      <c r="U1025" s="351"/>
      <c r="V1025" s="351"/>
      <c r="W1025" s="351"/>
      <c r="X1025" s="359"/>
      <c r="Y1025" s="359"/>
      <c r="Z1025" s="359"/>
      <c r="AA1025" s="351"/>
      <c r="AB1025" s="351"/>
      <c r="AC1025" s="359"/>
      <c r="AD1025" s="359"/>
      <c r="AE1025" s="351"/>
      <c r="AF1025" s="333"/>
      <c r="AG1025" s="333"/>
      <c r="AH1025" s="351"/>
      <c r="AI1025" s="351"/>
      <c r="AJ1025" s="351"/>
      <c r="AK1025" s="351"/>
      <c r="AL1025" s="351"/>
      <c r="AM1025" s="351"/>
      <c r="AN1025" s="351"/>
      <c r="AO1025" s="351"/>
      <c r="AP1025" s="351"/>
      <c r="AQ1025" s="351"/>
      <c r="AR1025" s="351"/>
      <c r="AS1025" s="351"/>
      <c r="AT1025" s="351"/>
      <c r="AU1025" s="351"/>
      <c r="AV1025" s="351"/>
      <c r="AW1025" s="351"/>
      <c r="AX1025" s="351"/>
      <c r="AY1025" s="351"/>
    </row>
    <row r="1026" spans="1:51" ht="13">
      <c r="A1026" s="333"/>
      <c r="B1026" s="351"/>
      <c r="C1026" s="351"/>
      <c r="D1026" s="351"/>
      <c r="E1026" s="351"/>
      <c r="F1026" s="351"/>
      <c r="G1026" s="359"/>
      <c r="H1026" s="359"/>
      <c r="I1026" s="351"/>
      <c r="J1026" s="359"/>
      <c r="K1026" s="359"/>
      <c r="L1026" s="359"/>
      <c r="M1026" s="351"/>
      <c r="N1026" s="351"/>
      <c r="O1026" s="351"/>
      <c r="P1026" s="351"/>
      <c r="Q1026" s="351"/>
      <c r="R1026" s="351"/>
      <c r="S1026" s="351"/>
      <c r="T1026" s="351"/>
      <c r="U1026" s="351"/>
      <c r="V1026" s="351"/>
      <c r="W1026" s="351"/>
      <c r="X1026" s="359"/>
      <c r="Y1026" s="359"/>
      <c r="Z1026" s="359"/>
      <c r="AA1026" s="351"/>
      <c r="AB1026" s="351"/>
      <c r="AC1026" s="359"/>
      <c r="AD1026" s="359"/>
      <c r="AE1026" s="351"/>
      <c r="AF1026" s="333"/>
      <c r="AG1026" s="333"/>
      <c r="AH1026" s="351"/>
      <c r="AI1026" s="351"/>
      <c r="AJ1026" s="351"/>
      <c r="AK1026" s="351"/>
      <c r="AL1026" s="351"/>
      <c r="AM1026" s="351"/>
      <c r="AN1026" s="351"/>
      <c r="AO1026" s="351"/>
      <c r="AP1026" s="351"/>
      <c r="AQ1026" s="351"/>
      <c r="AR1026" s="351"/>
      <c r="AS1026" s="351"/>
      <c r="AT1026" s="351"/>
      <c r="AU1026" s="351"/>
      <c r="AV1026" s="351"/>
      <c r="AW1026" s="351"/>
      <c r="AX1026" s="351"/>
      <c r="AY1026" s="351"/>
    </row>
    <row r="1027" spans="1:51" ht="13">
      <c r="A1027" s="333"/>
      <c r="B1027" s="351"/>
      <c r="C1027" s="351"/>
      <c r="D1027" s="351"/>
      <c r="E1027" s="351"/>
      <c r="F1027" s="351"/>
      <c r="G1027" s="359"/>
      <c r="H1027" s="359"/>
      <c r="I1027" s="351"/>
      <c r="J1027" s="359"/>
      <c r="K1027" s="359"/>
      <c r="L1027" s="359"/>
      <c r="M1027" s="351"/>
      <c r="N1027" s="351"/>
      <c r="O1027" s="351"/>
      <c r="P1027" s="351"/>
      <c r="Q1027" s="351"/>
      <c r="R1027" s="351"/>
      <c r="S1027" s="351"/>
      <c r="T1027" s="351"/>
      <c r="U1027" s="351"/>
      <c r="V1027" s="351"/>
      <c r="W1027" s="351"/>
      <c r="X1027" s="359"/>
      <c r="Y1027" s="359"/>
      <c r="Z1027" s="359"/>
      <c r="AA1027" s="351"/>
      <c r="AB1027" s="351"/>
      <c r="AC1027" s="359"/>
      <c r="AD1027" s="359"/>
      <c r="AE1027" s="351"/>
      <c r="AF1027" s="333"/>
      <c r="AG1027" s="333"/>
      <c r="AH1027" s="351"/>
      <c r="AI1027" s="351"/>
      <c r="AJ1027" s="351"/>
      <c r="AK1027" s="351"/>
      <c r="AL1027" s="351"/>
      <c r="AM1027" s="351"/>
      <c r="AN1027" s="351"/>
      <c r="AO1027" s="351"/>
      <c r="AP1027" s="351"/>
      <c r="AQ1027" s="351"/>
      <c r="AR1027" s="351"/>
      <c r="AS1027" s="351"/>
      <c r="AT1027" s="351"/>
      <c r="AU1027" s="351"/>
      <c r="AV1027" s="351"/>
      <c r="AW1027" s="351"/>
      <c r="AX1027" s="351"/>
      <c r="AY1027" s="351"/>
    </row>
    <row r="1028" spans="1:51" ht="13">
      <c r="A1028" s="333"/>
      <c r="B1028" s="351"/>
      <c r="C1028" s="351"/>
      <c r="D1028" s="351"/>
      <c r="E1028" s="351"/>
      <c r="F1028" s="351"/>
      <c r="G1028" s="359"/>
      <c r="H1028" s="359"/>
      <c r="I1028" s="351"/>
      <c r="J1028" s="359"/>
      <c r="K1028" s="359"/>
      <c r="L1028" s="359"/>
      <c r="M1028" s="351"/>
      <c r="N1028" s="351"/>
      <c r="O1028" s="351"/>
      <c r="P1028" s="351"/>
      <c r="Q1028" s="351"/>
      <c r="R1028" s="351"/>
      <c r="S1028" s="351"/>
      <c r="T1028" s="351"/>
      <c r="U1028" s="351"/>
      <c r="V1028" s="351"/>
      <c r="W1028" s="351"/>
      <c r="X1028" s="359"/>
      <c r="Y1028" s="359"/>
      <c r="Z1028" s="359"/>
      <c r="AA1028" s="351"/>
      <c r="AB1028" s="351"/>
      <c r="AC1028" s="359"/>
      <c r="AD1028" s="359"/>
      <c r="AE1028" s="351"/>
      <c r="AF1028" s="333"/>
      <c r="AG1028" s="333"/>
      <c r="AH1028" s="351"/>
      <c r="AI1028" s="351"/>
      <c r="AJ1028" s="351"/>
      <c r="AK1028" s="351"/>
      <c r="AL1028" s="351"/>
      <c r="AM1028" s="351"/>
      <c r="AN1028" s="351"/>
      <c r="AO1028" s="351"/>
      <c r="AP1028" s="351"/>
      <c r="AQ1028" s="351"/>
      <c r="AR1028" s="351"/>
      <c r="AS1028" s="351"/>
      <c r="AT1028" s="351"/>
      <c r="AU1028" s="351"/>
      <c r="AV1028" s="351"/>
      <c r="AW1028" s="351"/>
      <c r="AX1028" s="351"/>
      <c r="AY1028" s="351"/>
    </row>
    <row r="1029" spans="1:51" ht="13">
      <c r="A1029" s="333"/>
      <c r="B1029" s="351"/>
      <c r="C1029" s="351"/>
      <c r="D1029" s="351"/>
      <c r="E1029" s="351"/>
      <c r="F1029" s="351"/>
      <c r="G1029" s="359"/>
      <c r="H1029" s="359"/>
      <c r="I1029" s="351"/>
      <c r="J1029" s="359"/>
      <c r="K1029" s="359"/>
      <c r="L1029" s="359"/>
      <c r="M1029" s="351"/>
      <c r="N1029" s="351"/>
      <c r="O1029" s="351"/>
      <c r="P1029" s="351"/>
      <c r="Q1029" s="351"/>
      <c r="R1029" s="351"/>
      <c r="S1029" s="351"/>
      <c r="T1029" s="351"/>
      <c r="U1029" s="351"/>
      <c r="V1029" s="351"/>
      <c r="W1029" s="351"/>
      <c r="X1029" s="359"/>
      <c r="Y1029" s="359"/>
      <c r="Z1029" s="359"/>
      <c r="AA1029" s="351"/>
      <c r="AB1029" s="351"/>
      <c r="AC1029" s="359"/>
      <c r="AD1029" s="359"/>
      <c r="AE1029" s="351"/>
      <c r="AF1029" s="333"/>
      <c r="AG1029" s="333"/>
      <c r="AH1029" s="351"/>
      <c r="AI1029" s="351"/>
      <c r="AJ1029" s="351"/>
      <c r="AK1029" s="351"/>
      <c r="AL1029" s="351"/>
      <c r="AM1029" s="351"/>
      <c r="AN1029" s="351"/>
      <c r="AO1029" s="351"/>
      <c r="AP1029" s="351"/>
      <c r="AQ1029" s="351"/>
      <c r="AR1029" s="351"/>
      <c r="AS1029" s="351"/>
      <c r="AT1029" s="351"/>
      <c r="AU1029" s="351"/>
      <c r="AV1029" s="351"/>
      <c r="AW1029" s="351"/>
      <c r="AX1029" s="351"/>
      <c r="AY1029" s="351"/>
    </row>
    <row r="1030" spans="1:51" ht="13">
      <c r="A1030" s="333"/>
      <c r="B1030" s="351"/>
      <c r="C1030" s="351"/>
      <c r="D1030" s="351"/>
      <c r="E1030" s="351"/>
      <c r="F1030" s="351"/>
      <c r="G1030" s="359"/>
      <c r="H1030" s="359"/>
      <c r="I1030" s="351"/>
      <c r="J1030" s="359"/>
      <c r="K1030" s="359"/>
      <c r="L1030" s="359"/>
      <c r="M1030" s="351"/>
      <c r="N1030" s="351"/>
      <c r="O1030" s="351"/>
      <c r="P1030" s="351"/>
      <c r="Q1030" s="351"/>
      <c r="R1030" s="351"/>
      <c r="S1030" s="351"/>
      <c r="T1030" s="351"/>
      <c r="U1030" s="351"/>
      <c r="V1030" s="351"/>
      <c r="W1030" s="351"/>
      <c r="X1030" s="359"/>
      <c r="Y1030" s="359"/>
      <c r="Z1030" s="359"/>
      <c r="AA1030" s="351"/>
      <c r="AB1030" s="351"/>
      <c r="AC1030" s="359"/>
      <c r="AD1030" s="359"/>
      <c r="AE1030" s="351"/>
      <c r="AF1030" s="333"/>
      <c r="AG1030" s="333"/>
      <c r="AH1030" s="351"/>
      <c r="AI1030" s="351"/>
      <c r="AJ1030" s="351"/>
      <c r="AK1030" s="351"/>
      <c r="AL1030" s="351"/>
      <c r="AM1030" s="351"/>
      <c r="AN1030" s="351"/>
      <c r="AO1030" s="351"/>
      <c r="AP1030" s="351"/>
      <c r="AQ1030" s="351"/>
      <c r="AR1030" s="351"/>
      <c r="AS1030" s="351"/>
      <c r="AT1030" s="351"/>
      <c r="AU1030" s="351"/>
      <c r="AV1030" s="351"/>
      <c r="AW1030" s="351"/>
      <c r="AX1030" s="351"/>
      <c r="AY1030" s="351"/>
    </row>
    <row r="1031" spans="1:51" ht="13">
      <c r="A1031" s="333"/>
      <c r="B1031" s="351"/>
      <c r="C1031" s="351"/>
      <c r="D1031" s="351"/>
      <c r="E1031" s="351"/>
      <c r="F1031" s="351"/>
      <c r="G1031" s="359"/>
      <c r="H1031" s="359"/>
      <c r="I1031" s="351"/>
      <c r="J1031" s="359"/>
      <c r="K1031" s="359"/>
      <c r="L1031" s="359"/>
      <c r="M1031" s="351"/>
      <c r="N1031" s="351"/>
      <c r="O1031" s="351"/>
      <c r="P1031" s="351"/>
      <c r="Q1031" s="351"/>
      <c r="R1031" s="351"/>
      <c r="S1031" s="351"/>
      <c r="T1031" s="351"/>
      <c r="U1031" s="351"/>
      <c r="V1031" s="351"/>
      <c r="W1031" s="351"/>
      <c r="X1031" s="359"/>
      <c r="Y1031" s="359"/>
      <c r="Z1031" s="359"/>
      <c r="AA1031" s="351"/>
      <c r="AB1031" s="351"/>
      <c r="AC1031" s="359"/>
      <c r="AD1031" s="359"/>
      <c r="AE1031" s="351"/>
      <c r="AF1031" s="333"/>
      <c r="AG1031" s="333"/>
      <c r="AH1031" s="351"/>
      <c r="AI1031" s="351"/>
      <c r="AJ1031" s="351"/>
      <c r="AK1031" s="351"/>
      <c r="AL1031" s="351"/>
      <c r="AM1031" s="351"/>
      <c r="AN1031" s="351"/>
      <c r="AO1031" s="351"/>
      <c r="AP1031" s="351"/>
      <c r="AQ1031" s="351"/>
      <c r="AR1031" s="351"/>
      <c r="AS1031" s="351"/>
      <c r="AT1031" s="351"/>
      <c r="AU1031" s="351"/>
      <c r="AV1031" s="351"/>
      <c r="AW1031" s="351"/>
      <c r="AX1031" s="351"/>
      <c r="AY1031" s="351"/>
    </row>
    <row r="1032" spans="1:51" ht="13">
      <c r="A1032" s="333"/>
      <c r="B1032" s="351"/>
      <c r="C1032" s="351"/>
      <c r="D1032" s="351"/>
      <c r="E1032" s="351"/>
      <c r="F1032" s="351"/>
      <c r="G1032" s="359"/>
      <c r="H1032" s="359"/>
      <c r="I1032" s="351"/>
      <c r="J1032" s="359"/>
      <c r="K1032" s="359"/>
      <c r="L1032" s="359"/>
      <c r="M1032" s="351"/>
      <c r="N1032" s="351"/>
      <c r="O1032" s="351"/>
      <c r="P1032" s="351"/>
      <c r="Q1032" s="351"/>
      <c r="R1032" s="351"/>
      <c r="S1032" s="351"/>
      <c r="T1032" s="351"/>
      <c r="U1032" s="351"/>
      <c r="V1032" s="351"/>
      <c r="W1032" s="351"/>
      <c r="X1032" s="359"/>
      <c r="Y1032" s="359"/>
      <c r="Z1032" s="359"/>
      <c r="AA1032" s="351"/>
      <c r="AB1032" s="351"/>
      <c r="AC1032" s="359"/>
      <c r="AD1032" s="359"/>
      <c r="AE1032" s="351"/>
      <c r="AF1032" s="333"/>
      <c r="AG1032" s="333"/>
      <c r="AH1032" s="351"/>
      <c r="AI1032" s="351"/>
      <c r="AJ1032" s="351"/>
      <c r="AK1032" s="351"/>
      <c r="AL1032" s="351"/>
      <c r="AM1032" s="351"/>
      <c r="AN1032" s="351"/>
      <c r="AO1032" s="351"/>
      <c r="AP1032" s="351"/>
      <c r="AQ1032" s="351"/>
      <c r="AR1032" s="351"/>
      <c r="AS1032" s="351"/>
      <c r="AT1032" s="351"/>
      <c r="AU1032" s="351"/>
      <c r="AV1032" s="351"/>
      <c r="AW1032" s="351"/>
      <c r="AX1032" s="351"/>
      <c r="AY1032" s="351"/>
    </row>
    <row r="1033" spans="1:51" ht="13">
      <c r="A1033" s="333"/>
      <c r="B1033" s="351"/>
      <c r="C1033" s="351"/>
      <c r="D1033" s="351"/>
      <c r="E1033" s="351"/>
      <c r="F1033" s="351"/>
      <c r="G1033" s="359"/>
      <c r="H1033" s="359"/>
      <c r="I1033" s="351"/>
      <c r="J1033" s="359"/>
      <c r="K1033" s="359"/>
      <c r="L1033" s="359"/>
      <c r="M1033" s="351"/>
      <c r="N1033" s="351"/>
      <c r="O1033" s="351"/>
      <c r="P1033" s="351"/>
      <c r="Q1033" s="351"/>
      <c r="R1033" s="351"/>
      <c r="S1033" s="351"/>
      <c r="T1033" s="351"/>
      <c r="U1033" s="351"/>
      <c r="V1033" s="351"/>
      <c r="W1033" s="351"/>
      <c r="X1033" s="359"/>
      <c r="Y1033" s="359"/>
      <c r="Z1033" s="359"/>
      <c r="AA1033" s="351"/>
      <c r="AB1033" s="351"/>
      <c r="AC1033" s="359"/>
      <c r="AD1033" s="359"/>
      <c r="AE1033" s="351"/>
      <c r="AF1033" s="333"/>
      <c r="AG1033" s="333"/>
      <c r="AH1033" s="351"/>
      <c r="AI1033" s="351"/>
      <c r="AJ1033" s="351"/>
      <c r="AK1033" s="351"/>
      <c r="AL1033" s="351"/>
      <c r="AM1033" s="351"/>
      <c r="AN1033" s="351"/>
      <c r="AO1033" s="351"/>
      <c r="AP1033" s="351"/>
      <c r="AQ1033" s="351"/>
      <c r="AR1033" s="351"/>
      <c r="AS1033" s="351"/>
      <c r="AT1033" s="351"/>
      <c r="AU1033" s="351"/>
      <c r="AV1033" s="351"/>
      <c r="AW1033" s="351"/>
      <c r="AX1033" s="351"/>
      <c r="AY1033" s="351"/>
    </row>
    <row r="1034" spans="1:51" ht="13">
      <c r="A1034" s="333"/>
      <c r="B1034" s="351"/>
      <c r="C1034" s="351"/>
      <c r="D1034" s="351"/>
      <c r="E1034" s="351"/>
      <c r="F1034" s="351"/>
      <c r="G1034" s="359"/>
      <c r="H1034" s="359"/>
      <c r="I1034" s="351"/>
      <c r="J1034" s="359"/>
      <c r="K1034" s="359"/>
      <c r="L1034" s="359"/>
      <c r="M1034" s="351"/>
      <c r="N1034" s="351"/>
      <c r="O1034" s="351"/>
      <c r="P1034" s="351"/>
      <c r="Q1034" s="351"/>
      <c r="R1034" s="351"/>
      <c r="S1034" s="351"/>
      <c r="T1034" s="351"/>
      <c r="U1034" s="351"/>
      <c r="V1034" s="351"/>
      <c r="W1034" s="351"/>
      <c r="X1034" s="359"/>
      <c r="Y1034" s="359"/>
      <c r="Z1034" s="359"/>
      <c r="AA1034" s="351"/>
      <c r="AB1034" s="351"/>
      <c r="AC1034" s="359"/>
      <c r="AD1034" s="359"/>
      <c r="AE1034" s="351"/>
      <c r="AF1034" s="333"/>
      <c r="AG1034" s="333"/>
      <c r="AH1034" s="351"/>
      <c r="AI1034" s="351"/>
      <c r="AJ1034" s="351"/>
      <c r="AK1034" s="351"/>
      <c r="AL1034" s="351"/>
      <c r="AM1034" s="351"/>
      <c r="AN1034" s="351"/>
      <c r="AO1034" s="351"/>
      <c r="AP1034" s="351"/>
      <c r="AQ1034" s="351"/>
      <c r="AR1034" s="351"/>
      <c r="AS1034" s="351"/>
      <c r="AT1034" s="351"/>
      <c r="AU1034" s="351"/>
      <c r="AV1034" s="351"/>
      <c r="AW1034" s="351"/>
      <c r="AX1034" s="351"/>
      <c r="AY1034" s="351"/>
    </row>
    <row r="1035" spans="1:51" ht="13">
      <c r="A1035" s="333"/>
      <c r="B1035" s="351"/>
      <c r="C1035" s="351"/>
      <c r="D1035" s="351"/>
      <c r="E1035" s="351"/>
      <c r="F1035" s="351"/>
      <c r="G1035" s="359"/>
      <c r="H1035" s="359"/>
      <c r="I1035" s="351"/>
      <c r="J1035" s="359"/>
      <c r="K1035" s="359"/>
      <c r="L1035" s="359"/>
      <c r="M1035" s="351"/>
      <c r="N1035" s="351"/>
      <c r="O1035" s="351"/>
      <c r="P1035" s="351"/>
      <c r="Q1035" s="351"/>
      <c r="R1035" s="351"/>
      <c r="S1035" s="351"/>
      <c r="T1035" s="351"/>
      <c r="U1035" s="351"/>
      <c r="V1035" s="351"/>
      <c r="W1035" s="351"/>
      <c r="X1035" s="359"/>
      <c r="Y1035" s="359"/>
      <c r="Z1035" s="359"/>
      <c r="AA1035" s="351"/>
      <c r="AB1035" s="351"/>
      <c r="AC1035" s="359"/>
      <c r="AD1035" s="359"/>
      <c r="AE1035" s="351"/>
      <c r="AF1035" s="333"/>
      <c r="AG1035" s="333"/>
      <c r="AH1035" s="351"/>
      <c r="AI1035" s="351"/>
      <c r="AJ1035" s="351"/>
      <c r="AK1035" s="351"/>
      <c r="AL1035" s="351"/>
      <c r="AM1035" s="351"/>
      <c r="AN1035" s="351"/>
      <c r="AO1035" s="351"/>
      <c r="AP1035" s="351"/>
      <c r="AQ1035" s="351"/>
      <c r="AR1035" s="351"/>
      <c r="AS1035" s="351"/>
      <c r="AT1035" s="351"/>
      <c r="AU1035" s="351"/>
      <c r="AV1035" s="351"/>
      <c r="AW1035" s="351"/>
      <c r="AX1035" s="351"/>
      <c r="AY1035" s="351"/>
    </row>
  </sheetData>
  <dataValidations count="2">
    <dataValidation type="list" allowBlank="1" showErrorMessage="1" sqref="AF2:AF139" xr:uid="{00000000-0002-0000-1700-000000000000}">
      <formula1>"Resign,Perpanjangan kontrak"</formula1>
    </dataValidation>
    <dataValidation type="list" allowBlank="1" showErrorMessage="1" sqref="AG2:AG139" xr:uid="{00000000-0002-0000-1700-000001000000}">
      <formula1>"Lajang,Menikah,Cerai"</formula1>
    </dataValidation>
  </dataValidations>
  <hyperlinks>
    <hyperlink ref="AA3" r:id="rId1" xr:uid="{00000000-0004-0000-1700-000000000000}"/>
    <hyperlink ref="AA4" r:id="rId2" xr:uid="{00000000-0004-0000-1700-000001000000}"/>
    <hyperlink ref="AA5" r:id="rId3" xr:uid="{00000000-0004-0000-1700-000002000000}"/>
    <hyperlink ref="AA6" r:id="rId4" xr:uid="{00000000-0004-0000-1700-000003000000}"/>
    <hyperlink ref="AA7" r:id="rId5" xr:uid="{00000000-0004-0000-1700-000004000000}"/>
    <hyperlink ref="AA8" r:id="rId6" xr:uid="{00000000-0004-0000-1700-000005000000}"/>
    <hyperlink ref="AA9" r:id="rId7" xr:uid="{00000000-0004-0000-1700-000006000000}"/>
    <hyperlink ref="AA10" r:id="rId8" xr:uid="{00000000-0004-0000-1700-000007000000}"/>
    <hyperlink ref="AA11" r:id="rId9" xr:uid="{00000000-0004-0000-1700-000008000000}"/>
    <hyperlink ref="AA12" r:id="rId10" xr:uid="{00000000-0004-0000-1700-000009000000}"/>
    <hyperlink ref="AA15" r:id="rId11" xr:uid="{00000000-0004-0000-1700-00000A000000}"/>
    <hyperlink ref="AA16" r:id="rId12" xr:uid="{00000000-0004-0000-1700-00000B000000}"/>
    <hyperlink ref="AA17" r:id="rId13" xr:uid="{00000000-0004-0000-1700-00000C000000}"/>
    <hyperlink ref="AA18" r:id="rId14" xr:uid="{00000000-0004-0000-1700-00000D000000}"/>
    <hyperlink ref="AA21" r:id="rId15" xr:uid="{00000000-0004-0000-1700-00000E000000}"/>
    <hyperlink ref="AA22" r:id="rId16" xr:uid="{00000000-0004-0000-1700-00000F000000}"/>
    <hyperlink ref="AA23" r:id="rId17" xr:uid="{00000000-0004-0000-1700-000010000000}"/>
    <hyperlink ref="AA24" r:id="rId18" xr:uid="{00000000-0004-0000-1700-000011000000}"/>
    <hyperlink ref="AA25" r:id="rId19" xr:uid="{00000000-0004-0000-1700-000012000000}"/>
    <hyperlink ref="AA27" r:id="rId20" xr:uid="{00000000-0004-0000-1700-000013000000}"/>
    <hyperlink ref="AA28" r:id="rId21" xr:uid="{00000000-0004-0000-1700-000014000000}"/>
    <hyperlink ref="AA30" r:id="rId22" xr:uid="{00000000-0004-0000-1700-000015000000}"/>
    <hyperlink ref="AA34" r:id="rId23" xr:uid="{00000000-0004-0000-1700-000016000000}"/>
    <hyperlink ref="AA35" r:id="rId24" xr:uid="{00000000-0004-0000-1700-000017000000}"/>
    <hyperlink ref="AA39" r:id="rId25" xr:uid="{00000000-0004-0000-1700-000018000000}"/>
    <hyperlink ref="AA40" r:id="rId26" xr:uid="{00000000-0004-0000-1700-000019000000}"/>
    <hyperlink ref="AA42" r:id="rId27" xr:uid="{00000000-0004-0000-1700-00001A000000}"/>
    <hyperlink ref="AA50" r:id="rId28" xr:uid="{00000000-0004-0000-1700-00001B000000}"/>
    <hyperlink ref="AA52" r:id="rId29" xr:uid="{00000000-0004-0000-1700-00001C000000}"/>
    <hyperlink ref="AA53" r:id="rId30" xr:uid="{00000000-0004-0000-1700-00001D000000}"/>
    <hyperlink ref="AA54" r:id="rId31" xr:uid="{00000000-0004-0000-1700-00001E000000}"/>
    <hyperlink ref="AA55" r:id="rId32" xr:uid="{00000000-0004-0000-1700-00001F000000}"/>
    <hyperlink ref="AA56" r:id="rId33" xr:uid="{00000000-0004-0000-1700-000020000000}"/>
    <hyperlink ref="AA57" r:id="rId34" xr:uid="{00000000-0004-0000-1700-000021000000}"/>
    <hyperlink ref="AA60" r:id="rId35" xr:uid="{00000000-0004-0000-1700-000022000000}"/>
    <hyperlink ref="AA61" r:id="rId36" xr:uid="{00000000-0004-0000-1700-000023000000}"/>
    <hyperlink ref="AA62" r:id="rId37" xr:uid="{00000000-0004-0000-1700-000024000000}"/>
    <hyperlink ref="AA63" r:id="rId38" xr:uid="{00000000-0004-0000-1700-000025000000}"/>
    <hyperlink ref="AA64" r:id="rId39" xr:uid="{00000000-0004-0000-1700-000026000000}"/>
    <hyperlink ref="AA66" r:id="rId40" xr:uid="{00000000-0004-0000-1700-000027000000}"/>
    <hyperlink ref="AA70" r:id="rId41" xr:uid="{00000000-0004-0000-1700-000028000000}"/>
    <hyperlink ref="AA73" r:id="rId42" xr:uid="{00000000-0004-0000-1700-000029000000}"/>
    <hyperlink ref="AA74" r:id="rId43" xr:uid="{00000000-0004-0000-1700-00002A000000}"/>
    <hyperlink ref="AA76" r:id="rId44" xr:uid="{00000000-0004-0000-1700-00002B000000}"/>
    <hyperlink ref="AA78" r:id="rId45" xr:uid="{00000000-0004-0000-1700-00002C000000}"/>
    <hyperlink ref="AA79" r:id="rId46" xr:uid="{00000000-0004-0000-1700-00002D000000}"/>
    <hyperlink ref="AA80" r:id="rId47" xr:uid="{00000000-0004-0000-1700-00002E000000}"/>
    <hyperlink ref="AA81" r:id="rId48" xr:uid="{00000000-0004-0000-1700-00002F000000}"/>
    <hyperlink ref="AA82" r:id="rId49" xr:uid="{00000000-0004-0000-1700-000030000000}"/>
    <hyperlink ref="AA83" r:id="rId50" xr:uid="{00000000-0004-0000-1700-000031000000}"/>
    <hyperlink ref="AA85" r:id="rId51" xr:uid="{00000000-0004-0000-1700-000032000000}"/>
    <hyperlink ref="AA87" r:id="rId52" xr:uid="{00000000-0004-0000-1700-000033000000}"/>
    <hyperlink ref="AA94" r:id="rId53" xr:uid="{00000000-0004-0000-1700-000034000000}"/>
    <hyperlink ref="AA95" r:id="rId54" xr:uid="{00000000-0004-0000-1700-000035000000}"/>
    <hyperlink ref="AA96" r:id="rId55" xr:uid="{00000000-0004-0000-1700-000036000000}"/>
    <hyperlink ref="AA98" r:id="rId56" xr:uid="{00000000-0004-0000-1700-000037000000}"/>
    <hyperlink ref="AA100" r:id="rId57" xr:uid="{00000000-0004-0000-1700-000038000000}"/>
    <hyperlink ref="AA102" r:id="rId58" xr:uid="{00000000-0004-0000-1700-000039000000}"/>
    <hyperlink ref="AA104" r:id="rId59" xr:uid="{00000000-0004-0000-1700-00003A000000}"/>
    <hyperlink ref="AA106" r:id="rId60" xr:uid="{00000000-0004-0000-1700-00003B000000}"/>
    <hyperlink ref="AA107" r:id="rId61" xr:uid="{00000000-0004-0000-1700-00003C000000}"/>
    <hyperlink ref="AA108" r:id="rId62" xr:uid="{00000000-0004-0000-1700-00003D000000}"/>
    <hyperlink ref="AA109" r:id="rId63" xr:uid="{00000000-0004-0000-1700-00003E000000}"/>
    <hyperlink ref="AA110" r:id="rId64" xr:uid="{00000000-0004-0000-1700-00003F000000}"/>
    <hyperlink ref="AA111" r:id="rId65" xr:uid="{00000000-0004-0000-1700-000040000000}"/>
    <hyperlink ref="AA112" r:id="rId66" xr:uid="{00000000-0004-0000-1700-000041000000}"/>
    <hyperlink ref="AA113" r:id="rId67" xr:uid="{00000000-0004-0000-1700-000042000000}"/>
    <hyperlink ref="AA115" r:id="rId68" xr:uid="{00000000-0004-0000-1700-000043000000}"/>
    <hyperlink ref="AA116" r:id="rId69" xr:uid="{00000000-0004-0000-1700-000044000000}"/>
    <hyperlink ref="AA117" r:id="rId70" xr:uid="{00000000-0004-0000-1700-000045000000}"/>
    <hyperlink ref="AA118" r:id="rId71" xr:uid="{00000000-0004-0000-1700-000046000000}"/>
    <hyperlink ref="AA120" r:id="rId72" xr:uid="{00000000-0004-0000-1700-000047000000}"/>
    <hyperlink ref="AA123" r:id="rId73" xr:uid="{00000000-0004-0000-1700-000048000000}"/>
    <hyperlink ref="AA124" r:id="rId74" xr:uid="{00000000-0004-0000-1700-000049000000}"/>
    <hyperlink ref="AA125" r:id="rId75" xr:uid="{00000000-0004-0000-1700-00004A000000}"/>
    <hyperlink ref="AA126" r:id="rId76" xr:uid="{00000000-0004-0000-1700-00004B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C140"/>
  <sheetViews>
    <sheetView showGridLines="0" workbookViewId="0"/>
  </sheetViews>
  <sheetFormatPr baseColWidth="10" defaultColWidth="12.6640625" defaultRowHeight="15.75" customHeight="1"/>
  <cols>
    <col min="1" max="1" width="36.5" customWidth="1"/>
    <col min="2" max="2" width="37.5" customWidth="1"/>
  </cols>
  <sheetData>
    <row r="1" spans="1:3" ht="15.75" customHeight="1">
      <c r="A1" s="423" t="s">
        <v>2675</v>
      </c>
      <c r="B1" s="423" t="s">
        <v>2685</v>
      </c>
      <c r="C1" s="424" t="s">
        <v>2700</v>
      </c>
    </row>
    <row r="2" spans="1:3" ht="15.75" customHeight="1">
      <c r="A2" s="425" t="s">
        <v>2562</v>
      </c>
      <c r="B2" s="425">
        <v>0</v>
      </c>
      <c r="C2" s="426" t="s">
        <v>3851</v>
      </c>
    </row>
    <row r="3" spans="1:3" ht="15.75" customHeight="1">
      <c r="A3" s="425" t="s">
        <v>611</v>
      </c>
      <c r="B3" s="425">
        <v>0</v>
      </c>
      <c r="C3" s="426" t="s">
        <v>3851</v>
      </c>
    </row>
    <row r="4" spans="1:3" ht="15.75" customHeight="1">
      <c r="A4" s="425" t="s">
        <v>2624</v>
      </c>
      <c r="B4" s="425" t="s">
        <v>2621</v>
      </c>
      <c r="C4" s="426" t="s">
        <v>3851</v>
      </c>
    </row>
    <row r="5" spans="1:3" ht="15.75" customHeight="1">
      <c r="A5" s="425" t="s">
        <v>2655</v>
      </c>
      <c r="B5" s="425" t="s">
        <v>2654</v>
      </c>
      <c r="C5" s="426" t="s">
        <v>3851</v>
      </c>
    </row>
    <row r="6" spans="1:3" ht="15.75" customHeight="1">
      <c r="A6" s="425" t="s">
        <v>1712</v>
      </c>
      <c r="B6" s="425" t="s">
        <v>2616</v>
      </c>
      <c r="C6" s="426" t="s">
        <v>3851</v>
      </c>
    </row>
    <row r="7" spans="1:3" ht="15.75" customHeight="1">
      <c r="A7" s="425" t="s">
        <v>2640</v>
      </c>
      <c r="B7" s="425" t="s">
        <v>1763</v>
      </c>
      <c r="C7" s="426" t="s">
        <v>3851</v>
      </c>
    </row>
    <row r="8" spans="1:3" ht="15.75" customHeight="1">
      <c r="A8" s="425" t="s">
        <v>2815</v>
      </c>
      <c r="B8" s="425" t="s">
        <v>2795</v>
      </c>
      <c r="C8" s="426" t="s">
        <v>3851</v>
      </c>
    </row>
    <row r="9" spans="1:3" ht="15.75" customHeight="1">
      <c r="A9" s="425" t="s">
        <v>1699</v>
      </c>
      <c r="B9" s="425" t="s">
        <v>494</v>
      </c>
      <c r="C9" s="426" t="s">
        <v>3851</v>
      </c>
    </row>
    <row r="10" spans="1:3" ht="15.75" customHeight="1">
      <c r="A10" s="425" t="s">
        <v>2639</v>
      </c>
      <c r="B10" s="425">
        <v>0</v>
      </c>
      <c r="C10" s="426" t="s">
        <v>2928</v>
      </c>
    </row>
    <row r="11" spans="1:3" ht="15.75" customHeight="1">
      <c r="A11" s="425" t="s">
        <v>2587</v>
      </c>
      <c r="B11" s="425" t="s">
        <v>2586</v>
      </c>
      <c r="C11" s="426" t="s">
        <v>3851</v>
      </c>
    </row>
    <row r="12" spans="1:3" ht="15.75" customHeight="1">
      <c r="A12" s="425" t="s">
        <v>2548</v>
      </c>
      <c r="B12" s="425" t="s">
        <v>2804</v>
      </c>
      <c r="C12" s="426" t="s">
        <v>3851</v>
      </c>
    </row>
    <row r="13" spans="1:3" ht="15.75" customHeight="1">
      <c r="A13" s="425" t="s">
        <v>2623</v>
      </c>
      <c r="B13" s="425" t="s">
        <v>2626</v>
      </c>
      <c r="C13" s="426" t="s">
        <v>3851</v>
      </c>
    </row>
    <row r="14" spans="1:3" ht="15.75" customHeight="1">
      <c r="A14" s="425" t="s">
        <v>3102</v>
      </c>
      <c r="B14" s="425" t="s">
        <v>3101</v>
      </c>
      <c r="C14" s="426" t="s">
        <v>3851</v>
      </c>
    </row>
    <row r="15" spans="1:3" ht="15.75" customHeight="1">
      <c r="A15" s="425" t="s">
        <v>3233</v>
      </c>
      <c r="B15" s="425" t="s">
        <v>3232</v>
      </c>
      <c r="C15" s="426" t="s">
        <v>3851</v>
      </c>
    </row>
    <row r="16" spans="1:3" ht="15.75" customHeight="1">
      <c r="A16" s="425" t="s">
        <v>2641</v>
      </c>
      <c r="B16" s="425" t="s">
        <v>1763</v>
      </c>
      <c r="C16" s="426" t="s">
        <v>3851</v>
      </c>
    </row>
    <row r="17" spans="1:3" ht="15.75" customHeight="1">
      <c r="A17" s="425" t="s">
        <v>2601</v>
      </c>
      <c r="B17" s="425" t="s">
        <v>1753</v>
      </c>
      <c r="C17" s="426" t="s">
        <v>3851</v>
      </c>
    </row>
    <row r="18" spans="1:3" ht="15.75" customHeight="1">
      <c r="A18" s="425" t="s">
        <v>2521</v>
      </c>
      <c r="B18" s="425" t="s">
        <v>2518</v>
      </c>
      <c r="C18" s="426" t="s">
        <v>3851</v>
      </c>
    </row>
    <row r="19" spans="1:3" ht="15.75" customHeight="1">
      <c r="A19" s="425" t="s">
        <v>2516</v>
      </c>
      <c r="B19" s="425">
        <v>0</v>
      </c>
      <c r="C19" s="426" t="s">
        <v>3851</v>
      </c>
    </row>
    <row r="20" spans="1:3" ht="15.75" customHeight="1">
      <c r="A20" s="425" t="s">
        <v>2597</v>
      </c>
      <c r="B20" s="425" t="s">
        <v>2884</v>
      </c>
      <c r="C20" s="426" t="s">
        <v>3851</v>
      </c>
    </row>
    <row r="21" spans="1:3" ht="15.75" customHeight="1">
      <c r="A21" s="425" t="s">
        <v>2645</v>
      </c>
      <c r="B21" s="425">
        <v>0</v>
      </c>
      <c r="C21" s="426" t="s">
        <v>3851</v>
      </c>
    </row>
    <row r="22" spans="1:3" ht="15.75" customHeight="1">
      <c r="A22" s="425" t="s">
        <v>2612</v>
      </c>
      <c r="B22" s="425" t="s">
        <v>2610</v>
      </c>
      <c r="C22" s="426" t="s">
        <v>3851</v>
      </c>
    </row>
    <row r="23" spans="1:3" ht="15.75" customHeight="1">
      <c r="A23" s="425" t="s">
        <v>2523</v>
      </c>
      <c r="B23" s="425" t="s">
        <v>2522</v>
      </c>
      <c r="C23" s="426" t="s">
        <v>3851</v>
      </c>
    </row>
    <row r="24" spans="1:3" ht="15.75" customHeight="1">
      <c r="A24" s="425" t="s">
        <v>3042</v>
      </c>
      <c r="B24" s="425" t="s">
        <v>2738</v>
      </c>
      <c r="C24" s="426" t="s">
        <v>3851</v>
      </c>
    </row>
    <row r="25" spans="1:3" ht="15.75" customHeight="1">
      <c r="A25" s="425" t="s">
        <v>2622</v>
      </c>
      <c r="B25" s="425" t="s">
        <v>2621</v>
      </c>
      <c r="C25" s="426" t="s">
        <v>3851</v>
      </c>
    </row>
    <row r="26" spans="1:3" ht="15.75" customHeight="1">
      <c r="A26" s="425" t="s">
        <v>2576</v>
      </c>
      <c r="B26" s="425" t="s">
        <v>91</v>
      </c>
      <c r="C26" s="426" t="s">
        <v>2928</v>
      </c>
    </row>
    <row r="27" spans="1:3" ht="15.75" customHeight="1">
      <c r="A27" s="425" t="s">
        <v>2752</v>
      </c>
      <c r="B27" s="425" t="s">
        <v>89</v>
      </c>
      <c r="C27" s="426" t="s">
        <v>3851</v>
      </c>
    </row>
    <row r="28" spans="1:3" ht="15.75" customHeight="1">
      <c r="A28" s="425" t="s">
        <v>2764</v>
      </c>
      <c r="B28" s="425" t="s">
        <v>89</v>
      </c>
      <c r="C28" s="426" t="s">
        <v>3851</v>
      </c>
    </row>
    <row r="29" spans="1:3" ht="15.75" customHeight="1">
      <c r="A29" s="425" t="s">
        <v>2657</v>
      </c>
      <c r="B29" s="425" t="s">
        <v>2654</v>
      </c>
      <c r="C29" s="426" t="s">
        <v>3851</v>
      </c>
    </row>
    <row r="30" spans="1:3" ht="15.75" customHeight="1">
      <c r="A30" s="425" t="s">
        <v>2777</v>
      </c>
      <c r="B30" s="425" t="s">
        <v>762</v>
      </c>
      <c r="C30" s="426" t="s">
        <v>3851</v>
      </c>
    </row>
    <row r="31" spans="1:3" ht="15.75" customHeight="1">
      <c r="A31" s="425" t="s">
        <v>2553</v>
      </c>
      <c r="B31" s="425" t="s">
        <v>2552</v>
      </c>
      <c r="C31" s="426" t="s">
        <v>3851</v>
      </c>
    </row>
    <row r="32" spans="1:3" ht="15.75" customHeight="1">
      <c r="A32" s="425" t="s">
        <v>2585</v>
      </c>
      <c r="B32" s="425" t="s">
        <v>2970</v>
      </c>
      <c r="C32" s="426" t="s">
        <v>3851</v>
      </c>
    </row>
    <row r="33" spans="1:3" ht="15.75" customHeight="1">
      <c r="A33" s="425" t="s">
        <v>1701</v>
      </c>
      <c r="B33" s="425" t="s">
        <v>2497</v>
      </c>
      <c r="C33" s="426" t="s">
        <v>3851</v>
      </c>
    </row>
    <row r="34" spans="1:3" ht="15.75" customHeight="1">
      <c r="A34" s="425" t="s">
        <v>2538</v>
      </c>
      <c r="B34" s="425" t="s">
        <v>3372</v>
      </c>
      <c r="C34" s="426" t="s">
        <v>3851</v>
      </c>
    </row>
    <row r="35" spans="1:3" ht="15.75" customHeight="1">
      <c r="A35" s="425" t="s">
        <v>1709</v>
      </c>
      <c r="B35" s="425" t="s">
        <v>2908</v>
      </c>
      <c r="C35" s="426" t="s">
        <v>3851</v>
      </c>
    </row>
    <row r="36" spans="1:3" ht="15.75" customHeight="1">
      <c r="A36" s="425" t="s">
        <v>2513</v>
      </c>
      <c r="B36" s="425" t="s">
        <v>2512</v>
      </c>
      <c r="C36" s="426" t="s">
        <v>3851</v>
      </c>
    </row>
    <row r="37" spans="1:3" ht="15.75" customHeight="1">
      <c r="A37" s="425" t="s">
        <v>2578</v>
      </c>
      <c r="B37" s="425" t="s">
        <v>91</v>
      </c>
      <c r="C37" s="426" t="s">
        <v>2928</v>
      </c>
    </row>
    <row r="38" spans="1:3" ht="15.75" customHeight="1">
      <c r="A38" s="425" t="s">
        <v>2550</v>
      </c>
      <c r="B38" s="425" t="s">
        <v>12</v>
      </c>
      <c r="C38" s="426" t="s">
        <v>3851</v>
      </c>
    </row>
    <row r="39" spans="1:3" ht="15.75" customHeight="1">
      <c r="A39" s="425" t="s">
        <v>2547</v>
      </c>
      <c r="B39" s="425">
        <v>0</v>
      </c>
      <c r="C39" s="426" t="s">
        <v>3851</v>
      </c>
    </row>
    <row r="40" spans="1:3" ht="15.75" customHeight="1">
      <c r="A40" s="425" t="s">
        <v>2557</v>
      </c>
      <c r="B40" s="425" t="s">
        <v>983</v>
      </c>
      <c r="C40" s="426" t="s">
        <v>3851</v>
      </c>
    </row>
    <row r="41" spans="1:3" ht="15.75" customHeight="1">
      <c r="A41" s="425" t="s">
        <v>3813</v>
      </c>
      <c r="B41" s="425">
        <v>0</v>
      </c>
      <c r="C41" s="426" t="s">
        <v>3851</v>
      </c>
    </row>
    <row r="42" spans="1:3" ht="15.75" customHeight="1">
      <c r="A42" s="425" t="s">
        <v>2541</v>
      </c>
      <c r="B42" s="425" t="s">
        <v>3414</v>
      </c>
      <c r="C42" s="426" t="s">
        <v>3851</v>
      </c>
    </row>
    <row r="43" spans="1:3" ht="15.75" customHeight="1">
      <c r="A43" s="425" t="s">
        <v>2635</v>
      </c>
      <c r="B43" s="425" t="s">
        <v>3060</v>
      </c>
      <c r="C43" s="426" t="s">
        <v>3851</v>
      </c>
    </row>
    <row r="44" spans="1:3" ht="15.75" customHeight="1">
      <c r="A44" s="425" t="s">
        <v>2644</v>
      </c>
      <c r="B44" s="425" t="s">
        <v>2643</v>
      </c>
      <c r="C44" s="426" t="s">
        <v>2928</v>
      </c>
    </row>
    <row r="45" spans="1:3" ht="15.75" customHeight="1">
      <c r="A45" s="425" t="s">
        <v>1711</v>
      </c>
      <c r="B45" s="425" t="s">
        <v>2614</v>
      </c>
      <c r="C45" s="426" t="s">
        <v>3851</v>
      </c>
    </row>
    <row r="46" spans="1:3" ht="13">
      <c r="A46" s="425" t="s">
        <v>2569</v>
      </c>
      <c r="B46" s="425" t="s">
        <v>3496</v>
      </c>
      <c r="C46" s="426" t="s">
        <v>2928</v>
      </c>
    </row>
    <row r="47" spans="1:3" ht="13">
      <c r="A47" s="425" t="s">
        <v>1770</v>
      </c>
      <c r="B47" s="425">
        <v>0</v>
      </c>
      <c r="C47" s="426" t="s">
        <v>3851</v>
      </c>
    </row>
    <row r="48" spans="1:3" ht="13">
      <c r="A48" s="425" t="s">
        <v>2633</v>
      </c>
      <c r="B48" s="425" t="s">
        <v>2738</v>
      </c>
      <c r="C48" s="426" t="s">
        <v>3851</v>
      </c>
    </row>
    <row r="49" spans="1:3" ht="13">
      <c r="A49" s="425" t="s">
        <v>3020</v>
      </c>
      <c r="B49" s="425" t="s">
        <v>2503</v>
      </c>
      <c r="C49" s="426" t="s">
        <v>3851</v>
      </c>
    </row>
    <row r="50" spans="1:3" ht="13">
      <c r="A50" s="425" t="s">
        <v>2519</v>
      </c>
      <c r="B50" s="425" t="s">
        <v>2518</v>
      </c>
      <c r="C50" s="426" t="s">
        <v>3851</v>
      </c>
    </row>
    <row r="51" spans="1:3" ht="13">
      <c r="A51" s="425" t="s">
        <v>2630</v>
      </c>
      <c r="B51" s="425" t="s">
        <v>2594</v>
      </c>
      <c r="C51" s="426" t="s">
        <v>3851</v>
      </c>
    </row>
    <row r="52" spans="1:3" ht="13">
      <c r="A52" s="425" t="s">
        <v>3812</v>
      </c>
      <c r="B52" s="425">
        <v>0</v>
      </c>
      <c r="C52" s="426" t="s">
        <v>3851</v>
      </c>
    </row>
    <row r="53" spans="1:3" ht="13">
      <c r="A53" s="425" t="s">
        <v>3486</v>
      </c>
      <c r="B53" s="425" t="s">
        <v>3485</v>
      </c>
      <c r="C53" s="426" t="s">
        <v>3851</v>
      </c>
    </row>
    <row r="54" spans="1:3" ht="13">
      <c r="A54" s="425" t="s">
        <v>2726</v>
      </c>
      <c r="B54" s="425" t="s">
        <v>2725</v>
      </c>
      <c r="C54" s="426" t="s">
        <v>3851</v>
      </c>
    </row>
    <row r="55" spans="1:3" ht="13">
      <c r="A55" s="425" t="s">
        <v>2834</v>
      </c>
      <c r="B55" s="425" t="s">
        <v>2833</v>
      </c>
      <c r="C55" s="426" t="s">
        <v>3851</v>
      </c>
    </row>
    <row r="56" spans="1:3" ht="13">
      <c r="A56" s="425" t="s">
        <v>2549</v>
      </c>
      <c r="B56" s="425" t="s">
        <v>3725</v>
      </c>
      <c r="C56" s="426" t="s">
        <v>3851</v>
      </c>
    </row>
    <row r="57" spans="1:3" ht="13">
      <c r="A57" s="425" t="s">
        <v>2591</v>
      </c>
      <c r="B57" s="425" t="s">
        <v>391</v>
      </c>
      <c r="C57" s="426" t="s">
        <v>2928</v>
      </c>
    </row>
    <row r="58" spans="1:3" ht="13">
      <c r="A58" s="425" t="s">
        <v>3373</v>
      </c>
      <c r="B58" s="425" t="s">
        <v>3372</v>
      </c>
      <c r="C58" s="426" t="s">
        <v>3851</v>
      </c>
    </row>
    <row r="59" spans="1:3" ht="13">
      <c r="A59" s="425" t="s">
        <v>2565</v>
      </c>
      <c r="B59" s="425">
        <v>0</v>
      </c>
      <c r="C59" s="426" t="s">
        <v>3851</v>
      </c>
    </row>
    <row r="60" spans="1:3" ht="13">
      <c r="A60" s="425" t="s">
        <v>2536</v>
      </c>
      <c r="B60" s="425" t="s">
        <v>3372</v>
      </c>
      <c r="C60" s="426" t="s">
        <v>3851</v>
      </c>
    </row>
    <row r="61" spans="1:3" ht="13">
      <c r="A61" s="425" t="s">
        <v>2584</v>
      </c>
      <c r="B61" s="425" t="s">
        <v>74</v>
      </c>
      <c r="C61" s="426" t="s">
        <v>3851</v>
      </c>
    </row>
    <row r="62" spans="1:3" ht="13">
      <c r="A62" s="425" t="s">
        <v>2505</v>
      </c>
      <c r="B62" s="425" t="s">
        <v>64</v>
      </c>
      <c r="C62" s="426" t="s">
        <v>3851</v>
      </c>
    </row>
    <row r="63" spans="1:3" ht="13">
      <c r="A63" s="425" t="s">
        <v>2563</v>
      </c>
      <c r="B63" s="425">
        <v>0</v>
      </c>
      <c r="C63" s="426" t="s">
        <v>3851</v>
      </c>
    </row>
    <row r="64" spans="1:3" ht="13">
      <c r="A64" s="425" t="s">
        <v>2530</v>
      </c>
      <c r="B64" s="425" t="s">
        <v>3504</v>
      </c>
      <c r="C64" s="426" t="s">
        <v>3851</v>
      </c>
    </row>
    <row r="65" spans="1:3" ht="13">
      <c r="A65" s="425" t="s">
        <v>2660</v>
      </c>
      <c r="B65" s="425" t="s">
        <v>2654</v>
      </c>
      <c r="C65" s="426" t="s">
        <v>3851</v>
      </c>
    </row>
    <row r="66" spans="1:3" ht="13">
      <c r="A66" s="425" t="s">
        <v>3251</v>
      </c>
      <c r="B66" s="425" t="s">
        <v>2610</v>
      </c>
      <c r="C66" s="426" t="s">
        <v>3851</v>
      </c>
    </row>
    <row r="67" spans="1:3" ht="13">
      <c r="A67" s="425" t="s">
        <v>3216</v>
      </c>
      <c r="B67" s="425" t="s">
        <v>2527</v>
      </c>
      <c r="C67" s="426" t="s">
        <v>3851</v>
      </c>
    </row>
    <row r="68" spans="1:3" ht="13">
      <c r="A68" s="425" t="s">
        <v>2589</v>
      </c>
      <c r="B68" s="425" t="s">
        <v>2989</v>
      </c>
      <c r="C68" s="426" t="s">
        <v>2928</v>
      </c>
    </row>
    <row r="69" spans="1:3" ht="13">
      <c r="A69" s="425" t="s">
        <v>2791</v>
      </c>
      <c r="B69" s="425" t="s">
        <v>2795</v>
      </c>
      <c r="C69" s="426" t="s">
        <v>3851</v>
      </c>
    </row>
    <row r="70" spans="1:3" ht="13">
      <c r="A70" s="425" t="s">
        <v>2501</v>
      </c>
      <c r="B70" s="425" t="s">
        <v>2954</v>
      </c>
      <c r="C70" s="426" t="s">
        <v>3851</v>
      </c>
    </row>
    <row r="71" spans="1:3" ht="13">
      <c r="A71" s="425" t="s">
        <v>2619</v>
      </c>
      <c r="B71" s="425" t="s">
        <v>89</v>
      </c>
      <c r="C71" s="426" t="s">
        <v>3851</v>
      </c>
    </row>
    <row r="72" spans="1:3" ht="13">
      <c r="A72" s="425" t="s">
        <v>3019</v>
      </c>
      <c r="B72" s="425" t="s">
        <v>3018</v>
      </c>
      <c r="C72" s="426" t="s">
        <v>3851</v>
      </c>
    </row>
    <row r="73" spans="1:3" ht="13">
      <c r="A73" s="425" t="s">
        <v>2664</v>
      </c>
      <c r="B73" s="425" t="s">
        <v>3196</v>
      </c>
      <c r="C73" s="426" t="s">
        <v>3851</v>
      </c>
    </row>
    <row r="74" spans="1:3" ht="13">
      <c r="A74" s="425" t="s">
        <v>2543</v>
      </c>
      <c r="B74" s="425" t="s">
        <v>3432</v>
      </c>
      <c r="C74" s="426" t="s">
        <v>3851</v>
      </c>
    </row>
    <row r="75" spans="1:3" ht="13">
      <c r="A75" s="425" t="s">
        <v>2526</v>
      </c>
      <c r="B75" s="425" t="s">
        <v>2525</v>
      </c>
      <c r="C75" s="426" t="s">
        <v>3851</v>
      </c>
    </row>
    <row r="76" spans="1:3" ht="13">
      <c r="A76" s="425" t="s">
        <v>3734</v>
      </c>
      <c r="B76" s="425" t="s">
        <v>3733</v>
      </c>
      <c r="C76" s="426" t="s">
        <v>3851</v>
      </c>
    </row>
    <row r="77" spans="1:3" ht="13">
      <c r="A77" s="425" t="s">
        <v>3796</v>
      </c>
      <c r="B77" s="425" t="s">
        <v>2558</v>
      </c>
      <c r="C77" s="426" t="s">
        <v>3851</v>
      </c>
    </row>
    <row r="78" spans="1:3" ht="13">
      <c r="A78" s="425" t="s">
        <v>2805</v>
      </c>
      <c r="B78" s="425" t="s">
        <v>2795</v>
      </c>
      <c r="C78" s="426" t="s">
        <v>3851</v>
      </c>
    </row>
    <row r="79" spans="1:3" ht="13">
      <c r="A79" s="425" t="s">
        <v>3814</v>
      </c>
      <c r="B79" s="425">
        <v>0</v>
      </c>
      <c r="C79" s="426" t="s">
        <v>3851</v>
      </c>
    </row>
    <row r="80" spans="1:3" ht="13">
      <c r="A80" s="425" t="s">
        <v>3538</v>
      </c>
      <c r="B80" s="425">
        <v>0</v>
      </c>
      <c r="C80" s="426" t="s">
        <v>3851</v>
      </c>
    </row>
    <row r="81" spans="1:3" ht="13">
      <c r="A81" s="425" t="s">
        <v>3681</v>
      </c>
      <c r="B81" s="425" t="s">
        <v>2582</v>
      </c>
      <c r="C81" s="426" t="s">
        <v>2928</v>
      </c>
    </row>
    <row r="82" spans="1:3" ht="13">
      <c r="A82" s="425" t="s">
        <v>2607</v>
      </c>
      <c r="B82" s="425" t="s">
        <v>3557</v>
      </c>
      <c r="C82" s="426" t="s">
        <v>3851</v>
      </c>
    </row>
    <row r="83" spans="1:3" ht="13">
      <c r="A83" s="425" t="s">
        <v>3690</v>
      </c>
      <c r="B83" s="425" t="s">
        <v>3414</v>
      </c>
      <c r="C83" s="426" t="s">
        <v>3851</v>
      </c>
    </row>
    <row r="84" spans="1:3" ht="13">
      <c r="A84" s="425" t="s">
        <v>2507</v>
      </c>
      <c r="B84" s="425" t="s">
        <v>64</v>
      </c>
      <c r="C84" s="426" t="s">
        <v>2928</v>
      </c>
    </row>
    <row r="85" spans="1:3" ht="13">
      <c r="A85" s="425" t="s">
        <v>2625</v>
      </c>
      <c r="B85" s="425" t="s">
        <v>2621</v>
      </c>
      <c r="C85" s="426" t="s">
        <v>2928</v>
      </c>
    </row>
    <row r="86" spans="1:3" ht="13">
      <c r="A86" s="425" t="s">
        <v>2599</v>
      </c>
      <c r="B86" s="425" t="s">
        <v>2884</v>
      </c>
      <c r="C86" s="426" t="s">
        <v>3851</v>
      </c>
    </row>
    <row r="87" spans="1:3" ht="13">
      <c r="A87" s="425" t="s">
        <v>2539</v>
      </c>
      <c r="B87" s="425" t="s">
        <v>3414</v>
      </c>
      <c r="C87" s="426" t="s">
        <v>3851</v>
      </c>
    </row>
    <row r="88" spans="1:3" ht="13">
      <c r="A88" s="425" t="s">
        <v>1708</v>
      </c>
      <c r="B88" s="425" t="s">
        <v>2873</v>
      </c>
      <c r="C88" s="426" t="s">
        <v>3851</v>
      </c>
    </row>
    <row r="89" spans="1:3" ht="13">
      <c r="A89" s="425" t="s">
        <v>2566</v>
      </c>
      <c r="B89" s="425" t="s">
        <v>3473</v>
      </c>
      <c r="C89" s="426" t="s">
        <v>3851</v>
      </c>
    </row>
    <row r="90" spans="1:3" ht="13">
      <c r="A90" s="425" t="s">
        <v>3030</v>
      </c>
      <c r="B90" s="425" t="s">
        <v>494</v>
      </c>
      <c r="C90" s="426" t="s">
        <v>3851</v>
      </c>
    </row>
    <row r="91" spans="1:3" ht="13">
      <c r="A91" s="425" t="s">
        <v>2554</v>
      </c>
      <c r="B91" s="425" t="s">
        <v>3767</v>
      </c>
      <c r="C91" s="426" t="s">
        <v>3851</v>
      </c>
    </row>
    <row r="92" spans="1:3" ht="13">
      <c r="A92" s="425" t="s">
        <v>2652</v>
      </c>
      <c r="B92" s="425" t="s">
        <v>2646</v>
      </c>
      <c r="C92" s="426" t="s">
        <v>3851</v>
      </c>
    </row>
    <row r="93" spans="1:3" ht="13">
      <c r="A93" s="425" t="s">
        <v>2617</v>
      </c>
      <c r="B93" s="425" t="s">
        <v>89</v>
      </c>
      <c r="C93" s="426" t="s">
        <v>3851</v>
      </c>
    </row>
    <row r="94" spans="1:3" ht="13">
      <c r="A94" s="425" t="s">
        <v>2583</v>
      </c>
      <c r="B94" s="425" t="s">
        <v>74</v>
      </c>
      <c r="C94" s="426" t="s">
        <v>3851</v>
      </c>
    </row>
    <row r="95" spans="1:3" ht="13">
      <c r="A95" s="425" t="s">
        <v>2517</v>
      </c>
      <c r="B95" s="425" t="s">
        <v>2515</v>
      </c>
      <c r="C95" s="426" t="s">
        <v>3851</v>
      </c>
    </row>
    <row r="96" spans="1:3" ht="13">
      <c r="A96" s="425" t="s">
        <v>2739</v>
      </c>
      <c r="B96" s="425" t="s">
        <v>2738</v>
      </c>
      <c r="C96" s="426" t="s">
        <v>3851</v>
      </c>
    </row>
    <row r="97" spans="1:3" ht="13">
      <c r="A97" s="425" t="s">
        <v>3579</v>
      </c>
      <c r="B97" s="425" t="s">
        <v>2568</v>
      </c>
      <c r="C97" s="426" t="s">
        <v>3851</v>
      </c>
    </row>
    <row r="98" spans="1:3" ht="13">
      <c r="A98" s="425" t="s">
        <v>2499</v>
      </c>
      <c r="B98" s="425" t="s">
        <v>2936</v>
      </c>
      <c r="C98" s="426" t="s">
        <v>3851</v>
      </c>
    </row>
    <row r="99" spans="1:3" ht="13">
      <c r="A99" s="425" t="s">
        <v>1705</v>
      </c>
      <c r="B99" s="425" t="s">
        <v>492</v>
      </c>
      <c r="C99" s="426" t="s">
        <v>3851</v>
      </c>
    </row>
    <row r="100" spans="1:3" ht="13">
      <c r="A100" s="425" t="s">
        <v>1698</v>
      </c>
      <c r="B100" s="425" t="s">
        <v>2703</v>
      </c>
      <c r="C100" s="426" t="s">
        <v>3851</v>
      </c>
    </row>
    <row r="101" spans="1:3" ht="13">
      <c r="A101" s="425" t="s">
        <v>3120</v>
      </c>
      <c r="B101" s="425" t="s">
        <v>2646</v>
      </c>
      <c r="C101" s="426" t="s">
        <v>3851</v>
      </c>
    </row>
    <row r="102" spans="1:3" ht="13">
      <c r="A102" s="425" t="s">
        <v>2555</v>
      </c>
      <c r="B102" s="425" t="s">
        <v>3775</v>
      </c>
      <c r="C102" s="426" t="s">
        <v>3851</v>
      </c>
    </row>
    <row r="103" spans="1:3" ht="13">
      <c r="A103" s="425" t="s">
        <v>3537</v>
      </c>
      <c r="B103" s="425">
        <v>0</v>
      </c>
      <c r="C103" s="426" t="s">
        <v>3851</v>
      </c>
    </row>
    <row r="104" spans="1:3" ht="13">
      <c r="A104" s="425" t="s">
        <v>2593</v>
      </c>
      <c r="B104" s="425" t="s">
        <v>385</v>
      </c>
      <c r="C104" s="426" t="s">
        <v>3851</v>
      </c>
    </row>
    <row r="105" spans="1:3" ht="13">
      <c r="A105" s="425" t="s">
        <v>1706</v>
      </c>
      <c r="B105" s="425" t="s">
        <v>2654</v>
      </c>
      <c r="C105" s="426" t="s">
        <v>3851</v>
      </c>
    </row>
    <row r="106" spans="1:3" ht="13">
      <c r="A106" s="425" t="s">
        <v>2609</v>
      </c>
      <c r="B106" s="425" t="s">
        <v>2608</v>
      </c>
      <c r="C106" s="426" t="s">
        <v>3851</v>
      </c>
    </row>
    <row r="107" spans="1:3" ht="13">
      <c r="A107" s="425" t="s">
        <v>2500</v>
      </c>
      <c r="B107" s="425" t="s">
        <v>2946</v>
      </c>
      <c r="C107" s="426" t="s">
        <v>2928</v>
      </c>
    </row>
    <row r="108" spans="1:3" ht="13">
      <c r="A108" s="425" t="s">
        <v>1696</v>
      </c>
      <c r="B108" s="425" t="s">
        <v>53</v>
      </c>
      <c r="C108" s="426" t="s">
        <v>3851</v>
      </c>
    </row>
    <row r="109" spans="1:3" ht="13">
      <c r="A109" s="425" t="s">
        <v>2605</v>
      </c>
      <c r="B109" s="425" t="s">
        <v>1754</v>
      </c>
      <c r="C109" s="426" t="s">
        <v>3851</v>
      </c>
    </row>
    <row r="110" spans="1:3" ht="13">
      <c r="A110" s="425" t="s">
        <v>2627</v>
      </c>
      <c r="B110" s="425" t="s">
        <v>3632</v>
      </c>
      <c r="C110" s="426" t="s">
        <v>3851</v>
      </c>
    </row>
    <row r="111" spans="1:3" ht="13">
      <c r="A111" s="425" t="s">
        <v>2510</v>
      </c>
      <c r="B111" s="425" t="s">
        <v>112</v>
      </c>
      <c r="C111" s="426" t="s">
        <v>3851</v>
      </c>
    </row>
    <row r="112" spans="1:3" ht="13">
      <c r="A112" s="425" t="s">
        <v>1695</v>
      </c>
      <c r="B112" s="425" t="s">
        <v>3240</v>
      </c>
      <c r="C112" s="426" t="s">
        <v>2928</v>
      </c>
    </row>
    <row r="113" spans="1:3" ht="13">
      <c r="A113" s="425" t="s">
        <v>2650</v>
      </c>
      <c r="B113" s="425" t="s">
        <v>2646</v>
      </c>
      <c r="C113" s="426" t="s">
        <v>3851</v>
      </c>
    </row>
    <row r="114" spans="1:3" ht="13">
      <c r="A114" s="425" t="s">
        <v>3455</v>
      </c>
      <c r="B114" s="425" t="s">
        <v>3454</v>
      </c>
      <c r="C114" s="426" t="s">
        <v>3851</v>
      </c>
    </row>
    <row r="115" spans="1:3" ht="13">
      <c r="A115" s="425" t="s">
        <v>2564</v>
      </c>
      <c r="B115" s="425">
        <v>0</v>
      </c>
      <c r="C115" s="426" t="s">
        <v>3851</v>
      </c>
    </row>
    <row r="116" spans="1:3" ht="13">
      <c r="A116" s="425" t="s">
        <v>2662</v>
      </c>
      <c r="B116" s="425" t="s">
        <v>3196</v>
      </c>
      <c r="C116" s="426" t="s">
        <v>3851</v>
      </c>
    </row>
    <row r="117" spans="1:3" ht="13">
      <c r="A117" s="425" t="s">
        <v>2533</v>
      </c>
      <c r="B117" s="425" t="s">
        <v>2</v>
      </c>
      <c r="C117" s="426" t="s">
        <v>2928</v>
      </c>
    </row>
    <row r="118" spans="1:3" ht="13">
      <c r="A118" s="425" t="s">
        <v>1772</v>
      </c>
      <c r="B118" s="425">
        <v>0</v>
      </c>
      <c r="C118" s="426" t="s">
        <v>3851</v>
      </c>
    </row>
    <row r="119" spans="1:3" ht="13">
      <c r="A119" s="425" t="s">
        <v>3700</v>
      </c>
      <c r="B119" s="425" t="s">
        <v>2642</v>
      </c>
      <c r="C119" s="426" t="s">
        <v>3851</v>
      </c>
    </row>
    <row r="120" spans="1:3" ht="13">
      <c r="A120" s="425" t="s">
        <v>2532</v>
      </c>
      <c r="B120" s="425" t="s">
        <v>308</v>
      </c>
      <c r="C120" s="426" t="s">
        <v>2928</v>
      </c>
    </row>
    <row r="121" spans="1:3" ht="13">
      <c r="A121" s="425" t="s">
        <v>2603</v>
      </c>
      <c r="B121" s="425" t="s">
        <v>1754</v>
      </c>
      <c r="C121" s="426" t="s">
        <v>3851</v>
      </c>
    </row>
    <row r="122" spans="1:3" ht="13">
      <c r="A122" s="425" t="s">
        <v>2824</v>
      </c>
      <c r="B122" s="425" t="s">
        <v>2795</v>
      </c>
      <c r="C122" s="426" t="s">
        <v>3851</v>
      </c>
    </row>
    <row r="123" spans="1:3" ht="13">
      <c r="A123" s="425" t="s">
        <v>2628</v>
      </c>
      <c r="B123" s="425" t="s">
        <v>32</v>
      </c>
      <c r="C123" s="426" t="s">
        <v>3851</v>
      </c>
    </row>
    <row r="124" spans="1:3" ht="13">
      <c r="A124" s="425" t="s">
        <v>2580</v>
      </c>
      <c r="B124" s="425" t="s">
        <v>3299</v>
      </c>
      <c r="C124" s="426" t="s">
        <v>3851</v>
      </c>
    </row>
    <row r="125" spans="1:3" ht="13">
      <c r="A125" s="425" t="s">
        <v>2573</v>
      </c>
      <c r="B125" s="425" t="s">
        <v>2572</v>
      </c>
      <c r="C125" s="426" t="s">
        <v>3851</v>
      </c>
    </row>
    <row r="126" spans="1:3" ht="13">
      <c r="A126" s="425" t="s">
        <v>2545</v>
      </c>
      <c r="B126" s="425" t="s">
        <v>3444</v>
      </c>
      <c r="C126" s="426" t="s">
        <v>3851</v>
      </c>
    </row>
    <row r="127" spans="1:3" ht="13">
      <c r="A127" s="425" t="s">
        <v>2648</v>
      </c>
      <c r="B127" s="425" t="s">
        <v>2646</v>
      </c>
      <c r="C127" s="426" t="s">
        <v>3851</v>
      </c>
    </row>
    <row r="128" spans="1:3" ht="13">
      <c r="A128" s="425" t="s">
        <v>2570</v>
      </c>
      <c r="B128" s="425" t="s">
        <v>3473</v>
      </c>
      <c r="C128" s="426" t="s">
        <v>3851</v>
      </c>
    </row>
    <row r="129" spans="1:3" ht="13">
      <c r="A129" s="425" t="s">
        <v>3006</v>
      </c>
      <c r="B129" s="425" t="s">
        <v>3005</v>
      </c>
      <c r="C129" s="426" t="s">
        <v>3851</v>
      </c>
    </row>
    <row r="130" spans="1:3" ht="13">
      <c r="A130" s="425" t="s">
        <v>2560</v>
      </c>
      <c r="B130" s="425">
        <v>0</v>
      </c>
      <c r="C130" s="426" t="s">
        <v>3851</v>
      </c>
    </row>
    <row r="131" spans="1:3" ht="13">
      <c r="A131" s="425" t="s">
        <v>2556</v>
      </c>
      <c r="B131" s="425" t="s">
        <v>3783</v>
      </c>
      <c r="C131" s="426" t="s">
        <v>3851</v>
      </c>
    </row>
    <row r="132" spans="1:3" ht="13">
      <c r="A132" s="425" t="s">
        <v>2508</v>
      </c>
      <c r="B132" s="425" t="s">
        <v>161</v>
      </c>
      <c r="C132" s="426" t="s">
        <v>3851</v>
      </c>
    </row>
    <row r="133" spans="1:3" ht="13">
      <c r="A133" s="425" t="s">
        <v>2528</v>
      </c>
      <c r="B133" s="425" t="s">
        <v>2527</v>
      </c>
      <c r="C133" s="426" t="s">
        <v>3851</v>
      </c>
    </row>
    <row r="134" spans="1:3" ht="13">
      <c r="A134" s="425" t="s">
        <v>2666</v>
      </c>
      <c r="B134" s="425" t="s">
        <v>3225</v>
      </c>
      <c r="C134" s="426" t="s">
        <v>3851</v>
      </c>
    </row>
    <row r="135" spans="1:3" ht="13">
      <c r="A135" s="425" t="s">
        <v>2559</v>
      </c>
      <c r="B135" s="425" t="s">
        <v>3804</v>
      </c>
      <c r="C135" s="426" t="s">
        <v>3851</v>
      </c>
    </row>
    <row r="136" spans="1:3" ht="13">
      <c r="A136" s="425" t="s">
        <v>2551</v>
      </c>
      <c r="B136" s="425" t="s">
        <v>3753</v>
      </c>
      <c r="C136" s="426" t="s">
        <v>3851</v>
      </c>
    </row>
    <row r="137" spans="1:3" ht="13">
      <c r="A137" s="425" t="s">
        <v>3386</v>
      </c>
      <c r="B137" s="425" t="s">
        <v>3372</v>
      </c>
      <c r="C137" s="426" t="s">
        <v>3851</v>
      </c>
    </row>
    <row r="138" spans="1:3" ht="13">
      <c r="A138" s="425" t="s">
        <v>2637</v>
      </c>
      <c r="B138" s="425" t="s">
        <v>15</v>
      </c>
      <c r="C138" s="426" t="s">
        <v>3851</v>
      </c>
    </row>
    <row r="139" spans="1:3" ht="13">
      <c r="A139" s="425" t="s">
        <v>2561</v>
      </c>
      <c r="B139" s="425">
        <v>0</v>
      </c>
      <c r="C139" s="426" t="s">
        <v>3851</v>
      </c>
    </row>
    <row r="140" spans="1:3" ht="13">
      <c r="A140" s="427" t="s">
        <v>3851</v>
      </c>
      <c r="B140" s="427" t="s">
        <v>3851</v>
      </c>
      <c r="C140" s="428" t="s">
        <v>3851</v>
      </c>
    </row>
  </sheetData>
  <autoFilter ref="A1:C1" xr:uid="{00000000-0009-0000-0000-000018000000}"/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B1:F1163"/>
  <sheetViews>
    <sheetView workbookViewId="0"/>
  </sheetViews>
  <sheetFormatPr baseColWidth="10" defaultColWidth="12.6640625" defaultRowHeight="15.75" customHeight="1"/>
  <cols>
    <col min="1" max="1" width="4.6640625" customWidth="1"/>
    <col min="2" max="2" width="6.1640625" customWidth="1"/>
    <col min="3" max="3" width="29.5" customWidth="1"/>
    <col min="4" max="4" width="36.1640625" customWidth="1"/>
    <col min="5" max="5" width="19.1640625" customWidth="1"/>
  </cols>
  <sheetData>
    <row r="1" spans="2:5" ht="15.75" customHeight="1">
      <c r="B1" s="380" t="s">
        <v>3816</v>
      </c>
      <c r="C1" s="381"/>
      <c r="D1" s="381"/>
      <c r="E1" s="382"/>
    </row>
    <row r="2" spans="2:5" ht="15.75" customHeight="1">
      <c r="B2" s="5"/>
      <c r="E2" s="5"/>
    </row>
    <row r="3" spans="2:5" ht="15.75" customHeight="1">
      <c r="B3" s="383" t="s">
        <v>3817</v>
      </c>
      <c r="E3" s="5"/>
    </row>
    <row r="4" spans="2:5" ht="15.75" customHeight="1">
      <c r="B4" s="384" t="s">
        <v>239</v>
      </c>
      <c r="C4" s="384" t="s">
        <v>941</v>
      </c>
      <c r="D4" s="384" t="s">
        <v>0</v>
      </c>
      <c r="E4" s="384" t="s">
        <v>2487</v>
      </c>
    </row>
    <row r="5" spans="2:5" ht="15.75" customHeight="1">
      <c r="B5" s="103">
        <v>1</v>
      </c>
      <c r="C5" s="413" t="s">
        <v>3818</v>
      </c>
      <c r="D5" s="10" t="s">
        <v>224</v>
      </c>
      <c r="E5" s="108"/>
    </row>
    <row r="6" spans="2:5" ht="15.75" customHeight="1">
      <c r="B6" s="103">
        <v>2</v>
      </c>
      <c r="C6" s="409"/>
      <c r="D6" s="10" t="s">
        <v>3</v>
      </c>
      <c r="E6" s="108">
        <v>975</v>
      </c>
    </row>
    <row r="7" spans="2:5" ht="15.75" customHeight="1">
      <c r="B7" s="103">
        <v>3</v>
      </c>
      <c r="C7" s="409"/>
      <c r="D7" s="10" t="s">
        <v>170</v>
      </c>
      <c r="E7" s="108" t="s">
        <v>3842</v>
      </c>
    </row>
    <row r="8" spans="2:5" ht="15.75" customHeight="1">
      <c r="B8" s="103">
        <v>4</v>
      </c>
      <c r="C8" s="410"/>
      <c r="D8" s="10" t="s">
        <v>118</v>
      </c>
      <c r="E8" s="108">
        <v>973</v>
      </c>
    </row>
    <row r="9" spans="2:5" ht="15.75" customHeight="1">
      <c r="B9" s="103">
        <v>5</v>
      </c>
      <c r="C9" s="413" t="s">
        <v>3819</v>
      </c>
      <c r="D9" s="10" t="s">
        <v>3820</v>
      </c>
      <c r="E9" s="108"/>
    </row>
    <row r="10" spans="2:5" ht="15.75" customHeight="1">
      <c r="B10" s="103">
        <v>6</v>
      </c>
      <c r="C10" s="409"/>
      <c r="D10" s="10" t="s">
        <v>3821</v>
      </c>
      <c r="E10" s="108">
        <f>77+77+80+87+68+75</f>
        <v>464</v>
      </c>
    </row>
    <row r="11" spans="2:5" ht="15.75" customHeight="1">
      <c r="B11" s="103">
        <v>7</v>
      </c>
      <c r="C11" s="409"/>
      <c r="D11" s="10" t="s">
        <v>3496</v>
      </c>
      <c r="E11" s="108">
        <v>392</v>
      </c>
    </row>
    <row r="12" spans="2:5" ht="15.75" customHeight="1">
      <c r="B12" s="103">
        <v>8</v>
      </c>
      <c r="C12" s="410"/>
      <c r="D12" s="10" t="s">
        <v>3822</v>
      </c>
      <c r="E12" s="108">
        <v>558</v>
      </c>
    </row>
    <row r="13" spans="2:5" ht="15.75" customHeight="1">
      <c r="B13" s="103">
        <v>9</v>
      </c>
      <c r="C13" s="413" t="s">
        <v>3823</v>
      </c>
      <c r="D13" s="10" t="s">
        <v>2</v>
      </c>
    </row>
    <row r="14" spans="2:5" ht="15.75" customHeight="1">
      <c r="B14" s="103">
        <v>10</v>
      </c>
      <c r="C14" s="409"/>
      <c r="D14" s="10" t="s">
        <v>308</v>
      </c>
      <c r="E14" s="108"/>
    </row>
    <row r="15" spans="2:5" ht="15.75" customHeight="1">
      <c r="B15" s="103">
        <v>11</v>
      </c>
      <c r="C15" s="409"/>
      <c r="D15" s="10" t="s">
        <v>219</v>
      </c>
      <c r="E15" s="108"/>
    </row>
    <row r="16" spans="2:5" ht="15.75" customHeight="1">
      <c r="B16" s="103">
        <v>12</v>
      </c>
      <c r="C16" s="409"/>
      <c r="D16" s="10" t="s">
        <v>10</v>
      </c>
      <c r="E16" s="108">
        <f>125+116+124+111+140+138</f>
        <v>754</v>
      </c>
    </row>
    <row r="17" spans="2:5" ht="15.75" customHeight="1">
      <c r="B17" s="103">
        <v>13</v>
      </c>
      <c r="C17" s="409"/>
      <c r="D17" s="10" t="s">
        <v>165</v>
      </c>
      <c r="E17" s="108">
        <v>359</v>
      </c>
    </row>
    <row r="18" spans="2:5" ht="15.75" customHeight="1">
      <c r="B18" s="103">
        <v>14</v>
      </c>
      <c r="C18" s="410"/>
      <c r="D18" s="10" t="s">
        <v>114</v>
      </c>
      <c r="E18" s="108">
        <v>450</v>
      </c>
    </row>
    <row r="19" spans="2:5">
      <c r="B19" s="385">
        <v>15</v>
      </c>
      <c r="C19" s="422" t="s">
        <v>3824</v>
      </c>
      <c r="D19" s="386" t="s">
        <v>5</v>
      </c>
      <c r="E19" s="108">
        <f>220+220+220+220+210+215</f>
        <v>1305</v>
      </c>
    </row>
    <row r="20" spans="2:5">
      <c r="B20" s="385">
        <v>16</v>
      </c>
      <c r="C20" s="409"/>
      <c r="D20" s="386" t="s">
        <v>3825</v>
      </c>
      <c r="E20" s="108">
        <v>525</v>
      </c>
    </row>
    <row r="21" spans="2:5">
      <c r="B21" s="385">
        <v>17</v>
      </c>
      <c r="C21" s="409"/>
      <c r="D21" s="386" t="s">
        <v>175</v>
      </c>
      <c r="E21" s="108">
        <v>697</v>
      </c>
    </row>
    <row r="22" spans="2:5">
      <c r="B22" s="385">
        <v>18</v>
      </c>
      <c r="C22" s="409"/>
      <c r="D22" s="386" t="s">
        <v>325</v>
      </c>
      <c r="E22" s="108"/>
    </row>
    <row r="23" spans="2:5">
      <c r="B23" s="385">
        <v>19</v>
      </c>
      <c r="C23" s="409"/>
      <c r="D23" s="386" t="s">
        <v>327</v>
      </c>
      <c r="E23" s="108"/>
    </row>
    <row r="24" spans="2:5">
      <c r="B24" s="385">
        <v>20</v>
      </c>
      <c r="C24" s="409"/>
      <c r="D24" s="386" t="s">
        <v>4</v>
      </c>
      <c r="E24" s="108">
        <f>125+120+119+102+102+99</f>
        <v>667</v>
      </c>
    </row>
    <row r="25" spans="2:5">
      <c r="B25" s="385">
        <v>21</v>
      </c>
      <c r="C25" s="409"/>
      <c r="D25" s="386" t="s">
        <v>154</v>
      </c>
      <c r="E25" s="108">
        <v>330</v>
      </c>
    </row>
    <row r="26" spans="2:5">
      <c r="B26" s="385">
        <v>22</v>
      </c>
      <c r="C26" s="409"/>
      <c r="D26" s="386" t="s">
        <v>6</v>
      </c>
      <c r="E26" s="108"/>
    </row>
    <row r="27" spans="2:5">
      <c r="B27" s="385">
        <v>23</v>
      </c>
      <c r="C27" s="409"/>
      <c r="D27" s="386" t="s">
        <v>81</v>
      </c>
      <c r="E27" s="108">
        <f>76+58+63+62+66+81</f>
        <v>406</v>
      </c>
    </row>
    <row r="28" spans="2:5">
      <c r="B28" s="385">
        <v>24</v>
      </c>
      <c r="C28" s="409"/>
      <c r="D28" s="386" t="s">
        <v>147</v>
      </c>
      <c r="E28" s="108">
        <v>677</v>
      </c>
    </row>
    <row r="29" spans="2:5">
      <c r="B29" s="385">
        <v>25</v>
      </c>
      <c r="C29" s="410"/>
      <c r="D29" s="386" t="s">
        <v>103</v>
      </c>
      <c r="E29" s="108">
        <v>677</v>
      </c>
    </row>
    <row r="30" spans="2:5" ht="15.75" customHeight="1">
      <c r="B30" s="92"/>
      <c r="C30" s="10"/>
      <c r="D30" s="10"/>
      <c r="E30" s="326"/>
    </row>
    <row r="31" spans="2:5" ht="15.75" customHeight="1">
      <c r="B31" s="387"/>
      <c r="C31" s="1"/>
      <c r="D31" s="1"/>
      <c r="E31" s="5"/>
    </row>
    <row r="32" spans="2:5" ht="15.75" customHeight="1">
      <c r="B32" s="383" t="s">
        <v>3826</v>
      </c>
      <c r="C32" s="1"/>
      <c r="D32" s="1"/>
      <c r="E32" s="5"/>
    </row>
    <row r="33" spans="2:5">
      <c r="B33" s="388" t="s">
        <v>239</v>
      </c>
      <c r="C33" s="389" t="s">
        <v>941</v>
      </c>
      <c r="D33" s="390" t="s">
        <v>0</v>
      </c>
      <c r="E33" s="391"/>
    </row>
    <row r="34" spans="2:5">
      <c r="B34" s="103">
        <v>1</v>
      </c>
      <c r="C34" s="413" t="s">
        <v>3827</v>
      </c>
      <c r="D34" s="386" t="s">
        <v>950</v>
      </c>
      <c r="E34" s="108">
        <v>370</v>
      </c>
    </row>
    <row r="35" spans="2:5">
      <c r="B35" s="103">
        <v>2</v>
      </c>
      <c r="C35" s="409"/>
      <c r="D35" s="386" t="s">
        <v>951</v>
      </c>
      <c r="E35" s="108">
        <v>360</v>
      </c>
    </row>
    <row r="36" spans="2:5">
      <c r="B36" s="103">
        <v>3</v>
      </c>
      <c r="C36" s="409"/>
      <c r="D36" s="386" t="s">
        <v>1</v>
      </c>
      <c r="E36" s="108">
        <f>90+90+100+100+110+110</f>
        <v>600</v>
      </c>
    </row>
    <row r="37" spans="2:5">
      <c r="B37" s="103">
        <v>4</v>
      </c>
      <c r="C37" s="409"/>
      <c r="D37" s="386" t="s">
        <v>3828</v>
      </c>
      <c r="E37" s="108"/>
    </row>
    <row r="38" spans="2:5">
      <c r="B38" s="103">
        <v>5</v>
      </c>
      <c r="C38" s="409"/>
      <c r="D38" s="386" t="s">
        <v>952</v>
      </c>
      <c r="E38" s="108">
        <v>345</v>
      </c>
    </row>
    <row r="39" spans="2:5">
      <c r="B39" s="103">
        <v>6</v>
      </c>
      <c r="C39" s="409"/>
      <c r="D39" s="386" t="s">
        <v>953</v>
      </c>
      <c r="E39" s="108">
        <f>70+70+70+80+80+85</f>
        <v>455</v>
      </c>
    </row>
    <row r="40" spans="2:5">
      <c r="B40" s="103">
        <v>7</v>
      </c>
      <c r="C40" s="409"/>
      <c r="D40" s="386" t="s">
        <v>3829</v>
      </c>
      <c r="E40" s="108"/>
    </row>
    <row r="41" spans="2:5">
      <c r="B41" s="103">
        <v>8</v>
      </c>
      <c r="C41" s="410"/>
      <c r="D41" s="386" t="s">
        <v>8</v>
      </c>
      <c r="E41" s="108">
        <f>35+40+40+40+36+43</f>
        <v>234</v>
      </c>
    </row>
    <row r="42" spans="2:5">
      <c r="B42" s="103">
        <v>9</v>
      </c>
      <c r="C42" s="413" t="s">
        <v>3830</v>
      </c>
      <c r="D42" s="386" t="s">
        <v>177</v>
      </c>
      <c r="E42" s="108">
        <v>708</v>
      </c>
    </row>
    <row r="43" spans="2:5">
      <c r="B43" s="103">
        <v>10</v>
      </c>
      <c r="C43" s="409"/>
      <c r="D43" s="386" t="s">
        <v>122</v>
      </c>
      <c r="E43" s="108">
        <v>843</v>
      </c>
    </row>
    <row r="44" spans="2:5">
      <c r="B44" s="103">
        <v>11</v>
      </c>
      <c r="C44" s="409"/>
      <c r="D44" s="386" t="s">
        <v>179</v>
      </c>
      <c r="E44" s="108">
        <v>374</v>
      </c>
    </row>
    <row r="45" spans="2:5">
      <c r="B45" s="103">
        <v>12</v>
      </c>
      <c r="C45" s="410"/>
      <c r="D45" s="386" t="s">
        <v>123</v>
      </c>
      <c r="E45" s="108">
        <v>170</v>
      </c>
    </row>
    <row r="46" spans="2:5" ht="15">
      <c r="B46" s="103">
        <v>13</v>
      </c>
      <c r="C46" s="413" t="s">
        <v>3831</v>
      </c>
      <c r="D46" s="386" t="s">
        <v>226</v>
      </c>
      <c r="E46" s="108"/>
    </row>
    <row r="47" spans="2:5" ht="15">
      <c r="B47" s="103">
        <v>14</v>
      </c>
      <c r="C47" s="409"/>
      <c r="D47" s="386" t="s">
        <v>75</v>
      </c>
      <c r="E47" s="108">
        <f>110+110+120+130+130+135</f>
        <v>735</v>
      </c>
    </row>
    <row r="48" spans="2:5" ht="15">
      <c r="B48" s="103">
        <v>15</v>
      </c>
      <c r="C48" s="409"/>
      <c r="D48" s="386" t="s">
        <v>171</v>
      </c>
      <c r="E48" s="108">
        <v>300</v>
      </c>
    </row>
    <row r="49" spans="2:5" ht="15">
      <c r="B49" s="103">
        <v>16</v>
      </c>
      <c r="C49" s="409"/>
      <c r="D49" s="386" t="s">
        <v>91</v>
      </c>
      <c r="E49" s="108">
        <f>120+120+120+120+120+130</f>
        <v>730</v>
      </c>
    </row>
    <row r="50" spans="2:5" ht="15">
      <c r="B50" s="103">
        <v>17</v>
      </c>
      <c r="C50" s="409"/>
      <c r="D50" s="386" t="s">
        <v>367</v>
      </c>
      <c r="E50" s="108"/>
    </row>
    <row r="51" spans="2:5" ht="15">
      <c r="B51" s="103">
        <v>18</v>
      </c>
      <c r="C51" s="410"/>
      <c r="D51" s="386" t="s">
        <v>74</v>
      </c>
      <c r="E51" s="108">
        <f>58+59+78+78+70+95</f>
        <v>438</v>
      </c>
    </row>
    <row r="52" spans="2:5" ht="15">
      <c r="B52" s="103">
        <v>19</v>
      </c>
      <c r="C52" s="413" t="s">
        <v>3832</v>
      </c>
      <c r="D52" s="386" t="s">
        <v>98</v>
      </c>
      <c r="E52" s="108">
        <v>145</v>
      </c>
    </row>
    <row r="53" spans="2:5" ht="15">
      <c r="B53" s="103">
        <v>20</v>
      </c>
      <c r="C53" s="409"/>
      <c r="D53" s="386" t="s">
        <v>135</v>
      </c>
      <c r="E53" s="108">
        <v>229</v>
      </c>
    </row>
    <row r="54" spans="2:5" ht="15">
      <c r="B54" s="103">
        <v>21</v>
      </c>
      <c r="C54" s="409"/>
      <c r="D54" s="386" t="s">
        <v>97</v>
      </c>
      <c r="E54" s="108">
        <v>261</v>
      </c>
    </row>
    <row r="55" spans="2:5" ht="15">
      <c r="B55" s="103">
        <v>22</v>
      </c>
      <c r="C55" s="409"/>
      <c r="D55" s="386" t="s">
        <v>134</v>
      </c>
      <c r="E55" s="108">
        <v>275</v>
      </c>
    </row>
    <row r="56" spans="2:5" ht="15">
      <c r="B56" s="103">
        <v>23</v>
      </c>
      <c r="C56" s="409"/>
      <c r="D56" s="386" t="s">
        <v>185</v>
      </c>
      <c r="E56" s="108"/>
    </row>
    <row r="57" spans="2:5" ht="15">
      <c r="B57" s="103">
        <v>24</v>
      </c>
      <c r="C57" s="409"/>
      <c r="D57" s="386" t="s">
        <v>22</v>
      </c>
      <c r="E57" s="108">
        <f>55+53+47+78+82+74</f>
        <v>389</v>
      </c>
    </row>
    <row r="58" spans="2:5" ht="15">
      <c r="B58" s="103">
        <v>25</v>
      </c>
      <c r="C58" s="410"/>
      <c r="D58" s="386" t="s">
        <v>136</v>
      </c>
      <c r="E58" s="108">
        <v>108</v>
      </c>
    </row>
    <row r="59" spans="2:5" ht="13">
      <c r="B59" s="103"/>
      <c r="C59" s="10"/>
      <c r="D59" s="392"/>
      <c r="E59" s="326"/>
    </row>
    <row r="60" spans="2:5" ht="13">
      <c r="B60" s="5"/>
      <c r="E60" s="117"/>
    </row>
    <row r="61" spans="2:5" ht="13">
      <c r="B61" s="383" t="s">
        <v>3833</v>
      </c>
      <c r="C61" s="1"/>
      <c r="D61" s="1"/>
      <c r="E61" s="117"/>
    </row>
    <row r="62" spans="2:5" ht="13">
      <c r="B62" s="393" t="s">
        <v>239</v>
      </c>
      <c r="C62" s="393" t="s">
        <v>941</v>
      </c>
      <c r="D62" s="393" t="s">
        <v>0</v>
      </c>
      <c r="E62" s="394"/>
    </row>
    <row r="63" spans="2:5" ht="15">
      <c r="B63" s="103">
        <v>1</v>
      </c>
      <c r="C63" s="413" t="s">
        <v>3834</v>
      </c>
      <c r="D63" s="386" t="s">
        <v>385</v>
      </c>
      <c r="E63" s="108">
        <f>65+63+52+74+78+78</f>
        <v>410</v>
      </c>
    </row>
    <row r="64" spans="2:5" ht="15">
      <c r="B64" s="103">
        <v>2</v>
      </c>
      <c r="C64" s="409"/>
      <c r="D64" s="386" t="s">
        <v>391</v>
      </c>
      <c r="E64" s="108">
        <v>348</v>
      </c>
    </row>
    <row r="65" spans="2:5" ht="15">
      <c r="B65" s="103">
        <v>3</v>
      </c>
      <c r="C65" s="409"/>
      <c r="D65" s="386" t="s">
        <v>393</v>
      </c>
      <c r="E65" s="108">
        <v>240</v>
      </c>
    </row>
    <row r="66" spans="2:5" ht="15">
      <c r="B66" s="103">
        <v>4</v>
      </c>
      <c r="C66" s="409"/>
      <c r="D66" s="386" t="s">
        <v>395</v>
      </c>
      <c r="E66" s="108"/>
    </row>
    <row r="67" spans="2:5" ht="15">
      <c r="B67" s="103">
        <v>5</v>
      </c>
      <c r="C67" s="409"/>
      <c r="D67" s="386" t="s">
        <v>397</v>
      </c>
      <c r="E67" s="108">
        <f>54+61+55+71+74+72</f>
        <v>387</v>
      </c>
    </row>
    <row r="68" spans="2:5" ht="15">
      <c r="B68" s="103">
        <v>6</v>
      </c>
      <c r="C68" s="409"/>
      <c r="D68" s="386" t="s">
        <v>399</v>
      </c>
      <c r="E68" s="108">
        <v>234</v>
      </c>
    </row>
    <row r="69" spans="2:5" ht="15">
      <c r="B69" s="103">
        <v>7</v>
      </c>
      <c r="C69" s="409"/>
      <c r="D69" s="386" t="s">
        <v>401</v>
      </c>
      <c r="E69" s="108"/>
    </row>
    <row r="70" spans="2:5" ht="15">
      <c r="B70" s="103">
        <v>8</v>
      </c>
      <c r="C70" s="410"/>
      <c r="D70" s="386" t="s">
        <v>403</v>
      </c>
      <c r="E70" s="108">
        <v>48</v>
      </c>
    </row>
    <row r="71" spans="2:5" ht="15">
      <c r="B71" s="103">
        <v>9</v>
      </c>
      <c r="C71" s="413" t="s">
        <v>3835</v>
      </c>
      <c r="D71" s="386" t="s">
        <v>230</v>
      </c>
      <c r="E71" s="108"/>
    </row>
    <row r="72" spans="2:5" ht="15">
      <c r="B72" s="103">
        <v>10</v>
      </c>
      <c r="C72" s="409"/>
      <c r="D72" s="386" t="s">
        <v>50</v>
      </c>
      <c r="E72" s="108">
        <f>15+15+24+24+21+16</f>
        <v>115</v>
      </c>
    </row>
    <row r="73" spans="2:5" ht="15">
      <c r="B73" s="103">
        <v>11</v>
      </c>
      <c r="C73" s="409"/>
      <c r="D73" s="386" t="s">
        <v>157</v>
      </c>
      <c r="E73" s="108"/>
    </row>
    <row r="74" spans="2:5" ht="15">
      <c r="B74" s="103">
        <v>12</v>
      </c>
      <c r="C74" s="409"/>
      <c r="D74" s="386" t="s">
        <v>109</v>
      </c>
      <c r="E74" s="108">
        <v>108</v>
      </c>
    </row>
    <row r="75" spans="2:5" ht="15">
      <c r="B75" s="103">
        <v>13</v>
      </c>
      <c r="C75" s="409"/>
      <c r="D75" s="386" t="s">
        <v>202</v>
      </c>
      <c r="E75" s="108"/>
    </row>
    <row r="76" spans="2:5" ht="15">
      <c r="B76" s="103">
        <v>14</v>
      </c>
      <c r="C76" s="409"/>
      <c r="D76" s="386" t="s">
        <v>51</v>
      </c>
      <c r="E76" s="108">
        <f>60+50+55+65+60</f>
        <v>290</v>
      </c>
    </row>
    <row r="77" spans="2:5" ht="15">
      <c r="B77" s="103">
        <v>15</v>
      </c>
      <c r="C77" s="409"/>
      <c r="D77" s="386" t="s">
        <v>194</v>
      </c>
      <c r="E77" s="108"/>
    </row>
    <row r="78" spans="2:5" ht="15">
      <c r="B78" s="103">
        <v>16</v>
      </c>
      <c r="C78" s="409"/>
      <c r="D78" s="386" t="s">
        <v>36</v>
      </c>
      <c r="E78" s="108">
        <v>277</v>
      </c>
    </row>
    <row r="79" spans="2:5" ht="15">
      <c r="B79" s="103">
        <v>17</v>
      </c>
      <c r="C79" s="409"/>
      <c r="D79" s="386" t="s">
        <v>56</v>
      </c>
      <c r="E79" s="108">
        <v>119</v>
      </c>
    </row>
    <row r="80" spans="2:5" ht="15">
      <c r="B80" s="103">
        <v>18</v>
      </c>
      <c r="C80" s="409"/>
      <c r="D80" s="386" t="s">
        <v>160</v>
      </c>
      <c r="E80" s="108"/>
    </row>
    <row r="81" spans="2:5" ht="15">
      <c r="B81" s="103">
        <v>19</v>
      </c>
      <c r="C81" s="409"/>
      <c r="D81" s="386" t="s">
        <v>196</v>
      </c>
      <c r="E81" s="108"/>
    </row>
    <row r="82" spans="2:5" ht="15">
      <c r="B82" s="103">
        <v>20</v>
      </c>
      <c r="C82" s="409"/>
      <c r="D82" s="386" t="s">
        <v>67</v>
      </c>
      <c r="E82" s="108">
        <f>30+25+32+41+23+45</f>
        <v>196</v>
      </c>
    </row>
    <row r="83" spans="2:5" ht="15">
      <c r="B83" s="103">
        <v>21</v>
      </c>
      <c r="C83" s="409"/>
      <c r="D83" s="386" t="s">
        <v>206</v>
      </c>
      <c r="E83" s="108"/>
    </row>
    <row r="84" spans="2:5" ht="15">
      <c r="B84" s="103">
        <v>22</v>
      </c>
      <c r="C84" s="409"/>
      <c r="D84" s="386" t="s">
        <v>55</v>
      </c>
      <c r="E84" s="108">
        <f>75+71+60+72+87+93</f>
        <v>458</v>
      </c>
    </row>
    <row r="85" spans="2:5" ht="15">
      <c r="B85" s="103">
        <v>23</v>
      </c>
      <c r="C85" s="409"/>
      <c r="D85" s="386" t="s">
        <v>181</v>
      </c>
      <c r="E85" s="108">
        <v>415</v>
      </c>
    </row>
    <row r="86" spans="2:5" ht="15">
      <c r="B86" s="103">
        <v>25</v>
      </c>
      <c r="C86" s="409"/>
      <c r="D86" s="386" t="s">
        <v>228</v>
      </c>
      <c r="E86" s="108"/>
    </row>
    <row r="87" spans="2:5" ht="15">
      <c r="B87" s="103">
        <v>26</v>
      </c>
      <c r="C87" s="409"/>
      <c r="D87" s="386" t="s">
        <v>77</v>
      </c>
      <c r="E87" s="108">
        <f>38+44+43+54+38+66</f>
        <v>283</v>
      </c>
    </row>
    <row r="88" spans="2:5" ht="15">
      <c r="B88" s="103">
        <v>27</v>
      </c>
      <c r="C88" s="409"/>
      <c r="D88" s="386" t="s">
        <v>173</v>
      </c>
      <c r="E88" s="108"/>
    </row>
    <row r="89" spans="2:5" ht="15">
      <c r="B89" s="103">
        <v>28</v>
      </c>
      <c r="C89" s="409"/>
      <c r="D89" s="386" t="s">
        <v>210</v>
      </c>
      <c r="E89" s="108"/>
    </row>
    <row r="90" spans="2:5" ht="15">
      <c r="B90" s="103">
        <v>29</v>
      </c>
      <c r="C90" s="409"/>
      <c r="D90" s="386" t="s">
        <v>234</v>
      </c>
      <c r="E90" s="108"/>
    </row>
    <row r="91" spans="2:5" ht="15">
      <c r="B91" s="103">
        <v>30</v>
      </c>
      <c r="C91" s="410"/>
      <c r="D91" s="386" t="s">
        <v>87</v>
      </c>
      <c r="E91" s="108">
        <f>37+27+46+36+29</f>
        <v>175</v>
      </c>
    </row>
    <row r="92" spans="2:5" ht="15">
      <c r="B92" s="103">
        <v>31</v>
      </c>
      <c r="C92" s="413" t="s">
        <v>433</v>
      </c>
      <c r="D92" s="386" t="s">
        <v>214</v>
      </c>
      <c r="E92" s="108"/>
    </row>
    <row r="93" spans="2:5" ht="15">
      <c r="B93" s="103">
        <v>35</v>
      </c>
      <c r="C93" s="409"/>
      <c r="D93" s="386" t="s">
        <v>64</v>
      </c>
      <c r="E93" s="108">
        <f>130+130+130+130+125+115</f>
        <v>760</v>
      </c>
    </row>
    <row r="94" spans="2:5" ht="15">
      <c r="B94" s="103">
        <v>36</v>
      </c>
      <c r="C94" s="409"/>
      <c r="D94" s="386" t="s">
        <v>163</v>
      </c>
      <c r="E94" s="108">
        <v>560</v>
      </c>
    </row>
    <row r="95" spans="2:5" ht="15">
      <c r="B95" s="103">
        <v>37</v>
      </c>
      <c r="C95" s="409"/>
      <c r="D95" s="386" t="s">
        <v>113</v>
      </c>
      <c r="E95" s="108">
        <v>665</v>
      </c>
    </row>
    <row r="96" spans="2:5" ht="15">
      <c r="B96" s="103">
        <v>39</v>
      </c>
      <c r="C96" s="409"/>
      <c r="D96" s="386" t="s">
        <v>161</v>
      </c>
      <c r="E96" s="108">
        <v>247</v>
      </c>
    </row>
    <row r="97" spans="2:5" ht="15">
      <c r="B97" s="103">
        <v>40</v>
      </c>
      <c r="C97" s="409"/>
      <c r="D97" s="386" t="s">
        <v>112</v>
      </c>
      <c r="E97" s="108">
        <v>338</v>
      </c>
    </row>
    <row r="98" spans="2:5" ht="15">
      <c r="B98" s="103">
        <v>41</v>
      </c>
      <c r="C98" s="409"/>
      <c r="D98" s="386" t="s">
        <v>213</v>
      </c>
      <c r="E98" s="108"/>
    </row>
    <row r="99" spans="2:5" ht="15">
      <c r="B99" s="103">
        <v>43</v>
      </c>
      <c r="C99" s="409"/>
      <c r="D99" s="386" t="s">
        <v>211</v>
      </c>
      <c r="E99" s="108"/>
    </row>
    <row r="100" spans="2:5" ht="15">
      <c r="B100" s="103">
        <v>44</v>
      </c>
      <c r="C100" s="409"/>
      <c r="D100" s="386" t="s">
        <v>63</v>
      </c>
      <c r="E100" s="108">
        <f>30+25+25+25+25+35</f>
        <v>165</v>
      </c>
    </row>
    <row r="101" spans="2:5" ht="15">
      <c r="B101" s="103">
        <v>45</v>
      </c>
      <c r="C101" s="409"/>
      <c r="D101" s="386" t="s">
        <v>162</v>
      </c>
      <c r="E101" s="108">
        <v>220</v>
      </c>
    </row>
    <row r="102" spans="2:5" ht="15">
      <c r="B102" s="103">
        <v>46</v>
      </c>
      <c r="C102" s="409"/>
      <c r="D102" s="386" t="s">
        <v>212</v>
      </c>
      <c r="E102" s="108"/>
    </row>
    <row r="103" spans="2:5" ht="15">
      <c r="B103" s="103">
        <v>48</v>
      </c>
      <c r="C103" s="409"/>
      <c r="D103" s="386" t="s">
        <v>216</v>
      </c>
      <c r="E103" s="108"/>
    </row>
    <row r="104" spans="2:5" ht="15">
      <c r="B104" s="103">
        <v>49</v>
      </c>
      <c r="C104" s="409"/>
      <c r="D104" s="386" t="s">
        <v>66</v>
      </c>
      <c r="E104" s="108">
        <f>110+100+92+98+128+98</f>
        <v>626</v>
      </c>
    </row>
    <row r="105" spans="2:5" ht="15">
      <c r="B105" s="103">
        <v>52</v>
      </c>
      <c r="C105" s="409"/>
      <c r="D105" s="386" t="s">
        <v>65</v>
      </c>
      <c r="E105" s="108">
        <f>35+35+35+35+35+32</f>
        <v>207</v>
      </c>
    </row>
    <row r="106" spans="2:5" ht="15">
      <c r="B106" s="103">
        <v>53</v>
      </c>
      <c r="C106" s="410"/>
      <c r="D106" s="386" t="s">
        <v>164</v>
      </c>
      <c r="E106" s="108">
        <v>76</v>
      </c>
    </row>
    <row r="107" spans="2:5" ht="13">
      <c r="B107" s="103">
        <v>54</v>
      </c>
      <c r="C107" s="10"/>
      <c r="D107" s="10" t="s">
        <v>31</v>
      </c>
      <c r="E107" s="90">
        <f>88+61+101+108+94+102</f>
        <v>554</v>
      </c>
    </row>
    <row r="108" spans="2:5" ht="15">
      <c r="B108" s="103">
        <v>55</v>
      </c>
      <c r="C108" s="413" t="s">
        <v>475</v>
      </c>
      <c r="D108" s="386" t="s">
        <v>221</v>
      </c>
      <c r="E108" s="108"/>
    </row>
    <row r="109" spans="2:5" ht="15">
      <c r="B109" s="103">
        <v>56</v>
      </c>
      <c r="C109" s="410"/>
      <c r="D109" s="386" t="s">
        <v>71</v>
      </c>
      <c r="E109" s="108">
        <f>45+45+41+43+59+52</f>
        <v>285</v>
      </c>
    </row>
    <row r="110" spans="2:5" ht="15">
      <c r="B110" s="103">
        <v>57</v>
      </c>
      <c r="C110" s="413" t="s">
        <v>478</v>
      </c>
      <c r="D110" s="386" t="s">
        <v>205</v>
      </c>
      <c r="E110" s="108"/>
    </row>
    <row r="111" spans="2:5" ht="15">
      <c r="B111" s="103">
        <v>58</v>
      </c>
      <c r="C111" s="409"/>
      <c r="D111" s="386" t="s">
        <v>54</v>
      </c>
      <c r="E111" s="108">
        <f>19+15+25+29+32</f>
        <v>120</v>
      </c>
    </row>
    <row r="112" spans="2:5" ht="15">
      <c r="B112" s="103">
        <v>59</v>
      </c>
      <c r="C112" s="409"/>
      <c r="D112" s="386" t="s">
        <v>204</v>
      </c>
      <c r="E112" s="108"/>
    </row>
    <row r="113" spans="2:6" ht="15">
      <c r="B113" s="103">
        <v>60</v>
      </c>
      <c r="C113" s="409"/>
      <c r="D113" s="386" t="s">
        <v>53</v>
      </c>
      <c r="E113" s="108">
        <f>34+20+59+28+38+36</f>
        <v>215</v>
      </c>
    </row>
    <row r="114" spans="2:6" ht="15">
      <c r="B114" s="103">
        <v>61</v>
      </c>
      <c r="C114" s="409"/>
      <c r="D114" s="386" t="s">
        <v>159</v>
      </c>
      <c r="E114" s="108">
        <v>120</v>
      </c>
    </row>
    <row r="115" spans="2:6" ht="15">
      <c r="B115" s="103">
        <v>62</v>
      </c>
      <c r="C115" s="410"/>
      <c r="D115" s="386" t="s">
        <v>111</v>
      </c>
      <c r="E115" s="108">
        <v>116</v>
      </c>
      <c r="F115" s="327"/>
    </row>
    <row r="116" spans="2:6" ht="15">
      <c r="B116" s="103">
        <v>63</v>
      </c>
      <c r="C116" s="413" t="s">
        <v>3836</v>
      </c>
      <c r="D116" s="386" t="s">
        <v>487</v>
      </c>
      <c r="E116" s="108"/>
      <c r="F116" s="327"/>
    </row>
    <row r="117" spans="2:6" ht="15">
      <c r="B117" s="103">
        <v>64</v>
      </c>
      <c r="C117" s="409"/>
      <c r="D117" s="395" t="s">
        <v>489</v>
      </c>
      <c r="E117" s="216">
        <f>150+140+135+150+165+160</f>
        <v>900</v>
      </c>
      <c r="F117" s="327"/>
    </row>
    <row r="118" spans="2:6" ht="15">
      <c r="B118" s="103">
        <v>65</v>
      </c>
      <c r="C118" s="409"/>
      <c r="D118" s="395" t="s">
        <v>492</v>
      </c>
      <c r="E118" s="216"/>
      <c r="F118" s="327"/>
    </row>
    <row r="119" spans="2:6" ht="15">
      <c r="B119" s="103">
        <v>66</v>
      </c>
      <c r="C119" s="409"/>
      <c r="D119" s="395" t="s">
        <v>494</v>
      </c>
      <c r="E119" s="216">
        <f>120+110+130+135+115</f>
        <v>610</v>
      </c>
      <c r="F119" s="327"/>
    </row>
    <row r="120" spans="2:6" ht="15">
      <c r="B120" s="103">
        <v>67</v>
      </c>
      <c r="C120" s="410"/>
      <c r="D120" s="395" t="s">
        <v>15</v>
      </c>
      <c r="E120" s="216">
        <v>294</v>
      </c>
      <c r="F120" s="327"/>
    </row>
    <row r="121" spans="2:6" ht="15">
      <c r="B121" s="103">
        <v>68</v>
      </c>
      <c r="C121" s="420" t="s">
        <v>3837</v>
      </c>
      <c r="D121" s="386" t="s">
        <v>193</v>
      </c>
      <c r="E121" s="108"/>
    </row>
    <row r="122" spans="2:6" ht="15">
      <c r="B122" s="103">
        <v>69</v>
      </c>
      <c r="C122" s="409"/>
      <c r="D122" s="386" t="s">
        <v>33</v>
      </c>
      <c r="E122" s="108">
        <f>60+52+56+60+55+56</f>
        <v>339</v>
      </c>
      <c r="F122" s="327"/>
    </row>
    <row r="123" spans="2:6" ht="15">
      <c r="B123" s="103">
        <v>70</v>
      </c>
      <c r="C123" s="409"/>
      <c r="D123" s="386" t="s">
        <v>144</v>
      </c>
      <c r="E123" s="108">
        <v>304</v>
      </c>
    </row>
    <row r="124" spans="2:6" ht="15">
      <c r="B124" s="103">
        <v>71</v>
      </c>
      <c r="C124" s="409"/>
      <c r="D124" s="386" t="s">
        <v>504</v>
      </c>
      <c r="E124" s="108"/>
    </row>
    <row r="125" spans="2:6" ht="15">
      <c r="B125" s="103">
        <v>72</v>
      </c>
      <c r="C125" s="409"/>
      <c r="D125" s="386" t="s">
        <v>507</v>
      </c>
      <c r="E125" s="108">
        <f>24+37+13+19+26+30</f>
        <v>149</v>
      </c>
    </row>
    <row r="126" spans="2:6" ht="15">
      <c r="B126" s="103">
        <v>73</v>
      </c>
      <c r="C126" s="409"/>
      <c r="D126" s="386" t="s">
        <v>509</v>
      </c>
      <c r="E126" s="108">
        <v>105</v>
      </c>
    </row>
    <row r="127" spans="2:6" ht="15">
      <c r="B127" s="103">
        <v>74</v>
      </c>
      <c r="C127" s="410"/>
      <c r="D127" s="386" t="s">
        <v>511</v>
      </c>
      <c r="E127" s="108">
        <v>105</v>
      </c>
    </row>
    <row r="128" spans="2:6" ht="13">
      <c r="B128" s="92"/>
      <c r="C128" s="10"/>
      <c r="D128" s="10"/>
      <c r="E128" s="161"/>
    </row>
    <row r="129" spans="2:5" ht="13">
      <c r="B129" s="387"/>
      <c r="E129" s="5"/>
    </row>
    <row r="130" spans="2:5" ht="13">
      <c r="B130" s="383" t="s">
        <v>3838</v>
      </c>
      <c r="E130" s="5"/>
    </row>
    <row r="131" spans="2:5" ht="13">
      <c r="B131" s="393" t="s">
        <v>239</v>
      </c>
      <c r="C131" s="393" t="s">
        <v>941</v>
      </c>
      <c r="D131" s="393" t="s">
        <v>0</v>
      </c>
      <c r="E131" s="394"/>
    </row>
    <row r="132" spans="2:5" ht="15">
      <c r="B132" s="103">
        <v>1</v>
      </c>
      <c r="C132" s="413" t="s">
        <v>513</v>
      </c>
      <c r="D132" s="386" t="s">
        <v>515</v>
      </c>
      <c r="E132" s="108"/>
    </row>
    <row r="133" spans="2:5" ht="15">
      <c r="B133" s="103">
        <v>2</v>
      </c>
      <c r="C133" s="409"/>
      <c r="D133" s="386" t="s">
        <v>518</v>
      </c>
      <c r="E133" s="108">
        <f>30+27+36+23+23+39</f>
        <v>178</v>
      </c>
    </row>
    <row r="134" spans="2:5" ht="15">
      <c r="B134" s="103">
        <v>3</v>
      </c>
      <c r="C134" s="409"/>
      <c r="D134" s="386" t="s">
        <v>520</v>
      </c>
      <c r="E134" s="108">
        <v>103</v>
      </c>
    </row>
    <row r="135" spans="2:5" ht="15">
      <c r="B135" s="103">
        <v>4</v>
      </c>
      <c r="C135" s="409"/>
      <c r="D135" s="386" t="s">
        <v>524</v>
      </c>
      <c r="E135" s="108">
        <v>44</v>
      </c>
    </row>
    <row r="136" spans="2:5" ht="15">
      <c r="B136" s="103">
        <v>5</v>
      </c>
      <c r="C136" s="409"/>
      <c r="D136" s="386" t="s">
        <v>526</v>
      </c>
      <c r="E136" s="108">
        <v>100</v>
      </c>
    </row>
    <row r="137" spans="2:5" ht="15">
      <c r="B137" s="103">
        <v>6</v>
      </c>
      <c r="C137" s="409"/>
      <c r="D137" s="386" t="s">
        <v>528</v>
      </c>
      <c r="E137" s="108">
        <v>52</v>
      </c>
    </row>
    <row r="138" spans="2:5" ht="15">
      <c r="B138" s="103">
        <v>7</v>
      </c>
      <c r="C138" s="410"/>
      <c r="D138" s="386" t="s">
        <v>3839</v>
      </c>
      <c r="E138" s="108">
        <f>50+50+49+43+44+64</f>
        <v>300</v>
      </c>
    </row>
    <row r="139" spans="2:5" ht="15">
      <c r="B139" s="103">
        <v>8</v>
      </c>
      <c r="C139" s="413" t="s">
        <v>532</v>
      </c>
      <c r="D139" s="386" t="s">
        <v>37</v>
      </c>
      <c r="E139" s="108">
        <f>100+87+97+87+87+92</f>
        <v>550</v>
      </c>
    </row>
    <row r="140" spans="2:5" ht="15">
      <c r="B140" s="103">
        <v>9</v>
      </c>
      <c r="C140" s="409"/>
      <c r="D140" s="386" t="s">
        <v>148</v>
      </c>
      <c r="E140" s="108">
        <v>228</v>
      </c>
    </row>
    <row r="141" spans="2:5" ht="15">
      <c r="B141" s="103">
        <v>10</v>
      </c>
      <c r="C141" s="410"/>
      <c r="D141" s="386" t="s">
        <v>104</v>
      </c>
      <c r="E141" s="108">
        <v>323</v>
      </c>
    </row>
    <row r="142" spans="2:5" ht="15">
      <c r="B142" s="103">
        <v>11</v>
      </c>
      <c r="C142" s="413" t="s">
        <v>537</v>
      </c>
      <c r="D142" s="386" t="s">
        <v>198</v>
      </c>
      <c r="E142" s="108"/>
    </row>
    <row r="143" spans="2:5" ht="15">
      <c r="B143" s="103">
        <v>12</v>
      </c>
      <c r="C143" s="409"/>
      <c r="D143" s="386" t="s">
        <v>42</v>
      </c>
      <c r="E143" s="108">
        <f>16+16+16+8+12+23</f>
        <v>91</v>
      </c>
    </row>
    <row r="144" spans="2:5" ht="15">
      <c r="B144" s="103">
        <v>13</v>
      </c>
      <c r="C144" s="409"/>
      <c r="D144" s="386" t="s">
        <v>152</v>
      </c>
      <c r="E144" s="108">
        <v>95</v>
      </c>
    </row>
    <row r="145" spans="2:5" ht="15">
      <c r="B145" s="103">
        <v>14</v>
      </c>
      <c r="C145" s="409"/>
      <c r="D145" s="386" t="s">
        <v>106</v>
      </c>
      <c r="E145" s="108">
        <v>86</v>
      </c>
    </row>
    <row r="146" spans="2:5" ht="15">
      <c r="B146" s="103">
        <v>15</v>
      </c>
      <c r="C146" s="409"/>
      <c r="D146" s="386" t="s">
        <v>197</v>
      </c>
      <c r="E146" s="108"/>
    </row>
    <row r="147" spans="2:5" ht="15">
      <c r="B147" s="103">
        <v>16</v>
      </c>
      <c r="C147" s="409"/>
      <c r="D147" s="386" t="s">
        <v>41</v>
      </c>
      <c r="E147" s="108">
        <f>25+21+20+16+15+23</f>
        <v>120</v>
      </c>
    </row>
    <row r="148" spans="2:5" ht="15">
      <c r="B148" s="103">
        <v>17</v>
      </c>
      <c r="C148" s="409"/>
      <c r="D148" s="386" t="s">
        <v>151</v>
      </c>
      <c r="E148" s="108">
        <v>95</v>
      </c>
    </row>
    <row r="149" spans="2:5" ht="15">
      <c r="B149" s="103">
        <v>18</v>
      </c>
      <c r="C149" s="409"/>
      <c r="D149" s="386" t="s">
        <v>105</v>
      </c>
      <c r="E149" s="108">
        <v>114</v>
      </c>
    </row>
    <row r="150" spans="2:5" ht="15">
      <c r="B150" s="103">
        <v>19</v>
      </c>
      <c r="C150" s="410"/>
      <c r="D150" s="386" t="s">
        <v>43</v>
      </c>
      <c r="E150" s="108">
        <v>45</v>
      </c>
    </row>
    <row r="151" spans="2:5" ht="15">
      <c r="B151" s="103">
        <v>20</v>
      </c>
      <c r="C151" s="420" t="s">
        <v>549</v>
      </c>
      <c r="D151" s="386" t="s">
        <v>209</v>
      </c>
      <c r="E151" s="108"/>
    </row>
    <row r="152" spans="2:5" ht="15">
      <c r="B152" s="103">
        <v>21</v>
      </c>
      <c r="C152" s="409"/>
      <c r="D152" s="386" t="s">
        <v>62</v>
      </c>
      <c r="E152" s="108">
        <f>140+130+125+105+120+120</f>
        <v>740</v>
      </c>
    </row>
    <row r="153" spans="2:5" ht="15">
      <c r="B153" s="103">
        <v>22</v>
      </c>
      <c r="C153" s="409"/>
      <c r="D153" s="386" t="s">
        <v>16</v>
      </c>
      <c r="E153" s="108">
        <v>355</v>
      </c>
    </row>
    <row r="154" spans="2:5" ht="15">
      <c r="B154" s="103">
        <v>23</v>
      </c>
      <c r="C154" s="410"/>
      <c r="D154" s="386" t="s">
        <v>13</v>
      </c>
      <c r="E154" s="108">
        <v>255</v>
      </c>
    </row>
    <row r="155" spans="2:5" ht="15">
      <c r="B155" s="103">
        <v>24</v>
      </c>
      <c r="C155" s="413" t="s">
        <v>556</v>
      </c>
      <c r="D155" s="386" t="s">
        <v>199</v>
      </c>
      <c r="E155" s="108"/>
    </row>
    <row r="156" spans="2:5" ht="15">
      <c r="B156" s="103">
        <v>25</v>
      </c>
      <c r="C156" s="409"/>
      <c r="D156" s="386" t="s">
        <v>45</v>
      </c>
      <c r="E156" s="108">
        <f>33+49+44+37+49+49</f>
        <v>261</v>
      </c>
    </row>
    <row r="157" spans="2:5" ht="15">
      <c r="B157" s="103">
        <v>26</v>
      </c>
      <c r="C157" s="409"/>
      <c r="D157" s="386" t="s">
        <v>155</v>
      </c>
      <c r="E157" s="108">
        <v>130</v>
      </c>
    </row>
    <row r="158" spans="2:5" ht="15">
      <c r="B158" s="103">
        <v>27</v>
      </c>
      <c r="C158" s="410"/>
      <c r="D158" s="386" t="s">
        <v>107</v>
      </c>
      <c r="E158" s="108">
        <v>86</v>
      </c>
    </row>
    <row r="159" spans="2:5" ht="13">
      <c r="B159" s="103">
        <v>28</v>
      </c>
      <c r="C159" s="103" t="s">
        <v>562</v>
      </c>
      <c r="D159" s="392" t="s">
        <v>563</v>
      </c>
      <c r="E159" s="90">
        <f>65+60+58+48+50+45</f>
        <v>326</v>
      </c>
    </row>
    <row r="160" spans="2:5" ht="15">
      <c r="B160" s="103">
        <v>32</v>
      </c>
      <c r="C160" s="421"/>
      <c r="D160" s="386" t="s">
        <v>222</v>
      </c>
      <c r="E160" s="108"/>
    </row>
    <row r="161" spans="2:5" ht="15">
      <c r="B161" s="103">
        <v>33</v>
      </c>
      <c r="C161" s="409"/>
      <c r="D161" s="386" t="s">
        <v>72</v>
      </c>
      <c r="E161" s="108">
        <f>40+45+40+35+42+50</f>
        <v>252</v>
      </c>
    </row>
    <row r="162" spans="2:5" ht="15">
      <c r="B162" s="103">
        <v>34</v>
      </c>
      <c r="C162" s="409"/>
      <c r="D162" s="386" t="s">
        <v>168</v>
      </c>
      <c r="E162" s="108">
        <v>102</v>
      </c>
    </row>
    <row r="163" spans="2:5" ht="15">
      <c r="B163" s="103">
        <v>35</v>
      </c>
      <c r="C163" s="410"/>
      <c r="D163" s="386" t="s">
        <v>116</v>
      </c>
      <c r="E163" s="108">
        <v>99</v>
      </c>
    </row>
    <row r="164" spans="2:5" ht="15">
      <c r="B164" s="103">
        <v>36</v>
      </c>
      <c r="C164" s="66" t="s">
        <v>582</v>
      </c>
      <c r="D164" s="386" t="s">
        <v>225</v>
      </c>
      <c r="E164" s="90"/>
    </row>
    <row r="165" spans="2:5" ht="15">
      <c r="B165" s="103">
        <v>37</v>
      </c>
      <c r="C165" s="421"/>
      <c r="D165" s="386" t="s">
        <v>218</v>
      </c>
      <c r="E165" s="108"/>
    </row>
    <row r="166" spans="2:5" ht="15">
      <c r="B166" s="103">
        <v>38</v>
      </c>
      <c r="C166" s="409"/>
      <c r="D166" s="386" t="s">
        <v>588</v>
      </c>
      <c r="E166" s="108">
        <f>75+75+75+81+81+87</f>
        <v>474</v>
      </c>
    </row>
    <row r="167" spans="2:5" ht="15">
      <c r="B167" s="103">
        <v>39</v>
      </c>
      <c r="C167" s="410"/>
      <c r="D167" s="386" t="s">
        <v>590</v>
      </c>
      <c r="E167" s="108">
        <v>221</v>
      </c>
    </row>
    <row r="168" spans="2:5" ht="15">
      <c r="B168" s="103">
        <v>40</v>
      </c>
      <c r="C168" s="10"/>
      <c r="D168" s="386" t="s">
        <v>48</v>
      </c>
      <c r="E168" s="90">
        <f>67+83+74+74+90+85</f>
        <v>473</v>
      </c>
    </row>
    <row r="169" spans="2:5" ht="15">
      <c r="B169" s="103">
        <v>41</v>
      </c>
      <c r="C169" s="421"/>
      <c r="D169" s="386" t="s">
        <v>191</v>
      </c>
      <c r="E169" s="108"/>
    </row>
    <row r="170" spans="2:5" ht="15">
      <c r="B170" s="103">
        <v>42</v>
      </c>
      <c r="C170" s="409"/>
      <c r="D170" s="386" t="s">
        <v>30</v>
      </c>
      <c r="E170" s="108">
        <f>15+15+15+15+20+22</f>
        <v>102</v>
      </c>
    </row>
    <row r="171" spans="2:5" ht="15">
      <c r="B171" s="103">
        <v>43</v>
      </c>
      <c r="C171" s="409"/>
      <c r="D171" s="386" t="s">
        <v>142</v>
      </c>
      <c r="E171" s="108"/>
    </row>
    <row r="172" spans="2:5" ht="15">
      <c r="B172" s="103">
        <v>44</v>
      </c>
      <c r="C172" s="409"/>
      <c r="D172" s="386" t="s">
        <v>101</v>
      </c>
      <c r="E172" s="108"/>
    </row>
    <row r="173" spans="2:5" ht="15">
      <c r="B173" s="103">
        <v>45</v>
      </c>
      <c r="C173" s="410"/>
      <c r="D173" s="386" t="s">
        <v>129</v>
      </c>
      <c r="E173" s="108"/>
    </row>
    <row r="174" spans="2:5" ht="13">
      <c r="B174" s="103">
        <v>47</v>
      </c>
      <c r="C174" s="10"/>
      <c r="D174" s="10" t="s">
        <v>32</v>
      </c>
      <c r="E174" s="90">
        <f>25+27+30+34+30+29</f>
        <v>175</v>
      </c>
    </row>
    <row r="175" spans="2:5" ht="13">
      <c r="B175" s="103">
        <v>48</v>
      </c>
      <c r="C175" s="10"/>
      <c r="D175" s="10" t="s">
        <v>235</v>
      </c>
      <c r="E175" s="90"/>
    </row>
    <row r="176" spans="2:5" ht="15">
      <c r="B176" s="103">
        <v>49</v>
      </c>
      <c r="C176" s="421"/>
      <c r="D176" s="386" t="s">
        <v>220</v>
      </c>
      <c r="E176" s="90"/>
    </row>
    <row r="177" spans="2:5" ht="15">
      <c r="B177" s="103">
        <v>50</v>
      </c>
      <c r="C177" s="410"/>
      <c r="D177" s="386" t="s">
        <v>69</v>
      </c>
      <c r="E177" s="90">
        <f>25+25+21+21+20+16</f>
        <v>128</v>
      </c>
    </row>
    <row r="178" spans="2:5" ht="15">
      <c r="B178" s="103">
        <v>51</v>
      </c>
      <c r="C178" s="10"/>
      <c r="D178" s="386" t="s">
        <v>969</v>
      </c>
      <c r="E178" s="90">
        <v>134</v>
      </c>
    </row>
    <row r="179" spans="2:5" ht="15">
      <c r="B179" s="103">
        <v>52</v>
      </c>
      <c r="C179" s="10"/>
      <c r="D179" s="386" t="s">
        <v>618</v>
      </c>
      <c r="E179" s="90"/>
    </row>
    <row r="180" spans="2:5" ht="15">
      <c r="B180" s="103">
        <v>53</v>
      </c>
      <c r="C180" s="413" t="s">
        <v>620</v>
      </c>
      <c r="D180" s="386" t="s">
        <v>622</v>
      </c>
      <c r="E180" s="23">
        <f>21+21+28+32+20+20</f>
        <v>142</v>
      </c>
    </row>
    <row r="181" spans="2:5" ht="15">
      <c r="B181" s="103">
        <v>54</v>
      </c>
      <c r="C181" s="410"/>
      <c r="D181" s="386" t="s">
        <v>624</v>
      </c>
      <c r="E181" s="23">
        <f>49+49+65+81+40+40</f>
        <v>324</v>
      </c>
    </row>
    <row r="182" spans="2:5" ht="15">
      <c r="B182" s="103">
        <v>55</v>
      </c>
      <c r="C182" s="10"/>
      <c r="D182" s="386" t="s">
        <v>26</v>
      </c>
      <c r="E182" s="23">
        <f>45+45+26+20+43+50</f>
        <v>229</v>
      </c>
    </row>
    <row r="183" spans="2:5" ht="15">
      <c r="B183" s="103">
        <v>56</v>
      </c>
      <c r="C183" s="10"/>
      <c r="D183" s="386" t="s">
        <v>139</v>
      </c>
      <c r="E183" s="23">
        <v>124</v>
      </c>
    </row>
    <row r="184" spans="2:5" ht="15">
      <c r="B184" s="103">
        <v>57</v>
      </c>
      <c r="C184" s="10"/>
      <c r="D184" s="386" t="s">
        <v>631</v>
      </c>
      <c r="E184" s="23">
        <f>33+33+26+30+22+23</f>
        <v>167</v>
      </c>
    </row>
    <row r="185" spans="2:5" ht="15">
      <c r="B185" s="103">
        <v>58</v>
      </c>
      <c r="C185" s="10"/>
      <c r="D185" s="386" t="s">
        <v>633</v>
      </c>
      <c r="E185" s="23">
        <v>92</v>
      </c>
    </row>
    <row r="186" spans="2:5" ht="15">
      <c r="B186" s="103">
        <v>61</v>
      </c>
      <c r="C186" s="421"/>
      <c r="D186" s="386" t="s">
        <v>642</v>
      </c>
      <c r="E186" s="23">
        <v>474</v>
      </c>
    </row>
    <row r="187" spans="2:5" ht="15">
      <c r="B187" s="103">
        <v>62</v>
      </c>
      <c r="C187" s="409"/>
      <c r="D187" s="386" t="s">
        <v>644</v>
      </c>
      <c r="E187" s="23">
        <v>177</v>
      </c>
    </row>
    <row r="188" spans="2:5" ht="15">
      <c r="B188" s="103">
        <v>63</v>
      </c>
      <c r="C188" s="410"/>
      <c r="D188" s="386" t="s">
        <v>646</v>
      </c>
      <c r="E188" s="23">
        <v>120</v>
      </c>
    </row>
    <row r="189" spans="2:5" ht="15">
      <c r="B189" s="103">
        <v>64</v>
      </c>
      <c r="C189" s="10"/>
      <c r="D189" s="386" t="s">
        <v>651</v>
      </c>
      <c r="E189" s="103"/>
    </row>
    <row r="190" spans="2:5" ht="15">
      <c r="B190" s="103">
        <v>65</v>
      </c>
      <c r="C190" s="10"/>
      <c r="D190" s="386" t="s">
        <v>3840</v>
      </c>
      <c r="E190" s="103"/>
    </row>
    <row r="191" spans="2:5" ht="15">
      <c r="B191" s="103">
        <v>66</v>
      </c>
      <c r="C191" s="10"/>
      <c r="D191" s="386" t="s">
        <v>236</v>
      </c>
      <c r="E191" s="103">
        <v>272</v>
      </c>
    </row>
    <row r="192" spans="2:5" ht="15">
      <c r="B192" s="103">
        <v>67</v>
      </c>
      <c r="C192" s="10"/>
      <c r="D192" s="386" t="s">
        <v>182</v>
      </c>
      <c r="E192" s="103">
        <v>390</v>
      </c>
    </row>
    <row r="193" spans="2:5" ht="15">
      <c r="B193" s="103">
        <v>68</v>
      </c>
      <c r="C193" s="10"/>
      <c r="D193" s="386" t="s">
        <v>120</v>
      </c>
      <c r="E193" s="103">
        <v>240</v>
      </c>
    </row>
    <row r="194" spans="2:5" ht="15">
      <c r="B194" s="103">
        <v>69</v>
      </c>
      <c r="C194" s="421"/>
      <c r="D194" s="386" t="s">
        <v>39</v>
      </c>
      <c r="E194" s="23"/>
    </row>
    <row r="195" spans="2:5" ht="15">
      <c r="B195" s="103">
        <v>70</v>
      </c>
      <c r="C195" s="410"/>
      <c r="D195" s="386" t="s">
        <v>149</v>
      </c>
      <c r="E195" s="23">
        <v>126</v>
      </c>
    </row>
    <row r="196" spans="2:5" ht="15">
      <c r="B196" s="103">
        <v>71</v>
      </c>
      <c r="C196" s="421"/>
      <c r="D196" s="386" t="s">
        <v>189</v>
      </c>
      <c r="E196" s="23"/>
    </row>
    <row r="197" spans="2:5" ht="15">
      <c r="B197" s="103">
        <v>72</v>
      </c>
      <c r="C197" s="409"/>
      <c r="D197" s="386" t="s">
        <v>28</v>
      </c>
      <c r="E197" s="23">
        <v>96</v>
      </c>
    </row>
    <row r="198" spans="2:5" ht="15">
      <c r="B198" s="103">
        <v>73</v>
      </c>
      <c r="C198" s="410"/>
      <c r="D198" s="386" t="s">
        <v>141</v>
      </c>
      <c r="E198" s="23">
        <v>52</v>
      </c>
    </row>
    <row r="199" spans="2:5" ht="15">
      <c r="B199" s="103">
        <v>74</v>
      </c>
      <c r="C199" s="421"/>
      <c r="D199" s="386" t="s">
        <v>187</v>
      </c>
      <c r="E199" s="23"/>
    </row>
    <row r="200" spans="2:5" ht="15">
      <c r="B200" s="103">
        <v>75</v>
      </c>
      <c r="C200" s="409"/>
      <c r="D200" s="386" t="s">
        <v>25</v>
      </c>
      <c r="E200" s="23"/>
    </row>
    <row r="201" spans="2:5" ht="15">
      <c r="B201" s="103">
        <v>76</v>
      </c>
      <c r="C201" s="409"/>
      <c r="D201" s="386" t="s">
        <v>138</v>
      </c>
      <c r="E201" s="23">
        <v>67</v>
      </c>
    </row>
    <row r="202" spans="2:5" ht="15">
      <c r="B202" s="103">
        <v>77</v>
      </c>
      <c r="C202" s="410"/>
      <c r="D202" s="386" t="s">
        <v>100</v>
      </c>
      <c r="E202" s="23">
        <v>40</v>
      </c>
    </row>
    <row r="203" spans="2:5" ht="15">
      <c r="B203" s="103">
        <v>78</v>
      </c>
      <c r="C203" s="10"/>
      <c r="D203" s="386" t="s">
        <v>68</v>
      </c>
      <c r="E203" s="103">
        <v>84</v>
      </c>
    </row>
    <row r="204" spans="2:5" ht="15">
      <c r="B204" s="103">
        <v>79</v>
      </c>
      <c r="C204" s="10"/>
      <c r="D204" s="386" t="s">
        <v>61</v>
      </c>
      <c r="E204" s="103">
        <v>469</v>
      </c>
    </row>
    <row r="205" spans="2:5" ht="15">
      <c r="B205" s="103">
        <v>80</v>
      </c>
      <c r="C205" s="10"/>
      <c r="D205" s="386" t="s">
        <v>23</v>
      </c>
      <c r="E205" s="103">
        <v>209</v>
      </c>
    </row>
    <row r="206" spans="2:5" ht="15">
      <c r="B206" s="103">
        <v>81</v>
      </c>
      <c r="C206" s="421"/>
      <c r="D206" s="386" t="s">
        <v>686</v>
      </c>
      <c r="E206" s="23"/>
    </row>
    <row r="207" spans="2:5" ht="15">
      <c r="B207" s="103">
        <v>82</v>
      </c>
      <c r="C207" s="409"/>
      <c r="D207" s="386" t="s">
        <v>688</v>
      </c>
      <c r="E207" s="23">
        <v>125</v>
      </c>
    </row>
    <row r="208" spans="2:5" ht="15">
      <c r="B208" s="103">
        <v>83</v>
      </c>
      <c r="C208" s="409"/>
      <c r="D208" s="386" t="s">
        <v>692</v>
      </c>
      <c r="E208" s="23"/>
    </row>
    <row r="209" spans="2:5" ht="15">
      <c r="B209" s="103">
        <v>84</v>
      </c>
      <c r="C209" s="410"/>
      <c r="D209" s="386" t="s">
        <v>694</v>
      </c>
      <c r="E209" s="23">
        <v>105</v>
      </c>
    </row>
    <row r="210" spans="2:5" ht="15">
      <c r="B210" s="103">
        <v>85</v>
      </c>
      <c r="C210" s="421"/>
      <c r="D210" s="386" t="s">
        <v>700</v>
      </c>
      <c r="E210" s="23"/>
    </row>
    <row r="211" spans="2:5" ht="15">
      <c r="B211" s="103">
        <v>86</v>
      </c>
      <c r="C211" s="409"/>
      <c r="D211" s="386" t="s">
        <v>702</v>
      </c>
      <c r="E211" s="23">
        <v>100</v>
      </c>
    </row>
    <row r="212" spans="2:5" ht="15">
      <c r="B212" s="103">
        <v>87</v>
      </c>
      <c r="C212" s="410"/>
      <c r="D212" s="386" t="s">
        <v>704</v>
      </c>
      <c r="E212" s="23">
        <v>81</v>
      </c>
    </row>
    <row r="213" spans="2:5" ht="15">
      <c r="B213" s="103">
        <v>88</v>
      </c>
      <c r="C213" s="10"/>
      <c r="D213" s="386" t="s">
        <v>47</v>
      </c>
      <c r="E213" s="103">
        <v>162</v>
      </c>
    </row>
    <row r="214" spans="2:5" ht="15">
      <c r="B214" s="103">
        <v>89</v>
      </c>
      <c r="C214" s="10"/>
      <c r="D214" s="386" t="s">
        <v>2496</v>
      </c>
      <c r="E214" s="23">
        <v>825</v>
      </c>
    </row>
    <row r="215" spans="2:5" ht="15">
      <c r="B215" s="103">
        <v>90</v>
      </c>
      <c r="C215" s="10"/>
      <c r="D215" s="386" t="s">
        <v>711</v>
      </c>
      <c r="E215" s="23"/>
    </row>
    <row r="216" spans="2:5" ht="15">
      <c r="B216" s="103">
        <v>91</v>
      </c>
      <c r="C216" s="421"/>
      <c r="D216" s="386" t="s">
        <v>233</v>
      </c>
      <c r="E216" s="23"/>
    </row>
    <row r="217" spans="2:5" ht="15">
      <c r="B217" s="103">
        <v>92</v>
      </c>
      <c r="C217" s="410"/>
      <c r="D217" s="386" t="s">
        <v>86</v>
      </c>
      <c r="E217" s="23">
        <v>384</v>
      </c>
    </row>
    <row r="218" spans="2:5" ht="15">
      <c r="B218" s="103">
        <v>93</v>
      </c>
      <c r="C218" s="421"/>
      <c r="D218" s="386" t="s">
        <v>85</v>
      </c>
      <c r="E218" s="23">
        <v>399</v>
      </c>
    </row>
    <row r="219" spans="2:5" ht="15">
      <c r="B219" s="103">
        <v>94</v>
      </c>
      <c r="C219" s="409"/>
      <c r="D219" s="386" t="s">
        <v>180</v>
      </c>
      <c r="E219" s="23">
        <v>163</v>
      </c>
    </row>
    <row r="220" spans="2:5" ht="15">
      <c r="B220" s="103">
        <v>95</v>
      </c>
      <c r="C220" s="410"/>
      <c r="D220" s="386" t="s">
        <v>125</v>
      </c>
      <c r="E220" s="23">
        <v>161</v>
      </c>
    </row>
    <row r="221" spans="2:5" ht="15">
      <c r="B221" s="103">
        <v>96</v>
      </c>
      <c r="C221" s="10"/>
      <c r="D221" s="386" t="s">
        <v>11</v>
      </c>
      <c r="E221" s="103">
        <v>767</v>
      </c>
    </row>
    <row r="222" spans="2:5" ht="15">
      <c r="B222" s="103">
        <v>97</v>
      </c>
      <c r="C222" s="421"/>
      <c r="D222" s="386" t="s">
        <v>188</v>
      </c>
      <c r="E222" s="23"/>
    </row>
    <row r="223" spans="2:5" ht="15">
      <c r="B223" s="103">
        <v>98</v>
      </c>
      <c r="C223" s="409"/>
      <c r="D223" s="386" t="s">
        <v>27</v>
      </c>
      <c r="E223" s="23">
        <v>141</v>
      </c>
    </row>
    <row r="224" spans="2:5" ht="15">
      <c r="B224" s="103">
        <v>99</v>
      </c>
      <c r="C224" s="410"/>
      <c r="D224" s="386" t="s">
        <v>140</v>
      </c>
      <c r="E224" s="23">
        <v>74</v>
      </c>
    </row>
    <row r="225" spans="2:5" ht="15">
      <c r="B225" s="103">
        <v>100</v>
      </c>
      <c r="C225" s="421"/>
      <c r="D225" s="386" t="s">
        <v>79</v>
      </c>
      <c r="E225" s="23">
        <v>356</v>
      </c>
    </row>
    <row r="226" spans="2:5" ht="15">
      <c r="B226" s="103">
        <v>101</v>
      </c>
      <c r="C226" s="410"/>
      <c r="D226" s="386" t="s">
        <v>174</v>
      </c>
      <c r="E226" s="23">
        <v>193</v>
      </c>
    </row>
    <row r="227" spans="2:5" ht="15">
      <c r="B227" s="103">
        <v>103</v>
      </c>
      <c r="C227" s="10"/>
      <c r="D227" s="386" t="s">
        <v>737</v>
      </c>
      <c r="E227" s="103">
        <v>414</v>
      </c>
    </row>
    <row r="228" spans="2:5" ht="15">
      <c r="B228" s="103">
        <v>104</v>
      </c>
      <c r="C228" s="10"/>
      <c r="D228" s="386" t="s">
        <v>742</v>
      </c>
      <c r="E228" s="103">
        <v>598</v>
      </c>
    </row>
    <row r="229" spans="2:5" ht="15">
      <c r="B229" s="103">
        <v>105</v>
      </c>
      <c r="C229" s="10"/>
      <c r="D229" s="386" t="s">
        <v>58</v>
      </c>
      <c r="E229" s="103">
        <v>409</v>
      </c>
    </row>
    <row r="230" spans="2:5" ht="15">
      <c r="B230" s="103">
        <v>106</v>
      </c>
      <c r="C230" s="10"/>
      <c r="D230" s="386" t="s">
        <v>12</v>
      </c>
      <c r="E230" s="103">
        <v>383</v>
      </c>
    </row>
    <row r="231" spans="2:5" ht="15">
      <c r="B231" s="103">
        <v>107</v>
      </c>
      <c r="C231" s="10"/>
      <c r="D231" s="386" t="s">
        <v>93</v>
      </c>
      <c r="E231" s="103">
        <v>392</v>
      </c>
    </row>
    <row r="232" spans="2:5" ht="15">
      <c r="B232" s="103">
        <v>108</v>
      </c>
      <c r="C232" s="10"/>
      <c r="D232" s="386" t="s">
        <v>979</v>
      </c>
      <c r="E232" s="103"/>
    </row>
    <row r="233" spans="2:5" ht="15">
      <c r="B233" s="103">
        <v>109</v>
      </c>
      <c r="C233" s="421"/>
      <c r="D233" s="386" t="s">
        <v>49</v>
      </c>
      <c r="E233" s="103">
        <v>449</v>
      </c>
    </row>
    <row r="234" spans="2:5" ht="15">
      <c r="B234" s="103">
        <v>110</v>
      </c>
      <c r="C234" s="409"/>
      <c r="D234" s="386" t="s">
        <v>156</v>
      </c>
      <c r="E234" s="103">
        <v>195</v>
      </c>
    </row>
    <row r="235" spans="2:5" ht="15">
      <c r="B235" s="103">
        <v>111</v>
      </c>
      <c r="C235" s="410"/>
      <c r="D235" s="386" t="s">
        <v>108</v>
      </c>
      <c r="E235" s="103">
        <v>75</v>
      </c>
    </row>
    <row r="236" spans="2:5" ht="15">
      <c r="B236" s="103">
        <v>112</v>
      </c>
      <c r="C236" s="10"/>
      <c r="D236" s="386" t="s">
        <v>119</v>
      </c>
      <c r="E236" s="103"/>
    </row>
    <row r="237" spans="2:5" ht="15">
      <c r="B237" s="103">
        <v>113</v>
      </c>
      <c r="C237" s="421"/>
      <c r="D237" s="386" t="s">
        <v>7</v>
      </c>
      <c r="E237" s="103"/>
    </row>
    <row r="238" spans="2:5" ht="15">
      <c r="B238" s="103">
        <v>114</v>
      </c>
      <c r="C238" s="409"/>
      <c r="D238" s="386" t="s">
        <v>14</v>
      </c>
      <c r="E238" s="103">
        <v>90</v>
      </c>
    </row>
    <row r="239" spans="2:5" ht="15">
      <c r="B239" s="103">
        <v>115</v>
      </c>
      <c r="C239" s="410"/>
      <c r="D239" s="386" t="s">
        <v>761</v>
      </c>
      <c r="E239" s="103"/>
    </row>
    <row r="240" spans="2:5" ht="15">
      <c r="B240" s="103">
        <v>116</v>
      </c>
      <c r="C240" s="421"/>
      <c r="D240" s="386" t="s">
        <v>764</v>
      </c>
      <c r="E240" s="103"/>
    </row>
    <row r="241" spans="2:5" ht="15">
      <c r="B241" s="103">
        <v>117</v>
      </c>
      <c r="C241" s="410"/>
      <c r="D241" s="386" t="s">
        <v>9</v>
      </c>
      <c r="E241" s="103">
        <v>235</v>
      </c>
    </row>
    <row r="242" spans="2:5" ht="15">
      <c r="B242" s="103">
        <v>118</v>
      </c>
      <c r="C242" s="421"/>
      <c r="D242" s="386" t="s">
        <v>44</v>
      </c>
      <c r="E242" s="103"/>
    </row>
    <row r="243" spans="2:5" ht="15">
      <c r="B243" s="103">
        <v>119</v>
      </c>
      <c r="C243" s="410"/>
      <c r="D243" s="386" t="s">
        <v>153</v>
      </c>
      <c r="E243" s="103"/>
    </row>
    <row r="244" spans="2:5" ht="15">
      <c r="B244" s="103">
        <v>123</v>
      </c>
      <c r="C244" s="10"/>
      <c r="D244" s="386" t="s">
        <v>983</v>
      </c>
      <c r="E244" s="103">
        <v>392</v>
      </c>
    </row>
    <row r="245" spans="2:5" ht="13">
      <c r="B245" s="103"/>
      <c r="C245" s="10" t="s">
        <v>3841</v>
      </c>
      <c r="D245" s="10"/>
      <c r="E245" s="103"/>
    </row>
    <row r="246" spans="2:5" ht="13">
      <c r="B246" s="5"/>
      <c r="E246" s="5"/>
    </row>
    <row r="247" spans="2:5" ht="13">
      <c r="B247" s="5"/>
      <c r="E247" s="5"/>
    </row>
    <row r="248" spans="2:5" ht="13">
      <c r="B248" s="5"/>
      <c r="E248" s="5"/>
    </row>
    <row r="249" spans="2:5" ht="13">
      <c r="B249" s="5"/>
      <c r="E249" s="5"/>
    </row>
    <row r="250" spans="2:5" ht="13">
      <c r="B250" s="5"/>
      <c r="E250" s="5"/>
    </row>
    <row r="251" spans="2:5" ht="13">
      <c r="B251" s="5"/>
      <c r="E251" s="5"/>
    </row>
    <row r="252" spans="2:5" ht="13">
      <c r="B252" s="5"/>
      <c r="E252" s="5"/>
    </row>
    <row r="253" spans="2:5" ht="13">
      <c r="B253" s="5"/>
      <c r="E253" s="5"/>
    </row>
    <row r="254" spans="2:5" ht="13">
      <c r="B254" s="5"/>
      <c r="E254" s="5"/>
    </row>
    <row r="255" spans="2:5" ht="13">
      <c r="B255" s="5"/>
      <c r="E255" s="5"/>
    </row>
    <row r="256" spans="2:5" ht="13">
      <c r="B256" s="5"/>
      <c r="E256" s="5"/>
    </row>
    <row r="257" spans="2:5" ht="13">
      <c r="B257" s="5"/>
      <c r="E257" s="5"/>
    </row>
    <row r="258" spans="2:5" ht="13">
      <c r="B258" s="5"/>
      <c r="E258" s="5"/>
    </row>
    <row r="259" spans="2:5" ht="13">
      <c r="B259" s="5"/>
      <c r="E259" s="5"/>
    </row>
    <row r="260" spans="2:5" ht="13">
      <c r="B260" s="5"/>
      <c r="E260" s="5"/>
    </row>
    <row r="261" spans="2:5" ht="13">
      <c r="B261" s="5"/>
      <c r="E261" s="5"/>
    </row>
    <row r="262" spans="2:5" ht="13">
      <c r="B262" s="5"/>
      <c r="E262" s="5"/>
    </row>
    <row r="263" spans="2:5" ht="13">
      <c r="B263" s="5"/>
      <c r="E263" s="5"/>
    </row>
    <row r="264" spans="2:5" ht="13">
      <c r="B264" s="5"/>
      <c r="E264" s="5"/>
    </row>
    <row r="265" spans="2:5" ht="13">
      <c r="B265" s="5"/>
      <c r="E265" s="5"/>
    </row>
    <row r="266" spans="2:5" ht="13">
      <c r="B266" s="5"/>
      <c r="E266" s="5"/>
    </row>
    <row r="267" spans="2:5" ht="13">
      <c r="B267" s="5"/>
      <c r="E267" s="5"/>
    </row>
    <row r="268" spans="2:5" ht="13">
      <c r="B268" s="5"/>
      <c r="E268" s="5"/>
    </row>
    <row r="269" spans="2:5" ht="13">
      <c r="B269" s="5"/>
      <c r="E269" s="5"/>
    </row>
    <row r="270" spans="2:5" ht="13">
      <c r="B270" s="5"/>
      <c r="E270" s="5"/>
    </row>
    <row r="271" spans="2:5" ht="13">
      <c r="B271" s="5"/>
      <c r="E271" s="5"/>
    </row>
    <row r="272" spans="2:5" ht="13">
      <c r="B272" s="5"/>
      <c r="E272" s="5"/>
    </row>
    <row r="273" spans="2:5" ht="13">
      <c r="B273" s="5"/>
      <c r="E273" s="5"/>
    </row>
    <row r="274" spans="2:5" ht="13">
      <c r="B274" s="5"/>
      <c r="E274" s="5"/>
    </row>
    <row r="275" spans="2:5" ht="13">
      <c r="B275" s="5"/>
      <c r="E275" s="5"/>
    </row>
    <row r="276" spans="2:5" ht="13">
      <c r="B276" s="5"/>
      <c r="E276" s="5"/>
    </row>
    <row r="277" spans="2:5" ht="13">
      <c r="B277" s="5"/>
      <c r="E277" s="5"/>
    </row>
    <row r="278" spans="2:5" ht="13">
      <c r="B278" s="5"/>
      <c r="E278" s="5"/>
    </row>
    <row r="279" spans="2:5" ht="13">
      <c r="B279" s="5"/>
      <c r="E279" s="5"/>
    </row>
    <row r="280" spans="2:5" ht="13">
      <c r="B280" s="5"/>
      <c r="E280" s="5"/>
    </row>
    <row r="281" spans="2:5" ht="13">
      <c r="B281" s="5"/>
      <c r="E281" s="5"/>
    </row>
    <row r="282" spans="2:5" ht="13">
      <c r="B282" s="5"/>
      <c r="E282" s="5"/>
    </row>
    <row r="283" spans="2:5" ht="13">
      <c r="B283" s="5"/>
      <c r="E283" s="5"/>
    </row>
    <row r="284" spans="2:5" ht="13">
      <c r="B284" s="5"/>
      <c r="E284" s="5"/>
    </row>
    <row r="285" spans="2:5" ht="13">
      <c r="B285" s="5"/>
      <c r="E285" s="5"/>
    </row>
    <row r="286" spans="2:5" ht="13">
      <c r="B286" s="5"/>
      <c r="E286" s="5"/>
    </row>
    <row r="287" spans="2:5" ht="13">
      <c r="B287" s="5"/>
      <c r="E287" s="5"/>
    </row>
    <row r="288" spans="2:5" ht="13">
      <c r="B288" s="5"/>
      <c r="E288" s="5"/>
    </row>
    <row r="289" spans="2:5" ht="13">
      <c r="B289" s="5"/>
      <c r="E289" s="5"/>
    </row>
    <row r="290" spans="2:5" ht="13">
      <c r="B290" s="5"/>
      <c r="E290" s="5"/>
    </row>
    <row r="291" spans="2:5" ht="13">
      <c r="B291" s="5"/>
      <c r="E291" s="5"/>
    </row>
    <row r="292" spans="2:5" ht="13">
      <c r="B292" s="5"/>
      <c r="E292" s="5"/>
    </row>
    <row r="293" spans="2:5" ht="13">
      <c r="B293" s="5"/>
      <c r="E293" s="5"/>
    </row>
    <row r="294" spans="2:5" ht="13">
      <c r="B294" s="5"/>
      <c r="E294" s="5"/>
    </row>
    <row r="295" spans="2:5" ht="13">
      <c r="B295" s="5"/>
      <c r="E295" s="5"/>
    </row>
    <row r="296" spans="2:5" ht="13">
      <c r="B296" s="5"/>
      <c r="E296" s="5"/>
    </row>
    <row r="297" spans="2:5" ht="13">
      <c r="B297" s="5"/>
      <c r="E297" s="5"/>
    </row>
    <row r="298" spans="2:5" ht="13">
      <c r="B298" s="5"/>
      <c r="E298" s="5"/>
    </row>
    <row r="299" spans="2:5" ht="13">
      <c r="B299" s="5"/>
      <c r="E299" s="5"/>
    </row>
    <row r="300" spans="2:5" ht="13">
      <c r="B300" s="5"/>
      <c r="E300" s="5"/>
    </row>
    <row r="301" spans="2:5" ht="13">
      <c r="B301" s="5"/>
      <c r="E301" s="5"/>
    </row>
    <row r="302" spans="2:5" ht="13">
      <c r="B302" s="5"/>
      <c r="E302" s="5"/>
    </row>
    <row r="303" spans="2:5" ht="13">
      <c r="B303" s="5"/>
      <c r="E303" s="5"/>
    </row>
    <row r="304" spans="2:5" ht="13">
      <c r="B304" s="5"/>
      <c r="E304" s="5"/>
    </row>
    <row r="305" spans="2:5" ht="13">
      <c r="B305" s="5"/>
      <c r="E305" s="5"/>
    </row>
    <row r="306" spans="2:5" ht="13">
      <c r="B306" s="5"/>
      <c r="E306" s="5"/>
    </row>
    <row r="307" spans="2:5" ht="13">
      <c r="B307" s="5"/>
      <c r="E307" s="5"/>
    </row>
    <row r="308" spans="2:5" ht="13">
      <c r="B308" s="5"/>
      <c r="E308" s="5"/>
    </row>
    <row r="309" spans="2:5" ht="13">
      <c r="B309" s="5"/>
      <c r="E309" s="5"/>
    </row>
    <row r="310" spans="2:5" ht="13">
      <c r="B310" s="5"/>
      <c r="E310" s="5"/>
    </row>
    <row r="311" spans="2:5" ht="13">
      <c r="B311" s="5"/>
      <c r="E311" s="5"/>
    </row>
    <row r="312" spans="2:5" ht="13">
      <c r="B312" s="5"/>
      <c r="E312" s="5"/>
    </row>
    <row r="313" spans="2:5" ht="13">
      <c r="B313" s="5"/>
      <c r="E313" s="5"/>
    </row>
    <row r="314" spans="2:5" ht="13">
      <c r="B314" s="5"/>
      <c r="E314" s="5"/>
    </row>
    <row r="315" spans="2:5" ht="13">
      <c r="B315" s="5"/>
      <c r="E315" s="5"/>
    </row>
    <row r="316" spans="2:5" ht="13">
      <c r="B316" s="5"/>
      <c r="E316" s="5"/>
    </row>
    <row r="317" spans="2:5" ht="13">
      <c r="B317" s="5"/>
      <c r="E317" s="5"/>
    </row>
    <row r="318" spans="2:5" ht="13">
      <c r="B318" s="5"/>
      <c r="E318" s="5"/>
    </row>
    <row r="319" spans="2:5" ht="13">
      <c r="B319" s="5"/>
      <c r="E319" s="5"/>
    </row>
    <row r="320" spans="2:5" ht="13">
      <c r="B320" s="5"/>
      <c r="E320" s="5"/>
    </row>
    <row r="321" spans="2:5" ht="13">
      <c r="B321" s="5"/>
      <c r="E321" s="5"/>
    </row>
    <row r="322" spans="2:5" ht="13">
      <c r="B322" s="5"/>
      <c r="E322" s="5"/>
    </row>
    <row r="323" spans="2:5" ht="13">
      <c r="B323" s="5"/>
      <c r="E323" s="5"/>
    </row>
    <row r="324" spans="2:5" ht="13">
      <c r="B324" s="5"/>
      <c r="E324" s="5"/>
    </row>
    <row r="325" spans="2:5" ht="13">
      <c r="B325" s="5"/>
      <c r="E325" s="5"/>
    </row>
    <row r="326" spans="2:5" ht="13">
      <c r="B326" s="5"/>
      <c r="E326" s="5"/>
    </row>
    <row r="327" spans="2:5" ht="13">
      <c r="B327" s="5"/>
      <c r="E327" s="5"/>
    </row>
    <row r="328" spans="2:5" ht="13">
      <c r="B328" s="5"/>
      <c r="E328" s="5"/>
    </row>
    <row r="329" spans="2:5" ht="13">
      <c r="B329" s="5"/>
      <c r="E329" s="5"/>
    </row>
    <row r="330" spans="2:5" ht="13">
      <c r="B330" s="5"/>
      <c r="E330" s="5"/>
    </row>
    <row r="331" spans="2:5" ht="13">
      <c r="B331" s="5"/>
      <c r="E331" s="5"/>
    </row>
    <row r="332" spans="2:5" ht="13">
      <c r="B332" s="5"/>
      <c r="E332" s="5"/>
    </row>
    <row r="333" spans="2:5" ht="13">
      <c r="B333" s="5"/>
      <c r="E333" s="5"/>
    </row>
    <row r="334" spans="2:5" ht="13">
      <c r="B334" s="5"/>
      <c r="E334" s="5"/>
    </row>
    <row r="335" spans="2:5" ht="13">
      <c r="B335" s="5"/>
      <c r="E335" s="5"/>
    </row>
    <row r="336" spans="2:5" ht="13">
      <c r="B336" s="5"/>
      <c r="E336" s="5"/>
    </row>
    <row r="337" spans="2:5" ht="13">
      <c r="B337" s="5"/>
      <c r="E337" s="5"/>
    </row>
    <row r="338" spans="2:5" ht="13">
      <c r="B338" s="5"/>
      <c r="E338" s="5"/>
    </row>
    <row r="339" spans="2:5" ht="13">
      <c r="B339" s="5"/>
      <c r="E339" s="5"/>
    </row>
    <row r="340" spans="2:5" ht="13">
      <c r="B340" s="5"/>
      <c r="E340" s="5"/>
    </row>
    <row r="341" spans="2:5" ht="13">
      <c r="B341" s="5"/>
      <c r="E341" s="5"/>
    </row>
    <row r="342" spans="2:5" ht="13">
      <c r="B342" s="5"/>
      <c r="E342" s="5"/>
    </row>
    <row r="343" spans="2:5" ht="13">
      <c r="B343" s="5"/>
      <c r="E343" s="5"/>
    </row>
    <row r="344" spans="2:5" ht="13">
      <c r="B344" s="5"/>
      <c r="E344" s="5"/>
    </row>
    <row r="345" spans="2:5" ht="13">
      <c r="B345" s="5"/>
      <c r="E345" s="5"/>
    </row>
    <row r="346" spans="2:5" ht="13">
      <c r="B346" s="5"/>
      <c r="E346" s="5"/>
    </row>
    <row r="347" spans="2:5" ht="13">
      <c r="B347" s="5"/>
      <c r="E347" s="5"/>
    </row>
    <row r="348" spans="2:5" ht="13">
      <c r="B348" s="5"/>
      <c r="E348" s="5"/>
    </row>
    <row r="349" spans="2:5" ht="13">
      <c r="B349" s="5"/>
      <c r="E349" s="5"/>
    </row>
    <row r="350" spans="2:5" ht="13">
      <c r="B350" s="5"/>
      <c r="E350" s="5"/>
    </row>
    <row r="351" spans="2:5" ht="13">
      <c r="B351" s="5"/>
      <c r="E351" s="5"/>
    </row>
    <row r="352" spans="2:5" ht="13">
      <c r="B352" s="5"/>
      <c r="E352" s="5"/>
    </row>
    <row r="353" spans="2:5" ht="13">
      <c r="B353" s="5"/>
      <c r="E353" s="5"/>
    </row>
    <row r="354" spans="2:5" ht="13">
      <c r="B354" s="5"/>
      <c r="E354" s="5"/>
    </row>
    <row r="355" spans="2:5" ht="13">
      <c r="B355" s="5"/>
      <c r="E355" s="5"/>
    </row>
    <row r="356" spans="2:5" ht="13">
      <c r="B356" s="5"/>
      <c r="E356" s="5"/>
    </row>
    <row r="357" spans="2:5" ht="13">
      <c r="B357" s="5"/>
      <c r="E357" s="5"/>
    </row>
    <row r="358" spans="2:5" ht="13">
      <c r="B358" s="5"/>
      <c r="E358" s="5"/>
    </row>
    <row r="359" spans="2:5" ht="13">
      <c r="B359" s="5"/>
      <c r="E359" s="5"/>
    </row>
    <row r="360" spans="2:5" ht="13">
      <c r="B360" s="5"/>
      <c r="E360" s="5"/>
    </row>
    <row r="361" spans="2:5" ht="13">
      <c r="B361" s="5"/>
      <c r="E361" s="5"/>
    </row>
    <row r="362" spans="2:5" ht="13">
      <c r="B362" s="5"/>
      <c r="E362" s="5"/>
    </row>
    <row r="363" spans="2:5" ht="13">
      <c r="B363" s="5"/>
      <c r="E363" s="5"/>
    </row>
    <row r="364" spans="2:5" ht="13">
      <c r="B364" s="5"/>
      <c r="E364" s="5"/>
    </row>
    <row r="365" spans="2:5" ht="13">
      <c r="B365" s="5"/>
      <c r="E365" s="5"/>
    </row>
    <row r="366" spans="2:5" ht="13">
      <c r="B366" s="5"/>
      <c r="E366" s="5"/>
    </row>
    <row r="367" spans="2:5" ht="13">
      <c r="B367" s="5"/>
      <c r="E367" s="5"/>
    </row>
    <row r="368" spans="2:5" ht="13">
      <c r="B368" s="5"/>
      <c r="E368" s="5"/>
    </row>
    <row r="369" spans="2:5" ht="13">
      <c r="B369" s="5"/>
      <c r="E369" s="5"/>
    </row>
    <row r="370" spans="2:5" ht="13">
      <c r="B370" s="5"/>
      <c r="E370" s="5"/>
    </row>
    <row r="371" spans="2:5" ht="13">
      <c r="B371" s="5"/>
      <c r="E371" s="5"/>
    </row>
    <row r="372" spans="2:5" ht="13">
      <c r="B372" s="5"/>
      <c r="E372" s="5"/>
    </row>
    <row r="373" spans="2:5" ht="13">
      <c r="B373" s="5"/>
      <c r="E373" s="5"/>
    </row>
    <row r="374" spans="2:5" ht="13">
      <c r="B374" s="5"/>
      <c r="E374" s="5"/>
    </row>
    <row r="375" spans="2:5" ht="13">
      <c r="B375" s="5"/>
      <c r="E375" s="5"/>
    </row>
    <row r="376" spans="2:5" ht="13">
      <c r="B376" s="5"/>
      <c r="E376" s="5"/>
    </row>
    <row r="377" spans="2:5" ht="13">
      <c r="B377" s="5"/>
      <c r="E377" s="5"/>
    </row>
    <row r="378" spans="2:5" ht="13">
      <c r="B378" s="5"/>
      <c r="E378" s="5"/>
    </row>
    <row r="379" spans="2:5" ht="13">
      <c r="B379" s="5"/>
      <c r="E379" s="5"/>
    </row>
    <row r="380" spans="2:5" ht="13">
      <c r="B380" s="5"/>
      <c r="E380" s="5"/>
    </row>
    <row r="381" spans="2:5" ht="13">
      <c r="B381" s="5"/>
      <c r="E381" s="5"/>
    </row>
    <row r="382" spans="2:5" ht="13">
      <c r="B382" s="5"/>
      <c r="E382" s="5"/>
    </row>
    <row r="383" spans="2:5" ht="13">
      <c r="B383" s="5"/>
      <c r="E383" s="5"/>
    </row>
    <row r="384" spans="2:5" ht="13">
      <c r="B384" s="5"/>
      <c r="E384" s="5"/>
    </row>
    <row r="385" spans="2:5" ht="13">
      <c r="B385" s="5"/>
      <c r="E385" s="5"/>
    </row>
    <row r="386" spans="2:5" ht="13">
      <c r="B386" s="5"/>
      <c r="E386" s="5"/>
    </row>
    <row r="387" spans="2:5" ht="13">
      <c r="B387" s="5"/>
      <c r="E387" s="5"/>
    </row>
    <row r="388" spans="2:5" ht="13">
      <c r="B388" s="5"/>
      <c r="E388" s="5"/>
    </row>
    <row r="389" spans="2:5" ht="13">
      <c r="B389" s="5"/>
      <c r="E389" s="5"/>
    </row>
    <row r="390" spans="2:5" ht="13">
      <c r="B390" s="5"/>
      <c r="E390" s="5"/>
    </row>
    <row r="391" spans="2:5" ht="13">
      <c r="B391" s="5"/>
      <c r="E391" s="5"/>
    </row>
    <row r="392" spans="2:5" ht="13">
      <c r="B392" s="5"/>
      <c r="E392" s="5"/>
    </row>
    <row r="393" spans="2:5" ht="13">
      <c r="B393" s="5"/>
      <c r="E393" s="5"/>
    </row>
    <row r="394" spans="2:5" ht="13">
      <c r="B394" s="5"/>
      <c r="E394" s="5"/>
    </row>
    <row r="395" spans="2:5" ht="13">
      <c r="B395" s="5"/>
      <c r="E395" s="5"/>
    </row>
    <row r="396" spans="2:5" ht="13">
      <c r="B396" s="5"/>
      <c r="E396" s="5"/>
    </row>
    <row r="397" spans="2:5" ht="13">
      <c r="B397" s="5"/>
      <c r="E397" s="5"/>
    </row>
    <row r="398" spans="2:5" ht="13">
      <c r="B398" s="5"/>
      <c r="E398" s="5"/>
    </row>
    <row r="399" spans="2:5" ht="13">
      <c r="B399" s="5"/>
      <c r="E399" s="5"/>
    </row>
    <row r="400" spans="2:5" ht="13">
      <c r="B400" s="5"/>
      <c r="E400" s="5"/>
    </row>
    <row r="401" spans="2:5" ht="13">
      <c r="B401" s="5"/>
      <c r="E401" s="5"/>
    </row>
    <row r="402" spans="2:5" ht="13">
      <c r="B402" s="5"/>
      <c r="E402" s="5"/>
    </row>
    <row r="403" spans="2:5" ht="13">
      <c r="B403" s="5"/>
      <c r="E403" s="5"/>
    </row>
    <row r="404" spans="2:5" ht="13">
      <c r="B404" s="5"/>
      <c r="E404" s="5"/>
    </row>
    <row r="405" spans="2:5" ht="13">
      <c r="B405" s="5"/>
      <c r="E405" s="5"/>
    </row>
    <row r="406" spans="2:5" ht="13">
      <c r="B406" s="5"/>
      <c r="E406" s="5"/>
    </row>
    <row r="407" spans="2:5" ht="13">
      <c r="B407" s="5"/>
      <c r="E407" s="5"/>
    </row>
    <row r="408" spans="2:5" ht="13">
      <c r="B408" s="5"/>
      <c r="E408" s="5"/>
    </row>
    <row r="409" spans="2:5" ht="13">
      <c r="B409" s="5"/>
      <c r="E409" s="5"/>
    </row>
    <row r="410" spans="2:5" ht="13">
      <c r="B410" s="5"/>
      <c r="E410" s="5"/>
    </row>
    <row r="411" spans="2:5" ht="13">
      <c r="B411" s="5"/>
      <c r="E411" s="5"/>
    </row>
    <row r="412" spans="2:5" ht="13">
      <c r="B412" s="5"/>
      <c r="E412" s="5"/>
    </row>
    <row r="413" spans="2:5" ht="13">
      <c r="B413" s="5"/>
      <c r="E413" s="5"/>
    </row>
    <row r="414" spans="2:5" ht="13">
      <c r="B414" s="5"/>
      <c r="E414" s="5"/>
    </row>
    <row r="415" spans="2:5" ht="13">
      <c r="B415" s="5"/>
      <c r="E415" s="5"/>
    </row>
    <row r="416" spans="2:5" ht="13">
      <c r="B416" s="5"/>
      <c r="E416" s="5"/>
    </row>
    <row r="417" spans="2:5" ht="13">
      <c r="B417" s="5"/>
      <c r="E417" s="5"/>
    </row>
    <row r="418" spans="2:5" ht="13">
      <c r="B418" s="5"/>
      <c r="E418" s="5"/>
    </row>
    <row r="419" spans="2:5" ht="13">
      <c r="B419" s="5"/>
      <c r="E419" s="5"/>
    </row>
    <row r="420" spans="2:5" ht="13">
      <c r="B420" s="5"/>
      <c r="E420" s="5"/>
    </row>
    <row r="421" spans="2:5" ht="13">
      <c r="B421" s="5"/>
      <c r="E421" s="5"/>
    </row>
    <row r="422" spans="2:5" ht="13">
      <c r="B422" s="5"/>
      <c r="E422" s="5"/>
    </row>
    <row r="423" spans="2:5" ht="13">
      <c r="B423" s="5"/>
      <c r="E423" s="5"/>
    </row>
    <row r="424" spans="2:5" ht="13">
      <c r="B424" s="5"/>
      <c r="E424" s="5"/>
    </row>
    <row r="425" spans="2:5" ht="13">
      <c r="B425" s="5"/>
      <c r="E425" s="5"/>
    </row>
    <row r="426" spans="2:5" ht="13">
      <c r="B426" s="5"/>
      <c r="E426" s="5"/>
    </row>
    <row r="427" spans="2:5" ht="13">
      <c r="B427" s="5"/>
      <c r="E427" s="5"/>
    </row>
    <row r="428" spans="2:5" ht="13">
      <c r="B428" s="5"/>
      <c r="E428" s="5"/>
    </row>
    <row r="429" spans="2:5" ht="13">
      <c r="B429" s="5"/>
      <c r="E429" s="5"/>
    </row>
    <row r="430" spans="2:5" ht="13">
      <c r="B430" s="5"/>
      <c r="E430" s="5"/>
    </row>
    <row r="431" spans="2:5" ht="13">
      <c r="B431" s="5"/>
      <c r="E431" s="5"/>
    </row>
    <row r="432" spans="2:5" ht="13">
      <c r="B432" s="5"/>
      <c r="E432" s="5"/>
    </row>
    <row r="433" spans="2:5" ht="13">
      <c r="B433" s="5"/>
      <c r="E433" s="5"/>
    </row>
    <row r="434" spans="2:5" ht="13">
      <c r="B434" s="5"/>
      <c r="E434" s="5"/>
    </row>
    <row r="435" spans="2:5" ht="13">
      <c r="B435" s="5"/>
      <c r="E435" s="5"/>
    </row>
    <row r="436" spans="2:5" ht="13">
      <c r="B436" s="5"/>
      <c r="E436" s="5"/>
    </row>
    <row r="437" spans="2:5" ht="13">
      <c r="B437" s="5"/>
      <c r="E437" s="5"/>
    </row>
    <row r="438" spans="2:5" ht="13">
      <c r="B438" s="5"/>
      <c r="E438" s="5"/>
    </row>
    <row r="439" spans="2:5" ht="13">
      <c r="B439" s="5"/>
      <c r="E439" s="5"/>
    </row>
    <row r="440" spans="2:5" ht="13">
      <c r="B440" s="5"/>
      <c r="E440" s="5"/>
    </row>
    <row r="441" spans="2:5" ht="13">
      <c r="B441" s="5"/>
      <c r="E441" s="5"/>
    </row>
    <row r="442" spans="2:5" ht="13">
      <c r="B442" s="5"/>
      <c r="E442" s="5"/>
    </row>
    <row r="443" spans="2:5" ht="13">
      <c r="B443" s="5"/>
      <c r="E443" s="5"/>
    </row>
    <row r="444" spans="2:5" ht="13">
      <c r="B444" s="5"/>
      <c r="E444" s="5"/>
    </row>
    <row r="445" spans="2:5" ht="13">
      <c r="B445" s="5"/>
      <c r="E445" s="5"/>
    </row>
    <row r="446" spans="2:5" ht="13">
      <c r="B446" s="5"/>
      <c r="E446" s="5"/>
    </row>
    <row r="447" spans="2:5" ht="13">
      <c r="B447" s="5"/>
      <c r="E447" s="5"/>
    </row>
    <row r="448" spans="2:5" ht="13">
      <c r="B448" s="5"/>
      <c r="E448" s="5"/>
    </row>
    <row r="449" spans="2:5" ht="13">
      <c r="B449" s="5"/>
      <c r="E449" s="5"/>
    </row>
    <row r="450" spans="2:5" ht="13">
      <c r="B450" s="5"/>
      <c r="E450" s="5"/>
    </row>
    <row r="451" spans="2:5" ht="13">
      <c r="B451" s="5"/>
      <c r="E451" s="5"/>
    </row>
    <row r="452" spans="2:5" ht="13">
      <c r="B452" s="5"/>
      <c r="E452" s="5"/>
    </row>
    <row r="453" spans="2:5" ht="13">
      <c r="B453" s="5"/>
      <c r="E453" s="5"/>
    </row>
    <row r="454" spans="2:5" ht="13">
      <c r="B454" s="5"/>
      <c r="E454" s="5"/>
    </row>
    <row r="455" spans="2:5" ht="13">
      <c r="B455" s="5"/>
      <c r="E455" s="5"/>
    </row>
    <row r="456" spans="2:5" ht="13">
      <c r="B456" s="5"/>
      <c r="E456" s="5"/>
    </row>
    <row r="457" spans="2:5" ht="13">
      <c r="B457" s="5"/>
      <c r="E457" s="5"/>
    </row>
    <row r="458" spans="2:5" ht="13">
      <c r="B458" s="5"/>
      <c r="E458" s="5"/>
    </row>
    <row r="459" spans="2:5" ht="13">
      <c r="B459" s="5"/>
      <c r="E459" s="5"/>
    </row>
    <row r="460" spans="2:5" ht="13">
      <c r="B460" s="5"/>
      <c r="E460" s="5"/>
    </row>
    <row r="461" spans="2:5" ht="13">
      <c r="B461" s="5"/>
      <c r="E461" s="5"/>
    </row>
    <row r="462" spans="2:5" ht="13">
      <c r="B462" s="5"/>
      <c r="E462" s="5"/>
    </row>
    <row r="463" spans="2:5" ht="13">
      <c r="B463" s="5"/>
      <c r="E463" s="5"/>
    </row>
    <row r="464" spans="2:5" ht="13">
      <c r="B464" s="5"/>
      <c r="E464" s="5"/>
    </row>
    <row r="465" spans="2:5" ht="13">
      <c r="B465" s="5"/>
      <c r="E465" s="5"/>
    </row>
    <row r="466" spans="2:5" ht="13">
      <c r="B466" s="5"/>
      <c r="E466" s="5"/>
    </row>
    <row r="467" spans="2:5" ht="13">
      <c r="B467" s="5"/>
      <c r="E467" s="5"/>
    </row>
    <row r="468" spans="2:5" ht="13">
      <c r="B468" s="5"/>
      <c r="E468" s="5"/>
    </row>
    <row r="469" spans="2:5" ht="13">
      <c r="B469" s="5"/>
      <c r="E469" s="5"/>
    </row>
    <row r="470" spans="2:5" ht="13">
      <c r="B470" s="5"/>
      <c r="E470" s="5"/>
    </row>
    <row r="471" spans="2:5" ht="13">
      <c r="B471" s="5"/>
      <c r="E471" s="5"/>
    </row>
    <row r="472" spans="2:5" ht="13">
      <c r="B472" s="5"/>
      <c r="E472" s="5"/>
    </row>
    <row r="473" spans="2:5" ht="13">
      <c r="B473" s="5"/>
      <c r="E473" s="5"/>
    </row>
    <row r="474" spans="2:5" ht="13">
      <c r="B474" s="5"/>
      <c r="E474" s="5"/>
    </row>
    <row r="475" spans="2:5" ht="13">
      <c r="B475" s="5"/>
      <c r="E475" s="5"/>
    </row>
    <row r="476" spans="2:5" ht="13">
      <c r="B476" s="5"/>
      <c r="E476" s="5"/>
    </row>
    <row r="477" spans="2:5" ht="13">
      <c r="B477" s="5"/>
      <c r="E477" s="5"/>
    </row>
    <row r="478" spans="2:5" ht="13">
      <c r="B478" s="5"/>
      <c r="E478" s="5"/>
    </row>
    <row r="479" spans="2:5" ht="13">
      <c r="B479" s="5"/>
      <c r="E479" s="5"/>
    </row>
    <row r="480" spans="2:5" ht="13">
      <c r="B480" s="5"/>
      <c r="E480" s="5"/>
    </row>
    <row r="481" spans="2:5" ht="13">
      <c r="B481" s="5"/>
      <c r="E481" s="5"/>
    </row>
    <row r="482" spans="2:5" ht="13">
      <c r="B482" s="5"/>
      <c r="E482" s="5"/>
    </row>
    <row r="483" spans="2:5" ht="13">
      <c r="B483" s="5"/>
      <c r="E483" s="5"/>
    </row>
    <row r="484" spans="2:5" ht="13">
      <c r="B484" s="5"/>
      <c r="E484" s="5"/>
    </row>
    <row r="485" spans="2:5" ht="13">
      <c r="B485" s="5"/>
      <c r="E485" s="5"/>
    </row>
    <row r="486" spans="2:5" ht="13">
      <c r="B486" s="5"/>
      <c r="E486" s="5"/>
    </row>
    <row r="487" spans="2:5" ht="13">
      <c r="B487" s="5"/>
      <c r="E487" s="5"/>
    </row>
    <row r="488" spans="2:5" ht="13">
      <c r="B488" s="5"/>
      <c r="E488" s="5"/>
    </row>
    <row r="489" spans="2:5" ht="13">
      <c r="B489" s="5"/>
      <c r="E489" s="5"/>
    </row>
    <row r="490" spans="2:5" ht="13">
      <c r="B490" s="5"/>
      <c r="E490" s="5"/>
    </row>
    <row r="491" spans="2:5" ht="13">
      <c r="B491" s="5"/>
      <c r="E491" s="5"/>
    </row>
    <row r="492" spans="2:5" ht="13">
      <c r="B492" s="5"/>
      <c r="E492" s="5"/>
    </row>
    <row r="493" spans="2:5" ht="13">
      <c r="B493" s="5"/>
      <c r="E493" s="5"/>
    </row>
    <row r="494" spans="2:5" ht="13">
      <c r="B494" s="5"/>
      <c r="E494" s="5"/>
    </row>
    <row r="495" spans="2:5" ht="13">
      <c r="B495" s="5"/>
      <c r="E495" s="5"/>
    </row>
    <row r="496" spans="2:5" ht="13">
      <c r="B496" s="5"/>
      <c r="E496" s="5"/>
    </row>
    <row r="497" spans="2:5" ht="13">
      <c r="B497" s="5"/>
      <c r="E497" s="5"/>
    </row>
    <row r="498" spans="2:5" ht="13">
      <c r="B498" s="5"/>
      <c r="E498" s="5"/>
    </row>
    <row r="499" spans="2:5" ht="13">
      <c r="B499" s="5"/>
      <c r="E499" s="5"/>
    </row>
    <row r="500" spans="2:5" ht="13">
      <c r="B500" s="5"/>
      <c r="E500" s="5"/>
    </row>
    <row r="501" spans="2:5" ht="13">
      <c r="B501" s="5"/>
      <c r="E501" s="5"/>
    </row>
    <row r="502" spans="2:5" ht="13">
      <c r="B502" s="5"/>
      <c r="E502" s="5"/>
    </row>
    <row r="503" spans="2:5" ht="13">
      <c r="B503" s="5"/>
      <c r="E503" s="5"/>
    </row>
    <row r="504" spans="2:5" ht="13">
      <c r="B504" s="5"/>
      <c r="E504" s="5"/>
    </row>
    <row r="505" spans="2:5" ht="13">
      <c r="B505" s="5"/>
      <c r="E505" s="5"/>
    </row>
    <row r="506" spans="2:5" ht="13">
      <c r="B506" s="5"/>
      <c r="E506" s="5"/>
    </row>
    <row r="507" spans="2:5" ht="13">
      <c r="B507" s="5"/>
      <c r="E507" s="5"/>
    </row>
    <row r="508" spans="2:5" ht="13">
      <c r="B508" s="5"/>
      <c r="E508" s="5"/>
    </row>
    <row r="509" spans="2:5" ht="13">
      <c r="B509" s="5"/>
      <c r="E509" s="5"/>
    </row>
    <row r="510" spans="2:5" ht="13">
      <c r="B510" s="5"/>
      <c r="E510" s="5"/>
    </row>
    <row r="511" spans="2:5" ht="13">
      <c r="B511" s="5"/>
      <c r="E511" s="5"/>
    </row>
    <row r="512" spans="2:5" ht="13">
      <c r="B512" s="5"/>
      <c r="E512" s="5"/>
    </row>
    <row r="513" spans="2:5" ht="13">
      <c r="B513" s="5"/>
      <c r="E513" s="5"/>
    </row>
    <row r="514" spans="2:5" ht="13">
      <c r="B514" s="5"/>
      <c r="E514" s="5"/>
    </row>
    <row r="515" spans="2:5" ht="13">
      <c r="B515" s="5"/>
      <c r="E515" s="5"/>
    </row>
    <row r="516" spans="2:5" ht="13">
      <c r="B516" s="5"/>
      <c r="E516" s="5"/>
    </row>
    <row r="517" spans="2:5" ht="13">
      <c r="B517" s="5"/>
      <c r="E517" s="5"/>
    </row>
    <row r="518" spans="2:5" ht="13">
      <c r="B518" s="5"/>
      <c r="E518" s="5"/>
    </row>
    <row r="519" spans="2:5" ht="13">
      <c r="B519" s="5"/>
      <c r="E519" s="5"/>
    </row>
    <row r="520" spans="2:5" ht="13">
      <c r="B520" s="5"/>
      <c r="E520" s="5"/>
    </row>
    <row r="521" spans="2:5" ht="13">
      <c r="B521" s="5"/>
      <c r="E521" s="5"/>
    </row>
    <row r="522" spans="2:5" ht="13">
      <c r="B522" s="5"/>
      <c r="E522" s="5"/>
    </row>
    <row r="523" spans="2:5" ht="13">
      <c r="B523" s="5"/>
      <c r="E523" s="5"/>
    </row>
    <row r="524" spans="2:5" ht="13">
      <c r="B524" s="5"/>
      <c r="E524" s="5"/>
    </row>
    <row r="525" spans="2:5" ht="13">
      <c r="B525" s="5"/>
      <c r="E525" s="5"/>
    </row>
    <row r="526" spans="2:5" ht="13">
      <c r="B526" s="5"/>
      <c r="E526" s="5"/>
    </row>
    <row r="527" spans="2:5" ht="13">
      <c r="B527" s="5"/>
      <c r="E527" s="5"/>
    </row>
    <row r="528" spans="2:5" ht="13">
      <c r="B528" s="5"/>
      <c r="E528" s="5"/>
    </row>
    <row r="529" spans="2:5" ht="13">
      <c r="B529" s="5"/>
      <c r="E529" s="5"/>
    </row>
    <row r="530" spans="2:5" ht="13">
      <c r="B530" s="5"/>
      <c r="E530" s="5"/>
    </row>
    <row r="531" spans="2:5" ht="13">
      <c r="B531" s="5"/>
      <c r="E531" s="5"/>
    </row>
    <row r="532" spans="2:5" ht="13">
      <c r="B532" s="5"/>
      <c r="E532" s="5"/>
    </row>
    <row r="533" spans="2:5" ht="13">
      <c r="B533" s="5"/>
      <c r="E533" s="5"/>
    </row>
    <row r="534" spans="2:5" ht="13">
      <c r="B534" s="5"/>
      <c r="E534" s="5"/>
    </row>
    <row r="535" spans="2:5" ht="13">
      <c r="B535" s="5"/>
      <c r="E535" s="5"/>
    </row>
    <row r="536" spans="2:5" ht="13">
      <c r="B536" s="5"/>
      <c r="E536" s="5"/>
    </row>
    <row r="537" spans="2:5" ht="13">
      <c r="B537" s="5"/>
      <c r="E537" s="5"/>
    </row>
    <row r="538" spans="2:5" ht="13">
      <c r="B538" s="5"/>
      <c r="E538" s="5"/>
    </row>
    <row r="539" spans="2:5" ht="13">
      <c r="B539" s="5"/>
      <c r="E539" s="5"/>
    </row>
    <row r="540" spans="2:5" ht="13">
      <c r="B540" s="5"/>
      <c r="E540" s="5"/>
    </row>
    <row r="541" spans="2:5" ht="13">
      <c r="B541" s="5"/>
      <c r="E541" s="5"/>
    </row>
    <row r="542" spans="2:5" ht="13">
      <c r="B542" s="5"/>
      <c r="E542" s="5"/>
    </row>
    <row r="543" spans="2:5" ht="13">
      <c r="B543" s="5"/>
      <c r="E543" s="5"/>
    </row>
    <row r="544" spans="2:5" ht="13">
      <c r="B544" s="5"/>
      <c r="E544" s="5"/>
    </row>
    <row r="545" spans="2:5" ht="13">
      <c r="B545" s="5"/>
      <c r="E545" s="5"/>
    </row>
    <row r="546" spans="2:5" ht="13">
      <c r="B546" s="5"/>
      <c r="E546" s="5"/>
    </row>
    <row r="547" spans="2:5" ht="13">
      <c r="B547" s="5"/>
      <c r="E547" s="5"/>
    </row>
    <row r="548" spans="2:5" ht="13">
      <c r="B548" s="5"/>
      <c r="E548" s="5"/>
    </row>
    <row r="549" spans="2:5" ht="13">
      <c r="B549" s="5"/>
      <c r="E549" s="5"/>
    </row>
    <row r="550" spans="2:5" ht="13">
      <c r="B550" s="5"/>
      <c r="E550" s="5"/>
    </row>
    <row r="551" spans="2:5" ht="13">
      <c r="B551" s="5"/>
      <c r="E551" s="5"/>
    </row>
    <row r="552" spans="2:5" ht="13">
      <c r="B552" s="5"/>
      <c r="E552" s="5"/>
    </row>
    <row r="553" spans="2:5" ht="13">
      <c r="B553" s="5"/>
      <c r="E553" s="5"/>
    </row>
    <row r="554" spans="2:5" ht="13">
      <c r="B554" s="5"/>
      <c r="E554" s="5"/>
    </row>
    <row r="555" spans="2:5" ht="13">
      <c r="B555" s="5"/>
      <c r="E555" s="5"/>
    </row>
    <row r="556" spans="2:5" ht="13">
      <c r="B556" s="5"/>
      <c r="E556" s="5"/>
    </row>
    <row r="557" spans="2:5" ht="13">
      <c r="B557" s="5"/>
      <c r="E557" s="5"/>
    </row>
    <row r="558" spans="2:5" ht="13">
      <c r="B558" s="5"/>
      <c r="E558" s="5"/>
    </row>
    <row r="559" spans="2:5" ht="13">
      <c r="B559" s="5"/>
      <c r="E559" s="5"/>
    </row>
    <row r="560" spans="2:5" ht="13">
      <c r="B560" s="5"/>
      <c r="E560" s="5"/>
    </row>
    <row r="561" spans="2:5" ht="13">
      <c r="B561" s="5"/>
      <c r="E561" s="5"/>
    </row>
    <row r="562" spans="2:5" ht="13">
      <c r="B562" s="5"/>
      <c r="E562" s="5"/>
    </row>
    <row r="563" spans="2:5" ht="13">
      <c r="B563" s="5"/>
      <c r="E563" s="5"/>
    </row>
    <row r="564" spans="2:5" ht="13">
      <c r="B564" s="5"/>
      <c r="E564" s="5"/>
    </row>
    <row r="565" spans="2:5" ht="13">
      <c r="B565" s="5"/>
      <c r="E565" s="5"/>
    </row>
    <row r="566" spans="2:5" ht="13">
      <c r="B566" s="5"/>
      <c r="E566" s="5"/>
    </row>
    <row r="567" spans="2:5" ht="13">
      <c r="B567" s="5"/>
      <c r="E567" s="5"/>
    </row>
    <row r="568" spans="2:5" ht="13">
      <c r="B568" s="5"/>
      <c r="E568" s="5"/>
    </row>
    <row r="569" spans="2:5" ht="13">
      <c r="B569" s="5"/>
      <c r="E569" s="5"/>
    </row>
    <row r="570" spans="2:5" ht="13">
      <c r="B570" s="5"/>
      <c r="E570" s="5"/>
    </row>
    <row r="571" spans="2:5" ht="13">
      <c r="B571" s="5"/>
      <c r="E571" s="5"/>
    </row>
    <row r="572" spans="2:5" ht="13">
      <c r="B572" s="5"/>
      <c r="E572" s="5"/>
    </row>
    <row r="573" spans="2:5" ht="13">
      <c r="B573" s="5"/>
      <c r="E573" s="5"/>
    </row>
    <row r="574" spans="2:5" ht="13">
      <c r="B574" s="5"/>
      <c r="E574" s="5"/>
    </row>
    <row r="575" spans="2:5" ht="13">
      <c r="B575" s="5"/>
      <c r="E575" s="5"/>
    </row>
    <row r="576" spans="2:5" ht="13">
      <c r="B576" s="5"/>
      <c r="E576" s="5"/>
    </row>
    <row r="577" spans="2:5" ht="13">
      <c r="B577" s="5"/>
      <c r="E577" s="5"/>
    </row>
    <row r="578" spans="2:5" ht="13">
      <c r="B578" s="5"/>
      <c r="E578" s="5"/>
    </row>
    <row r="579" spans="2:5" ht="13">
      <c r="B579" s="5"/>
      <c r="E579" s="5"/>
    </row>
    <row r="580" spans="2:5" ht="13">
      <c r="B580" s="5"/>
      <c r="E580" s="5"/>
    </row>
    <row r="581" spans="2:5" ht="13">
      <c r="B581" s="5"/>
      <c r="E581" s="5"/>
    </row>
    <row r="582" spans="2:5" ht="13">
      <c r="B582" s="5"/>
      <c r="E582" s="5"/>
    </row>
    <row r="583" spans="2:5" ht="13">
      <c r="B583" s="5"/>
      <c r="E583" s="5"/>
    </row>
    <row r="584" spans="2:5" ht="13">
      <c r="B584" s="5"/>
      <c r="E584" s="5"/>
    </row>
    <row r="585" spans="2:5" ht="13">
      <c r="B585" s="5"/>
      <c r="E585" s="5"/>
    </row>
    <row r="586" spans="2:5" ht="13">
      <c r="B586" s="5"/>
      <c r="E586" s="5"/>
    </row>
    <row r="587" spans="2:5" ht="13">
      <c r="B587" s="5"/>
      <c r="E587" s="5"/>
    </row>
    <row r="588" spans="2:5" ht="13">
      <c r="B588" s="5"/>
      <c r="E588" s="5"/>
    </row>
    <row r="589" spans="2:5" ht="13">
      <c r="B589" s="5"/>
      <c r="E589" s="5"/>
    </row>
    <row r="590" spans="2:5" ht="13">
      <c r="B590" s="5"/>
      <c r="E590" s="5"/>
    </row>
    <row r="591" spans="2:5" ht="13">
      <c r="B591" s="5"/>
      <c r="E591" s="5"/>
    </row>
    <row r="592" spans="2:5" ht="13">
      <c r="B592" s="5"/>
      <c r="E592" s="5"/>
    </row>
    <row r="593" spans="2:5" ht="13">
      <c r="B593" s="5"/>
      <c r="E593" s="5"/>
    </row>
    <row r="594" spans="2:5" ht="13">
      <c r="B594" s="5"/>
      <c r="E594" s="5"/>
    </row>
    <row r="595" spans="2:5" ht="13">
      <c r="B595" s="5"/>
      <c r="E595" s="5"/>
    </row>
    <row r="596" spans="2:5" ht="13">
      <c r="B596" s="5"/>
      <c r="E596" s="5"/>
    </row>
    <row r="597" spans="2:5" ht="13">
      <c r="B597" s="5"/>
      <c r="E597" s="5"/>
    </row>
    <row r="598" spans="2:5" ht="13">
      <c r="B598" s="5"/>
      <c r="E598" s="5"/>
    </row>
    <row r="599" spans="2:5" ht="13">
      <c r="B599" s="5"/>
      <c r="E599" s="5"/>
    </row>
    <row r="600" spans="2:5" ht="13">
      <c r="B600" s="5"/>
      <c r="E600" s="5"/>
    </row>
    <row r="601" spans="2:5" ht="13">
      <c r="B601" s="5"/>
      <c r="E601" s="5"/>
    </row>
    <row r="602" spans="2:5" ht="13">
      <c r="B602" s="5"/>
      <c r="E602" s="5"/>
    </row>
    <row r="603" spans="2:5" ht="13">
      <c r="B603" s="5"/>
      <c r="E603" s="5"/>
    </row>
    <row r="604" spans="2:5" ht="13">
      <c r="B604" s="5"/>
      <c r="E604" s="5"/>
    </row>
    <row r="605" spans="2:5" ht="13">
      <c r="B605" s="5"/>
      <c r="E605" s="5"/>
    </row>
    <row r="606" spans="2:5" ht="13">
      <c r="B606" s="5"/>
      <c r="E606" s="5"/>
    </row>
    <row r="607" spans="2:5" ht="13">
      <c r="B607" s="5"/>
      <c r="E607" s="5"/>
    </row>
    <row r="608" spans="2:5" ht="13">
      <c r="B608" s="5"/>
      <c r="E608" s="5"/>
    </row>
    <row r="609" spans="2:5" ht="13">
      <c r="B609" s="5"/>
      <c r="E609" s="5"/>
    </row>
    <row r="610" spans="2:5" ht="13">
      <c r="B610" s="5"/>
      <c r="E610" s="5"/>
    </row>
    <row r="611" spans="2:5" ht="13">
      <c r="B611" s="5"/>
      <c r="E611" s="5"/>
    </row>
    <row r="612" spans="2:5" ht="13">
      <c r="B612" s="5"/>
      <c r="E612" s="5"/>
    </row>
    <row r="613" spans="2:5" ht="13">
      <c r="B613" s="5"/>
      <c r="E613" s="5"/>
    </row>
    <row r="614" spans="2:5" ht="13">
      <c r="B614" s="5"/>
      <c r="E614" s="5"/>
    </row>
    <row r="615" spans="2:5" ht="13">
      <c r="B615" s="5"/>
      <c r="E615" s="5"/>
    </row>
    <row r="616" spans="2:5" ht="13">
      <c r="B616" s="5"/>
      <c r="E616" s="5"/>
    </row>
    <row r="617" spans="2:5" ht="13">
      <c r="B617" s="5"/>
      <c r="E617" s="5"/>
    </row>
    <row r="618" spans="2:5" ht="13">
      <c r="B618" s="5"/>
      <c r="E618" s="5"/>
    </row>
    <row r="619" spans="2:5" ht="13">
      <c r="B619" s="5"/>
      <c r="E619" s="5"/>
    </row>
    <row r="620" spans="2:5" ht="13">
      <c r="B620" s="5"/>
      <c r="E620" s="5"/>
    </row>
    <row r="621" spans="2:5" ht="13">
      <c r="B621" s="5"/>
      <c r="E621" s="5"/>
    </row>
    <row r="622" spans="2:5" ht="13">
      <c r="B622" s="5"/>
      <c r="E622" s="5"/>
    </row>
    <row r="623" spans="2:5" ht="13">
      <c r="B623" s="5"/>
      <c r="E623" s="5"/>
    </row>
    <row r="624" spans="2:5" ht="13">
      <c r="B624" s="5"/>
      <c r="E624" s="5"/>
    </row>
    <row r="625" spans="2:5" ht="13">
      <c r="B625" s="5"/>
      <c r="E625" s="5"/>
    </row>
    <row r="626" spans="2:5" ht="13">
      <c r="B626" s="5"/>
      <c r="E626" s="5"/>
    </row>
    <row r="627" spans="2:5" ht="13">
      <c r="B627" s="5"/>
      <c r="E627" s="5"/>
    </row>
    <row r="628" spans="2:5" ht="13">
      <c r="B628" s="5"/>
      <c r="E628" s="5"/>
    </row>
    <row r="629" spans="2:5" ht="13">
      <c r="B629" s="5"/>
      <c r="E629" s="5"/>
    </row>
    <row r="630" spans="2:5" ht="13">
      <c r="B630" s="5"/>
      <c r="E630" s="5"/>
    </row>
    <row r="631" spans="2:5" ht="13">
      <c r="B631" s="5"/>
      <c r="E631" s="5"/>
    </row>
    <row r="632" spans="2:5" ht="13">
      <c r="B632" s="5"/>
      <c r="E632" s="5"/>
    </row>
    <row r="633" spans="2:5" ht="13">
      <c r="B633" s="5"/>
      <c r="E633" s="5"/>
    </row>
    <row r="634" spans="2:5" ht="13">
      <c r="B634" s="5"/>
      <c r="E634" s="5"/>
    </row>
    <row r="635" spans="2:5" ht="13">
      <c r="B635" s="5"/>
      <c r="E635" s="5"/>
    </row>
    <row r="636" spans="2:5" ht="13">
      <c r="B636" s="5"/>
      <c r="E636" s="5"/>
    </row>
    <row r="637" spans="2:5" ht="13">
      <c r="B637" s="5"/>
      <c r="E637" s="5"/>
    </row>
    <row r="638" spans="2:5" ht="13">
      <c r="B638" s="5"/>
      <c r="E638" s="5"/>
    </row>
    <row r="639" spans="2:5" ht="13">
      <c r="B639" s="5"/>
      <c r="E639" s="5"/>
    </row>
    <row r="640" spans="2:5" ht="13">
      <c r="B640" s="5"/>
      <c r="E640" s="5"/>
    </row>
    <row r="641" spans="2:5" ht="13">
      <c r="B641" s="5"/>
      <c r="E641" s="5"/>
    </row>
    <row r="642" spans="2:5" ht="13">
      <c r="B642" s="5"/>
      <c r="E642" s="5"/>
    </row>
    <row r="643" spans="2:5" ht="13">
      <c r="B643" s="5"/>
      <c r="E643" s="5"/>
    </row>
    <row r="644" spans="2:5" ht="13">
      <c r="B644" s="5"/>
      <c r="E644" s="5"/>
    </row>
    <row r="645" spans="2:5" ht="13">
      <c r="B645" s="5"/>
      <c r="E645" s="5"/>
    </row>
    <row r="646" spans="2:5" ht="13">
      <c r="B646" s="5"/>
      <c r="E646" s="5"/>
    </row>
    <row r="647" spans="2:5" ht="13">
      <c r="B647" s="5"/>
      <c r="E647" s="5"/>
    </row>
    <row r="648" spans="2:5" ht="13">
      <c r="B648" s="5"/>
      <c r="E648" s="5"/>
    </row>
    <row r="649" spans="2:5" ht="13">
      <c r="B649" s="5"/>
      <c r="E649" s="5"/>
    </row>
    <row r="650" spans="2:5" ht="13">
      <c r="B650" s="5"/>
      <c r="E650" s="5"/>
    </row>
    <row r="651" spans="2:5" ht="13">
      <c r="B651" s="5"/>
      <c r="E651" s="5"/>
    </row>
    <row r="652" spans="2:5" ht="13">
      <c r="B652" s="5"/>
      <c r="E652" s="5"/>
    </row>
    <row r="653" spans="2:5" ht="13">
      <c r="B653" s="5"/>
      <c r="E653" s="5"/>
    </row>
    <row r="654" spans="2:5" ht="13">
      <c r="B654" s="5"/>
      <c r="E654" s="5"/>
    </row>
    <row r="655" spans="2:5" ht="13">
      <c r="B655" s="5"/>
      <c r="E655" s="5"/>
    </row>
    <row r="656" spans="2:5" ht="13">
      <c r="B656" s="5"/>
      <c r="E656" s="5"/>
    </row>
    <row r="657" spans="2:5" ht="13">
      <c r="B657" s="5"/>
      <c r="E657" s="5"/>
    </row>
    <row r="658" spans="2:5" ht="13">
      <c r="B658" s="5"/>
      <c r="E658" s="5"/>
    </row>
    <row r="659" spans="2:5" ht="13">
      <c r="B659" s="5"/>
      <c r="E659" s="5"/>
    </row>
    <row r="660" spans="2:5" ht="13">
      <c r="B660" s="5"/>
      <c r="E660" s="5"/>
    </row>
    <row r="661" spans="2:5" ht="13">
      <c r="B661" s="5"/>
      <c r="E661" s="5"/>
    </row>
    <row r="662" spans="2:5" ht="13">
      <c r="B662" s="5"/>
      <c r="E662" s="5"/>
    </row>
    <row r="663" spans="2:5" ht="13">
      <c r="B663" s="5"/>
      <c r="E663" s="5"/>
    </row>
    <row r="664" spans="2:5" ht="13">
      <c r="B664" s="5"/>
      <c r="E664" s="5"/>
    </row>
    <row r="665" spans="2:5" ht="13">
      <c r="B665" s="5"/>
      <c r="E665" s="5"/>
    </row>
    <row r="666" spans="2:5" ht="13">
      <c r="B666" s="5"/>
      <c r="E666" s="5"/>
    </row>
    <row r="667" spans="2:5" ht="13">
      <c r="B667" s="5"/>
      <c r="E667" s="5"/>
    </row>
    <row r="668" spans="2:5" ht="13">
      <c r="B668" s="5"/>
      <c r="E668" s="5"/>
    </row>
    <row r="669" spans="2:5" ht="13">
      <c r="B669" s="5"/>
      <c r="E669" s="5"/>
    </row>
    <row r="670" spans="2:5" ht="13">
      <c r="B670" s="5"/>
      <c r="E670" s="5"/>
    </row>
    <row r="671" spans="2:5" ht="13">
      <c r="B671" s="5"/>
      <c r="E671" s="5"/>
    </row>
    <row r="672" spans="2:5" ht="13">
      <c r="B672" s="5"/>
      <c r="E672" s="5"/>
    </row>
    <row r="673" spans="2:5" ht="13">
      <c r="B673" s="5"/>
      <c r="E673" s="5"/>
    </row>
    <row r="674" spans="2:5" ht="13">
      <c r="B674" s="5"/>
      <c r="E674" s="5"/>
    </row>
    <row r="675" spans="2:5" ht="13">
      <c r="B675" s="5"/>
      <c r="E675" s="5"/>
    </row>
    <row r="676" spans="2:5" ht="13">
      <c r="B676" s="5"/>
      <c r="E676" s="5"/>
    </row>
    <row r="677" spans="2:5" ht="13">
      <c r="B677" s="5"/>
      <c r="E677" s="5"/>
    </row>
    <row r="678" spans="2:5" ht="13">
      <c r="B678" s="5"/>
      <c r="E678" s="5"/>
    </row>
    <row r="679" spans="2:5" ht="13">
      <c r="B679" s="5"/>
      <c r="E679" s="5"/>
    </row>
    <row r="680" spans="2:5" ht="13">
      <c r="B680" s="5"/>
      <c r="E680" s="5"/>
    </row>
    <row r="681" spans="2:5" ht="13">
      <c r="B681" s="5"/>
      <c r="E681" s="5"/>
    </row>
    <row r="682" spans="2:5" ht="13">
      <c r="B682" s="5"/>
      <c r="E682" s="5"/>
    </row>
    <row r="683" spans="2:5" ht="13">
      <c r="B683" s="5"/>
      <c r="E683" s="5"/>
    </row>
    <row r="684" spans="2:5" ht="13">
      <c r="B684" s="5"/>
      <c r="E684" s="5"/>
    </row>
    <row r="685" spans="2:5" ht="13">
      <c r="B685" s="5"/>
      <c r="E685" s="5"/>
    </row>
    <row r="686" spans="2:5" ht="13">
      <c r="B686" s="5"/>
      <c r="E686" s="5"/>
    </row>
    <row r="687" spans="2:5" ht="13">
      <c r="B687" s="5"/>
      <c r="E687" s="5"/>
    </row>
    <row r="688" spans="2:5" ht="13">
      <c r="B688" s="5"/>
      <c r="E688" s="5"/>
    </row>
    <row r="689" spans="2:5" ht="13">
      <c r="B689" s="5"/>
      <c r="E689" s="5"/>
    </row>
    <row r="690" spans="2:5" ht="13">
      <c r="B690" s="5"/>
      <c r="E690" s="5"/>
    </row>
    <row r="691" spans="2:5" ht="13">
      <c r="B691" s="5"/>
      <c r="E691" s="5"/>
    </row>
    <row r="692" spans="2:5" ht="13">
      <c r="B692" s="5"/>
      <c r="E692" s="5"/>
    </row>
    <row r="693" spans="2:5" ht="13">
      <c r="B693" s="5"/>
      <c r="E693" s="5"/>
    </row>
    <row r="694" spans="2:5" ht="13">
      <c r="B694" s="5"/>
      <c r="E694" s="5"/>
    </row>
    <row r="695" spans="2:5" ht="13">
      <c r="B695" s="5"/>
      <c r="E695" s="5"/>
    </row>
    <row r="696" spans="2:5" ht="13">
      <c r="B696" s="5"/>
      <c r="E696" s="5"/>
    </row>
    <row r="697" spans="2:5" ht="13">
      <c r="B697" s="5"/>
      <c r="E697" s="5"/>
    </row>
    <row r="698" spans="2:5" ht="13">
      <c r="B698" s="5"/>
      <c r="E698" s="5"/>
    </row>
    <row r="699" spans="2:5" ht="13">
      <c r="B699" s="5"/>
      <c r="E699" s="5"/>
    </row>
    <row r="700" spans="2:5" ht="13">
      <c r="B700" s="5"/>
      <c r="E700" s="5"/>
    </row>
    <row r="701" spans="2:5" ht="13">
      <c r="B701" s="5"/>
      <c r="E701" s="5"/>
    </row>
    <row r="702" spans="2:5" ht="13">
      <c r="B702" s="5"/>
      <c r="E702" s="5"/>
    </row>
    <row r="703" spans="2:5" ht="13">
      <c r="B703" s="5"/>
      <c r="E703" s="5"/>
    </row>
    <row r="704" spans="2:5" ht="13">
      <c r="B704" s="5"/>
      <c r="E704" s="5"/>
    </row>
    <row r="705" spans="2:5" ht="13">
      <c r="B705" s="5"/>
      <c r="E705" s="5"/>
    </row>
    <row r="706" spans="2:5" ht="13">
      <c r="B706" s="5"/>
      <c r="E706" s="5"/>
    </row>
    <row r="707" spans="2:5" ht="13">
      <c r="B707" s="5"/>
      <c r="E707" s="5"/>
    </row>
    <row r="708" spans="2:5" ht="13">
      <c r="B708" s="5"/>
      <c r="E708" s="5"/>
    </row>
    <row r="709" spans="2:5" ht="13">
      <c r="B709" s="5"/>
      <c r="E709" s="5"/>
    </row>
    <row r="710" spans="2:5" ht="13">
      <c r="B710" s="5"/>
      <c r="E710" s="5"/>
    </row>
    <row r="711" spans="2:5" ht="13">
      <c r="B711" s="5"/>
      <c r="E711" s="5"/>
    </row>
    <row r="712" spans="2:5" ht="13">
      <c r="B712" s="5"/>
      <c r="E712" s="5"/>
    </row>
    <row r="713" spans="2:5" ht="13">
      <c r="B713" s="5"/>
      <c r="E713" s="5"/>
    </row>
    <row r="714" spans="2:5" ht="13">
      <c r="B714" s="5"/>
      <c r="E714" s="5"/>
    </row>
    <row r="715" spans="2:5" ht="13">
      <c r="B715" s="5"/>
      <c r="E715" s="5"/>
    </row>
    <row r="716" spans="2:5" ht="13">
      <c r="B716" s="5"/>
      <c r="E716" s="5"/>
    </row>
    <row r="717" spans="2:5" ht="13">
      <c r="B717" s="5"/>
      <c r="E717" s="5"/>
    </row>
    <row r="718" spans="2:5" ht="13">
      <c r="B718" s="5"/>
      <c r="E718" s="5"/>
    </row>
    <row r="719" spans="2:5" ht="13">
      <c r="B719" s="5"/>
      <c r="E719" s="5"/>
    </row>
    <row r="720" spans="2:5" ht="13">
      <c r="B720" s="5"/>
      <c r="E720" s="5"/>
    </row>
    <row r="721" spans="2:5" ht="13">
      <c r="B721" s="5"/>
      <c r="E721" s="5"/>
    </row>
    <row r="722" spans="2:5" ht="13">
      <c r="B722" s="5"/>
      <c r="E722" s="5"/>
    </row>
    <row r="723" spans="2:5" ht="13">
      <c r="B723" s="5"/>
      <c r="E723" s="5"/>
    </row>
    <row r="724" spans="2:5" ht="13">
      <c r="B724" s="5"/>
      <c r="E724" s="5"/>
    </row>
    <row r="725" spans="2:5" ht="13">
      <c r="B725" s="5"/>
      <c r="E725" s="5"/>
    </row>
    <row r="726" spans="2:5" ht="13">
      <c r="B726" s="5"/>
      <c r="E726" s="5"/>
    </row>
    <row r="727" spans="2:5" ht="13">
      <c r="B727" s="5"/>
      <c r="E727" s="5"/>
    </row>
    <row r="728" spans="2:5" ht="13">
      <c r="B728" s="5"/>
      <c r="E728" s="5"/>
    </row>
    <row r="729" spans="2:5" ht="13">
      <c r="B729" s="5"/>
      <c r="E729" s="5"/>
    </row>
    <row r="730" spans="2:5" ht="13">
      <c r="B730" s="5"/>
      <c r="E730" s="5"/>
    </row>
    <row r="731" spans="2:5" ht="13">
      <c r="B731" s="5"/>
      <c r="E731" s="5"/>
    </row>
    <row r="732" spans="2:5" ht="13">
      <c r="B732" s="5"/>
      <c r="E732" s="5"/>
    </row>
    <row r="733" spans="2:5" ht="13">
      <c r="B733" s="5"/>
      <c r="E733" s="5"/>
    </row>
    <row r="734" spans="2:5" ht="13">
      <c r="B734" s="5"/>
      <c r="E734" s="5"/>
    </row>
    <row r="735" spans="2:5" ht="13">
      <c r="B735" s="5"/>
      <c r="E735" s="5"/>
    </row>
    <row r="736" spans="2:5" ht="13">
      <c r="B736" s="5"/>
      <c r="E736" s="5"/>
    </row>
    <row r="737" spans="2:5" ht="13">
      <c r="B737" s="5"/>
      <c r="E737" s="5"/>
    </row>
    <row r="738" spans="2:5" ht="13">
      <c r="B738" s="5"/>
      <c r="E738" s="5"/>
    </row>
    <row r="739" spans="2:5" ht="13">
      <c r="B739" s="5"/>
      <c r="E739" s="5"/>
    </row>
    <row r="740" spans="2:5" ht="13">
      <c r="B740" s="5"/>
      <c r="E740" s="5"/>
    </row>
    <row r="741" spans="2:5" ht="13">
      <c r="B741" s="5"/>
      <c r="E741" s="5"/>
    </row>
    <row r="742" spans="2:5" ht="13">
      <c r="B742" s="5"/>
      <c r="E742" s="5"/>
    </row>
    <row r="743" spans="2:5" ht="13">
      <c r="B743" s="5"/>
      <c r="E743" s="5"/>
    </row>
    <row r="744" spans="2:5" ht="13">
      <c r="B744" s="5"/>
      <c r="E744" s="5"/>
    </row>
    <row r="745" spans="2:5" ht="13">
      <c r="B745" s="5"/>
      <c r="E745" s="5"/>
    </row>
    <row r="746" spans="2:5" ht="13">
      <c r="B746" s="5"/>
      <c r="E746" s="5"/>
    </row>
    <row r="747" spans="2:5" ht="13">
      <c r="B747" s="5"/>
      <c r="E747" s="5"/>
    </row>
    <row r="748" spans="2:5" ht="13">
      <c r="B748" s="5"/>
      <c r="E748" s="5"/>
    </row>
    <row r="749" spans="2:5" ht="13">
      <c r="B749" s="5"/>
      <c r="E749" s="5"/>
    </row>
    <row r="750" spans="2:5" ht="13">
      <c r="B750" s="5"/>
      <c r="E750" s="5"/>
    </row>
    <row r="751" spans="2:5" ht="13">
      <c r="B751" s="5"/>
      <c r="E751" s="5"/>
    </row>
    <row r="752" spans="2:5" ht="13">
      <c r="B752" s="5"/>
      <c r="E752" s="5"/>
    </row>
    <row r="753" spans="2:5" ht="13">
      <c r="B753" s="5"/>
      <c r="E753" s="5"/>
    </row>
    <row r="754" spans="2:5" ht="13">
      <c r="B754" s="5"/>
      <c r="E754" s="5"/>
    </row>
    <row r="755" spans="2:5" ht="13">
      <c r="B755" s="5"/>
      <c r="E755" s="5"/>
    </row>
    <row r="756" spans="2:5" ht="13">
      <c r="B756" s="5"/>
      <c r="E756" s="5"/>
    </row>
    <row r="757" spans="2:5" ht="13">
      <c r="B757" s="5"/>
      <c r="E757" s="5"/>
    </row>
    <row r="758" spans="2:5" ht="13">
      <c r="B758" s="5"/>
      <c r="E758" s="5"/>
    </row>
    <row r="759" spans="2:5" ht="13">
      <c r="B759" s="5"/>
      <c r="E759" s="5"/>
    </row>
    <row r="760" spans="2:5" ht="13">
      <c r="B760" s="5"/>
      <c r="E760" s="5"/>
    </row>
    <row r="761" spans="2:5" ht="13">
      <c r="B761" s="5"/>
      <c r="E761" s="5"/>
    </row>
    <row r="762" spans="2:5" ht="13">
      <c r="B762" s="5"/>
      <c r="E762" s="5"/>
    </row>
    <row r="763" spans="2:5" ht="13">
      <c r="B763" s="5"/>
      <c r="E763" s="5"/>
    </row>
    <row r="764" spans="2:5" ht="13">
      <c r="B764" s="5"/>
      <c r="E764" s="5"/>
    </row>
    <row r="765" spans="2:5" ht="13">
      <c r="B765" s="5"/>
      <c r="E765" s="5"/>
    </row>
    <row r="766" spans="2:5" ht="13">
      <c r="B766" s="5"/>
      <c r="E766" s="5"/>
    </row>
    <row r="767" spans="2:5" ht="13">
      <c r="B767" s="5"/>
      <c r="E767" s="5"/>
    </row>
    <row r="768" spans="2:5" ht="13">
      <c r="B768" s="5"/>
      <c r="E768" s="5"/>
    </row>
    <row r="769" spans="2:5" ht="13">
      <c r="B769" s="5"/>
      <c r="E769" s="5"/>
    </row>
    <row r="770" spans="2:5" ht="13">
      <c r="B770" s="5"/>
      <c r="E770" s="5"/>
    </row>
    <row r="771" spans="2:5" ht="13">
      <c r="B771" s="5"/>
      <c r="E771" s="5"/>
    </row>
    <row r="772" spans="2:5" ht="13">
      <c r="B772" s="5"/>
      <c r="E772" s="5"/>
    </row>
    <row r="773" spans="2:5" ht="13">
      <c r="B773" s="5"/>
      <c r="E773" s="5"/>
    </row>
    <row r="774" spans="2:5" ht="13">
      <c r="B774" s="5"/>
      <c r="E774" s="5"/>
    </row>
    <row r="775" spans="2:5" ht="13">
      <c r="B775" s="5"/>
      <c r="E775" s="5"/>
    </row>
    <row r="776" spans="2:5" ht="13">
      <c r="B776" s="5"/>
      <c r="E776" s="5"/>
    </row>
    <row r="777" spans="2:5" ht="13">
      <c r="B777" s="5"/>
      <c r="E777" s="5"/>
    </row>
    <row r="778" spans="2:5" ht="13">
      <c r="B778" s="5"/>
      <c r="E778" s="5"/>
    </row>
    <row r="779" spans="2:5" ht="13">
      <c r="B779" s="5"/>
      <c r="E779" s="5"/>
    </row>
    <row r="780" spans="2:5" ht="13">
      <c r="B780" s="5"/>
      <c r="E780" s="5"/>
    </row>
    <row r="781" spans="2:5" ht="13">
      <c r="B781" s="5"/>
      <c r="E781" s="5"/>
    </row>
    <row r="782" spans="2:5" ht="13">
      <c r="B782" s="5"/>
      <c r="E782" s="5"/>
    </row>
    <row r="783" spans="2:5" ht="13">
      <c r="B783" s="5"/>
      <c r="E783" s="5"/>
    </row>
    <row r="784" spans="2:5" ht="13">
      <c r="B784" s="5"/>
      <c r="E784" s="5"/>
    </row>
    <row r="785" spans="2:5" ht="13">
      <c r="B785" s="5"/>
      <c r="E785" s="5"/>
    </row>
    <row r="786" spans="2:5" ht="13">
      <c r="B786" s="5"/>
      <c r="E786" s="5"/>
    </row>
    <row r="787" spans="2:5" ht="13">
      <c r="B787" s="5"/>
      <c r="E787" s="5"/>
    </row>
    <row r="788" spans="2:5" ht="13">
      <c r="B788" s="5"/>
      <c r="E788" s="5"/>
    </row>
    <row r="789" spans="2:5" ht="13">
      <c r="B789" s="5"/>
      <c r="E789" s="5"/>
    </row>
    <row r="790" spans="2:5" ht="13">
      <c r="B790" s="5"/>
      <c r="E790" s="5"/>
    </row>
    <row r="791" spans="2:5" ht="13">
      <c r="B791" s="5"/>
      <c r="E791" s="5"/>
    </row>
    <row r="792" spans="2:5" ht="13">
      <c r="B792" s="5"/>
      <c r="E792" s="5"/>
    </row>
    <row r="793" spans="2:5" ht="13">
      <c r="B793" s="5"/>
      <c r="E793" s="5"/>
    </row>
    <row r="794" spans="2:5" ht="13">
      <c r="B794" s="5"/>
      <c r="E794" s="5"/>
    </row>
    <row r="795" spans="2:5" ht="13">
      <c r="B795" s="5"/>
      <c r="E795" s="5"/>
    </row>
    <row r="796" spans="2:5" ht="13">
      <c r="B796" s="5"/>
      <c r="E796" s="5"/>
    </row>
    <row r="797" spans="2:5" ht="13">
      <c r="B797" s="5"/>
      <c r="E797" s="5"/>
    </row>
    <row r="798" spans="2:5" ht="13">
      <c r="B798" s="5"/>
      <c r="E798" s="5"/>
    </row>
    <row r="799" spans="2:5" ht="13">
      <c r="B799" s="5"/>
      <c r="E799" s="5"/>
    </row>
    <row r="800" spans="2:5" ht="13">
      <c r="B800" s="5"/>
      <c r="E800" s="5"/>
    </row>
    <row r="801" spans="2:5" ht="13">
      <c r="B801" s="5"/>
      <c r="E801" s="5"/>
    </row>
    <row r="802" spans="2:5" ht="13">
      <c r="B802" s="5"/>
      <c r="E802" s="5"/>
    </row>
    <row r="803" spans="2:5" ht="13">
      <c r="B803" s="5"/>
      <c r="E803" s="5"/>
    </row>
    <row r="804" spans="2:5" ht="13">
      <c r="B804" s="5"/>
      <c r="E804" s="5"/>
    </row>
    <row r="805" spans="2:5" ht="13">
      <c r="B805" s="5"/>
      <c r="E805" s="5"/>
    </row>
    <row r="806" spans="2:5" ht="13">
      <c r="B806" s="5"/>
      <c r="E806" s="5"/>
    </row>
    <row r="807" spans="2:5" ht="13">
      <c r="B807" s="5"/>
      <c r="E807" s="5"/>
    </row>
    <row r="808" spans="2:5" ht="13">
      <c r="B808" s="5"/>
      <c r="E808" s="5"/>
    </row>
    <row r="809" spans="2:5" ht="13">
      <c r="B809" s="5"/>
      <c r="E809" s="5"/>
    </row>
    <row r="810" spans="2:5" ht="13">
      <c r="B810" s="5"/>
      <c r="E810" s="5"/>
    </row>
    <row r="811" spans="2:5" ht="13">
      <c r="B811" s="5"/>
      <c r="E811" s="5"/>
    </row>
    <row r="812" spans="2:5" ht="13">
      <c r="B812" s="5"/>
      <c r="E812" s="5"/>
    </row>
    <row r="813" spans="2:5" ht="13">
      <c r="B813" s="5"/>
      <c r="E813" s="5"/>
    </row>
    <row r="814" spans="2:5" ht="13">
      <c r="B814" s="5"/>
      <c r="E814" s="5"/>
    </row>
    <row r="815" spans="2:5" ht="13">
      <c r="B815" s="5"/>
      <c r="E815" s="5"/>
    </row>
    <row r="816" spans="2:5" ht="13">
      <c r="B816" s="5"/>
      <c r="E816" s="5"/>
    </row>
    <row r="817" spans="2:5" ht="13">
      <c r="B817" s="5"/>
      <c r="E817" s="5"/>
    </row>
    <row r="818" spans="2:5" ht="13">
      <c r="B818" s="5"/>
      <c r="E818" s="5"/>
    </row>
    <row r="819" spans="2:5" ht="13">
      <c r="B819" s="5"/>
      <c r="E819" s="5"/>
    </row>
    <row r="820" spans="2:5" ht="13">
      <c r="B820" s="5"/>
      <c r="E820" s="5"/>
    </row>
    <row r="821" spans="2:5" ht="13">
      <c r="B821" s="5"/>
      <c r="E821" s="5"/>
    </row>
    <row r="822" spans="2:5" ht="13">
      <c r="B822" s="5"/>
      <c r="E822" s="5"/>
    </row>
    <row r="823" spans="2:5" ht="13">
      <c r="B823" s="5"/>
      <c r="E823" s="5"/>
    </row>
    <row r="824" spans="2:5" ht="13">
      <c r="B824" s="5"/>
      <c r="E824" s="5"/>
    </row>
    <row r="825" spans="2:5" ht="13">
      <c r="B825" s="5"/>
      <c r="E825" s="5"/>
    </row>
    <row r="826" spans="2:5" ht="13">
      <c r="B826" s="5"/>
      <c r="E826" s="5"/>
    </row>
    <row r="827" spans="2:5" ht="13">
      <c r="B827" s="5"/>
      <c r="E827" s="5"/>
    </row>
    <row r="828" spans="2:5" ht="13">
      <c r="B828" s="5"/>
      <c r="E828" s="5"/>
    </row>
    <row r="829" spans="2:5" ht="13">
      <c r="B829" s="5"/>
      <c r="E829" s="5"/>
    </row>
    <row r="830" spans="2:5" ht="13">
      <c r="B830" s="5"/>
      <c r="E830" s="5"/>
    </row>
    <row r="831" spans="2:5" ht="13">
      <c r="B831" s="5"/>
      <c r="E831" s="5"/>
    </row>
    <row r="832" spans="2:5" ht="13">
      <c r="B832" s="5"/>
      <c r="E832" s="5"/>
    </row>
    <row r="833" spans="2:5" ht="13">
      <c r="B833" s="5"/>
      <c r="E833" s="5"/>
    </row>
    <row r="834" spans="2:5" ht="13">
      <c r="B834" s="5"/>
      <c r="E834" s="5"/>
    </row>
    <row r="835" spans="2:5" ht="13">
      <c r="B835" s="5"/>
      <c r="E835" s="5"/>
    </row>
    <row r="836" spans="2:5" ht="13">
      <c r="B836" s="5"/>
      <c r="E836" s="5"/>
    </row>
    <row r="837" spans="2:5" ht="13">
      <c r="B837" s="5"/>
      <c r="E837" s="5"/>
    </row>
    <row r="838" spans="2:5" ht="13">
      <c r="B838" s="5"/>
      <c r="E838" s="5"/>
    </row>
    <row r="839" spans="2:5" ht="13">
      <c r="B839" s="5"/>
      <c r="E839" s="5"/>
    </row>
    <row r="840" spans="2:5" ht="13">
      <c r="B840" s="5"/>
      <c r="E840" s="5"/>
    </row>
    <row r="841" spans="2:5" ht="13">
      <c r="B841" s="5"/>
      <c r="E841" s="5"/>
    </row>
    <row r="842" spans="2:5" ht="13">
      <c r="B842" s="5"/>
      <c r="E842" s="5"/>
    </row>
    <row r="843" spans="2:5" ht="13">
      <c r="B843" s="5"/>
      <c r="E843" s="5"/>
    </row>
    <row r="844" spans="2:5" ht="13">
      <c r="B844" s="5"/>
      <c r="E844" s="5"/>
    </row>
    <row r="845" spans="2:5" ht="13">
      <c r="B845" s="5"/>
      <c r="E845" s="5"/>
    </row>
    <row r="846" spans="2:5" ht="13">
      <c r="B846" s="5"/>
      <c r="E846" s="5"/>
    </row>
    <row r="847" spans="2:5" ht="13">
      <c r="B847" s="5"/>
      <c r="E847" s="5"/>
    </row>
    <row r="848" spans="2:5" ht="13">
      <c r="B848" s="5"/>
      <c r="E848" s="5"/>
    </row>
    <row r="849" spans="2:5" ht="13">
      <c r="B849" s="5"/>
      <c r="E849" s="5"/>
    </row>
    <row r="850" spans="2:5" ht="13">
      <c r="B850" s="5"/>
      <c r="E850" s="5"/>
    </row>
    <row r="851" spans="2:5" ht="13">
      <c r="B851" s="5"/>
      <c r="E851" s="5"/>
    </row>
    <row r="852" spans="2:5" ht="13">
      <c r="B852" s="5"/>
      <c r="E852" s="5"/>
    </row>
    <row r="853" spans="2:5" ht="13">
      <c r="B853" s="5"/>
      <c r="E853" s="5"/>
    </row>
    <row r="854" spans="2:5" ht="13">
      <c r="B854" s="5"/>
      <c r="E854" s="5"/>
    </row>
    <row r="855" spans="2:5" ht="13">
      <c r="B855" s="5"/>
      <c r="E855" s="5"/>
    </row>
    <row r="856" spans="2:5" ht="13">
      <c r="B856" s="5"/>
      <c r="E856" s="5"/>
    </row>
    <row r="857" spans="2:5" ht="13">
      <c r="B857" s="5"/>
      <c r="E857" s="5"/>
    </row>
    <row r="858" spans="2:5" ht="13">
      <c r="B858" s="5"/>
      <c r="E858" s="5"/>
    </row>
    <row r="859" spans="2:5" ht="13">
      <c r="B859" s="5"/>
      <c r="E859" s="5"/>
    </row>
    <row r="860" spans="2:5" ht="13">
      <c r="B860" s="5"/>
      <c r="E860" s="5"/>
    </row>
    <row r="861" spans="2:5" ht="13">
      <c r="B861" s="5"/>
      <c r="E861" s="5"/>
    </row>
    <row r="862" spans="2:5" ht="13">
      <c r="B862" s="5"/>
      <c r="E862" s="5"/>
    </row>
    <row r="863" spans="2:5" ht="13">
      <c r="B863" s="5"/>
      <c r="E863" s="5"/>
    </row>
    <row r="864" spans="2:5" ht="13">
      <c r="B864" s="5"/>
      <c r="E864" s="5"/>
    </row>
    <row r="865" spans="2:5" ht="13">
      <c r="B865" s="5"/>
      <c r="E865" s="5"/>
    </row>
    <row r="866" spans="2:5" ht="13">
      <c r="B866" s="5"/>
      <c r="E866" s="5"/>
    </row>
    <row r="867" spans="2:5" ht="13">
      <c r="B867" s="5"/>
      <c r="E867" s="5"/>
    </row>
    <row r="868" spans="2:5" ht="13">
      <c r="B868" s="5"/>
      <c r="E868" s="5"/>
    </row>
    <row r="869" spans="2:5" ht="13">
      <c r="B869" s="5"/>
      <c r="E869" s="5"/>
    </row>
    <row r="870" spans="2:5" ht="13">
      <c r="B870" s="5"/>
      <c r="E870" s="5"/>
    </row>
    <row r="871" spans="2:5" ht="13">
      <c r="B871" s="5"/>
      <c r="E871" s="5"/>
    </row>
    <row r="872" spans="2:5" ht="13">
      <c r="B872" s="5"/>
      <c r="E872" s="5"/>
    </row>
    <row r="873" spans="2:5" ht="13">
      <c r="B873" s="5"/>
      <c r="E873" s="5"/>
    </row>
    <row r="874" spans="2:5" ht="13">
      <c r="B874" s="5"/>
      <c r="E874" s="5"/>
    </row>
    <row r="875" spans="2:5" ht="13">
      <c r="B875" s="5"/>
      <c r="E875" s="5"/>
    </row>
    <row r="876" spans="2:5" ht="13">
      <c r="B876" s="5"/>
      <c r="E876" s="5"/>
    </row>
    <row r="877" spans="2:5" ht="13">
      <c r="B877" s="5"/>
      <c r="E877" s="5"/>
    </row>
    <row r="878" spans="2:5" ht="13">
      <c r="B878" s="5"/>
      <c r="E878" s="5"/>
    </row>
    <row r="879" spans="2:5" ht="13">
      <c r="B879" s="5"/>
      <c r="E879" s="5"/>
    </row>
    <row r="880" spans="2:5" ht="13">
      <c r="B880" s="5"/>
      <c r="E880" s="5"/>
    </row>
    <row r="881" spans="2:5" ht="13">
      <c r="B881" s="5"/>
      <c r="E881" s="5"/>
    </row>
    <row r="882" spans="2:5" ht="13">
      <c r="B882" s="5"/>
      <c r="E882" s="5"/>
    </row>
    <row r="883" spans="2:5" ht="13">
      <c r="B883" s="5"/>
      <c r="E883" s="5"/>
    </row>
    <row r="884" spans="2:5" ht="13">
      <c r="B884" s="5"/>
      <c r="E884" s="5"/>
    </row>
    <row r="885" spans="2:5" ht="13">
      <c r="B885" s="5"/>
      <c r="E885" s="5"/>
    </row>
    <row r="886" spans="2:5" ht="13">
      <c r="B886" s="5"/>
      <c r="E886" s="5"/>
    </row>
    <row r="887" spans="2:5" ht="13">
      <c r="B887" s="5"/>
      <c r="E887" s="5"/>
    </row>
    <row r="888" spans="2:5" ht="13">
      <c r="B888" s="5"/>
      <c r="E888" s="5"/>
    </row>
    <row r="889" spans="2:5" ht="13">
      <c r="B889" s="5"/>
      <c r="E889" s="5"/>
    </row>
    <row r="890" spans="2:5" ht="13">
      <c r="B890" s="5"/>
      <c r="E890" s="5"/>
    </row>
    <row r="891" spans="2:5" ht="13">
      <c r="B891" s="5"/>
      <c r="E891" s="5"/>
    </row>
    <row r="892" spans="2:5" ht="13">
      <c r="B892" s="5"/>
      <c r="E892" s="5"/>
    </row>
    <row r="893" spans="2:5" ht="13">
      <c r="B893" s="5"/>
      <c r="E893" s="5"/>
    </row>
    <row r="894" spans="2:5" ht="13">
      <c r="B894" s="5"/>
      <c r="E894" s="5"/>
    </row>
    <row r="895" spans="2:5" ht="13">
      <c r="B895" s="5"/>
      <c r="E895" s="5"/>
    </row>
    <row r="896" spans="2:5" ht="13">
      <c r="B896" s="5"/>
      <c r="E896" s="5"/>
    </row>
    <row r="897" spans="2:5" ht="13">
      <c r="B897" s="5"/>
      <c r="E897" s="5"/>
    </row>
    <row r="898" spans="2:5" ht="13">
      <c r="B898" s="5"/>
      <c r="E898" s="5"/>
    </row>
    <row r="899" spans="2:5" ht="13">
      <c r="B899" s="5"/>
      <c r="E899" s="5"/>
    </row>
    <row r="900" spans="2:5" ht="13">
      <c r="B900" s="5"/>
      <c r="E900" s="5"/>
    </row>
    <row r="901" spans="2:5" ht="13">
      <c r="B901" s="5"/>
      <c r="E901" s="5"/>
    </row>
    <row r="902" spans="2:5" ht="13">
      <c r="B902" s="5"/>
      <c r="E902" s="5"/>
    </row>
    <row r="903" spans="2:5" ht="13">
      <c r="B903" s="5"/>
      <c r="E903" s="5"/>
    </row>
    <row r="904" spans="2:5" ht="13">
      <c r="B904" s="5"/>
      <c r="E904" s="5"/>
    </row>
    <row r="905" spans="2:5" ht="13">
      <c r="B905" s="5"/>
      <c r="E905" s="5"/>
    </row>
    <row r="906" spans="2:5" ht="13">
      <c r="B906" s="5"/>
      <c r="E906" s="5"/>
    </row>
    <row r="907" spans="2:5" ht="13">
      <c r="B907" s="5"/>
      <c r="E907" s="5"/>
    </row>
    <row r="908" spans="2:5" ht="13">
      <c r="B908" s="5"/>
      <c r="E908" s="5"/>
    </row>
    <row r="909" spans="2:5" ht="13">
      <c r="B909" s="5"/>
      <c r="E909" s="5"/>
    </row>
    <row r="910" spans="2:5" ht="13">
      <c r="B910" s="5"/>
      <c r="E910" s="5"/>
    </row>
    <row r="911" spans="2:5" ht="13">
      <c r="B911" s="5"/>
      <c r="E911" s="5"/>
    </row>
    <row r="912" spans="2:5" ht="13">
      <c r="B912" s="5"/>
      <c r="E912" s="5"/>
    </row>
    <row r="913" spans="2:5" ht="13">
      <c r="B913" s="5"/>
      <c r="E913" s="5"/>
    </row>
    <row r="914" spans="2:5" ht="13">
      <c r="B914" s="5"/>
      <c r="E914" s="5"/>
    </row>
    <row r="915" spans="2:5" ht="13">
      <c r="B915" s="5"/>
      <c r="E915" s="5"/>
    </row>
    <row r="916" spans="2:5" ht="13">
      <c r="B916" s="5"/>
      <c r="E916" s="5"/>
    </row>
    <row r="917" spans="2:5" ht="13">
      <c r="B917" s="5"/>
      <c r="E917" s="5"/>
    </row>
    <row r="918" spans="2:5" ht="13">
      <c r="B918" s="5"/>
      <c r="E918" s="5"/>
    </row>
    <row r="919" spans="2:5" ht="13">
      <c r="B919" s="5"/>
      <c r="E919" s="5"/>
    </row>
    <row r="920" spans="2:5" ht="13">
      <c r="B920" s="5"/>
      <c r="E920" s="5"/>
    </row>
    <row r="921" spans="2:5" ht="13">
      <c r="B921" s="5"/>
      <c r="E921" s="5"/>
    </row>
    <row r="922" spans="2:5" ht="13">
      <c r="B922" s="5"/>
      <c r="E922" s="5"/>
    </row>
    <row r="923" spans="2:5" ht="13">
      <c r="B923" s="5"/>
      <c r="E923" s="5"/>
    </row>
    <row r="924" spans="2:5" ht="13">
      <c r="B924" s="5"/>
      <c r="E924" s="5"/>
    </row>
    <row r="925" spans="2:5" ht="13">
      <c r="B925" s="5"/>
      <c r="E925" s="5"/>
    </row>
    <row r="926" spans="2:5" ht="13">
      <c r="B926" s="5"/>
      <c r="E926" s="5"/>
    </row>
    <row r="927" spans="2:5" ht="13">
      <c r="B927" s="5"/>
      <c r="E927" s="5"/>
    </row>
    <row r="928" spans="2:5" ht="13">
      <c r="B928" s="5"/>
      <c r="E928" s="5"/>
    </row>
    <row r="929" spans="2:5" ht="13">
      <c r="B929" s="5"/>
      <c r="E929" s="5"/>
    </row>
    <row r="930" spans="2:5" ht="13">
      <c r="B930" s="5"/>
      <c r="E930" s="5"/>
    </row>
    <row r="931" spans="2:5" ht="13">
      <c r="B931" s="5"/>
      <c r="E931" s="5"/>
    </row>
    <row r="932" spans="2:5" ht="13">
      <c r="B932" s="5"/>
      <c r="E932" s="5"/>
    </row>
    <row r="933" spans="2:5" ht="13">
      <c r="B933" s="5"/>
      <c r="E933" s="5"/>
    </row>
    <row r="934" spans="2:5" ht="13">
      <c r="B934" s="5"/>
      <c r="E934" s="5"/>
    </row>
    <row r="935" spans="2:5" ht="13">
      <c r="B935" s="5"/>
      <c r="E935" s="5"/>
    </row>
    <row r="936" spans="2:5" ht="13">
      <c r="B936" s="5"/>
      <c r="E936" s="5"/>
    </row>
    <row r="937" spans="2:5" ht="13">
      <c r="B937" s="5"/>
      <c r="E937" s="5"/>
    </row>
    <row r="938" spans="2:5" ht="13">
      <c r="B938" s="5"/>
      <c r="E938" s="5"/>
    </row>
    <row r="939" spans="2:5" ht="13">
      <c r="B939" s="5"/>
      <c r="E939" s="5"/>
    </row>
    <row r="940" spans="2:5" ht="13">
      <c r="B940" s="5"/>
      <c r="E940" s="5"/>
    </row>
    <row r="941" spans="2:5" ht="13">
      <c r="B941" s="5"/>
      <c r="E941" s="5"/>
    </row>
    <row r="942" spans="2:5" ht="13">
      <c r="B942" s="5"/>
      <c r="E942" s="5"/>
    </row>
    <row r="943" spans="2:5" ht="13">
      <c r="B943" s="5"/>
      <c r="E943" s="5"/>
    </row>
    <row r="944" spans="2:5" ht="13">
      <c r="B944" s="5"/>
      <c r="E944" s="5"/>
    </row>
    <row r="945" spans="2:5" ht="13">
      <c r="B945" s="5"/>
      <c r="E945" s="5"/>
    </row>
    <row r="946" spans="2:5" ht="13">
      <c r="B946" s="5"/>
      <c r="E946" s="5"/>
    </row>
    <row r="947" spans="2:5" ht="13">
      <c r="B947" s="5"/>
      <c r="E947" s="5"/>
    </row>
    <row r="948" spans="2:5" ht="13">
      <c r="B948" s="5"/>
      <c r="E948" s="5"/>
    </row>
    <row r="949" spans="2:5" ht="13">
      <c r="B949" s="5"/>
      <c r="E949" s="5"/>
    </row>
    <row r="950" spans="2:5" ht="13">
      <c r="B950" s="5"/>
      <c r="E950" s="5"/>
    </row>
    <row r="951" spans="2:5" ht="13">
      <c r="B951" s="5"/>
      <c r="E951" s="5"/>
    </row>
    <row r="952" spans="2:5" ht="13">
      <c r="B952" s="5"/>
      <c r="E952" s="5"/>
    </row>
    <row r="953" spans="2:5" ht="13">
      <c r="B953" s="5"/>
      <c r="E953" s="5"/>
    </row>
    <row r="954" spans="2:5" ht="13">
      <c r="B954" s="5"/>
      <c r="E954" s="5"/>
    </row>
    <row r="955" spans="2:5" ht="13">
      <c r="B955" s="5"/>
      <c r="E955" s="5"/>
    </row>
    <row r="956" spans="2:5" ht="13">
      <c r="B956" s="5"/>
      <c r="E956" s="5"/>
    </row>
    <row r="957" spans="2:5" ht="13">
      <c r="B957" s="5"/>
      <c r="E957" s="5"/>
    </row>
    <row r="958" spans="2:5" ht="13">
      <c r="B958" s="5"/>
      <c r="E958" s="5"/>
    </row>
    <row r="959" spans="2:5" ht="13">
      <c r="B959" s="5"/>
      <c r="E959" s="5"/>
    </row>
    <row r="960" spans="2:5" ht="13">
      <c r="B960" s="5"/>
      <c r="E960" s="5"/>
    </row>
    <row r="961" spans="2:5" ht="13">
      <c r="B961" s="5"/>
      <c r="E961" s="5"/>
    </row>
    <row r="962" spans="2:5" ht="13">
      <c r="B962" s="5"/>
      <c r="E962" s="5"/>
    </row>
    <row r="963" spans="2:5" ht="13">
      <c r="B963" s="5"/>
      <c r="E963" s="5"/>
    </row>
    <row r="964" spans="2:5" ht="13">
      <c r="B964" s="5"/>
      <c r="E964" s="5"/>
    </row>
    <row r="965" spans="2:5" ht="13">
      <c r="B965" s="5"/>
      <c r="E965" s="5"/>
    </row>
    <row r="966" spans="2:5" ht="13">
      <c r="B966" s="5"/>
      <c r="E966" s="5"/>
    </row>
    <row r="967" spans="2:5" ht="13">
      <c r="B967" s="5"/>
      <c r="E967" s="5"/>
    </row>
    <row r="968" spans="2:5" ht="13">
      <c r="B968" s="5"/>
      <c r="E968" s="5"/>
    </row>
    <row r="969" spans="2:5" ht="13">
      <c r="B969" s="5"/>
      <c r="E969" s="5"/>
    </row>
    <row r="970" spans="2:5" ht="13">
      <c r="B970" s="5"/>
      <c r="E970" s="5"/>
    </row>
    <row r="971" spans="2:5" ht="13">
      <c r="B971" s="5"/>
      <c r="E971" s="5"/>
    </row>
    <row r="972" spans="2:5" ht="13">
      <c r="B972" s="5"/>
      <c r="E972" s="5"/>
    </row>
    <row r="973" spans="2:5" ht="13">
      <c r="B973" s="5"/>
      <c r="E973" s="5"/>
    </row>
    <row r="974" spans="2:5" ht="13">
      <c r="B974" s="5"/>
      <c r="E974" s="5"/>
    </row>
    <row r="975" spans="2:5" ht="13">
      <c r="B975" s="5"/>
      <c r="E975" s="5"/>
    </row>
    <row r="976" spans="2:5" ht="13">
      <c r="B976" s="5"/>
      <c r="E976" s="5"/>
    </row>
    <row r="977" spans="2:5" ht="13">
      <c r="B977" s="5"/>
      <c r="E977" s="5"/>
    </row>
    <row r="978" spans="2:5" ht="13">
      <c r="B978" s="5"/>
      <c r="E978" s="5"/>
    </row>
    <row r="979" spans="2:5" ht="13">
      <c r="B979" s="5"/>
      <c r="E979" s="5"/>
    </row>
    <row r="980" spans="2:5" ht="13">
      <c r="B980" s="5"/>
      <c r="E980" s="5"/>
    </row>
    <row r="981" spans="2:5" ht="13">
      <c r="B981" s="5"/>
      <c r="E981" s="5"/>
    </row>
    <row r="982" spans="2:5" ht="13">
      <c r="B982" s="5"/>
      <c r="E982" s="5"/>
    </row>
    <row r="983" spans="2:5" ht="13">
      <c r="B983" s="5"/>
      <c r="E983" s="5"/>
    </row>
    <row r="984" spans="2:5" ht="13">
      <c r="B984" s="5"/>
      <c r="E984" s="5"/>
    </row>
    <row r="985" spans="2:5" ht="13">
      <c r="B985" s="5"/>
      <c r="E985" s="5"/>
    </row>
    <row r="986" spans="2:5" ht="13">
      <c r="B986" s="5"/>
      <c r="E986" s="5"/>
    </row>
    <row r="987" spans="2:5" ht="13">
      <c r="B987" s="5"/>
      <c r="E987" s="5"/>
    </row>
    <row r="988" spans="2:5" ht="13">
      <c r="B988" s="5"/>
      <c r="E988" s="5"/>
    </row>
    <row r="989" spans="2:5" ht="13">
      <c r="B989" s="5"/>
      <c r="E989" s="5"/>
    </row>
    <row r="990" spans="2:5" ht="13">
      <c r="B990" s="5"/>
      <c r="E990" s="5"/>
    </row>
    <row r="991" spans="2:5" ht="13">
      <c r="B991" s="5"/>
      <c r="E991" s="5"/>
    </row>
    <row r="992" spans="2:5" ht="13">
      <c r="B992" s="5"/>
      <c r="E992" s="5"/>
    </row>
    <row r="993" spans="2:5" ht="13">
      <c r="B993" s="5"/>
      <c r="E993" s="5"/>
    </row>
    <row r="994" spans="2:5" ht="13">
      <c r="B994" s="5"/>
      <c r="E994" s="5"/>
    </row>
    <row r="995" spans="2:5" ht="13">
      <c r="B995" s="5"/>
      <c r="E995" s="5"/>
    </row>
    <row r="996" spans="2:5" ht="13">
      <c r="B996" s="5"/>
      <c r="E996" s="5"/>
    </row>
    <row r="997" spans="2:5" ht="13">
      <c r="B997" s="5"/>
      <c r="E997" s="5"/>
    </row>
    <row r="998" spans="2:5" ht="13">
      <c r="B998" s="5"/>
      <c r="E998" s="5"/>
    </row>
    <row r="999" spans="2:5" ht="13">
      <c r="B999" s="5"/>
      <c r="E999" s="5"/>
    </row>
    <row r="1000" spans="2:5" ht="13">
      <c r="B1000" s="5"/>
      <c r="E1000" s="5"/>
    </row>
    <row r="1001" spans="2:5" ht="13">
      <c r="B1001" s="5"/>
      <c r="E1001" s="5"/>
    </row>
    <row r="1002" spans="2:5" ht="13">
      <c r="B1002" s="5"/>
      <c r="E1002" s="5"/>
    </row>
    <row r="1003" spans="2:5" ht="13">
      <c r="B1003" s="5"/>
      <c r="E1003" s="5"/>
    </row>
    <row r="1004" spans="2:5" ht="13">
      <c r="B1004" s="5"/>
      <c r="E1004" s="5"/>
    </row>
    <row r="1005" spans="2:5" ht="13">
      <c r="B1005" s="5"/>
      <c r="E1005" s="5"/>
    </row>
    <row r="1006" spans="2:5" ht="13">
      <c r="B1006" s="5"/>
      <c r="E1006" s="5"/>
    </row>
    <row r="1007" spans="2:5" ht="13">
      <c r="B1007" s="5"/>
      <c r="E1007" s="5"/>
    </row>
    <row r="1008" spans="2:5" ht="13">
      <c r="B1008" s="5"/>
      <c r="E1008" s="5"/>
    </row>
    <row r="1009" spans="2:5" ht="13">
      <c r="B1009" s="5"/>
      <c r="E1009" s="5"/>
    </row>
    <row r="1010" spans="2:5" ht="13">
      <c r="B1010" s="5"/>
      <c r="E1010" s="5"/>
    </row>
    <row r="1011" spans="2:5" ht="13">
      <c r="B1011" s="5"/>
      <c r="E1011" s="5"/>
    </row>
    <row r="1012" spans="2:5" ht="13">
      <c r="B1012" s="5"/>
      <c r="E1012" s="5"/>
    </row>
    <row r="1013" spans="2:5" ht="13">
      <c r="B1013" s="5"/>
      <c r="E1013" s="5"/>
    </row>
    <row r="1014" spans="2:5" ht="13">
      <c r="B1014" s="5"/>
      <c r="E1014" s="5"/>
    </row>
    <row r="1015" spans="2:5" ht="13">
      <c r="B1015" s="5"/>
      <c r="E1015" s="5"/>
    </row>
    <row r="1016" spans="2:5" ht="13">
      <c r="B1016" s="5"/>
      <c r="E1016" s="5"/>
    </row>
    <row r="1017" spans="2:5" ht="13">
      <c r="B1017" s="5"/>
      <c r="E1017" s="5"/>
    </row>
    <row r="1018" spans="2:5" ht="13">
      <c r="B1018" s="5"/>
      <c r="E1018" s="5"/>
    </row>
    <row r="1019" spans="2:5" ht="13">
      <c r="B1019" s="5"/>
      <c r="E1019" s="5"/>
    </row>
    <row r="1020" spans="2:5" ht="13">
      <c r="B1020" s="5"/>
      <c r="E1020" s="5"/>
    </row>
    <row r="1021" spans="2:5" ht="13">
      <c r="B1021" s="5"/>
      <c r="E1021" s="5"/>
    </row>
    <row r="1022" spans="2:5" ht="13">
      <c r="B1022" s="5"/>
      <c r="E1022" s="5"/>
    </row>
    <row r="1023" spans="2:5" ht="13">
      <c r="B1023" s="5"/>
      <c r="E1023" s="5"/>
    </row>
    <row r="1024" spans="2:5" ht="13">
      <c r="B1024" s="5"/>
      <c r="E1024" s="5"/>
    </row>
    <row r="1025" spans="2:5" ht="13">
      <c r="B1025" s="5"/>
      <c r="E1025" s="5"/>
    </row>
    <row r="1026" spans="2:5" ht="13">
      <c r="B1026" s="5"/>
      <c r="E1026" s="5"/>
    </row>
    <row r="1027" spans="2:5" ht="13">
      <c r="B1027" s="5"/>
      <c r="E1027" s="5"/>
    </row>
    <row r="1028" spans="2:5" ht="13">
      <c r="B1028" s="5"/>
      <c r="E1028" s="5"/>
    </row>
    <row r="1029" spans="2:5" ht="13">
      <c r="B1029" s="5"/>
      <c r="E1029" s="5"/>
    </row>
    <row r="1030" spans="2:5" ht="13">
      <c r="B1030" s="5"/>
      <c r="E1030" s="5"/>
    </row>
    <row r="1031" spans="2:5" ht="13">
      <c r="B1031" s="5"/>
      <c r="E1031" s="5"/>
    </row>
    <row r="1032" spans="2:5" ht="13">
      <c r="B1032" s="5"/>
      <c r="E1032" s="5"/>
    </row>
    <row r="1033" spans="2:5" ht="13">
      <c r="B1033" s="5"/>
      <c r="E1033" s="5"/>
    </row>
    <row r="1034" spans="2:5" ht="13">
      <c r="B1034" s="5"/>
      <c r="E1034" s="5"/>
    </row>
    <row r="1035" spans="2:5" ht="13">
      <c r="B1035" s="5"/>
      <c r="E1035" s="5"/>
    </row>
    <row r="1036" spans="2:5" ht="13">
      <c r="B1036" s="5"/>
      <c r="E1036" s="5"/>
    </row>
    <row r="1037" spans="2:5" ht="13">
      <c r="B1037" s="5"/>
      <c r="E1037" s="5"/>
    </row>
    <row r="1038" spans="2:5" ht="13">
      <c r="B1038" s="5"/>
      <c r="E1038" s="5"/>
    </row>
    <row r="1039" spans="2:5" ht="13">
      <c r="B1039" s="5"/>
      <c r="E1039" s="5"/>
    </row>
    <row r="1040" spans="2:5" ht="13">
      <c r="B1040" s="5"/>
      <c r="E1040" s="5"/>
    </row>
    <row r="1041" spans="2:5" ht="13">
      <c r="B1041" s="5"/>
      <c r="E1041" s="5"/>
    </row>
    <row r="1042" spans="2:5" ht="13">
      <c r="B1042" s="5"/>
      <c r="E1042" s="5"/>
    </row>
    <row r="1043" spans="2:5" ht="13">
      <c r="B1043" s="5"/>
      <c r="E1043" s="5"/>
    </row>
    <row r="1044" spans="2:5" ht="13">
      <c r="B1044" s="5"/>
      <c r="E1044" s="5"/>
    </row>
    <row r="1045" spans="2:5" ht="13">
      <c r="B1045" s="5"/>
      <c r="E1045" s="5"/>
    </row>
    <row r="1046" spans="2:5" ht="13">
      <c r="B1046" s="5"/>
      <c r="E1046" s="5"/>
    </row>
    <row r="1047" spans="2:5" ht="13">
      <c r="B1047" s="5"/>
      <c r="E1047" s="5"/>
    </row>
    <row r="1048" spans="2:5" ht="13">
      <c r="B1048" s="5"/>
      <c r="E1048" s="5"/>
    </row>
    <row r="1049" spans="2:5" ht="13">
      <c r="B1049" s="5"/>
      <c r="E1049" s="5"/>
    </row>
    <row r="1050" spans="2:5" ht="13">
      <c r="B1050" s="5"/>
      <c r="E1050" s="5"/>
    </row>
    <row r="1051" spans="2:5" ht="13">
      <c r="B1051" s="5"/>
      <c r="E1051" s="5"/>
    </row>
    <row r="1052" spans="2:5" ht="13">
      <c r="B1052" s="5"/>
      <c r="E1052" s="5"/>
    </row>
    <row r="1053" spans="2:5" ht="13">
      <c r="B1053" s="5"/>
      <c r="E1053" s="5"/>
    </row>
    <row r="1054" spans="2:5" ht="13">
      <c r="B1054" s="5"/>
      <c r="E1054" s="5"/>
    </row>
    <row r="1055" spans="2:5" ht="13">
      <c r="B1055" s="5"/>
      <c r="E1055" s="5"/>
    </row>
    <row r="1056" spans="2:5" ht="13">
      <c r="B1056" s="5"/>
      <c r="E1056" s="5"/>
    </row>
    <row r="1057" spans="2:5" ht="13">
      <c r="B1057" s="5"/>
      <c r="E1057" s="5"/>
    </row>
    <row r="1058" spans="2:5" ht="13">
      <c r="B1058" s="5"/>
      <c r="E1058" s="5"/>
    </row>
    <row r="1059" spans="2:5" ht="13">
      <c r="B1059" s="5"/>
      <c r="E1059" s="5"/>
    </row>
    <row r="1060" spans="2:5" ht="13">
      <c r="B1060" s="5"/>
      <c r="E1060" s="5"/>
    </row>
    <row r="1061" spans="2:5" ht="13">
      <c r="B1061" s="5"/>
      <c r="E1061" s="5"/>
    </row>
    <row r="1062" spans="2:5" ht="13">
      <c r="B1062" s="5"/>
      <c r="E1062" s="5"/>
    </row>
    <row r="1063" spans="2:5" ht="13">
      <c r="B1063" s="5"/>
      <c r="E1063" s="5"/>
    </row>
    <row r="1064" spans="2:5" ht="13">
      <c r="B1064" s="5"/>
      <c r="E1064" s="5"/>
    </row>
    <row r="1065" spans="2:5" ht="13">
      <c r="B1065" s="5"/>
      <c r="E1065" s="5"/>
    </row>
    <row r="1066" spans="2:5" ht="13">
      <c r="B1066" s="5"/>
      <c r="E1066" s="5"/>
    </row>
    <row r="1067" spans="2:5" ht="13">
      <c r="B1067" s="5"/>
      <c r="E1067" s="5"/>
    </row>
    <row r="1068" spans="2:5" ht="13">
      <c r="B1068" s="5"/>
      <c r="E1068" s="5"/>
    </row>
    <row r="1069" spans="2:5" ht="13">
      <c r="B1069" s="5"/>
      <c r="E1069" s="5"/>
    </row>
    <row r="1070" spans="2:5" ht="13">
      <c r="B1070" s="5"/>
      <c r="E1070" s="5"/>
    </row>
    <row r="1071" spans="2:5" ht="13">
      <c r="B1071" s="5"/>
      <c r="E1071" s="5"/>
    </row>
    <row r="1072" spans="2:5" ht="13">
      <c r="B1072" s="5"/>
      <c r="E1072" s="5"/>
    </row>
    <row r="1073" spans="2:5" ht="13">
      <c r="B1073" s="5"/>
      <c r="E1073" s="5"/>
    </row>
    <row r="1074" spans="2:5" ht="13">
      <c r="B1074" s="5"/>
      <c r="E1074" s="5"/>
    </row>
    <row r="1075" spans="2:5" ht="13">
      <c r="B1075" s="5"/>
      <c r="E1075" s="5"/>
    </row>
    <row r="1076" spans="2:5" ht="13">
      <c r="B1076" s="5"/>
      <c r="E1076" s="5"/>
    </row>
    <row r="1077" spans="2:5" ht="13">
      <c r="B1077" s="5"/>
      <c r="E1077" s="5"/>
    </row>
    <row r="1078" spans="2:5" ht="13">
      <c r="B1078" s="5"/>
      <c r="E1078" s="5"/>
    </row>
    <row r="1079" spans="2:5" ht="13">
      <c r="B1079" s="5"/>
      <c r="E1079" s="5"/>
    </row>
    <row r="1080" spans="2:5" ht="13">
      <c r="B1080" s="5"/>
      <c r="E1080" s="5"/>
    </row>
    <row r="1081" spans="2:5" ht="13">
      <c r="B1081" s="5"/>
      <c r="E1081" s="5"/>
    </row>
    <row r="1082" spans="2:5" ht="13">
      <c r="B1082" s="5"/>
      <c r="E1082" s="5"/>
    </row>
    <row r="1083" spans="2:5" ht="13">
      <c r="B1083" s="5"/>
      <c r="E1083" s="5"/>
    </row>
    <row r="1084" spans="2:5" ht="13">
      <c r="B1084" s="5"/>
      <c r="E1084" s="5"/>
    </row>
    <row r="1085" spans="2:5" ht="13">
      <c r="B1085" s="5"/>
      <c r="E1085" s="5"/>
    </row>
    <row r="1086" spans="2:5" ht="13">
      <c r="B1086" s="5"/>
      <c r="E1086" s="5"/>
    </row>
    <row r="1087" spans="2:5" ht="13">
      <c r="B1087" s="5"/>
      <c r="E1087" s="5"/>
    </row>
    <row r="1088" spans="2:5" ht="13">
      <c r="B1088" s="5"/>
      <c r="E1088" s="5"/>
    </row>
    <row r="1089" spans="2:5" ht="13">
      <c r="B1089" s="5"/>
      <c r="E1089" s="5"/>
    </row>
    <row r="1090" spans="2:5" ht="13">
      <c r="B1090" s="5"/>
      <c r="E1090" s="5"/>
    </row>
    <row r="1091" spans="2:5" ht="13">
      <c r="B1091" s="5"/>
      <c r="E1091" s="5"/>
    </row>
    <row r="1092" spans="2:5" ht="13">
      <c r="B1092" s="5"/>
      <c r="E1092" s="5"/>
    </row>
    <row r="1093" spans="2:5" ht="13">
      <c r="B1093" s="5"/>
      <c r="E1093" s="5"/>
    </row>
    <row r="1094" spans="2:5" ht="13">
      <c r="B1094" s="5"/>
      <c r="E1094" s="5"/>
    </row>
    <row r="1095" spans="2:5" ht="13">
      <c r="B1095" s="5"/>
      <c r="E1095" s="5"/>
    </row>
    <row r="1096" spans="2:5" ht="13">
      <c r="B1096" s="5"/>
      <c r="E1096" s="5"/>
    </row>
    <row r="1097" spans="2:5" ht="13">
      <c r="B1097" s="5"/>
      <c r="E1097" s="5"/>
    </row>
    <row r="1098" spans="2:5" ht="13">
      <c r="B1098" s="5"/>
      <c r="E1098" s="5"/>
    </row>
    <row r="1099" spans="2:5" ht="13">
      <c r="B1099" s="5"/>
      <c r="E1099" s="5"/>
    </row>
    <row r="1100" spans="2:5" ht="13">
      <c r="B1100" s="5"/>
      <c r="E1100" s="5"/>
    </row>
    <row r="1101" spans="2:5" ht="13">
      <c r="B1101" s="5"/>
      <c r="E1101" s="5"/>
    </row>
    <row r="1102" spans="2:5" ht="13">
      <c r="B1102" s="5"/>
      <c r="E1102" s="5"/>
    </row>
    <row r="1103" spans="2:5" ht="13">
      <c r="B1103" s="5"/>
      <c r="E1103" s="5"/>
    </row>
    <row r="1104" spans="2:5" ht="13">
      <c r="B1104" s="5"/>
      <c r="E1104" s="5"/>
    </row>
    <row r="1105" spans="2:5" ht="13">
      <c r="B1105" s="5"/>
      <c r="E1105" s="5"/>
    </row>
    <row r="1106" spans="2:5" ht="13">
      <c r="B1106" s="5"/>
      <c r="E1106" s="5"/>
    </row>
    <row r="1107" spans="2:5" ht="13">
      <c r="B1107" s="5"/>
      <c r="E1107" s="5"/>
    </row>
    <row r="1108" spans="2:5" ht="13">
      <c r="B1108" s="5"/>
      <c r="E1108" s="5"/>
    </row>
    <row r="1109" spans="2:5" ht="13">
      <c r="B1109" s="5"/>
      <c r="E1109" s="5"/>
    </row>
    <row r="1110" spans="2:5" ht="13">
      <c r="B1110" s="5"/>
      <c r="E1110" s="5"/>
    </row>
    <row r="1111" spans="2:5" ht="13">
      <c r="B1111" s="5"/>
      <c r="E1111" s="5"/>
    </row>
    <row r="1112" spans="2:5" ht="13">
      <c r="B1112" s="5"/>
      <c r="E1112" s="5"/>
    </row>
    <row r="1113" spans="2:5" ht="13">
      <c r="B1113" s="5"/>
      <c r="E1113" s="5"/>
    </row>
    <row r="1114" spans="2:5" ht="13">
      <c r="B1114" s="5"/>
      <c r="E1114" s="5"/>
    </row>
    <row r="1115" spans="2:5" ht="13">
      <c r="B1115" s="5"/>
      <c r="E1115" s="5"/>
    </row>
    <row r="1116" spans="2:5" ht="13">
      <c r="B1116" s="5"/>
      <c r="E1116" s="5"/>
    </row>
    <row r="1117" spans="2:5" ht="13">
      <c r="B1117" s="5"/>
      <c r="E1117" s="5"/>
    </row>
    <row r="1118" spans="2:5" ht="13">
      <c r="B1118" s="5"/>
      <c r="E1118" s="5"/>
    </row>
    <row r="1119" spans="2:5" ht="13">
      <c r="B1119" s="5"/>
      <c r="E1119" s="5"/>
    </row>
    <row r="1120" spans="2:5" ht="13">
      <c r="B1120" s="5"/>
      <c r="E1120" s="5"/>
    </row>
    <row r="1121" spans="2:5" ht="13">
      <c r="B1121" s="5"/>
      <c r="E1121" s="5"/>
    </row>
    <row r="1122" spans="2:5" ht="13">
      <c r="B1122" s="5"/>
      <c r="E1122" s="5"/>
    </row>
    <row r="1123" spans="2:5" ht="13">
      <c r="B1123" s="5"/>
      <c r="E1123" s="5"/>
    </row>
    <row r="1124" spans="2:5" ht="13">
      <c r="B1124" s="5"/>
      <c r="E1124" s="5"/>
    </row>
    <row r="1125" spans="2:5" ht="13">
      <c r="B1125" s="5"/>
      <c r="E1125" s="5"/>
    </row>
    <row r="1126" spans="2:5" ht="13">
      <c r="B1126" s="5"/>
      <c r="E1126" s="5"/>
    </row>
    <row r="1127" spans="2:5" ht="13">
      <c r="B1127" s="5"/>
      <c r="E1127" s="5"/>
    </row>
    <row r="1128" spans="2:5" ht="13">
      <c r="B1128" s="5"/>
      <c r="E1128" s="5"/>
    </row>
    <row r="1129" spans="2:5" ht="13">
      <c r="B1129" s="5"/>
      <c r="E1129" s="5"/>
    </row>
    <row r="1130" spans="2:5" ht="13">
      <c r="B1130" s="5"/>
      <c r="E1130" s="5"/>
    </row>
    <row r="1131" spans="2:5" ht="13">
      <c r="B1131" s="5"/>
      <c r="E1131" s="5"/>
    </row>
    <row r="1132" spans="2:5" ht="13">
      <c r="B1132" s="5"/>
      <c r="E1132" s="5"/>
    </row>
    <row r="1133" spans="2:5" ht="13">
      <c r="B1133" s="5"/>
      <c r="E1133" s="5"/>
    </row>
    <row r="1134" spans="2:5" ht="13">
      <c r="B1134" s="5"/>
      <c r="E1134" s="5"/>
    </row>
    <row r="1135" spans="2:5" ht="13">
      <c r="B1135" s="5"/>
      <c r="E1135" s="5"/>
    </row>
    <row r="1136" spans="2:5" ht="13">
      <c r="B1136" s="5"/>
      <c r="E1136" s="5"/>
    </row>
    <row r="1137" spans="2:5" ht="13">
      <c r="B1137" s="5"/>
      <c r="E1137" s="5"/>
    </row>
    <row r="1138" spans="2:5" ht="13">
      <c r="B1138" s="5"/>
      <c r="E1138" s="5"/>
    </row>
    <row r="1139" spans="2:5" ht="13">
      <c r="B1139" s="5"/>
      <c r="E1139" s="5"/>
    </row>
    <row r="1140" spans="2:5" ht="13">
      <c r="B1140" s="5"/>
      <c r="E1140" s="5"/>
    </row>
    <row r="1141" spans="2:5" ht="13">
      <c r="B1141" s="5"/>
      <c r="E1141" s="5"/>
    </row>
    <row r="1142" spans="2:5" ht="13">
      <c r="B1142" s="5"/>
      <c r="E1142" s="5"/>
    </row>
    <row r="1143" spans="2:5" ht="13">
      <c r="B1143" s="5"/>
      <c r="E1143" s="5"/>
    </row>
    <row r="1144" spans="2:5" ht="13">
      <c r="B1144" s="5"/>
      <c r="E1144" s="5"/>
    </row>
    <row r="1145" spans="2:5" ht="13">
      <c r="B1145" s="5"/>
      <c r="E1145" s="5"/>
    </row>
    <row r="1146" spans="2:5" ht="13">
      <c r="B1146" s="5"/>
      <c r="E1146" s="5"/>
    </row>
    <row r="1147" spans="2:5" ht="13">
      <c r="B1147" s="5"/>
      <c r="E1147" s="5"/>
    </row>
    <row r="1148" spans="2:5" ht="13">
      <c r="B1148" s="5"/>
      <c r="E1148" s="5"/>
    </row>
    <row r="1149" spans="2:5" ht="13">
      <c r="B1149" s="5"/>
      <c r="E1149" s="5"/>
    </row>
    <row r="1150" spans="2:5" ht="13">
      <c r="B1150" s="5"/>
      <c r="E1150" s="5"/>
    </row>
    <row r="1151" spans="2:5" ht="13">
      <c r="B1151" s="5"/>
      <c r="E1151" s="5"/>
    </row>
    <row r="1152" spans="2:5" ht="13">
      <c r="B1152" s="5"/>
      <c r="E1152" s="5"/>
    </row>
    <row r="1153" spans="2:5" ht="13">
      <c r="B1153" s="5"/>
      <c r="E1153" s="5"/>
    </row>
    <row r="1154" spans="2:5" ht="13">
      <c r="B1154" s="5"/>
      <c r="E1154" s="5"/>
    </row>
    <row r="1155" spans="2:5" ht="13">
      <c r="B1155" s="5"/>
      <c r="E1155" s="5"/>
    </row>
    <row r="1156" spans="2:5" ht="13">
      <c r="B1156" s="5"/>
      <c r="E1156" s="5"/>
    </row>
    <row r="1157" spans="2:5" ht="13">
      <c r="B1157" s="5"/>
      <c r="E1157" s="5"/>
    </row>
    <row r="1158" spans="2:5" ht="13">
      <c r="B1158" s="5"/>
      <c r="E1158" s="5"/>
    </row>
    <row r="1159" spans="2:5" ht="13">
      <c r="B1159" s="5"/>
      <c r="E1159" s="5"/>
    </row>
    <row r="1160" spans="2:5" ht="13">
      <c r="B1160" s="5"/>
      <c r="E1160" s="5"/>
    </row>
    <row r="1161" spans="2:5" ht="13">
      <c r="B1161" s="5"/>
      <c r="E1161" s="5"/>
    </row>
    <row r="1162" spans="2:5" ht="13">
      <c r="B1162" s="5"/>
      <c r="E1162" s="5"/>
    </row>
    <row r="1163" spans="2:5" ht="13">
      <c r="B1163" s="5"/>
      <c r="E1163" s="5"/>
    </row>
  </sheetData>
  <mergeCells count="39">
    <mergeCell ref="C240:C241"/>
    <mergeCell ref="C242:C243"/>
    <mergeCell ref="C199:C202"/>
    <mergeCell ref="C206:C209"/>
    <mergeCell ref="C210:C212"/>
    <mergeCell ref="C216:C217"/>
    <mergeCell ref="C218:C220"/>
    <mergeCell ref="C222:C224"/>
    <mergeCell ref="C225:C226"/>
    <mergeCell ref="C186:C188"/>
    <mergeCell ref="C194:C195"/>
    <mergeCell ref="C196:C198"/>
    <mergeCell ref="C233:C235"/>
    <mergeCell ref="C237:C239"/>
    <mergeCell ref="C160:C163"/>
    <mergeCell ref="C165:C167"/>
    <mergeCell ref="C169:C173"/>
    <mergeCell ref="C176:C177"/>
    <mergeCell ref="C180:C181"/>
    <mergeCell ref="C132:C138"/>
    <mergeCell ref="C139:C141"/>
    <mergeCell ref="C142:C150"/>
    <mergeCell ref="C151:C154"/>
    <mergeCell ref="C155:C158"/>
    <mergeCell ref="C92:C106"/>
    <mergeCell ref="C108:C109"/>
    <mergeCell ref="C110:C115"/>
    <mergeCell ref="C116:C120"/>
    <mergeCell ref="C121:C127"/>
    <mergeCell ref="C42:C45"/>
    <mergeCell ref="C46:C51"/>
    <mergeCell ref="C52:C58"/>
    <mergeCell ref="C63:C70"/>
    <mergeCell ref="C71:C91"/>
    <mergeCell ref="C5:C8"/>
    <mergeCell ref="C9:C12"/>
    <mergeCell ref="C13:C18"/>
    <mergeCell ref="C19:C29"/>
    <mergeCell ref="C34:C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Pivot - Cust Retention</vt:lpstr>
      <vt:lpstr>Pivot - Cust Existing</vt:lpstr>
      <vt:lpstr>Pivot - PIC</vt:lpstr>
      <vt:lpstr>Dashboard</vt:lpstr>
      <vt:lpstr>Data New Cust TAB 2324</vt:lpstr>
      <vt:lpstr>Pivot Table 5</vt:lpstr>
      <vt:lpstr>Copy of Data Master Pelanggan</vt:lpstr>
      <vt:lpstr>Data Pelanggan 2019</vt:lpstr>
      <vt:lpstr> Data Pelanggan 2020</vt:lpstr>
      <vt:lpstr>Data Pelanggan 2026</vt:lpstr>
      <vt:lpstr>Struktur Organisasi</vt:lpstr>
      <vt:lpstr>Data Guru BSW</vt:lpstr>
      <vt:lpstr>Pivot Table 4</vt:lpstr>
      <vt:lpstr>Copy of Data Customer Prioritas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BSW_MGR</cp:lastModifiedBy>
  <dcterms:modified xsi:type="dcterms:W3CDTF">2026-10-08T06:01:55Z</dcterms:modified>
</cp:coreProperties>
</file>